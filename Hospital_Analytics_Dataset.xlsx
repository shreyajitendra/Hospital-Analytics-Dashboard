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hreya Shimpi\Downloads\"/>
    </mc:Choice>
  </mc:AlternateContent>
  <xr:revisionPtr revIDLastSave="0" documentId="13_ncr:1_{F1553502-A307-4A78-930A-1F137C2508FD}" xr6:coauthVersionLast="47" xr6:coauthVersionMax="47" xr10:uidLastSave="{00000000-0000-0000-0000-000000000000}"/>
  <bookViews>
    <workbookView xWindow="-108" yWindow="-108" windowWidth="23256" windowHeight="12456" activeTab="4" xr2:uid="{00000000-000D-0000-FFFF-FFFF00000000}"/>
  </bookViews>
  <sheets>
    <sheet name="Hospital_Operations_Data" sheetId="1" r:id="rId1"/>
    <sheet name="DASHBOARD" sheetId="3" r:id="rId2"/>
    <sheet name="MORE CHARTS" sheetId="4" r:id="rId3"/>
    <sheet name="Sheet1" sheetId="7" r:id="rId4"/>
    <sheet name="Sheet2" sheetId="6" r:id="rId5"/>
    <sheet name="Sheet3" sheetId="8" r:id="rId6"/>
  </sheets>
  <definedNames>
    <definedName name="admission_type">Hospital_Operations_Data[Admission_Type]</definedName>
    <definedName name="admissiondate">Hospital_Operations_Data[Admission_Date]</definedName>
    <definedName name="Age">Hospital_Operations_Data[Age]</definedName>
    <definedName name="bed_type">Hospital_Operations_Data[Bed_Type]</definedName>
    <definedName name="city">Hospital_Operations_Data[City]</definedName>
    <definedName name="department">Hospital_Operations_Data[Department]</definedName>
    <definedName name="diagnosis">Hospital_Operations_Data[Diagnosis]</definedName>
    <definedName name="dischargedata">Hospital_Operations_Data[Discharge_Date]</definedName>
    <definedName name="doctor">Hospital_Operations_Data[Doctor]</definedName>
    <definedName name="Gender">Hospital_Operations_Data[Gender]</definedName>
    <definedName name="insurance_status">Hospital_Operations_Data[Insurance_Status]</definedName>
    <definedName name="Lab_Tests_Count">Hospital_Operations_Data[Lab_Tests_Count]</definedName>
    <definedName name="Length_of_Stay">Hospital_Operations_Data[Length_of_Stay]</definedName>
    <definedName name="Medication_Cost_INR">#REF!</definedName>
    <definedName name="Medication_Cost_USD">Hospital_Operations_Data[Medication_Cost_USD]</definedName>
    <definedName name="outcome">Hospital_Operations_Data[Outcome]</definedName>
    <definedName name="patient_id">Hospital_Operations_Data[Column1]</definedName>
    <definedName name="payment_method">Hospital_Operations_Data[Payment_Method]</definedName>
    <definedName name="Slicer_Doctor">#N/A</definedName>
    <definedName name="Slicer_Months__Admission_Date">#N/A</definedName>
    <definedName name="Slicer_Years__Admission_Date">#N/A</definedName>
    <definedName name="treatment_cost_inr">#REF!</definedName>
    <definedName name="Treatment_Cost_USD">Hospital_Operations_Data[Treatment_Cost_USD]</definedName>
    <definedName name="Treatmetn_cost_INR">#REF!</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6" i="1" l="1"/>
  <c r="Z17" i="1"/>
  <c r="Z15" i="1"/>
  <c r="AB18" i="1" s="1"/>
  <c r="C3500" i="7"/>
  <c r="C3499" i="7"/>
  <c r="C3498" i="7"/>
  <c r="C3497" i="7"/>
  <c r="C3496" i="7"/>
  <c r="C3495" i="7"/>
  <c r="C3494" i="7"/>
  <c r="C3493" i="7"/>
  <c r="C3492" i="7"/>
  <c r="C3491" i="7"/>
  <c r="C3490" i="7"/>
  <c r="C3489" i="7"/>
  <c r="C3488" i="7"/>
  <c r="C3487" i="7"/>
  <c r="C3486" i="7"/>
  <c r="C3485" i="7"/>
  <c r="C3484" i="7"/>
  <c r="C3483" i="7"/>
  <c r="C3482" i="7"/>
  <c r="C3481" i="7"/>
  <c r="C3480" i="7"/>
  <c r="C3479" i="7"/>
  <c r="C3478" i="7"/>
  <c r="C3477" i="7"/>
  <c r="C3476" i="7"/>
  <c r="C3475" i="7"/>
  <c r="C3474" i="7"/>
  <c r="C3473" i="7"/>
  <c r="C3472" i="7"/>
  <c r="C3471" i="7"/>
  <c r="C3470" i="7"/>
  <c r="C3469" i="7"/>
  <c r="C3468" i="7"/>
  <c r="C3467" i="7"/>
  <c r="C3466" i="7"/>
  <c r="C3465" i="7"/>
  <c r="C3464" i="7"/>
  <c r="C3463" i="7"/>
  <c r="C3462" i="7"/>
  <c r="C3461" i="7"/>
  <c r="C3460" i="7"/>
  <c r="C3459" i="7"/>
  <c r="C3458" i="7"/>
  <c r="C3457" i="7"/>
  <c r="C3456" i="7"/>
  <c r="C3455" i="7"/>
  <c r="C3454" i="7"/>
  <c r="C3453" i="7"/>
  <c r="C3452" i="7"/>
  <c r="C3451" i="7"/>
  <c r="C3450" i="7"/>
  <c r="C3449" i="7"/>
  <c r="C3448" i="7"/>
  <c r="C3447" i="7"/>
  <c r="C3446" i="7"/>
  <c r="C3445" i="7"/>
  <c r="C3444" i="7"/>
  <c r="C3443" i="7"/>
  <c r="C3442" i="7"/>
  <c r="C3441" i="7"/>
  <c r="C3440" i="7"/>
  <c r="C3439" i="7"/>
  <c r="C3438" i="7"/>
  <c r="C3437" i="7"/>
  <c r="C3436" i="7"/>
  <c r="C3435" i="7"/>
  <c r="C3434" i="7"/>
  <c r="C3433" i="7"/>
  <c r="C3432" i="7"/>
  <c r="C3431" i="7"/>
  <c r="C3430" i="7"/>
  <c r="C3429" i="7"/>
  <c r="C3428" i="7"/>
  <c r="C3427" i="7"/>
  <c r="C3426" i="7"/>
  <c r="C3425" i="7"/>
  <c r="C3424" i="7"/>
  <c r="C3423" i="7"/>
  <c r="C3422" i="7"/>
  <c r="C3421" i="7"/>
  <c r="C3420" i="7"/>
  <c r="C3419" i="7"/>
  <c r="C3418" i="7"/>
  <c r="C3417" i="7"/>
  <c r="C3416" i="7"/>
  <c r="C3415" i="7"/>
  <c r="C3414" i="7"/>
  <c r="C3413" i="7"/>
  <c r="C3412" i="7"/>
  <c r="C3411" i="7"/>
  <c r="C3410" i="7"/>
  <c r="C3409" i="7"/>
  <c r="C3408" i="7"/>
  <c r="C3407" i="7"/>
  <c r="C3406" i="7"/>
  <c r="C3405" i="7"/>
  <c r="C3404" i="7"/>
  <c r="C3403" i="7"/>
  <c r="C3402" i="7"/>
  <c r="C3401" i="7"/>
  <c r="C3400" i="7"/>
  <c r="C3399" i="7"/>
  <c r="C3398" i="7"/>
  <c r="C3397" i="7"/>
  <c r="C3396" i="7"/>
  <c r="C3395" i="7"/>
  <c r="C3394" i="7"/>
  <c r="C3393" i="7"/>
  <c r="C3392" i="7"/>
  <c r="C3391" i="7"/>
  <c r="C3390" i="7"/>
  <c r="C3389" i="7"/>
  <c r="C3388" i="7"/>
  <c r="C3387" i="7"/>
  <c r="C3386" i="7"/>
  <c r="C3385" i="7"/>
  <c r="C3384" i="7"/>
  <c r="C3383" i="7"/>
  <c r="C3382" i="7"/>
  <c r="C3381" i="7"/>
  <c r="C3380" i="7"/>
  <c r="C3379" i="7"/>
  <c r="C3378" i="7"/>
  <c r="C3377" i="7"/>
  <c r="C3376" i="7"/>
  <c r="C3375" i="7"/>
  <c r="C3374" i="7"/>
  <c r="C3373" i="7"/>
  <c r="C3372" i="7"/>
  <c r="C3371" i="7"/>
  <c r="C3370" i="7"/>
  <c r="C3369" i="7"/>
  <c r="C3368" i="7"/>
  <c r="C3367" i="7"/>
  <c r="C3366" i="7"/>
  <c r="C3365" i="7"/>
  <c r="C3364" i="7"/>
  <c r="C3363" i="7"/>
  <c r="C3362" i="7"/>
  <c r="C3361" i="7"/>
  <c r="C3360" i="7"/>
  <c r="C3359" i="7"/>
  <c r="C3358" i="7"/>
  <c r="C3357" i="7"/>
  <c r="C3356" i="7"/>
  <c r="C3355" i="7"/>
  <c r="C3354" i="7"/>
  <c r="C3353" i="7"/>
  <c r="C3352" i="7"/>
  <c r="C3351" i="7"/>
  <c r="C3350" i="7"/>
  <c r="C3349" i="7"/>
  <c r="C3348" i="7"/>
  <c r="C3347" i="7"/>
  <c r="C3346" i="7"/>
  <c r="C3345" i="7"/>
  <c r="C3344" i="7"/>
  <c r="C3343" i="7"/>
  <c r="C3342" i="7"/>
  <c r="C3341" i="7"/>
  <c r="C3340" i="7"/>
  <c r="C3339" i="7"/>
  <c r="C3338" i="7"/>
  <c r="C3337" i="7"/>
  <c r="C3336" i="7"/>
  <c r="C3335" i="7"/>
  <c r="C3334" i="7"/>
  <c r="C3333" i="7"/>
  <c r="C3332" i="7"/>
  <c r="C3331" i="7"/>
  <c r="C3330" i="7"/>
  <c r="C3329" i="7"/>
  <c r="C3328" i="7"/>
  <c r="C3327" i="7"/>
  <c r="C3326" i="7"/>
  <c r="C3325" i="7"/>
  <c r="C3324" i="7"/>
  <c r="C3323" i="7"/>
  <c r="C3322" i="7"/>
  <c r="C3321" i="7"/>
  <c r="C3320" i="7"/>
  <c r="C3319" i="7"/>
  <c r="C3318" i="7"/>
  <c r="C3317" i="7"/>
  <c r="C3316" i="7"/>
  <c r="C3315" i="7"/>
  <c r="C3314" i="7"/>
  <c r="C3313" i="7"/>
  <c r="C3312" i="7"/>
  <c r="C3311" i="7"/>
  <c r="C3310" i="7"/>
  <c r="C3309" i="7"/>
  <c r="C3308" i="7"/>
  <c r="C3307" i="7"/>
  <c r="C3306" i="7"/>
  <c r="C3305" i="7"/>
  <c r="C3304" i="7"/>
  <c r="C3303" i="7"/>
  <c r="C3302" i="7"/>
  <c r="C3301" i="7"/>
  <c r="C3300" i="7"/>
  <c r="C3299" i="7"/>
  <c r="C3298" i="7"/>
  <c r="C3297" i="7"/>
  <c r="C3296" i="7"/>
  <c r="C3295" i="7"/>
  <c r="C3294" i="7"/>
  <c r="C3293" i="7"/>
  <c r="C3292" i="7"/>
  <c r="C3291" i="7"/>
  <c r="C3290" i="7"/>
  <c r="C3289" i="7"/>
  <c r="C3288" i="7"/>
  <c r="C3287" i="7"/>
  <c r="C3286" i="7"/>
  <c r="C3285" i="7"/>
  <c r="C3284" i="7"/>
  <c r="C3283" i="7"/>
  <c r="C3282" i="7"/>
  <c r="C3281" i="7"/>
  <c r="C3280" i="7"/>
  <c r="C3279" i="7"/>
  <c r="C3278" i="7"/>
  <c r="C3277" i="7"/>
  <c r="C3276" i="7"/>
  <c r="C3275" i="7"/>
  <c r="C3274" i="7"/>
  <c r="C3273" i="7"/>
  <c r="C3272" i="7"/>
  <c r="C3271" i="7"/>
  <c r="C3270" i="7"/>
  <c r="C3269" i="7"/>
  <c r="C3268" i="7"/>
  <c r="C3267" i="7"/>
  <c r="C3266" i="7"/>
  <c r="C3265" i="7"/>
  <c r="C3264" i="7"/>
  <c r="C3263" i="7"/>
  <c r="C3262" i="7"/>
  <c r="C3261" i="7"/>
  <c r="C3260" i="7"/>
  <c r="C3259" i="7"/>
  <c r="C3258" i="7"/>
  <c r="C3257" i="7"/>
  <c r="C3256" i="7"/>
  <c r="C3255" i="7"/>
  <c r="C3254" i="7"/>
  <c r="C3253" i="7"/>
  <c r="C3252" i="7"/>
  <c r="C3251" i="7"/>
  <c r="C3250" i="7"/>
  <c r="C3249" i="7"/>
  <c r="C3248" i="7"/>
  <c r="C3247" i="7"/>
  <c r="C3246" i="7"/>
  <c r="C3245" i="7"/>
  <c r="C3244" i="7"/>
  <c r="C3243" i="7"/>
  <c r="C3242" i="7"/>
  <c r="C3241" i="7"/>
  <c r="C3240" i="7"/>
  <c r="C3239" i="7"/>
  <c r="C3238" i="7"/>
  <c r="C3237" i="7"/>
  <c r="C3236" i="7"/>
  <c r="C3235" i="7"/>
  <c r="C3234" i="7"/>
  <c r="C3233" i="7"/>
  <c r="C3232" i="7"/>
  <c r="C3231" i="7"/>
  <c r="C3230" i="7"/>
  <c r="C3229" i="7"/>
  <c r="C3228" i="7"/>
  <c r="C3227" i="7"/>
  <c r="C3226" i="7"/>
  <c r="C3225" i="7"/>
  <c r="C3224" i="7"/>
  <c r="C3223" i="7"/>
  <c r="C3222" i="7"/>
  <c r="C3221" i="7"/>
  <c r="C3220" i="7"/>
  <c r="C3219" i="7"/>
  <c r="C3218" i="7"/>
  <c r="C3217" i="7"/>
  <c r="C3216" i="7"/>
  <c r="C3215" i="7"/>
  <c r="C3214" i="7"/>
  <c r="C3213" i="7"/>
  <c r="C3212" i="7"/>
  <c r="C3211" i="7"/>
  <c r="C3210" i="7"/>
  <c r="C3209" i="7"/>
  <c r="C3208" i="7"/>
  <c r="C3207" i="7"/>
  <c r="C3206" i="7"/>
  <c r="C3205" i="7"/>
  <c r="C3204" i="7"/>
  <c r="C3203" i="7"/>
  <c r="C3202" i="7"/>
  <c r="C3201" i="7"/>
  <c r="C3200" i="7"/>
  <c r="C3199" i="7"/>
  <c r="C3198" i="7"/>
  <c r="C3197" i="7"/>
  <c r="C3196" i="7"/>
  <c r="C3195" i="7"/>
  <c r="C3194" i="7"/>
  <c r="C3193" i="7"/>
  <c r="C3192" i="7"/>
  <c r="C3191" i="7"/>
  <c r="C3190" i="7"/>
  <c r="C3189" i="7"/>
  <c r="C3188" i="7"/>
  <c r="C3187" i="7"/>
  <c r="C3186" i="7"/>
  <c r="C3185" i="7"/>
  <c r="C3184" i="7"/>
  <c r="C3183" i="7"/>
  <c r="C3182" i="7"/>
  <c r="C3181" i="7"/>
  <c r="C3180" i="7"/>
  <c r="C3179" i="7"/>
  <c r="C3178" i="7"/>
  <c r="C3177" i="7"/>
  <c r="C3176" i="7"/>
  <c r="C3175" i="7"/>
  <c r="C3174" i="7"/>
  <c r="C3173" i="7"/>
  <c r="C3172" i="7"/>
  <c r="C3171" i="7"/>
  <c r="C3170" i="7"/>
  <c r="C3169" i="7"/>
  <c r="C3168" i="7"/>
  <c r="C3167" i="7"/>
  <c r="C3166" i="7"/>
  <c r="C3165" i="7"/>
  <c r="C3164" i="7"/>
  <c r="C3163" i="7"/>
  <c r="C3162" i="7"/>
  <c r="C3161" i="7"/>
  <c r="C3160" i="7"/>
  <c r="C3159" i="7"/>
  <c r="C3158" i="7"/>
  <c r="C3157" i="7"/>
  <c r="C3156" i="7"/>
  <c r="C3155" i="7"/>
  <c r="C3154" i="7"/>
  <c r="C3153" i="7"/>
  <c r="C3152" i="7"/>
  <c r="C3151" i="7"/>
  <c r="C3150" i="7"/>
  <c r="C3149" i="7"/>
  <c r="C3148" i="7"/>
  <c r="C3147" i="7"/>
  <c r="C3146" i="7"/>
  <c r="C3145" i="7"/>
  <c r="C3144" i="7"/>
  <c r="C3143" i="7"/>
  <c r="C3142" i="7"/>
  <c r="C3141" i="7"/>
  <c r="C3140" i="7"/>
  <c r="C3139" i="7"/>
  <c r="C3138" i="7"/>
  <c r="C3137" i="7"/>
  <c r="C3136" i="7"/>
  <c r="C3135" i="7"/>
  <c r="C3134" i="7"/>
  <c r="C3133" i="7"/>
  <c r="C3132" i="7"/>
  <c r="C3131" i="7"/>
  <c r="C3130" i="7"/>
  <c r="C3129" i="7"/>
  <c r="C3128" i="7"/>
  <c r="C3127" i="7"/>
  <c r="C3126" i="7"/>
  <c r="C3125" i="7"/>
  <c r="C3124" i="7"/>
  <c r="C3123" i="7"/>
  <c r="C3122" i="7"/>
  <c r="C3121" i="7"/>
  <c r="C3120" i="7"/>
  <c r="C3119" i="7"/>
  <c r="C3118" i="7"/>
  <c r="C3117" i="7"/>
  <c r="C3116" i="7"/>
  <c r="C3115" i="7"/>
  <c r="C3114" i="7"/>
  <c r="C3113" i="7"/>
  <c r="C3112" i="7"/>
  <c r="C3111" i="7"/>
  <c r="C3110" i="7"/>
  <c r="C3109" i="7"/>
  <c r="C3108" i="7"/>
  <c r="C3107" i="7"/>
  <c r="C3106" i="7"/>
  <c r="C3105" i="7"/>
  <c r="C3104" i="7"/>
  <c r="C3103" i="7"/>
  <c r="C3102" i="7"/>
  <c r="C3101" i="7"/>
  <c r="C3100" i="7"/>
  <c r="C3099" i="7"/>
  <c r="C3098" i="7"/>
  <c r="C3097" i="7"/>
  <c r="C3096" i="7"/>
  <c r="C3095" i="7"/>
  <c r="C3094" i="7"/>
  <c r="C3093" i="7"/>
  <c r="C3092" i="7"/>
  <c r="C3091" i="7"/>
  <c r="C3090" i="7"/>
  <c r="C3089" i="7"/>
  <c r="C3088" i="7"/>
  <c r="C3087" i="7"/>
  <c r="C3086" i="7"/>
  <c r="C3085" i="7"/>
  <c r="C3084" i="7"/>
  <c r="C3083" i="7"/>
  <c r="C3082" i="7"/>
  <c r="C3081" i="7"/>
  <c r="C3080" i="7"/>
  <c r="C3079" i="7"/>
  <c r="C3078" i="7"/>
  <c r="C3077" i="7"/>
  <c r="C3076" i="7"/>
  <c r="C3075" i="7"/>
  <c r="C3074" i="7"/>
  <c r="C3073" i="7"/>
  <c r="C3072" i="7"/>
  <c r="C3071" i="7"/>
  <c r="C3070" i="7"/>
  <c r="C3069" i="7"/>
  <c r="C3068" i="7"/>
  <c r="C3067" i="7"/>
  <c r="C3066" i="7"/>
  <c r="C3065" i="7"/>
  <c r="C3064" i="7"/>
  <c r="C3063" i="7"/>
  <c r="C3062" i="7"/>
  <c r="C3061" i="7"/>
  <c r="C3060" i="7"/>
  <c r="C3059" i="7"/>
  <c r="C3058" i="7"/>
  <c r="C3057" i="7"/>
  <c r="C3056" i="7"/>
  <c r="C3055" i="7"/>
  <c r="C3054" i="7"/>
  <c r="C3053" i="7"/>
  <c r="C3052" i="7"/>
  <c r="C3051" i="7"/>
  <c r="C3050" i="7"/>
  <c r="C3049" i="7"/>
  <c r="C3048" i="7"/>
  <c r="C3047" i="7"/>
  <c r="C3046" i="7"/>
  <c r="C3045" i="7"/>
  <c r="C3044" i="7"/>
  <c r="C3043" i="7"/>
  <c r="C3042" i="7"/>
  <c r="C3041" i="7"/>
  <c r="C3040" i="7"/>
  <c r="C3039" i="7"/>
  <c r="C3038" i="7"/>
  <c r="C3037" i="7"/>
  <c r="C3036" i="7"/>
  <c r="C3035" i="7"/>
  <c r="C3034" i="7"/>
  <c r="C3033" i="7"/>
  <c r="C3032" i="7"/>
  <c r="C3031" i="7"/>
  <c r="C3030" i="7"/>
  <c r="C3029" i="7"/>
  <c r="C3028" i="7"/>
  <c r="C3027" i="7"/>
  <c r="C3026" i="7"/>
  <c r="C3025" i="7"/>
  <c r="C3024" i="7"/>
  <c r="C3023" i="7"/>
  <c r="C3022" i="7"/>
  <c r="C3021" i="7"/>
  <c r="C3020" i="7"/>
  <c r="C3019" i="7"/>
  <c r="C3018" i="7"/>
  <c r="C3017" i="7"/>
  <c r="C3016" i="7"/>
  <c r="C3015" i="7"/>
  <c r="C3014" i="7"/>
  <c r="C3013" i="7"/>
  <c r="C3012" i="7"/>
  <c r="C3011" i="7"/>
  <c r="C3010" i="7"/>
  <c r="C3009" i="7"/>
  <c r="C3008" i="7"/>
  <c r="C3007" i="7"/>
  <c r="C3006" i="7"/>
  <c r="C3005" i="7"/>
  <c r="C3004" i="7"/>
  <c r="C3003" i="7"/>
  <c r="C3002" i="7"/>
  <c r="C3001" i="7"/>
  <c r="C3000" i="7"/>
  <c r="C2999" i="7"/>
  <c r="C2998" i="7"/>
  <c r="C2997" i="7"/>
  <c r="C2996" i="7"/>
  <c r="C2995" i="7"/>
  <c r="C2994" i="7"/>
  <c r="C2993" i="7"/>
  <c r="C2992" i="7"/>
  <c r="C2991" i="7"/>
  <c r="C2990" i="7"/>
  <c r="C2989" i="7"/>
  <c r="C2988" i="7"/>
  <c r="C2987" i="7"/>
  <c r="C2986" i="7"/>
  <c r="C2985" i="7"/>
  <c r="C2984" i="7"/>
  <c r="C2983" i="7"/>
  <c r="C2982" i="7"/>
  <c r="C2981" i="7"/>
  <c r="C2980" i="7"/>
  <c r="C2979" i="7"/>
  <c r="C2978" i="7"/>
  <c r="C2977" i="7"/>
  <c r="C2976" i="7"/>
  <c r="C2975" i="7"/>
  <c r="C2974" i="7"/>
  <c r="C2973" i="7"/>
  <c r="C2972" i="7"/>
  <c r="C2971" i="7"/>
  <c r="C2970" i="7"/>
  <c r="C2969" i="7"/>
  <c r="C2968" i="7"/>
  <c r="C2967" i="7"/>
  <c r="C2966" i="7"/>
  <c r="C2965" i="7"/>
  <c r="C2964" i="7"/>
  <c r="C2963" i="7"/>
  <c r="C2962" i="7"/>
  <c r="C2961" i="7"/>
  <c r="C2960" i="7"/>
  <c r="C2959" i="7"/>
  <c r="C2958" i="7"/>
  <c r="C2957" i="7"/>
  <c r="C2956" i="7"/>
  <c r="C2955" i="7"/>
  <c r="C2954" i="7"/>
  <c r="C2953" i="7"/>
  <c r="C2952" i="7"/>
  <c r="C2951" i="7"/>
  <c r="C2950" i="7"/>
  <c r="C2949" i="7"/>
  <c r="C2948" i="7"/>
  <c r="C2947" i="7"/>
  <c r="C2946" i="7"/>
  <c r="C2945" i="7"/>
  <c r="C2944" i="7"/>
  <c r="C2943" i="7"/>
  <c r="C2942" i="7"/>
  <c r="C2941" i="7"/>
  <c r="C2940" i="7"/>
  <c r="C2939" i="7"/>
  <c r="C2938" i="7"/>
  <c r="C2937" i="7"/>
  <c r="C2936" i="7"/>
  <c r="C2935" i="7"/>
  <c r="C2934" i="7"/>
  <c r="C2933" i="7"/>
  <c r="C2932" i="7"/>
  <c r="C2931" i="7"/>
  <c r="C2930" i="7"/>
  <c r="C2929" i="7"/>
  <c r="C2928" i="7"/>
  <c r="C2927" i="7"/>
  <c r="C2926" i="7"/>
  <c r="C2925" i="7"/>
  <c r="C2924" i="7"/>
  <c r="C2923" i="7"/>
  <c r="C2922" i="7"/>
  <c r="C2921" i="7"/>
  <c r="C2920" i="7"/>
  <c r="C2919" i="7"/>
  <c r="C2918" i="7"/>
  <c r="C2917" i="7"/>
  <c r="C2916" i="7"/>
  <c r="C2915" i="7"/>
  <c r="C2914" i="7"/>
  <c r="C2913" i="7"/>
  <c r="C2912" i="7"/>
  <c r="C2911" i="7"/>
  <c r="C2910" i="7"/>
  <c r="C2909" i="7"/>
  <c r="C2908" i="7"/>
  <c r="C2907" i="7"/>
  <c r="C2906" i="7"/>
  <c r="C2905" i="7"/>
  <c r="C2904" i="7"/>
  <c r="C2903" i="7"/>
  <c r="C2902" i="7"/>
  <c r="C2901" i="7"/>
  <c r="C2900" i="7"/>
  <c r="C2899" i="7"/>
  <c r="C2898" i="7"/>
  <c r="C2897" i="7"/>
  <c r="C2896" i="7"/>
  <c r="C2895" i="7"/>
  <c r="C2894" i="7"/>
  <c r="C2893" i="7"/>
  <c r="C2892" i="7"/>
  <c r="C2891" i="7"/>
  <c r="C2890" i="7"/>
  <c r="C2889" i="7"/>
  <c r="C2888" i="7"/>
  <c r="C2887" i="7"/>
  <c r="C2886" i="7"/>
  <c r="C2885" i="7"/>
  <c r="C2884" i="7"/>
  <c r="C2883" i="7"/>
  <c r="C2882" i="7"/>
  <c r="C2881" i="7"/>
  <c r="C2880" i="7"/>
  <c r="C2879" i="7"/>
  <c r="C2878" i="7"/>
  <c r="C2877" i="7"/>
  <c r="C2876" i="7"/>
  <c r="C2875" i="7"/>
  <c r="C2874" i="7"/>
  <c r="C2873" i="7"/>
  <c r="C2872" i="7"/>
  <c r="C2871" i="7"/>
  <c r="C2870" i="7"/>
  <c r="C2869" i="7"/>
  <c r="C2868" i="7"/>
  <c r="C2867" i="7"/>
  <c r="C2866" i="7"/>
  <c r="C2865" i="7"/>
  <c r="C2864" i="7"/>
  <c r="C2863" i="7"/>
  <c r="C2862" i="7"/>
  <c r="C2861" i="7"/>
  <c r="C2860" i="7"/>
  <c r="C2859" i="7"/>
  <c r="C2858" i="7"/>
  <c r="C2857" i="7"/>
  <c r="C2856" i="7"/>
  <c r="C2855" i="7"/>
  <c r="C2854" i="7"/>
  <c r="C2853" i="7"/>
  <c r="C2852" i="7"/>
  <c r="C2851" i="7"/>
  <c r="C2850" i="7"/>
  <c r="C2849" i="7"/>
  <c r="C2848" i="7"/>
  <c r="C2847" i="7"/>
  <c r="C2846" i="7"/>
  <c r="C2845" i="7"/>
  <c r="C2844" i="7"/>
  <c r="C2843" i="7"/>
  <c r="C2842" i="7"/>
  <c r="C2841" i="7"/>
  <c r="C2840" i="7"/>
  <c r="C2839" i="7"/>
  <c r="C2838" i="7"/>
  <c r="C2837" i="7"/>
  <c r="C2836" i="7"/>
  <c r="C2835" i="7"/>
  <c r="C2834" i="7"/>
  <c r="C2833" i="7"/>
  <c r="C2832" i="7"/>
  <c r="C2831" i="7"/>
  <c r="C2830" i="7"/>
  <c r="C2829" i="7"/>
  <c r="C2828" i="7"/>
  <c r="C2827" i="7"/>
  <c r="C2826" i="7"/>
  <c r="C2825" i="7"/>
  <c r="C2824" i="7"/>
  <c r="C2823" i="7"/>
  <c r="C2822" i="7"/>
  <c r="C2821" i="7"/>
  <c r="C2820" i="7"/>
  <c r="C2819" i="7"/>
  <c r="C2818" i="7"/>
  <c r="C2817" i="7"/>
  <c r="C2816" i="7"/>
  <c r="C2815" i="7"/>
  <c r="C2814" i="7"/>
  <c r="C2813" i="7"/>
  <c r="C2812" i="7"/>
  <c r="C2811" i="7"/>
  <c r="C2810" i="7"/>
  <c r="C2809" i="7"/>
  <c r="C2808" i="7"/>
  <c r="C2807" i="7"/>
  <c r="C2806" i="7"/>
  <c r="C2805" i="7"/>
  <c r="C2804" i="7"/>
  <c r="C2803" i="7"/>
  <c r="C2802" i="7"/>
  <c r="C2801" i="7"/>
  <c r="C2800" i="7"/>
  <c r="C2799" i="7"/>
  <c r="C2798" i="7"/>
  <c r="C2797" i="7"/>
  <c r="C2796" i="7"/>
  <c r="C2795" i="7"/>
  <c r="C2794" i="7"/>
  <c r="C2793" i="7"/>
  <c r="C2792" i="7"/>
  <c r="C2791" i="7"/>
  <c r="C2790" i="7"/>
  <c r="C2789" i="7"/>
  <c r="C2788" i="7"/>
  <c r="C2787" i="7"/>
  <c r="C2786" i="7"/>
  <c r="C2785" i="7"/>
  <c r="C2784" i="7"/>
  <c r="C2783" i="7"/>
  <c r="C2782" i="7"/>
  <c r="C2781" i="7"/>
  <c r="C2780" i="7"/>
  <c r="C2779" i="7"/>
  <c r="C2778" i="7"/>
  <c r="C2777" i="7"/>
  <c r="C2776" i="7"/>
  <c r="C2775" i="7"/>
  <c r="C2774" i="7"/>
  <c r="C2773" i="7"/>
  <c r="C2772" i="7"/>
  <c r="C2771" i="7"/>
  <c r="C2770" i="7"/>
  <c r="C2769" i="7"/>
  <c r="C2768" i="7"/>
  <c r="C2767" i="7"/>
  <c r="C2766" i="7"/>
  <c r="C2765" i="7"/>
  <c r="C2764" i="7"/>
  <c r="C2763" i="7"/>
  <c r="C2762" i="7"/>
  <c r="C2761" i="7"/>
  <c r="C2760" i="7"/>
  <c r="C2759" i="7"/>
  <c r="C2758" i="7"/>
  <c r="C2757" i="7"/>
  <c r="C2756" i="7"/>
  <c r="C2755" i="7"/>
  <c r="C2754" i="7"/>
  <c r="C2753" i="7"/>
  <c r="C2752" i="7"/>
  <c r="C2751" i="7"/>
  <c r="C2750" i="7"/>
  <c r="C2749" i="7"/>
  <c r="C2748" i="7"/>
  <c r="C2747" i="7"/>
  <c r="C2746" i="7"/>
  <c r="C2745" i="7"/>
  <c r="C2744" i="7"/>
  <c r="C2743" i="7"/>
  <c r="C2742" i="7"/>
  <c r="C2741" i="7"/>
  <c r="C2740" i="7"/>
  <c r="C2739" i="7"/>
  <c r="C2738" i="7"/>
  <c r="C2737" i="7"/>
  <c r="C2736" i="7"/>
  <c r="C2735" i="7"/>
  <c r="C2734" i="7"/>
  <c r="C2733" i="7"/>
  <c r="C2732" i="7"/>
  <c r="C2731" i="7"/>
  <c r="C2730" i="7"/>
  <c r="C2729" i="7"/>
  <c r="C2728" i="7"/>
  <c r="C2727" i="7"/>
  <c r="C2726" i="7"/>
  <c r="C2725" i="7"/>
  <c r="C2724" i="7"/>
  <c r="C2723" i="7"/>
  <c r="C2722" i="7"/>
  <c r="C2721" i="7"/>
  <c r="C2720" i="7"/>
  <c r="C2719" i="7"/>
  <c r="C2718" i="7"/>
  <c r="C2717" i="7"/>
  <c r="C2716" i="7"/>
  <c r="C2715" i="7"/>
  <c r="C2714" i="7"/>
  <c r="C2713" i="7"/>
  <c r="C2712" i="7"/>
  <c r="C2711" i="7"/>
  <c r="C2710" i="7"/>
  <c r="C2709" i="7"/>
  <c r="C2708" i="7"/>
  <c r="C2707" i="7"/>
  <c r="C2706" i="7"/>
  <c r="C2705" i="7"/>
  <c r="C2704" i="7"/>
  <c r="C2703" i="7"/>
  <c r="C2702" i="7"/>
  <c r="C2701" i="7"/>
  <c r="C2700" i="7"/>
  <c r="C2699" i="7"/>
  <c r="C2698" i="7"/>
  <c r="C2697" i="7"/>
  <c r="C2696" i="7"/>
  <c r="C2695" i="7"/>
  <c r="C2694" i="7"/>
  <c r="C2693" i="7"/>
  <c r="C2692" i="7"/>
  <c r="C2691" i="7"/>
  <c r="C2690" i="7"/>
  <c r="C2689" i="7"/>
  <c r="C2688" i="7"/>
  <c r="C2687" i="7"/>
  <c r="C2686" i="7"/>
  <c r="C2685" i="7"/>
  <c r="C2684" i="7"/>
  <c r="C2683" i="7"/>
  <c r="C2682" i="7"/>
  <c r="C2681" i="7"/>
  <c r="C2680" i="7"/>
  <c r="C2679" i="7"/>
  <c r="C2678" i="7"/>
  <c r="C2677" i="7"/>
  <c r="C2676" i="7"/>
  <c r="C2675" i="7"/>
  <c r="C2674" i="7"/>
  <c r="C2673" i="7"/>
  <c r="C2672" i="7"/>
  <c r="C2671" i="7"/>
  <c r="C2670" i="7"/>
  <c r="C2669" i="7"/>
  <c r="C2668" i="7"/>
  <c r="C2667" i="7"/>
  <c r="C2666" i="7"/>
  <c r="C2665" i="7"/>
  <c r="C2664" i="7"/>
  <c r="C2663" i="7"/>
  <c r="C2662" i="7"/>
  <c r="C2661" i="7"/>
  <c r="C2660" i="7"/>
  <c r="C2659" i="7"/>
  <c r="C2658" i="7"/>
  <c r="C2657" i="7"/>
  <c r="C2656" i="7"/>
  <c r="C2655" i="7"/>
  <c r="C2654" i="7"/>
  <c r="C2653" i="7"/>
  <c r="C2652" i="7"/>
  <c r="C2651" i="7"/>
  <c r="C2650" i="7"/>
  <c r="C2649" i="7"/>
  <c r="C2648" i="7"/>
  <c r="C2647" i="7"/>
  <c r="C2646" i="7"/>
  <c r="C2645" i="7"/>
  <c r="C2644" i="7"/>
  <c r="C2643" i="7"/>
  <c r="C2642" i="7"/>
  <c r="C2641" i="7"/>
  <c r="C2640" i="7"/>
  <c r="C2639" i="7"/>
  <c r="C2638" i="7"/>
  <c r="C2637" i="7"/>
  <c r="C2636" i="7"/>
  <c r="C2635" i="7"/>
  <c r="C2634" i="7"/>
  <c r="C2633" i="7"/>
  <c r="C2632" i="7"/>
  <c r="C2631" i="7"/>
  <c r="C2630" i="7"/>
  <c r="C2629" i="7"/>
  <c r="C2628" i="7"/>
  <c r="C2627" i="7"/>
  <c r="C2626" i="7"/>
  <c r="C2625" i="7"/>
  <c r="C2624" i="7"/>
  <c r="C2623" i="7"/>
  <c r="C2622" i="7"/>
  <c r="C2621" i="7"/>
  <c r="C2620" i="7"/>
  <c r="C2619" i="7"/>
  <c r="C2618" i="7"/>
  <c r="C2617" i="7"/>
  <c r="C2616" i="7"/>
  <c r="C2615" i="7"/>
  <c r="C2614" i="7"/>
  <c r="C2613" i="7"/>
  <c r="C2612" i="7"/>
  <c r="C2611" i="7"/>
  <c r="C2610" i="7"/>
  <c r="C2609" i="7"/>
  <c r="C2608" i="7"/>
  <c r="C2607" i="7"/>
  <c r="C2606" i="7"/>
  <c r="C2605" i="7"/>
  <c r="C2604" i="7"/>
  <c r="C2603" i="7"/>
  <c r="C2602" i="7"/>
  <c r="C2601" i="7"/>
  <c r="C2600" i="7"/>
  <c r="C2599" i="7"/>
  <c r="C2598" i="7"/>
  <c r="C2597" i="7"/>
  <c r="C2596" i="7"/>
  <c r="C2595" i="7"/>
  <c r="C2594" i="7"/>
  <c r="C2593" i="7"/>
  <c r="C2592" i="7"/>
  <c r="C2591" i="7"/>
  <c r="C2590" i="7"/>
  <c r="C2589" i="7"/>
  <c r="C2588" i="7"/>
  <c r="C2587" i="7"/>
  <c r="C2586" i="7"/>
  <c r="C2585" i="7"/>
  <c r="C2584" i="7"/>
  <c r="C2583" i="7"/>
  <c r="C2582" i="7"/>
  <c r="C2581" i="7"/>
  <c r="C2580" i="7"/>
  <c r="C2579" i="7"/>
  <c r="C2578" i="7"/>
  <c r="C2577" i="7"/>
  <c r="C2576" i="7"/>
  <c r="C2575" i="7"/>
  <c r="C2574" i="7"/>
  <c r="C2573" i="7"/>
  <c r="C2572" i="7"/>
  <c r="C2571" i="7"/>
  <c r="C2570" i="7"/>
  <c r="C2569" i="7"/>
  <c r="C2568" i="7"/>
  <c r="C2567" i="7"/>
  <c r="C2566" i="7"/>
  <c r="C2565" i="7"/>
  <c r="C2564" i="7"/>
  <c r="C2563" i="7"/>
  <c r="C2562" i="7"/>
  <c r="C2561" i="7"/>
  <c r="C2560" i="7"/>
  <c r="C2559" i="7"/>
  <c r="C2558" i="7"/>
  <c r="C2557" i="7"/>
  <c r="C2556" i="7"/>
  <c r="C2555" i="7"/>
  <c r="C2554" i="7"/>
  <c r="C2553" i="7"/>
  <c r="C2552" i="7"/>
  <c r="C2551" i="7"/>
  <c r="C2550" i="7"/>
  <c r="C2549" i="7"/>
  <c r="C2548" i="7"/>
  <c r="C2547" i="7"/>
  <c r="C2546" i="7"/>
  <c r="C2545" i="7"/>
  <c r="C2544" i="7"/>
  <c r="C2543" i="7"/>
  <c r="C2542" i="7"/>
  <c r="C2541" i="7"/>
  <c r="C2540" i="7"/>
  <c r="C2539" i="7"/>
  <c r="C2538" i="7"/>
  <c r="C2537" i="7"/>
  <c r="C2536" i="7"/>
  <c r="C2535" i="7"/>
  <c r="C2534" i="7"/>
  <c r="C2533" i="7"/>
  <c r="C2532" i="7"/>
  <c r="C2531" i="7"/>
  <c r="C2530" i="7"/>
  <c r="C2529" i="7"/>
  <c r="C2528" i="7"/>
  <c r="C2527" i="7"/>
  <c r="C2526" i="7"/>
  <c r="C2525" i="7"/>
  <c r="C2524" i="7"/>
  <c r="C2523" i="7"/>
  <c r="C2522" i="7"/>
  <c r="C2521" i="7"/>
  <c r="C2520" i="7"/>
  <c r="C2519" i="7"/>
  <c r="C2518" i="7"/>
  <c r="C2517" i="7"/>
  <c r="C2516" i="7"/>
  <c r="C2515" i="7"/>
  <c r="C2514" i="7"/>
  <c r="C2513" i="7"/>
  <c r="C2512" i="7"/>
  <c r="C2511" i="7"/>
  <c r="C2510" i="7"/>
  <c r="C2509" i="7"/>
  <c r="C2508" i="7"/>
  <c r="C2507" i="7"/>
  <c r="C2506" i="7"/>
  <c r="C2505" i="7"/>
  <c r="C2504" i="7"/>
  <c r="C2503" i="7"/>
  <c r="C2502" i="7"/>
  <c r="C2501" i="7"/>
  <c r="C2500" i="7"/>
  <c r="C2499" i="7"/>
  <c r="C2498" i="7"/>
  <c r="C2497" i="7"/>
  <c r="C2496" i="7"/>
  <c r="C2495" i="7"/>
  <c r="C2494" i="7"/>
  <c r="C2493" i="7"/>
  <c r="C2492" i="7"/>
  <c r="C2491" i="7"/>
  <c r="C2490" i="7"/>
  <c r="C2489" i="7"/>
  <c r="C2488" i="7"/>
  <c r="C2487" i="7"/>
  <c r="C2486" i="7"/>
  <c r="C2485" i="7"/>
  <c r="C2484" i="7"/>
  <c r="C2483" i="7"/>
  <c r="C2482" i="7"/>
  <c r="C2481" i="7"/>
  <c r="C2480" i="7"/>
  <c r="C2479" i="7"/>
  <c r="C2478" i="7"/>
  <c r="C2477" i="7"/>
  <c r="C2476" i="7"/>
  <c r="C2475" i="7"/>
  <c r="C2474" i="7"/>
  <c r="C2473" i="7"/>
  <c r="C2472" i="7"/>
  <c r="C2471" i="7"/>
  <c r="C2470" i="7"/>
  <c r="C2469" i="7"/>
  <c r="C2468" i="7"/>
  <c r="C2467" i="7"/>
  <c r="C2466" i="7"/>
  <c r="C2465" i="7"/>
  <c r="C2464" i="7"/>
  <c r="C2463" i="7"/>
  <c r="C2462" i="7"/>
  <c r="C2461" i="7"/>
  <c r="C2460" i="7"/>
  <c r="C2459" i="7"/>
  <c r="C2458" i="7"/>
  <c r="C2457" i="7"/>
  <c r="C2456" i="7"/>
  <c r="C2455" i="7"/>
  <c r="C2454" i="7"/>
  <c r="C2453" i="7"/>
  <c r="C2452" i="7"/>
  <c r="C2451" i="7"/>
  <c r="C2450" i="7"/>
  <c r="C2449" i="7"/>
  <c r="C2448" i="7"/>
  <c r="C2447" i="7"/>
  <c r="C2446" i="7"/>
  <c r="C2445" i="7"/>
  <c r="C2444" i="7"/>
  <c r="C2443" i="7"/>
  <c r="C2442" i="7"/>
  <c r="C2441" i="7"/>
  <c r="C2440" i="7"/>
  <c r="C2439" i="7"/>
  <c r="C2438" i="7"/>
  <c r="C2437" i="7"/>
  <c r="C2436" i="7"/>
  <c r="C2435" i="7"/>
  <c r="C2434" i="7"/>
  <c r="C2433" i="7"/>
  <c r="C2432" i="7"/>
  <c r="C2431" i="7"/>
  <c r="C2430" i="7"/>
  <c r="C2429" i="7"/>
  <c r="C2428" i="7"/>
  <c r="C2427" i="7"/>
  <c r="C2426" i="7"/>
  <c r="C2425" i="7"/>
  <c r="C2424" i="7"/>
  <c r="C2423" i="7"/>
  <c r="C2422" i="7"/>
  <c r="C2421" i="7"/>
  <c r="C2420" i="7"/>
  <c r="C2419" i="7"/>
  <c r="C2418" i="7"/>
  <c r="C2417" i="7"/>
  <c r="C2416" i="7"/>
  <c r="C2415" i="7"/>
  <c r="C2414" i="7"/>
  <c r="C2413" i="7"/>
  <c r="C2412" i="7"/>
  <c r="C2411" i="7"/>
  <c r="C2410" i="7"/>
  <c r="C2409" i="7"/>
  <c r="C2408" i="7"/>
  <c r="C2407" i="7"/>
  <c r="C2406" i="7"/>
  <c r="C2405" i="7"/>
  <c r="C2404" i="7"/>
  <c r="C2403" i="7"/>
  <c r="C2402" i="7"/>
  <c r="C2401" i="7"/>
  <c r="C2400" i="7"/>
  <c r="C2399" i="7"/>
  <c r="C2398" i="7"/>
  <c r="C2397" i="7"/>
  <c r="C2396" i="7"/>
  <c r="C2395" i="7"/>
  <c r="C2394" i="7"/>
  <c r="C2393" i="7"/>
  <c r="C2392" i="7"/>
  <c r="C2391" i="7"/>
  <c r="C2390" i="7"/>
  <c r="C2389" i="7"/>
  <c r="C2388" i="7"/>
  <c r="C2387" i="7"/>
  <c r="C2386" i="7"/>
  <c r="C2385" i="7"/>
  <c r="C2384" i="7"/>
  <c r="C2383" i="7"/>
  <c r="C2382" i="7"/>
  <c r="C2381" i="7"/>
  <c r="C2380" i="7"/>
  <c r="C2379" i="7"/>
  <c r="C2378" i="7"/>
  <c r="C2377" i="7"/>
  <c r="C2376" i="7"/>
  <c r="C2375" i="7"/>
  <c r="C2374" i="7"/>
  <c r="C2373" i="7"/>
  <c r="C2372" i="7"/>
  <c r="C2371" i="7"/>
  <c r="C2370" i="7"/>
  <c r="C2369" i="7"/>
  <c r="C2368" i="7"/>
  <c r="C2367" i="7"/>
  <c r="C2366" i="7"/>
  <c r="C2365" i="7"/>
  <c r="C2364" i="7"/>
  <c r="C2363" i="7"/>
  <c r="C2362" i="7"/>
  <c r="C2361" i="7"/>
  <c r="C2360" i="7"/>
  <c r="C2359" i="7"/>
  <c r="C2358" i="7"/>
  <c r="C2357" i="7"/>
  <c r="C2356" i="7"/>
  <c r="C2355" i="7"/>
  <c r="C2354" i="7"/>
  <c r="C2353" i="7"/>
  <c r="C2352" i="7"/>
  <c r="C2351" i="7"/>
  <c r="C2350" i="7"/>
  <c r="C2349" i="7"/>
  <c r="C2348" i="7"/>
  <c r="C2347" i="7"/>
  <c r="C2346" i="7"/>
  <c r="C2345" i="7"/>
  <c r="C2344" i="7"/>
  <c r="C2343" i="7"/>
  <c r="C2342" i="7"/>
  <c r="C2341" i="7"/>
  <c r="C2340" i="7"/>
  <c r="C2339" i="7"/>
  <c r="C2338" i="7"/>
  <c r="C2337" i="7"/>
  <c r="C2336" i="7"/>
  <c r="C2335" i="7"/>
  <c r="C2334" i="7"/>
  <c r="C2333" i="7"/>
  <c r="C2332" i="7"/>
  <c r="C2331" i="7"/>
  <c r="C2330" i="7"/>
  <c r="C2329" i="7"/>
  <c r="C2328" i="7"/>
  <c r="C2327" i="7"/>
  <c r="C2326" i="7"/>
  <c r="C2325" i="7"/>
  <c r="C2324" i="7"/>
  <c r="C2323" i="7"/>
  <c r="C2322" i="7"/>
  <c r="C2321" i="7"/>
  <c r="C2320" i="7"/>
  <c r="C2319" i="7"/>
  <c r="C2318" i="7"/>
  <c r="C2317" i="7"/>
  <c r="C2316" i="7"/>
  <c r="C2315" i="7"/>
  <c r="C2314" i="7"/>
  <c r="C2313" i="7"/>
  <c r="C2312" i="7"/>
  <c r="C2311" i="7"/>
  <c r="C2310" i="7"/>
  <c r="C2309" i="7"/>
  <c r="C2308" i="7"/>
  <c r="C2307" i="7"/>
  <c r="C2306" i="7"/>
  <c r="C2305" i="7"/>
  <c r="C2304" i="7"/>
  <c r="C2303" i="7"/>
  <c r="C2302" i="7"/>
  <c r="C2301" i="7"/>
  <c r="C2300" i="7"/>
  <c r="C2299" i="7"/>
  <c r="C2298" i="7"/>
  <c r="C2297" i="7"/>
  <c r="C2296" i="7"/>
  <c r="C2295" i="7"/>
  <c r="C2294" i="7"/>
  <c r="C2293" i="7"/>
  <c r="C2292" i="7"/>
  <c r="C2291" i="7"/>
  <c r="C2290" i="7"/>
  <c r="C2289" i="7"/>
  <c r="C2288" i="7"/>
  <c r="C2287" i="7"/>
  <c r="C2286" i="7"/>
  <c r="C2285" i="7"/>
  <c r="C2284" i="7"/>
  <c r="C2283" i="7"/>
  <c r="C2282" i="7"/>
  <c r="C2281" i="7"/>
  <c r="C2280" i="7"/>
  <c r="C2279" i="7"/>
  <c r="C2278" i="7"/>
  <c r="C2277" i="7"/>
  <c r="C2276" i="7"/>
  <c r="C2275" i="7"/>
  <c r="C2274" i="7"/>
  <c r="C2273" i="7"/>
  <c r="C2272" i="7"/>
  <c r="C2271" i="7"/>
  <c r="C2270" i="7"/>
  <c r="C2269" i="7"/>
  <c r="C2268" i="7"/>
  <c r="C2267" i="7"/>
  <c r="C2266" i="7"/>
  <c r="C2265" i="7"/>
  <c r="C2264" i="7"/>
  <c r="C2263" i="7"/>
  <c r="C2262" i="7"/>
  <c r="C2261" i="7"/>
  <c r="C2260" i="7"/>
  <c r="C2259" i="7"/>
  <c r="C2258" i="7"/>
  <c r="C2257" i="7"/>
  <c r="C2256" i="7"/>
  <c r="C2255" i="7"/>
  <c r="C2254" i="7"/>
  <c r="C2253" i="7"/>
  <c r="C2252" i="7"/>
  <c r="C2251" i="7"/>
  <c r="C2250" i="7"/>
  <c r="C2249" i="7"/>
  <c r="C2248" i="7"/>
  <c r="C2247" i="7"/>
  <c r="C2246" i="7"/>
  <c r="C2245" i="7"/>
  <c r="C2244" i="7"/>
  <c r="C2243" i="7"/>
  <c r="C2242" i="7"/>
  <c r="C2241" i="7"/>
  <c r="C2240" i="7"/>
  <c r="C2239" i="7"/>
  <c r="C2238" i="7"/>
  <c r="C2237" i="7"/>
  <c r="C2236" i="7"/>
  <c r="C2235" i="7"/>
  <c r="C2234" i="7"/>
  <c r="C2233" i="7"/>
  <c r="C2232" i="7"/>
  <c r="C2231" i="7"/>
  <c r="C2230" i="7"/>
  <c r="C2229" i="7"/>
  <c r="C2228" i="7"/>
  <c r="C2227" i="7"/>
  <c r="C2226" i="7"/>
  <c r="C2225" i="7"/>
  <c r="C2224" i="7"/>
  <c r="C2223" i="7"/>
  <c r="C2222" i="7"/>
  <c r="C2221" i="7"/>
  <c r="C2220" i="7"/>
  <c r="C2219" i="7"/>
  <c r="C2218" i="7"/>
  <c r="C2217" i="7"/>
  <c r="C2216" i="7"/>
  <c r="C2215" i="7"/>
  <c r="C2214" i="7"/>
  <c r="C2213" i="7"/>
  <c r="C2212" i="7"/>
  <c r="C2211" i="7"/>
  <c r="C2210" i="7"/>
  <c r="C2209" i="7"/>
  <c r="C2208" i="7"/>
  <c r="C2207" i="7"/>
  <c r="C2206" i="7"/>
  <c r="C2205" i="7"/>
  <c r="C2204" i="7"/>
  <c r="C2203" i="7"/>
  <c r="C2202" i="7"/>
  <c r="C2201" i="7"/>
  <c r="C2200" i="7"/>
  <c r="C2199" i="7"/>
  <c r="C2198" i="7"/>
  <c r="C2197" i="7"/>
  <c r="C2196" i="7"/>
  <c r="C2195" i="7"/>
  <c r="C2194" i="7"/>
  <c r="C2193" i="7"/>
  <c r="C2192" i="7"/>
  <c r="C2191" i="7"/>
  <c r="C2190" i="7"/>
  <c r="C2189" i="7"/>
  <c r="C2188" i="7"/>
  <c r="C2187" i="7"/>
  <c r="C2186" i="7"/>
  <c r="C2185" i="7"/>
  <c r="C2184" i="7"/>
  <c r="C2183" i="7"/>
  <c r="C2182" i="7"/>
  <c r="C2181" i="7"/>
  <c r="C2180" i="7"/>
  <c r="C2179" i="7"/>
  <c r="C2178" i="7"/>
  <c r="C2177" i="7"/>
  <c r="C2176" i="7"/>
  <c r="C2175" i="7"/>
  <c r="C2174" i="7"/>
  <c r="C2173" i="7"/>
  <c r="C2172" i="7"/>
  <c r="C2171" i="7"/>
  <c r="C2170" i="7"/>
  <c r="C2169" i="7"/>
  <c r="C2168" i="7"/>
  <c r="C2167" i="7"/>
  <c r="C2166" i="7"/>
  <c r="C2165" i="7"/>
  <c r="C2164" i="7"/>
  <c r="C2163" i="7"/>
  <c r="C2162" i="7"/>
  <c r="C2161" i="7"/>
  <c r="C2160" i="7"/>
  <c r="C2159" i="7"/>
  <c r="C2158" i="7"/>
  <c r="C2157" i="7"/>
  <c r="C2156" i="7"/>
  <c r="C2155" i="7"/>
  <c r="C2154" i="7"/>
  <c r="C2153" i="7"/>
  <c r="C2152" i="7"/>
  <c r="C2151" i="7"/>
  <c r="C2150" i="7"/>
  <c r="C2149" i="7"/>
  <c r="C2148" i="7"/>
  <c r="C2147" i="7"/>
  <c r="C2146" i="7"/>
  <c r="C2145" i="7"/>
  <c r="C2144" i="7"/>
  <c r="C2143" i="7"/>
  <c r="C2142" i="7"/>
  <c r="C2141" i="7"/>
  <c r="C2140" i="7"/>
  <c r="C2139" i="7"/>
  <c r="C2138" i="7"/>
  <c r="C2137" i="7"/>
  <c r="C2136" i="7"/>
  <c r="C2135" i="7"/>
  <c r="C2134" i="7"/>
  <c r="C2133" i="7"/>
  <c r="C2132" i="7"/>
  <c r="C2131" i="7"/>
  <c r="C2130" i="7"/>
  <c r="C2129" i="7"/>
  <c r="C2128" i="7"/>
  <c r="C2127" i="7"/>
  <c r="C2126" i="7"/>
  <c r="C2125" i="7"/>
  <c r="C2124" i="7"/>
  <c r="C2123" i="7"/>
  <c r="C2122" i="7"/>
  <c r="C2121" i="7"/>
  <c r="C2120" i="7"/>
  <c r="C2119" i="7"/>
  <c r="C2118" i="7"/>
  <c r="C2117" i="7"/>
  <c r="C2116" i="7"/>
  <c r="C2115" i="7"/>
  <c r="C2114" i="7"/>
  <c r="C2113" i="7"/>
  <c r="C2112" i="7"/>
  <c r="C2111" i="7"/>
  <c r="C2110" i="7"/>
  <c r="C2109" i="7"/>
  <c r="C2108" i="7"/>
  <c r="C2107" i="7"/>
  <c r="C2106" i="7"/>
  <c r="C2105" i="7"/>
  <c r="C2104" i="7"/>
  <c r="C2103" i="7"/>
  <c r="C2102" i="7"/>
  <c r="C2101" i="7"/>
  <c r="C2100" i="7"/>
  <c r="C2099" i="7"/>
  <c r="C2098" i="7"/>
  <c r="C2097" i="7"/>
  <c r="C2096" i="7"/>
  <c r="C2095" i="7"/>
  <c r="C2094" i="7"/>
  <c r="C2093" i="7"/>
  <c r="C2092" i="7"/>
  <c r="C2091" i="7"/>
  <c r="C2090" i="7"/>
  <c r="C2089" i="7"/>
  <c r="C2088" i="7"/>
  <c r="C2087" i="7"/>
  <c r="C2086" i="7"/>
  <c r="C2085" i="7"/>
  <c r="C2084" i="7"/>
  <c r="C2083" i="7"/>
  <c r="C2082" i="7"/>
  <c r="C2081" i="7"/>
  <c r="C2080" i="7"/>
  <c r="C2079" i="7"/>
  <c r="C2078" i="7"/>
  <c r="C2077" i="7"/>
  <c r="C2076" i="7"/>
  <c r="C2075" i="7"/>
  <c r="C2074" i="7"/>
  <c r="C2073" i="7"/>
  <c r="C2072" i="7"/>
  <c r="C2071" i="7"/>
  <c r="C2070" i="7"/>
  <c r="C2069" i="7"/>
  <c r="C2068" i="7"/>
  <c r="C2067" i="7"/>
  <c r="C2066" i="7"/>
  <c r="C2065" i="7"/>
  <c r="C2064" i="7"/>
  <c r="C2063" i="7"/>
  <c r="C2062" i="7"/>
  <c r="C2061" i="7"/>
  <c r="C2060" i="7"/>
  <c r="C2059" i="7"/>
  <c r="C2058" i="7"/>
  <c r="C2057" i="7"/>
  <c r="C2056" i="7"/>
  <c r="C2055" i="7"/>
  <c r="C2054" i="7"/>
  <c r="C2053" i="7"/>
  <c r="C2052" i="7"/>
  <c r="C2051" i="7"/>
  <c r="C2050" i="7"/>
  <c r="C2049" i="7"/>
  <c r="C2048" i="7"/>
  <c r="C2047" i="7"/>
  <c r="C2046" i="7"/>
  <c r="C2045" i="7"/>
  <c r="C2044" i="7"/>
  <c r="C2043" i="7"/>
  <c r="C2042" i="7"/>
  <c r="C2041" i="7"/>
  <c r="C2040" i="7"/>
  <c r="C2039" i="7"/>
  <c r="C2038" i="7"/>
  <c r="C2037" i="7"/>
  <c r="C2036" i="7"/>
  <c r="C2035" i="7"/>
  <c r="C2034" i="7"/>
  <c r="C2033" i="7"/>
  <c r="C2032" i="7"/>
  <c r="C2031" i="7"/>
  <c r="C2030" i="7"/>
  <c r="C2029" i="7"/>
  <c r="C2028" i="7"/>
  <c r="C2027" i="7"/>
  <c r="C2026" i="7"/>
  <c r="C2025" i="7"/>
  <c r="C2024" i="7"/>
  <c r="C2023" i="7"/>
  <c r="C2022" i="7"/>
  <c r="C2021" i="7"/>
  <c r="C2020" i="7"/>
  <c r="C2019" i="7"/>
  <c r="C2018" i="7"/>
  <c r="C2017" i="7"/>
  <c r="C2016" i="7"/>
  <c r="C2015" i="7"/>
  <c r="C2014" i="7"/>
  <c r="C2013" i="7"/>
  <c r="C2012" i="7"/>
  <c r="C2011" i="7"/>
  <c r="C2010" i="7"/>
  <c r="C2009" i="7"/>
  <c r="C2008" i="7"/>
  <c r="C2007" i="7"/>
  <c r="C2006" i="7"/>
  <c r="C2005" i="7"/>
  <c r="C2004" i="7"/>
  <c r="C2003" i="7"/>
  <c r="C2002" i="7"/>
  <c r="C2001" i="7"/>
  <c r="C2000" i="7"/>
  <c r="C1999" i="7"/>
  <c r="C1998" i="7"/>
  <c r="C1997" i="7"/>
  <c r="C1996" i="7"/>
  <c r="C1995" i="7"/>
  <c r="C1994" i="7"/>
  <c r="C1993" i="7"/>
  <c r="C1992" i="7"/>
  <c r="C1991" i="7"/>
  <c r="C1990" i="7"/>
  <c r="C1989" i="7"/>
  <c r="C1988" i="7"/>
  <c r="C1987" i="7"/>
  <c r="C1986" i="7"/>
  <c r="C1985" i="7"/>
  <c r="C1984" i="7"/>
  <c r="C1983" i="7"/>
  <c r="C1982" i="7"/>
  <c r="C1981" i="7"/>
  <c r="C1980" i="7"/>
  <c r="C1979" i="7"/>
  <c r="C1978" i="7"/>
  <c r="C1977" i="7"/>
  <c r="C1976" i="7"/>
  <c r="C1975" i="7"/>
  <c r="C1974" i="7"/>
  <c r="C1973" i="7"/>
  <c r="C1972" i="7"/>
  <c r="C1971" i="7"/>
  <c r="C1970" i="7"/>
  <c r="C1969" i="7"/>
  <c r="C1968" i="7"/>
  <c r="C1967" i="7"/>
  <c r="C1966" i="7"/>
  <c r="C1965" i="7"/>
  <c r="C1964" i="7"/>
  <c r="C1963" i="7"/>
  <c r="C1962" i="7"/>
  <c r="C1961" i="7"/>
  <c r="C1960" i="7"/>
  <c r="C1959" i="7"/>
  <c r="C1958" i="7"/>
  <c r="C1957" i="7"/>
  <c r="C1956" i="7"/>
  <c r="C1955" i="7"/>
  <c r="C1954" i="7"/>
  <c r="C1953" i="7"/>
  <c r="C1952" i="7"/>
  <c r="C1951" i="7"/>
  <c r="C1950" i="7"/>
  <c r="C1949" i="7"/>
  <c r="C1948" i="7"/>
  <c r="C1947" i="7"/>
  <c r="C1946" i="7"/>
  <c r="C1945" i="7"/>
  <c r="C1944" i="7"/>
  <c r="C1943" i="7"/>
  <c r="C1942" i="7"/>
  <c r="C1941" i="7"/>
  <c r="C1940" i="7"/>
  <c r="C1939" i="7"/>
  <c r="C1938" i="7"/>
  <c r="C1937" i="7"/>
  <c r="C1936" i="7"/>
  <c r="C1935" i="7"/>
  <c r="C1934" i="7"/>
  <c r="C1933" i="7"/>
  <c r="C1932" i="7"/>
  <c r="C1931" i="7"/>
  <c r="C1930" i="7"/>
  <c r="C1929" i="7"/>
  <c r="C1928" i="7"/>
  <c r="C1927" i="7"/>
  <c r="C1926" i="7"/>
  <c r="C1925" i="7"/>
  <c r="C1924" i="7"/>
  <c r="C1923" i="7"/>
  <c r="C1922" i="7"/>
  <c r="C1921" i="7"/>
  <c r="C1920" i="7"/>
  <c r="C1919" i="7"/>
  <c r="C1918" i="7"/>
  <c r="C1917" i="7"/>
  <c r="C1916" i="7"/>
  <c r="C1915" i="7"/>
  <c r="C1914" i="7"/>
  <c r="C1913" i="7"/>
  <c r="C1912" i="7"/>
  <c r="C1911" i="7"/>
  <c r="C1910" i="7"/>
  <c r="C1909" i="7"/>
  <c r="C1908" i="7"/>
  <c r="C1907" i="7"/>
  <c r="C1906" i="7"/>
  <c r="C1905" i="7"/>
  <c r="C1904" i="7"/>
  <c r="C1903" i="7"/>
  <c r="C1902" i="7"/>
  <c r="C1901" i="7"/>
  <c r="C1900" i="7"/>
  <c r="C1899" i="7"/>
  <c r="C1898" i="7"/>
  <c r="C1897" i="7"/>
  <c r="C1896" i="7"/>
  <c r="C1895" i="7"/>
  <c r="C1894" i="7"/>
  <c r="C1893" i="7"/>
  <c r="C1892" i="7"/>
  <c r="C1891" i="7"/>
  <c r="C1890" i="7"/>
  <c r="C1889" i="7"/>
  <c r="C1888" i="7"/>
  <c r="C1887" i="7"/>
  <c r="C1886" i="7"/>
  <c r="C1885" i="7"/>
  <c r="C1884" i="7"/>
  <c r="C1883" i="7"/>
  <c r="C1882" i="7"/>
  <c r="C1881" i="7"/>
  <c r="C1880" i="7"/>
  <c r="C1879" i="7"/>
  <c r="C1878" i="7"/>
  <c r="C1877" i="7"/>
  <c r="C1876" i="7"/>
  <c r="C1875" i="7"/>
  <c r="C1874" i="7"/>
  <c r="C1873" i="7"/>
  <c r="C1872" i="7"/>
  <c r="C1871" i="7"/>
  <c r="C1870" i="7"/>
  <c r="C1869" i="7"/>
  <c r="C1868" i="7"/>
  <c r="C1867" i="7"/>
  <c r="C1866" i="7"/>
  <c r="C1865" i="7"/>
  <c r="C1864" i="7"/>
  <c r="C1863" i="7"/>
  <c r="C1862" i="7"/>
  <c r="C1861" i="7"/>
  <c r="C1860" i="7"/>
  <c r="C1859" i="7"/>
  <c r="C1858" i="7"/>
  <c r="C1857" i="7"/>
  <c r="C1856" i="7"/>
  <c r="C1855" i="7"/>
  <c r="C1854" i="7"/>
  <c r="C1853" i="7"/>
  <c r="C1852" i="7"/>
  <c r="C1851" i="7"/>
  <c r="C1850" i="7"/>
  <c r="C1849" i="7"/>
  <c r="C1848" i="7"/>
  <c r="C1847" i="7"/>
  <c r="C1846" i="7"/>
  <c r="C1845" i="7"/>
  <c r="C1844" i="7"/>
  <c r="C1843" i="7"/>
  <c r="C1842" i="7"/>
  <c r="C1841" i="7"/>
  <c r="C1840" i="7"/>
  <c r="C1839" i="7"/>
  <c r="C1838" i="7"/>
  <c r="C1837" i="7"/>
  <c r="C1836" i="7"/>
  <c r="C1835" i="7"/>
  <c r="C1834" i="7"/>
  <c r="C1833" i="7"/>
  <c r="C1832" i="7"/>
  <c r="C1831" i="7"/>
  <c r="C1830" i="7"/>
  <c r="C1829" i="7"/>
  <c r="C1828" i="7"/>
  <c r="C1827" i="7"/>
  <c r="C1826" i="7"/>
  <c r="C1825" i="7"/>
  <c r="C1824" i="7"/>
  <c r="C1823" i="7"/>
  <c r="C1822" i="7"/>
  <c r="C1821" i="7"/>
  <c r="C1820" i="7"/>
  <c r="C1819" i="7"/>
  <c r="C1818" i="7"/>
  <c r="C1817" i="7"/>
  <c r="C1816" i="7"/>
  <c r="C1815" i="7"/>
  <c r="C1814" i="7"/>
  <c r="C1813" i="7"/>
  <c r="C1812" i="7"/>
  <c r="C1811" i="7"/>
  <c r="C1810" i="7"/>
  <c r="C1809" i="7"/>
  <c r="C1808" i="7"/>
  <c r="C1807" i="7"/>
  <c r="C1806" i="7"/>
  <c r="C1805" i="7"/>
  <c r="C1804" i="7"/>
  <c r="C1803" i="7"/>
  <c r="C1802" i="7"/>
  <c r="C1801" i="7"/>
  <c r="C1800" i="7"/>
  <c r="C1799" i="7"/>
  <c r="C1798" i="7"/>
  <c r="C1797" i="7"/>
  <c r="C1796" i="7"/>
  <c r="C1795" i="7"/>
  <c r="C1794" i="7"/>
  <c r="C1793" i="7"/>
  <c r="C1792" i="7"/>
  <c r="C1791" i="7"/>
  <c r="C1790" i="7"/>
  <c r="C1789" i="7"/>
  <c r="C1788" i="7"/>
  <c r="C1787" i="7"/>
  <c r="C1786" i="7"/>
  <c r="C1785" i="7"/>
  <c r="C1784" i="7"/>
  <c r="C1783" i="7"/>
  <c r="C1782" i="7"/>
  <c r="C1781" i="7"/>
  <c r="C1780" i="7"/>
  <c r="C1779" i="7"/>
  <c r="C1778" i="7"/>
  <c r="C1777" i="7"/>
  <c r="C1776" i="7"/>
  <c r="C1775" i="7"/>
  <c r="C1774" i="7"/>
  <c r="C1773" i="7"/>
  <c r="C1772" i="7"/>
  <c r="C1771" i="7"/>
  <c r="C1770" i="7"/>
  <c r="C1769" i="7"/>
  <c r="C1768" i="7"/>
  <c r="C1767" i="7"/>
  <c r="C1766" i="7"/>
  <c r="C1765" i="7"/>
  <c r="C1764" i="7"/>
  <c r="C1763" i="7"/>
  <c r="C1762" i="7"/>
  <c r="C1761" i="7"/>
  <c r="C1760" i="7"/>
  <c r="C1759" i="7"/>
  <c r="C1758" i="7"/>
  <c r="C1757" i="7"/>
  <c r="C1756" i="7"/>
  <c r="C1755" i="7"/>
  <c r="C1754" i="7"/>
  <c r="C1753" i="7"/>
  <c r="C1752" i="7"/>
  <c r="C1751" i="7"/>
  <c r="C1750" i="7"/>
  <c r="C1749" i="7"/>
  <c r="C1748" i="7"/>
  <c r="C1747" i="7"/>
  <c r="C1746" i="7"/>
  <c r="C1745" i="7"/>
  <c r="C1744" i="7"/>
  <c r="C1743" i="7"/>
  <c r="C1742" i="7"/>
  <c r="C1741" i="7"/>
  <c r="C1740" i="7"/>
  <c r="C1739" i="7"/>
  <c r="C1738" i="7"/>
  <c r="C1737" i="7"/>
  <c r="C1736" i="7"/>
  <c r="C1735" i="7"/>
  <c r="C1734" i="7"/>
  <c r="C1733" i="7"/>
  <c r="C1732" i="7"/>
  <c r="C1731" i="7"/>
  <c r="C1730" i="7"/>
  <c r="C1729" i="7"/>
  <c r="C1728" i="7"/>
  <c r="C1727" i="7"/>
  <c r="C1726" i="7"/>
  <c r="C1725" i="7"/>
  <c r="C1724" i="7"/>
  <c r="C1723" i="7"/>
  <c r="C1722" i="7"/>
  <c r="C1721" i="7"/>
  <c r="C1720" i="7"/>
  <c r="C1719" i="7"/>
  <c r="C1718" i="7"/>
  <c r="C1717" i="7"/>
  <c r="C1716" i="7"/>
  <c r="C1715" i="7"/>
  <c r="C1714" i="7"/>
  <c r="C1713" i="7"/>
  <c r="C1712" i="7"/>
  <c r="C1711" i="7"/>
  <c r="C1710" i="7"/>
  <c r="C1709" i="7"/>
  <c r="C1708" i="7"/>
  <c r="C1707" i="7"/>
  <c r="C1706" i="7"/>
  <c r="C1705" i="7"/>
  <c r="C1704" i="7"/>
  <c r="C1703" i="7"/>
  <c r="C1702" i="7"/>
  <c r="C1701" i="7"/>
  <c r="C1700" i="7"/>
  <c r="C1699" i="7"/>
  <c r="C1698" i="7"/>
  <c r="C1697" i="7"/>
  <c r="C1696" i="7"/>
  <c r="C1695" i="7"/>
  <c r="C1694" i="7"/>
  <c r="C1693" i="7"/>
  <c r="C1692" i="7"/>
  <c r="C1691" i="7"/>
  <c r="C1690" i="7"/>
  <c r="C1689" i="7"/>
  <c r="C1688" i="7"/>
  <c r="C1687" i="7"/>
  <c r="C1686" i="7"/>
  <c r="C1685" i="7"/>
  <c r="C1684" i="7"/>
  <c r="C1683" i="7"/>
  <c r="C1682" i="7"/>
  <c r="C1681" i="7"/>
  <c r="C1680" i="7"/>
  <c r="C1679" i="7"/>
  <c r="C1678" i="7"/>
  <c r="C1677" i="7"/>
  <c r="C1676" i="7"/>
  <c r="C1675" i="7"/>
  <c r="C1674" i="7"/>
  <c r="C1673" i="7"/>
  <c r="C1672" i="7"/>
  <c r="C1671" i="7"/>
  <c r="C1670" i="7"/>
  <c r="C1669" i="7"/>
  <c r="C1668" i="7"/>
  <c r="C1667" i="7"/>
  <c r="C1666" i="7"/>
  <c r="C1665" i="7"/>
  <c r="C1664" i="7"/>
  <c r="C1663" i="7"/>
  <c r="C1662" i="7"/>
  <c r="C1661" i="7"/>
  <c r="C1660" i="7"/>
  <c r="C1659" i="7"/>
  <c r="C1658" i="7"/>
  <c r="C1657" i="7"/>
  <c r="C1656" i="7"/>
  <c r="C1655" i="7"/>
  <c r="C1654" i="7"/>
  <c r="C1653" i="7"/>
  <c r="C1652" i="7"/>
  <c r="C1651" i="7"/>
  <c r="C1650" i="7"/>
  <c r="C1649" i="7"/>
  <c r="C1648" i="7"/>
  <c r="C1647" i="7"/>
  <c r="C1646" i="7"/>
  <c r="C1645" i="7"/>
  <c r="C1644" i="7"/>
  <c r="C1643" i="7"/>
  <c r="C1642" i="7"/>
  <c r="C1641" i="7"/>
  <c r="C1640" i="7"/>
  <c r="C1639" i="7"/>
  <c r="C1638" i="7"/>
  <c r="C1637" i="7"/>
  <c r="C1636" i="7"/>
  <c r="C1635" i="7"/>
  <c r="C1634" i="7"/>
  <c r="C1633" i="7"/>
  <c r="C1632" i="7"/>
  <c r="C1631" i="7"/>
  <c r="C1630" i="7"/>
  <c r="C1629" i="7"/>
  <c r="C1628" i="7"/>
  <c r="C1627" i="7"/>
  <c r="C1626" i="7"/>
  <c r="C1625" i="7"/>
  <c r="C1624" i="7"/>
  <c r="C1623" i="7"/>
  <c r="C1622" i="7"/>
  <c r="C1621" i="7"/>
  <c r="C1620" i="7"/>
  <c r="C1619" i="7"/>
  <c r="C1618" i="7"/>
  <c r="C1617" i="7"/>
  <c r="C1616" i="7"/>
  <c r="C1615" i="7"/>
  <c r="C1614" i="7"/>
  <c r="C1613" i="7"/>
  <c r="C1612" i="7"/>
  <c r="C1611" i="7"/>
  <c r="C1610" i="7"/>
  <c r="C1609" i="7"/>
  <c r="C1608" i="7"/>
  <c r="C1607" i="7"/>
  <c r="C1606" i="7"/>
  <c r="C1605" i="7"/>
  <c r="C1604" i="7"/>
  <c r="C1603" i="7"/>
  <c r="C1602" i="7"/>
  <c r="C1601" i="7"/>
  <c r="C1600" i="7"/>
  <c r="C1599" i="7"/>
  <c r="C1598" i="7"/>
  <c r="C1597" i="7"/>
  <c r="C1596" i="7"/>
  <c r="C1595" i="7"/>
  <c r="C1594" i="7"/>
  <c r="C1593" i="7"/>
  <c r="C1592" i="7"/>
  <c r="C1591" i="7"/>
  <c r="C1590" i="7"/>
  <c r="C1589" i="7"/>
  <c r="C1588" i="7"/>
  <c r="C1587" i="7"/>
  <c r="C1586" i="7"/>
  <c r="C1585" i="7"/>
  <c r="C1584" i="7"/>
  <c r="C1583" i="7"/>
  <c r="C1582" i="7"/>
  <c r="C1581" i="7"/>
  <c r="C1580" i="7"/>
  <c r="C1579" i="7"/>
  <c r="C1578" i="7"/>
  <c r="C1577" i="7"/>
  <c r="C1576" i="7"/>
  <c r="C1575" i="7"/>
  <c r="C1574" i="7"/>
  <c r="C1573" i="7"/>
  <c r="C1572" i="7"/>
  <c r="C1571" i="7"/>
  <c r="C1570" i="7"/>
  <c r="C1569" i="7"/>
  <c r="C1568" i="7"/>
  <c r="C1567" i="7"/>
  <c r="C1566" i="7"/>
  <c r="C1565" i="7"/>
  <c r="C1564" i="7"/>
  <c r="C1563" i="7"/>
  <c r="C1562" i="7"/>
  <c r="C1561" i="7"/>
  <c r="C1560" i="7"/>
  <c r="C1559" i="7"/>
  <c r="C1558" i="7"/>
  <c r="C1557" i="7"/>
  <c r="C1556" i="7"/>
  <c r="C1555" i="7"/>
  <c r="C1554" i="7"/>
  <c r="C1553" i="7"/>
  <c r="C1552" i="7"/>
  <c r="C1551" i="7"/>
  <c r="C1550" i="7"/>
  <c r="C1549" i="7"/>
  <c r="C1548" i="7"/>
  <c r="C1547" i="7"/>
  <c r="C1546" i="7"/>
  <c r="C1545" i="7"/>
  <c r="C1544" i="7"/>
  <c r="C1543" i="7"/>
  <c r="C1542" i="7"/>
  <c r="C1541" i="7"/>
  <c r="C1540" i="7"/>
  <c r="C1539" i="7"/>
  <c r="C1538" i="7"/>
  <c r="C1537" i="7"/>
  <c r="C1536" i="7"/>
  <c r="C1535" i="7"/>
  <c r="C1534" i="7"/>
  <c r="C1533" i="7"/>
  <c r="C1532" i="7"/>
  <c r="C1531" i="7"/>
  <c r="C1530" i="7"/>
  <c r="C1529" i="7"/>
  <c r="C1528" i="7"/>
  <c r="C1527" i="7"/>
  <c r="C1526" i="7"/>
  <c r="C1525" i="7"/>
  <c r="C1524" i="7"/>
  <c r="C1523" i="7"/>
  <c r="C1522" i="7"/>
  <c r="C1521" i="7"/>
  <c r="C1520" i="7"/>
  <c r="C1519" i="7"/>
  <c r="C1518" i="7"/>
  <c r="C1517" i="7"/>
  <c r="C1516" i="7"/>
  <c r="C1515" i="7"/>
  <c r="C1514" i="7"/>
  <c r="C1513" i="7"/>
  <c r="C1512" i="7"/>
  <c r="C1511" i="7"/>
  <c r="C1510" i="7"/>
  <c r="C1509" i="7"/>
  <c r="C1508" i="7"/>
  <c r="C1507" i="7"/>
  <c r="C1506" i="7"/>
  <c r="C1505" i="7"/>
  <c r="C1504" i="7"/>
  <c r="C1503" i="7"/>
  <c r="C1502" i="7"/>
  <c r="C1501" i="7"/>
  <c r="C1500" i="7"/>
  <c r="C1499" i="7"/>
  <c r="C1498" i="7"/>
  <c r="C1497" i="7"/>
  <c r="C1496" i="7"/>
  <c r="C1495" i="7"/>
  <c r="C1494" i="7"/>
  <c r="C1493" i="7"/>
  <c r="C1492" i="7"/>
  <c r="C1491" i="7"/>
  <c r="C1490" i="7"/>
  <c r="C1489" i="7"/>
  <c r="C1488" i="7"/>
  <c r="C1487" i="7"/>
  <c r="C1486" i="7"/>
  <c r="C1485" i="7"/>
  <c r="C1484" i="7"/>
  <c r="C1483" i="7"/>
  <c r="C1482" i="7"/>
  <c r="C1481" i="7"/>
  <c r="C1480" i="7"/>
  <c r="C1479" i="7"/>
  <c r="C1478" i="7"/>
  <c r="C1477" i="7"/>
  <c r="C1476" i="7"/>
  <c r="C1475" i="7"/>
  <c r="C1474" i="7"/>
  <c r="C1473" i="7"/>
  <c r="C1472" i="7"/>
  <c r="C1471" i="7"/>
  <c r="C1470" i="7"/>
  <c r="C1469" i="7"/>
  <c r="C1468" i="7"/>
  <c r="C1467" i="7"/>
  <c r="C1466" i="7"/>
  <c r="C1465" i="7"/>
  <c r="C1464" i="7"/>
  <c r="C1463" i="7"/>
  <c r="C1462" i="7"/>
  <c r="C1461" i="7"/>
  <c r="C1460" i="7"/>
  <c r="C1459" i="7"/>
  <c r="C1458" i="7"/>
  <c r="C1457" i="7"/>
  <c r="C1456" i="7"/>
  <c r="C1455" i="7"/>
  <c r="C1454" i="7"/>
  <c r="C1453" i="7"/>
  <c r="C1452" i="7"/>
  <c r="C1451" i="7"/>
  <c r="C1450" i="7"/>
  <c r="C1449" i="7"/>
  <c r="C1448" i="7"/>
  <c r="C1447" i="7"/>
  <c r="C1446" i="7"/>
  <c r="C1445" i="7"/>
  <c r="C1444" i="7"/>
  <c r="C1443" i="7"/>
  <c r="C1442" i="7"/>
  <c r="C1441" i="7"/>
  <c r="C1440" i="7"/>
  <c r="C1439" i="7"/>
  <c r="C1438" i="7"/>
  <c r="C1437" i="7"/>
  <c r="C1436" i="7"/>
  <c r="C1435" i="7"/>
  <c r="C1434" i="7"/>
  <c r="C1433" i="7"/>
  <c r="C1432" i="7"/>
  <c r="C1431" i="7"/>
  <c r="C1430" i="7"/>
  <c r="C1429" i="7"/>
  <c r="C1428" i="7"/>
  <c r="C1427" i="7"/>
  <c r="C1426" i="7"/>
  <c r="C1425" i="7"/>
  <c r="C1424" i="7"/>
  <c r="C1423" i="7"/>
  <c r="C1422" i="7"/>
  <c r="C1421" i="7"/>
  <c r="C1420" i="7"/>
  <c r="C1419" i="7"/>
  <c r="C1418" i="7"/>
  <c r="C1417" i="7"/>
  <c r="C1416" i="7"/>
  <c r="C1415" i="7"/>
  <c r="C1414" i="7"/>
  <c r="C1413" i="7"/>
  <c r="C1412" i="7"/>
  <c r="C1411" i="7"/>
  <c r="C1410" i="7"/>
  <c r="C1409" i="7"/>
  <c r="C1408" i="7"/>
  <c r="C1407" i="7"/>
  <c r="C1406" i="7"/>
  <c r="C1405" i="7"/>
  <c r="C1404" i="7"/>
  <c r="C1403" i="7"/>
  <c r="C1402" i="7"/>
  <c r="C1401" i="7"/>
  <c r="C1400" i="7"/>
  <c r="C1399" i="7"/>
  <c r="C1398" i="7"/>
  <c r="C1397" i="7"/>
  <c r="C1396" i="7"/>
  <c r="C1395" i="7"/>
  <c r="C1394" i="7"/>
  <c r="C1393" i="7"/>
  <c r="C1392" i="7"/>
  <c r="C1391" i="7"/>
  <c r="C1390" i="7"/>
  <c r="C1389" i="7"/>
  <c r="C1388" i="7"/>
  <c r="C1387" i="7"/>
  <c r="C1386" i="7"/>
  <c r="C1385" i="7"/>
  <c r="C1384" i="7"/>
  <c r="C1383" i="7"/>
  <c r="C1382" i="7"/>
  <c r="C1381" i="7"/>
  <c r="C1380" i="7"/>
  <c r="C1379" i="7"/>
  <c r="C1378" i="7"/>
  <c r="C1377" i="7"/>
  <c r="C1376" i="7"/>
  <c r="C1375" i="7"/>
  <c r="C1374" i="7"/>
  <c r="C1373" i="7"/>
  <c r="C1372" i="7"/>
  <c r="C1371" i="7"/>
  <c r="C1370" i="7"/>
  <c r="C1369" i="7"/>
  <c r="C1368" i="7"/>
  <c r="C1367" i="7"/>
  <c r="C1366" i="7"/>
  <c r="C1365" i="7"/>
  <c r="C1364" i="7"/>
  <c r="C1363" i="7"/>
  <c r="C1362" i="7"/>
  <c r="C1361" i="7"/>
  <c r="C1360" i="7"/>
  <c r="C1359" i="7"/>
  <c r="C1358" i="7"/>
  <c r="C1357" i="7"/>
  <c r="C1356" i="7"/>
  <c r="C1355" i="7"/>
  <c r="C1354" i="7"/>
  <c r="C1353" i="7"/>
  <c r="C1352" i="7"/>
  <c r="C1351" i="7"/>
  <c r="C1350" i="7"/>
  <c r="C1349" i="7"/>
  <c r="C1348" i="7"/>
  <c r="C1347" i="7"/>
  <c r="C1346" i="7"/>
  <c r="C1345" i="7"/>
  <c r="C1344" i="7"/>
  <c r="C1343" i="7"/>
  <c r="C1342" i="7"/>
  <c r="C1341" i="7"/>
  <c r="C1340" i="7"/>
  <c r="C1339" i="7"/>
  <c r="C1338" i="7"/>
  <c r="C1337" i="7"/>
  <c r="C1336" i="7"/>
  <c r="C1335" i="7"/>
  <c r="C1334" i="7"/>
  <c r="C1333" i="7"/>
  <c r="C1332" i="7"/>
  <c r="C1331" i="7"/>
  <c r="C1330" i="7"/>
  <c r="C1329" i="7"/>
  <c r="C1328" i="7"/>
  <c r="C1327" i="7"/>
  <c r="C1326" i="7"/>
  <c r="C1325" i="7"/>
  <c r="C1324" i="7"/>
  <c r="C1323" i="7"/>
  <c r="C1322" i="7"/>
  <c r="C1321" i="7"/>
  <c r="C1320" i="7"/>
  <c r="C1319" i="7"/>
  <c r="C1318" i="7"/>
  <c r="C1317" i="7"/>
  <c r="C1316" i="7"/>
  <c r="C1315" i="7"/>
  <c r="C1314" i="7"/>
  <c r="C1313" i="7"/>
  <c r="C1312" i="7"/>
  <c r="C1311" i="7"/>
  <c r="C1310" i="7"/>
  <c r="C1309" i="7"/>
  <c r="C1308" i="7"/>
  <c r="C1307" i="7"/>
  <c r="C1306" i="7"/>
  <c r="C1305" i="7"/>
  <c r="C1304" i="7"/>
  <c r="C1303" i="7"/>
  <c r="C1302" i="7"/>
  <c r="C1301" i="7"/>
  <c r="C1300" i="7"/>
  <c r="C1299" i="7"/>
  <c r="C1298" i="7"/>
  <c r="C1297" i="7"/>
  <c r="C1296" i="7"/>
  <c r="C1295" i="7"/>
  <c r="C1294" i="7"/>
  <c r="C1293" i="7"/>
  <c r="C1292" i="7"/>
  <c r="C1291" i="7"/>
  <c r="C1290" i="7"/>
  <c r="C1289" i="7"/>
  <c r="C1288" i="7"/>
  <c r="C1287" i="7"/>
  <c r="C1286" i="7"/>
  <c r="C1285" i="7"/>
  <c r="C1284" i="7"/>
  <c r="C1283" i="7"/>
  <c r="C1282" i="7"/>
  <c r="C1281" i="7"/>
  <c r="C1280" i="7"/>
  <c r="C1279" i="7"/>
  <c r="C1278" i="7"/>
  <c r="C1277" i="7"/>
  <c r="C1276" i="7"/>
  <c r="C1275" i="7"/>
  <c r="C1274" i="7"/>
  <c r="C1273" i="7"/>
  <c r="C1272" i="7"/>
  <c r="C1271" i="7"/>
  <c r="C1270" i="7"/>
  <c r="C1269" i="7"/>
  <c r="C1268" i="7"/>
  <c r="C1267" i="7"/>
  <c r="C1266" i="7"/>
  <c r="C1265" i="7"/>
  <c r="C1264" i="7"/>
  <c r="C1263" i="7"/>
  <c r="C1262" i="7"/>
  <c r="C1261" i="7"/>
  <c r="C1260" i="7"/>
  <c r="C1259" i="7"/>
  <c r="C1258" i="7"/>
  <c r="C1257" i="7"/>
  <c r="C1256" i="7"/>
  <c r="C1255" i="7"/>
  <c r="C1254" i="7"/>
  <c r="C1253" i="7"/>
  <c r="C1252" i="7"/>
  <c r="C1251" i="7"/>
  <c r="C1250" i="7"/>
  <c r="C1249" i="7"/>
  <c r="C1248" i="7"/>
  <c r="C1247" i="7"/>
  <c r="C1246" i="7"/>
  <c r="C1245" i="7"/>
  <c r="C1244" i="7"/>
  <c r="C1243" i="7"/>
  <c r="C1242" i="7"/>
  <c r="C1241" i="7"/>
  <c r="C1240" i="7"/>
  <c r="C1239" i="7"/>
  <c r="C1238" i="7"/>
  <c r="C1237" i="7"/>
  <c r="C1236" i="7"/>
  <c r="C1235" i="7"/>
  <c r="C1234" i="7"/>
  <c r="C1233" i="7"/>
  <c r="C1232" i="7"/>
  <c r="C1231" i="7"/>
  <c r="C1230" i="7"/>
  <c r="C1229" i="7"/>
  <c r="C1228" i="7"/>
  <c r="C1227" i="7"/>
  <c r="C1226" i="7"/>
  <c r="C1225" i="7"/>
  <c r="C1224" i="7"/>
  <c r="C1223" i="7"/>
  <c r="C1222" i="7"/>
  <c r="C1221" i="7"/>
  <c r="C1220" i="7"/>
  <c r="C1219" i="7"/>
  <c r="C1218" i="7"/>
  <c r="C1217" i="7"/>
  <c r="C1216" i="7"/>
  <c r="C1215" i="7"/>
  <c r="C1214" i="7"/>
  <c r="C1213" i="7"/>
  <c r="C1212" i="7"/>
  <c r="C1211" i="7"/>
  <c r="C1210" i="7"/>
  <c r="C1209" i="7"/>
  <c r="C1208" i="7"/>
  <c r="C1207" i="7"/>
  <c r="C1206" i="7"/>
  <c r="C1205" i="7"/>
  <c r="C1204" i="7"/>
  <c r="C1203" i="7"/>
  <c r="C1202" i="7"/>
  <c r="C1201" i="7"/>
  <c r="C1200" i="7"/>
  <c r="C1199" i="7"/>
  <c r="C1198" i="7"/>
  <c r="C1197" i="7"/>
  <c r="C1196" i="7"/>
  <c r="C1195" i="7"/>
  <c r="C1194" i="7"/>
  <c r="C1193" i="7"/>
  <c r="C1192" i="7"/>
  <c r="C1191" i="7"/>
  <c r="C1190" i="7"/>
  <c r="C1189" i="7"/>
  <c r="C1188" i="7"/>
  <c r="C1187" i="7"/>
  <c r="C1186" i="7"/>
  <c r="C1185" i="7"/>
  <c r="C1184" i="7"/>
  <c r="C1183" i="7"/>
  <c r="C1182"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5" i="7"/>
  <c r="C1104" i="7"/>
  <c r="C1103" i="7"/>
  <c r="C1102" i="7"/>
  <c r="C1101" i="7"/>
  <c r="C1100"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42" i="7"/>
  <c r="C1041" i="7"/>
  <c r="C1040" i="7"/>
  <c r="C1039" i="7"/>
  <c r="C1038" i="7"/>
  <c r="C1037" i="7"/>
  <c r="C1036" i="7"/>
  <c r="C1035" i="7"/>
  <c r="C1034" i="7"/>
  <c r="C1033" i="7"/>
  <c r="C1032" i="7"/>
  <c r="C1031"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A3502" i="7"/>
  <c r="A3501" i="7"/>
  <c r="A3500" i="7"/>
  <c r="A3499" i="7"/>
  <c r="A3498" i="7"/>
  <c r="A3497" i="7"/>
  <c r="A3496" i="7"/>
  <c r="A3495" i="7"/>
  <c r="A3494" i="7"/>
  <c r="A3493" i="7"/>
  <c r="A3492" i="7"/>
  <c r="A3491" i="7"/>
  <c r="A3490" i="7"/>
  <c r="A3489" i="7"/>
  <c r="A3488" i="7"/>
  <c r="A3487" i="7"/>
  <c r="A3486" i="7"/>
  <c r="A3485" i="7"/>
  <c r="A3484" i="7"/>
  <c r="A3483" i="7"/>
  <c r="A3482" i="7"/>
  <c r="A3481" i="7"/>
  <c r="A3480" i="7"/>
  <c r="A3479" i="7"/>
  <c r="A3478" i="7"/>
  <c r="A3477" i="7"/>
  <c r="A3476" i="7"/>
  <c r="A3475" i="7"/>
  <c r="A3474" i="7"/>
  <c r="A3473" i="7"/>
  <c r="A3472" i="7"/>
  <c r="A3471" i="7"/>
  <c r="A3470" i="7"/>
  <c r="A3469" i="7"/>
  <c r="A3468" i="7"/>
  <c r="A3467" i="7"/>
  <c r="A3466" i="7"/>
  <c r="A3465" i="7"/>
  <c r="A3464" i="7"/>
  <c r="A3463" i="7"/>
  <c r="A3462" i="7"/>
  <c r="A3461" i="7"/>
  <c r="A3460" i="7"/>
  <c r="A3459" i="7"/>
  <c r="A3458" i="7"/>
  <c r="A3457" i="7"/>
  <c r="A3456" i="7"/>
  <c r="A3455" i="7"/>
  <c r="A3454" i="7"/>
  <c r="A3453" i="7"/>
  <c r="A3452" i="7"/>
  <c r="A3451" i="7"/>
  <c r="A3450" i="7"/>
  <c r="A3449" i="7"/>
  <c r="A3448" i="7"/>
  <c r="A3447" i="7"/>
  <c r="A3446" i="7"/>
  <c r="A3445" i="7"/>
  <c r="A3444" i="7"/>
  <c r="A3443" i="7"/>
  <c r="A3442" i="7"/>
  <c r="A3441" i="7"/>
  <c r="A3440" i="7"/>
  <c r="A3439" i="7"/>
  <c r="A3438" i="7"/>
  <c r="A3437" i="7"/>
  <c r="A3436" i="7"/>
  <c r="A3435" i="7"/>
  <c r="A3434" i="7"/>
  <c r="A3433" i="7"/>
  <c r="A3432" i="7"/>
  <c r="A3431" i="7"/>
  <c r="A3430" i="7"/>
  <c r="A3429" i="7"/>
  <c r="A3428" i="7"/>
  <c r="A3427" i="7"/>
  <c r="A3426" i="7"/>
  <c r="A3425" i="7"/>
  <c r="A3424" i="7"/>
  <c r="A3423" i="7"/>
  <c r="A3422" i="7"/>
  <c r="A3421" i="7"/>
  <c r="A3420" i="7"/>
  <c r="A3419" i="7"/>
  <c r="A3418" i="7"/>
  <c r="A3417" i="7"/>
  <c r="A3416" i="7"/>
  <c r="A3415" i="7"/>
  <c r="A3414" i="7"/>
  <c r="A3413" i="7"/>
  <c r="A3412" i="7"/>
  <c r="A3411" i="7"/>
  <c r="A3410" i="7"/>
  <c r="A3409" i="7"/>
  <c r="A3408" i="7"/>
  <c r="A3407" i="7"/>
  <c r="A3406" i="7"/>
  <c r="A3405" i="7"/>
  <c r="A3404" i="7"/>
  <c r="A3403" i="7"/>
  <c r="A3402" i="7"/>
  <c r="A3401" i="7"/>
  <c r="A3400" i="7"/>
  <c r="A3399" i="7"/>
  <c r="A3398" i="7"/>
  <c r="A3397" i="7"/>
  <c r="A3396" i="7"/>
  <c r="A3395" i="7"/>
  <c r="A3394" i="7"/>
  <c r="A3393" i="7"/>
  <c r="A3392" i="7"/>
  <c r="A3391" i="7"/>
  <c r="A3390" i="7"/>
  <c r="A3389" i="7"/>
  <c r="A3388" i="7"/>
  <c r="A3387" i="7"/>
  <c r="A3386" i="7"/>
  <c r="A3385" i="7"/>
  <c r="A3384" i="7"/>
  <c r="A3383" i="7"/>
  <c r="A3382" i="7"/>
  <c r="A3381" i="7"/>
  <c r="A3380" i="7"/>
  <c r="A3379" i="7"/>
  <c r="A3378" i="7"/>
  <c r="A3377" i="7"/>
  <c r="A3376" i="7"/>
  <c r="A3375" i="7"/>
  <c r="A3374" i="7"/>
  <c r="A3373" i="7"/>
  <c r="A3372" i="7"/>
  <c r="A3371" i="7"/>
  <c r="A3370" i="7"/>
  <c r="A3369" i="7"/>
  <c r="A3368" i="7"/>
  <c r="A3367" i="7"/>
  <c r="A3366" i="7"/>
  <c r="A3365" i="7"/>
  <c r="A3364" i="7"/>
  <c r="A3363" i="7"/>
  <c r="A3362" i="7"/>
  <c r="A3361" i="7"/>
  <c r="A3360" i="7"/>
  <c r="A3359" i="7"/>
  <c r="A3358" i="7"/>
  <c r="A3357" i="7"/>
  <c r="A3356" i="7"/>
  <c r="A3355" i="7"/>
  <c r="A3354" i="7"/>
  <c r="A3353" i="7"/>
  <c r="A3352" i="7"/>
  <c r="A3351" i="7"/>
  <c r="A3350" i="7"/>
  <c r="A3349" i="7"/>
  <c r="A3348" i="7"/>
  <c r="A3347" i="7"/>
  <c r="A3346" i="7"/>
  <c r="A3345" i="7"/>
  <c r="A3344" i="7"/>
  <c r="A3343" i="7"/>
  <c r="A3342" i="7"/>
  <c r="A3341" i="7"/>
  <c r="A3340" i="7"/>
  <c r="A3339" i="7"/>
  <c r="A3338" i="7"/>
  <c r="A3337" i="7"/>
  <c r="A3336" i="7"/>
  <c r="A3335" i="7"/>
  <c r="A3334" i="7"/>
  <c r="A3333" i="7"/>
  <c r="A3332" i="7"/>
  <c r="A3331" i="7"/>
  <c r="A3330" i="7"/>
  <c r="A3329" i="7"/>
  <c r="A3328" i="7"/>
  <c r="A3327" i="7"/>
  <c r="A3326" i="7"/>
  <c r="A3325" i="7"/>
  <c r="A3324" i="7"/>
  <c r="A3323" i="7"/>
  <c r="A3322" i="7"/>
  <c r="A3321" i="7"/>
  <c r="A3320" i="7"/>
  <c r="A3319" i="7"/>
  <c r="A3318" i="7"/>
  <c r="A3317" i="7"/>
  <c r="A3316" i="7"/>
  <c r="A3315" i="7"/>
  <c r="A3314" i="7"/>
  <c r="A3313" i="7"/>
  <c r="A3312" i="7"/>
  <c r="A3311" i="7"/>
  <c r="A3310" i="7"/>
  <c r="A3309" i="7"/>
  <c r="A3308" i="7"/>
  <c r="A3307" i="7"/>
  <c r="A3306" i="7"/>
  <c r="A3305" i="7"/>
  <c r="A3304" i="7"/>
  <c r="A3303" i="7"/>
  <c r="A3302" i="7"/>
  <c r="A3301" i="7"/>
  <c r="A3300" i="7"/>
  <c r="A3299" i="7"/>
  <c r="A3298" i="7"/>
  <c r="A3297" i="7"/>
  <c r="A3296" i="7"/>
  <c r="A3295" i="7"/>
  <c r="A3294" i="7"/>
  <c r="A3293" i="7"/>
  <c r="A3292" i="7"/>
  <c r="A3291" i="7"/>
  <c r="A3290" i="7"/>
  <c r="A3289" i="7"/>
  <c r="A3288" i="7"/>
  <c r="A3287" i="7"/>
  <c r="A3286" i="7"/>
  <c r="A3285" i="7"/>
  <c r="A3284" i="7"/>
  <c r="A3283" i="7"/>
  <c r="A3282" i="7"/>
  <c r="A3281" i="7"/>
  <c r="A3280" i="7"/>
  <c r="A3279" i="7"/>
  <c r="A3278" i="7"/>
  <c r="A3277" i="7"/>
  <c r="A3276" i="7"/>
  <c r="A3275" i="7"/>
  <c r="A3274" i="7"/>
  <c r="A3273" i="7"/>
  <c r="A3272" i="7"/>
  <c r="A3271" i="7"/>
  <c r="A3270" i="7"/>
  <c r="A3269" i="7"/>
  <c r="A3268" i="7"/>
  <c r="A3267" i="7"/>
  <c r="A3266" i="7"/>
  <c r="A3265" i="7"/>
  <c r="A3264" i="7"/>
  <c r="A3263" i="7"/>
  <c r="A3262" i="7"/>
  <c r="A3261" i="7"/>
  <c r="A3260" i="7"/>
  <c r="A3259" i="7"/>
  <c r="A3258" i="7"/>
  <c r="A3257" i="7"/>
  <c r="A3256" i="7"/>
  <c r="A3255" i="7"/>
  <c r="A3254" i="7"/>
  <c r="A3253" i="7"/>
  <c r="A3252" i="7"/>
  <c r="A3251" i="7"/>
  <c r="A3250" i="7"/>
  <c r="A3249" i="7"/>
  <c r="A3248" i="7"/>
  <c r="A3247" i="7"/>
  <c r="A3246" i="7"/>
  <c r="A3245" i="7"/>
  <c r="A3244" i="7"/>
  <c r="A3243" i="7"/>
  <c r="A3242" i="7"/>
  <c r="A3241" i="7"/>
  <c r="A3240" i="7"/>
  <c r="A3239" i="7"/>
  <c r="A3238" i="7"/>
  <c r="A3237" i="7"/>
  <c r="A3236" i="7"/>
  <c r="A3235" i="7"/>
  <c r="A3234" i="7"/>
  <c r="A3233" i="7"/>
  <c r="A3232" i="7"/>
  <c r="A3231" i="7"/>
  <c r="A3230" i="7"/>
  <c r="A3229" i="7"/>
  <c r="A3228" i="7"/>
  <c r="A3227" i="7"/>
  <c r="A3226" i="7"/>
  <c r="A3225" i="7"/>
  <c r="A3224" i="7"/>
  <c r="A3223" i="7"/>
  <c r="A3222" i="7"/>
  <c r="A3221" i="7"/>
  <c r="A3220" i="7"/>
  <c r="A3219" i="7"/>
  <c r="A3218" i="7"/>
  <c r="A3217" i="7"/>
  <c r="A3216" i="7"/>
  <c r="A3215" i="7"/>
  <c r="A3214" i="7"/>
  <c r="A3213" i="7"/>
  <c r="A3212" i="7"/>
  <c r="A3211" i="7"/>
  <c r="A3210" i="7"/>
  <c r="A3209" i="7"/>
  <c r="A3208" i="7"/>
  <c r="A3207" i="7"/>
  <c r="A3206" i="7"/>
  <c r="A3205" i="7"/>
  <c r="A3204" i="7"/>
  <c r="A3203" i="7"/>
  <c r="A3202" i="7"/>
  <c r="A3201" i="7"/>
  <c r="A3200" i="7"/>
  <c r="A3199" i="7"/>
  <c r="A3198" i="7"/>
  <c r="A3197" i="7"/>
  <c r="A3196" i="7"/>
  <c r="A3195" i="7"/>
  <c r="A3194" i="7"/>
  <c r="A3193" i="7"/>
  <c r="A3192" i="7"/>
  <c r="A3191" i="7"/>
  <c r="A3190" i="7"/>
  <c r="A3189" i="7"/>
  <c r="A3188" i="7"/>
  <c r="A3187" i="7"/>
  <c r="A3186" i="7"/>
  <c r="A3185" i="7"/>
  <c r="A3184" i="7"/>
  <c r="A3183" i="7"/>
  <c r="A3182" i="7"/>
  <c r="A3181" i="7"/>
  <c r="A3180" i="7"/>
  <c r="A3179" i="7"/>
  <c r="A3178" i="7"/>
  <c r="A3177" i="7"/>
  <c r="A3176" i="7"/>
  <c r="A3175" i="7"/>
  <c r="A3174" i="7"/>
  <c r="A3173" i="7"/>
  <c r="A3172" i="7"/>
  <c r="A3171" i="7"/>
  <c r="A3170" i="7"/>
  <c r="A3169" i="7"/>
  <c r="A3168" i="7"/>
  <c r="A3167" i="7"/>
  <c r="A3166" i="7"/>
  <c r="A3165" i="7"/>
  <c r="A3164" i="7"/>
  <c r="A3163" i="7"/>
  <c r="A3162" i="7"/>
  <c r="A3161" i="7"/>
  <c r="A3160" i="7"/>
  <c r="A3159" i="7"/>
  <c r="A3158" i="7"/>
  <c r="A3157" i="7"/>
  <c r="A3156" i="7"/>
  <c r="A3155" i="7"/>
  <c r="A3154" i="7"/>
  <c r="A3153" i="7"/>
  <c r="A3152" i="7"/>
  <c r="A3151" i="7"/>
  <c r="A3150" i="7"/>
  <c r="A3149" i="7"/>
  <c r="A3148" i="7"/>
  <c r="A3147" i="7"/>
  <c r="A3146" i="7"/>
  <c r="A3145" i="7"/>
  <c r="A3144" i="7"/>
  <c r="A3143" i="7"/>
  <c r="A3142" i="7"/>
  <c r="A3141" i="7"/>
  <c r="A3140" i="7"/>
  <c r="A3139" i="7"/>
  <c r="A3138" i="7"/>
  <c r="A3137" i="7"/>
  <c r="A3136" i="7"/>
  <c r="A3135" i="7"/>
  <c r="A3134" i="7"/>
  <c r="A3133" i="7"/>
  <c r="A3132" i="7"/>
  <c r="A3131" i="7"/>
  <c r="A3130" i="7"/>
  <c r="A3129" i="7"/>
  <c r="A3128" i="7"/>
  <c r="A3127" i="7"/>
  <c r="A3126" i="7"/>
  <c r="A3125" i="7"/>
  <c r="A3124" i="7"/>
  <c r="A3123" i="7"/>
  <c r="A3122" i="7"/>
  <c r="A3121" i="7"/>
  <c r="A3120" i="7"/>
  <c r="A3119" i="7"/>
  <c r="A3118" i="7"/>
  <c r="A3117" i="7"/>
  <c r="A3116" i="7"/>
  <c r="A3115" i="7"/>
  <c r="A3114" i="7"/>
  <c r="A3113" i="7"/>
  <c r="A3112" i="7"/>
  <c r="A3111" i="7"/>
  <c r="A3110" i="7"/>
  <c r="A3109" i="7"/>
  <c r="A3108" i="7"/>
  <c r="A3107" i="7"/>
  <c r="A3106" i="7"/>
  <c r="A3105" i="7"/>
  <c r="A3104" i="7"/>
  <c r="A3103" i="7"/>
  <c r="A3102" i="7"/>
  <c r="A3101" i="7"/>
  <c r="A3100" i="7"/>
  <c r="A3099" i="7"/>
  <c r="A3098" i="7"/>
  <c r="A3097" i="7"/>
  <c r="A3096" i="7"/>
  <c r="A3095" i="7"/>
  <c r="A3094" i="7"/>
  <c r="A3093" i="7"/>
  <c r="A3092" i="7"/>
  <c r="A3091" i="7"/>
  <c r="A3090" i="7"/>
  <c r="A3089" i="7"/>
  <c r="A3088" i="7"/>
  <c r="A3087" i="7"/>
  <c r="A3086" i="7"/>
  <c r="A3085" i="7"/>
  <c r="A3084" i="7"/>
  <c r="A3083" i="7"/>
  <c r="A3082" i="7"/>
  <c r="A3081" i="7"/>
  <c r="A3080" i="7"/>
  <c r="A3079" i="7"/>
  <c r="A3078" i="7"/>
  <c r="A3077" i="7"/>
  <c r="A3076" i="7"/>
  <c r="A3075" i="7"/>
  <c r="A3074" i="7"/>
  <c r="A3073" i="7"/>
  <c r="A3072" i="7"/>
  <c r="A3071" i="7"/>
  <c r="A3070" i="7"/>
  <c r="A3069" i="7"/>
  <c r="A3068" i="7"/>
  <c r="A3067" i="7"/>
  <c r="A3066" i="7"/>
  <c r="A3065" i="7"/>
  <c r="A3064" i="7"/>
  <c r="A3063" i="7"/>
  <c r="A3062" i="7"/>
  <c r="A3061" i="7"/>
  <c r="A3060" i="7"/>
  <c r="A3059" i="7"/>
  <c r="A3058" i="7"/>
  <c r="A3057" i="7"/>
  <c r="A3056" i="7"/>
  <c r="A3055" i="7"/>
  <c r="A3054" i="7"/>
  <c r="A3053" i="7"/>
  <c r="A3052" i="7"/>
  <c r="A3051" i="7"/>
  <c r="A3050" i="7"/>
  <c r="A3049" i="7"/>
  <c r="A3048" i="7"/>
  <c r="A3047" i="7"/>
  <c r="A3046" i="7"/>
  <c r="A3045" i="7"/>
  <c r="A3044" i="7"/>
  <c r="A3043" i="7"/>
  <c r="A3042" i="7"/>
  <c r="A3041" i="7"/>
  <c r="A3040" i="7"/>
  <c r="A3039" i="7"/>
  <c r="A3038" i="7"/>
  <c r="A3037" i="7"/>
  <c r="A3036" i="7"/>
  <c r="A3035" i="7"/>
  <c r="A3034" i="7"/>
  <c r="A3033" i="7"/>
  <c r="A3032" i="7"/>
  <c r="A3031" i="7"/>
  <c r="A3030" i="7"/>
  <c r="A3029" i="7"/>
  <c r="A3028" i="7"/>
  <c r="A3027" i="7"/>
  <c r="A3026" i="7"/>
  <c r="A3025" i="7"/>
  <c r="A3024" i="7"/>
  <c r="A3023" i="7"/>
  <c r="A3022" i="7"/>
  <c r="A3021" i="7"/>
  <c r="A3020" i="7"/>
  <c r="A3019" i="7"/>
  <c r="A3018" i="7"/>
  <c r="A3017" i="7"/>
  <c r="A3016" i="7"/>
  <c r="A3015" i="7"/>
  <c r="A3014" i="7"/>
  <c r="A3013" i="7"/>
  <c r="A3012" i="7"/>
  <c r="A3011" i="7"/>
  <c r="A3010" i="7"/>
  <c r="A3009" i="7"/>
  <c r="A3008" i="7"/>
  <c r="A3007" i="7"/>
  <c r="A3006" i="7"/>
  <c r="A3005" i="7"/>
  <c r="A3004" i="7"/>
  <c r="A3003" i="7"/>
  <c r="A3002" i="7"/>
  <c r="A3001" i="7"/>
  <c r="A3000" i="7"/>
  <c r="A2999" i="7"/>
  <c r="A2998" i="7"/>
  <c r="A2997" i="7"/>
  <c r="A2996" i="7"/>
  <c r="A2995" i="7"/>
  <c r="A2994" i="7"/>
  <c r="A2993" i="7"/>
  <c r="A2992" i="7"/>
  <c r="A2991" i="7"/>
  <c r="A2990" i="7"/>
  <c r="A2989" i="7"/>
  <c r="A2988" i="7"/>
  <c r="A2987" i="7"/>
  <c r="A2986" i="7"/>
  <c r="A2985" i="7"/>
  <c r="A2984" i="7"/>
  <c r="A2983" i="7"/>
  <c r="A2982" i="7"/>
  <c r="A2981" i="7"/>
  <c r="A2980" i="7"/>
  <c r="A2979" i="7"/>
  <c r="A2978" i="7"/>
  <c r="A2977" i="7"/>
  <c r="A2976" i="7"/>
  <c r="A2975" i="7"/>
  <c r="A2974" i="7"/>
  <c r="A2973" i="7"/>
  <c r="A2972" i="7"/>
  <c r="A2971" i="7"/>
  <c r="A2970" i="7"/>
  <c r="A2969" i="7"/>
  <c r="A2968" i="7"/>
  <c r="A2967" i="7"/>
  <c r="A2966" i="7"/>
  <c r="A2965" i="7"/>
  <c r="A2964" i="7"/>
  <c r="A2963" i="7"/>
  <c r="A2962" i="7"/>
  <c r="A2961" i="7"/>
  <c r="A2960" i="7"/>
  <c r="A2959" i="7"/>
  <c r="A2958" i="7"/>
  <c r="A2957" i="7"/>
  <c r="A2956" i="7"/>
  <c r="A2955" i="7"/>
  <c r="A2954" i="7"/>
  <c r="A2953" i="7"/>
  <c r="A2952" i="7"/>
  <c r="A2951" i="7"/>
  <c r="A2950" i="7"/>
  <c r="A2949" i="7"/>
  <c r="A2948" i="7"/>
  <c r="A2947" i="7"/>
  <c r="A2946" i="7"/>
  <c r="A2945" i="7"/>
  <c r="A2944" i="7"/>
  <c r="A2943" i="7"/>
  <c r="A2942" i="7"/>
  <c r="A2941" i="7"/>
  <c r="A2940" i="7"/>
  <c r="A2939" i="7"/>
  <c r="A2938" i="7"/>
  <c r="A2937" i="7"/>
  <c r="A2936" i="7"/>
  <c r="A2935" i="7"/>
  <c r="A2934" i="7"/>
  <c r="A2933" i="7"/>
  <c r="A2932" i="7"/>
  <c r="A2931" i="7"/>
  <c r="A2930" i="7"/>
  <c r="A2929" i="7"/>
  <c r="A2928" i="7"/>
  <c r="A2927" i="7"/>
  <c r="A2926" i="7"/>
  <c r="A2925" i="7"/>
  <c r="A2924" i="7"/>
  <c r="A2923" i="7"/>
  <c r="A2922" i="7"/>
  <c r="A2921" i="7"/>
  <c r="A2920" i="7"/>
  <c r="A2919" i="7"/>
  <c r="A2918" i="7"/>
  <c r="A2917" i="7"/>
  <c r="A2916" i="7"/>
  <c r="A2915" i="7"/>
  <c r="A2914" i="7"/>
  <c r="A2913" i="7"/>
  <c r="A2912" i="7"/>
  <c r="A2911" i="7"/>
  <c r="A2910" i="7"/>
  <c r="A2909" i="7"/>
  <c r="A2908" i="7"/>
  <c r="A2907" i="7"/>
  <c r="A2906" i="7"/>
  <c r="A2905" i="7"/>
  <c r="A2904" i="7"/>
  <c r="A2903" i="7"/>
  <c r="A2902" i="7"/>
  <c r="A2901" i="7"/>
  <c r="A2900" i="7"/>
  <c r="A2899" i="7"/>
  <c r="A2898" i="7"/>
  <c r="A2897" i="7"/>
  <c r="A2896" i="7"/>
  <c r="A2895" i="7"/>
  <c r="A2894" i="7"/>
  <c r="A2893" i="7"/>
  <c r="A2892" i="7"/>
  <c r="A2891" i="7"/>
  <c r="A2890" i="7"/>
  <c r="A2889" i="7"/>
  <c r="A2888" i="7"/>
  <c r="A2887" i="7"/>
  <c r="A2886" i="7"/>
  <c r="A2885" i="7"/>
  <c r="A2884" i="7"/>
  <c r="A2883" i="7"/>
  <c r="A2882" i="7"/>
  <c r="A2881" i="7"/>
  <c r="A2880" i="7"/>
  <c r="A2879" i="7"/>
  <c r="A2878" i="7"/>
  <c r="A2877" i="7"/>
  <c r="A2876" i="7"/>
  <c r="A2875" i="7"/>
  <c r="A2874" i="7"/>
  <c r="A2873" i="7"/>
  <c r="A2872" i="7"/>
  <c r="A2871" i="7"/>
  <c r="A2870" i="7"/>
  <c r="A2869" i="7"/>
  <c r="A2868" i="7"/>
  <c r="A2867" i="7"/>
  <c r="A2866" i="7"/>
  <c r="A2865" i="7"/>
  <c r="A2864" i="7"/>
  <c r="A2863" i="7"/>
  <c r="A2862" i="7"/>
  <c r="A2861" i="7"/>
  <c r="A2860" i="7"/>
  <c r="A2859" i="7"/>
  <c r="A2858" i="7"/>
  <c r="A2857" i="7"/>
  <c r="A2856" i="7"/>
  <c r="A2855" i="7"/>
  <c r="A2854" i="7"/>
  <c r="A2853" i="7"/>
  <c r="A2852" i="7"/>
  <c r="A2851" i="7"/>
  <c r="A2850" i="7"/>
  <c r="A2849" i="7"/>
  <c r="A2848" i="7"/>
  <c r="A2847" i="7"/>
  <c r="A2846" i="7"/>
  <c r="A2845" i="7"/>
  <c r="A2844" i="7"/>
  <c r="A2843" i="7"/>
  <c r="A2842" i="7"/>
  <c r="A2841" i="7"/>
  <c r="A2840" i="7"/>
  <c r="A2839" i="7"/>
  <c r="A2838" i="7"/>
  <c r="A2837" i="7"/>
  <c r="A2836" i="7"/>
  <c r="A2835" i="7"/>
  <c r="A2834" i="7"/>
  <c r="A2833" i="7"/>
  <c r="A2832" i="7"/>
  <c r="A2831" i="7"/>
  <c r="A2830" i="7"/>
  <c r="A2829" i="7"/>
  <c r="A2828" i="7"/>
  <c r="A2827" i="7"/>
  <c r="A2826" i="7"/>
  <c r="A2825" i="7"/>
  <c r="A2824" i="7"/>
  <c r="A2823" i="7"/>
  <c r="A2822" i="7"/>
  <c r="A2821" i="7"/>
  <c r="A2820" i="7"/>
  <c r="A2819" i="7"/>
  <c r="A2818" i="7"/>
  <c r="A2817" i="7"/>
  <c r="A2816" i="7"/>
  <c r="A2815" i="7"/>
  <c r="A2814" i="7"/>
  <c r="A2813" i="7"/>
  <c r="A2812" i="7"/>
  <c r="A2811" i="7"/>
  <c r="A2810" i="7"/>
  <c r="A2809" i="7"/>
  <c r="A2808" i="7"/>
  <c r="A2807" i="7"/>
  <c r="A2806" i="7"/>
  <c r="A2805" i="7"/>
  <c r="A2804" i="7"/>
  <c r="A2803" i="7"/>
  <c r="A2802" i="7"/>
  <c r="A2801" i="7"/>
  <c r="A2800" i="7"/>
  <c r="A2799" i="7"/>
  <c r="A2798" i="7"/>
  <c r="A2797" i="7"/>
  <c r="A2796" i="7"/>
  <c r="A2795" i="7"/>
  <c r="A2794" i="7"/>
  <c r="A2793" i="7"/>
  <c r="A2792" i="7"/>
  <c r="A2791" i="7"/>
  <c r="A2790" i="7"/>
  <c r="A2789" i="7"/>
  <c r="A2788" i="7"/>
  <c r="A2787" i="7"/>
  <c r="A2786" i="7"/>
  <c r="A2785" i="7"/>
  <c r="A2784" i="7"/>
  <c r="A2783" i="7"/>
  <c r="A2782" i="7"/>
  <c r="A2781" i="7"/>
  <c r="A2780" i="7"/>
  <c r="A2779" i="7"/>
  <c r="A2778" i="7"/>
  <c r="A2777" i="7"/>
  <c r="A2776" i="7"/>
  <c r="A2775" i="7"/>
  <c r="A2774" i="7"/>
  <c r="A2773" i="7"/>
  <c r="A2772" i="7"/>
  <c r="A2771" i="7"/>
  <c r="A2770" i="7"/>
  <c r="A2769" i="7"/>
  <c r="A2768" i="7"/>
  <c r="A2767" i="7"/>
  <c r="A2766" i="7"/>
  <c r="A2765" i="7"/>
  <c r="A2764" i="7"/>
  <c r="A2763" i="7"/>
  <c r="A2762" i="7"/>
  <c r="A2761" i="7"/>
  <c r="A2760" i="7"/>
  <c r="A2759" i="7"/>
  <c r="A2758" i="7"/>
  <c r="A2757" i="7"/>
  <c r="A2756" i="7"/>
  <c r="A2755" i="7"/>
  <c r="A2754" i="7"/>
  <c r="A2753" i="7"/>
  <c r="A2752" i="7"/>
  <c r="A2751" i="7"/>
  <c r="A2750" i="7"/>
  <c r="A2749" i="7"/>
  <c r="A2748" i="7"/>
  <c r="A2747" i="7"/>
  <c r="A2746" i="7"/>
  <c r="A2745" i="7"/>
  <c r="A2744" i="7"/>
  <c r="A2743" i="7"/>
  <c r="A2742" i="7"/>
  <c r="A2741" i="7"/>
  <c r="A2740" i="7"/>
  <c r="A2739" i="7"/>
  <c r="A2738" i="7"/>
  <c r="A2737" i="7"/>
  <c r="A2736" i="7"/>
  <c r="A2735" i="7"/>
  <c r="A2734" i="7"/>
  <c r="A2733" i="7"/>
  <c r="A2732" i="7"/>
  <c r="A2731" i="7"/>
  <c r="A2730" i="7"/>
  <c r="A2729" i="7"/>
  <c r="A2728" i="7"/>
  <c r="A2727" i="7"/>
  <c r="A2726" i="7"/>
  <c r="A2725" i="7"/>
  <c r="A2724" i="7"/>
  <c r="A2723" i="7"/>
  <c r="A2722" i="7"/>
  <c r="A2721" i="7"/>
  <c r="A2720" i="7"/>
  <c r="A2719" i="7"/>
  <c r="A2718" i="7"/>
  <c r="A2717" i="7"/>
  <c r="A2716" i="7"/>
  <c r="A2715" i="7"/>
  <c r="A2714" i="7"/>
  <c r="A2713" i="7"/>
  <c r="A2712" i="7"/>
  <c r="A2711" i="7"/>
  <c r="A2710" i="7"/>
  <c r="A2709" i="7"/>
  <c r="A2708" i="7"/>
  <c r="A2707" i="7"/>
  <c r="A2706" i="7"/>
  <c r="A2705" i="7"/>
  <c r="A2704" i="7"/>
  <c r="A2703" i="7"/>
  <c r="A2702" i="7"/>
  <c r="A2701" i="7"/>
  <c r="A2700" i="7"/>
  <c r="A2699" i="7"/>
  <c r="A2698" i="7"/>
  <c r="A2697" i="7"/>
  <c r="A2696" i="7"/>
  <c r="A2695" i="7"/>
  <c r="A2694" i="7"/>
  <c r="A2693" i="7"/>
  <c r="A2692" i="7"/>
  <c r="A2691" i="7"/>
  <c r="A2690" i="7"/>
  <c r="A2689" i="7"/>
  <c r="A2688" i="7"/>
  <c r="A2687" i="7"/>
  <c r="A2686" i="7"/>
  <c r="A2685" i="7"/>
  <c r="A2684" i="7"/>
  <c r="A2683" i="7"/>
  <c r="A2682" i="7"/>
  <c r="A2681" i="7"/>
  <c r="A2680" i="7"/>
  <c r="A2679" i="7"/>
  <c r="A2678" i="7"/>
  <c r="A2677" i="7"/>
  <c r="A2676" i="7"/>
  <c r="A2675" i="7"/>
  <c r="A2674" i="7"/>
  <c r="A2673" i="7"/>
  <c r="A2672" i="7"/>
  <c r="A2671" i="7"/>
  <c r="A2670" i="7"/>
  <c r="A2669" i="7"/>
  <c r="A2668" i="7"/>
  <c r="A2667" i="7"/>
  <c r="A2666" i="7"/>
  <c r="A2665" i="7"/>
  <c r="A2664" i="7"/>
  <c r="A2663" i="7"/>
  <c r="A2662" i="7"/>
  <c r="A2661" i="7"/>
  <c r="A2660" i="7"/>
  <c r="A2659" i="7"/>
  <c r="A2658" i="7"/>
  <c r="A2657" i="7"/>
  <c r="A2656" i="7"/>
  <c r="A2655" i="7"/>
  <c r="A2654" i="7"/>
  <c r="A2653" i="7"/>
  <c r="A2652" i="7"/>
  <c r="A2651" i="7"/>
  <c r="A2650" i="7"/>
  <c r="A2649" i="7"/>
  <c r="A2648" i="7"/>
  <c r="A2647" i="7"/>
  <c r="A2646" i="7"/>
  <c r="A2645" i="7"/>
  <c r="A2644" i="7"/>
  <c r="A2643" i="7"/>
  <c r="A2642" i="7"/>
  <c r="A2641" i="7"/>
  <c r="A2640" i="7"/>
  <c r="A2639" i="7"/>
  <c r="A2638" i="7"/>
  <c r="A2637" i="7"/>
  <c r="A2636" i="7"/>
  <c r="A2635" i="7"/>
  <c r="A2634" i="7"/>
  <c r="A2633" i="7"/>
  <c r="A2632" i="7"/>
  <c r="A2631" i="7"/>
  <c r="A2630" i="7"/>
  <c r="A2629" i="7"/>
  <c r="A2628" i="7"/>
  <c r="A2627" i="7"/>
  <c r="A2626" i="7"/>
  <c r="A2625" i="7"/>
  <c r="A2624" i="7"/>
  <c r="A2623" i="7"/>
  <c r="A2622" i="7"/>
  <c r="A2621" i="7"/>
  <c r="A2620" i="7"/>
  <c r="A2619" i="7"/>
  <c r="A2618" i="7"/>
  <c r="A2617" i="7"/>
  <c r="A2616" i="7"/>
  <c r="A2615" i="7"/>
  <c r="A2614" i="7"/>
  <c r="A2613" i="7"/>
  <c r="A2612" i="7"/>
  <c r="A2611" i="7"/>
  <c r="A2610" i="7"/>
  <c r="A2609" i="7"/>
  <c r="A2608" i="7"/>
  <c r="A2607" i="7"/>
  <c r="A2606" i="7"/>
  <c r="A2605" i="7"/>
  <c r="A2604" i="7"/>
  <c r="A2603" i="7"/>
  <c r="A2602" i="7"/>
  <c r="A2601" i="7"/>
  <c r="A2600" i="7"/>
  <c r="A2599" i="7"/>
  <c r="A2598" i="7"/>
  <c r="A2597" i="7"/>
  <c r="A2596" i="7"/>
  <c r="A2595" i="7"/>
  <c r="A2594" i="7"/>
  <c r="A2593" i="7"/>
  <c r="A2592" i="7"/>
  <c r="A2591" i="7"/>
  <c r="A2590" i="7"/>
  <c r="A2589" i="7"/>
  <c r="A2588" i="7"/>
  <c r="A2587" i="7"/>
  <c r="A2586" i="7"/>
  <c r="A2585" i="7"/>
  <c r="A2584" i="7"/>
  <c r="A2583" i="7"/>
  <c r="A2582" i="7"/>
  <c r="A2581" i="7"/>
  <c r="A2580" i="7"/>
  <c r="A2579" i="7"/>
  <c r="A2578" i="7"/>
  <c r="A2577" i="7"/>
  <c r="A2576" i="7"/>
  <c r="A2575" i="7"/>
  <c r="A2574" i="7"/>
  <c r="A2573" i="7"/>
  <c r="A2572" i="7"/>
  <c r="A2571" i="7"/>
  <c r="A2570" i="7"/>
  <c r="A2569" i="7"/>
  <c r="A2568" i="7"/>
  <c r="A2567" i="7"/>
  <c r="A2566" i="7"/>
  <c r="A2565" i="7"/>
  <c r="A2564" i="7"/>
  <c r="A2563" i="7"/>
  <c r="A2562" i="7"/>
  <c r="A2561" i="7"/>
  <c r="A2560" i="7"/>
  <c r="A2559" i="7"/>
  <c r="A2558" i="7"/>
  <c r="A2557" i="7"/>
  <c r="A2556" i="7"/>
  <c r="A2555" i="7"/>
  <c r="A2554" i="7"/>
  <c r="A2553" i="7"/>
  <c r="A2552" i="7"/>
  <c r="A2551" i="7"/>
  <c r="A2550" i="7"/>
  <c r="A2549" i="7"/>
  <c r="A2548" i="7"/>
  <c r="A2547" i="7"/>
  <c r="A2546" i="7"/>
  <c r="A2545" i="7"/>
  <c r="A2544" i="7"/>
  <c r="A2543" i="7"/>
  <c r="A2542" i="7"/>
  <c r="A2541" i="7"/>
  <c r="A2540" i="7"/>
  <c r="A2539" i="7"/>
  <c r="A2538" i="7"/>
  <c r="A2537" i="7"/>
  <c r="A2536" i="7"/>
  <c r="A2535" i="7"/>
  <c r="A2534" i="7"/>
  <c r="A2533" i="7"/>
  <c r="A2532" i="7"/>
  <c r="A2531" i="7"/>
  <c r="A2530" i="7"/>
  <c r="A2529" i="7"/>
  <c r="A2528" i="7"/>
  <c r="A2527" i="7"/>
  <c r="A2526" i="7"/>
  <c r="A2525" i="7"/>
  <c r="A2524" i="7"/>
  <c r="A2523" i="7"/>
  <c r="A2522" i="7"/>
  <c r="A2521" i="7"/>
  <c r="A2520" i="7"/>
  <c r="A2519" i="7"/>
  <c r="A2518" i="7"/>
  <c r="A2517" i="7"/>
  <c r="A2516" i="7"/>
  <c r="A2515" i="7"/>
  <c r="A2514" i="7"/>
  <c r="A2513" i="7"/>
  <c r="A2512" i="7"/>
  <c r="A2511" i="7"/>
  <c r="A2510" i="7"/>
  <c r="A2509" i="7"/>
  <c r="A2508" i="7"/>
  <c r="A2507" i="7"/>
  <c r="A2506" i="7"/>
  <c r="A2505" i="7"/>
  <c r="A2504" i="7"/>
  <c r="A2503" i="7"/>
  <c r="A2502" i="7"/>
  <c r="A2501" i="7"/>
  <c r="A2500" i="7"/>
  <c r="A2499" i="7"/>
  <c r="A2498" i="7"/>
  <c r="A2497" i="7"/>
  <c r="A2496" i="7"/>
  <c r="A2495" i="7"/>
  <c r="A2494" i="7"/>
  <c r="A2493" i="7"/>
  <c r="A2492" i="7"/>
  <c r="A2491" i="7"/>
  <c r="A2490" i="7"/>
  <c r="A2489" i="7"/>
  <c r="A2488" i="7"/>
  <c r="A2487" i="7"/>
  <c r="A2486" i="7"/>
  <c r="A2485" i="7"/>
  <c r="A2484" i="7"/>
  <c r="A2483" i="7"/>
  <c r="A2482" i="7"/>
  <c r="A2481" i="7"/>
  <c r="A2480" i="7"/>
  <c r="A2479" i="7"/>
  <c r="A2478" i="7"/>
  <c r="A2477" i="7"/>
  <c r="A2476" i="7"/>
  <c r="A2475" i="7"/>
  <c r="A2474" i="7"/>
  <c r="A2473" i="7"/>
  <c r="A2472" i="7"/>
  <c r="A2471" i="7"/>
  <c r="A2470" i="7"/>
  <c r="A2469" i="7"/>
  <c r="A2468" i="7"/>
  <c r="A2467" i="7"/>
  <c r="A2466" i="7"/>
  <c r="A2465" i="7"/>
  <c r="A2464" i="7"/>
  <c r="A2463" i="7"/>
  <c r="A2462" i="7"/>
  <c r="A2461" i="7"/>
  <c r="A2460" i="7"/>
  <c r="A2459" i="7"/>
  <c r="A2458" i="7"/>
  <c r="A2457" i="7"/>
  <c r="A2456" i="7"/>
  <c r="A2455" i="7"/>
  <c r="A2454" i="7"/>
  <c r="A2453" i="7"/>
  <c r="A2452" i="7"/>
  <c r="A2451" i="7"/>
  <c r="A2450" i="7"/>
  <c r="A2449" i="7"/>
  <c r="A2448" i="7"/>
  <c r="A2447" i="7"/>
  <c r="A2446" i="7"/>
  <c r="A2445" i="7"/>
  <c r="A2444" i="7"/>
  <c r="A2443" i="7"/>
  <c r="A2442" i="7"/>
  <c r="A2441" i="7"/>
  <c r="A2440" i="7"/>
  <c r="A2439" i="7"/>
  <c r="A2438" i="7"/>
  <c r="A2437" i="7"/>
  <c r="A2436" i="7"/>
  <c r="A2435" i="7"/>
  <c r="A2434" i="7"/>
  <c r="A2433" i="7"/>
  <c r="A2432" i="7"/>
  <c r="A2431" i="7"/>
  <c r="A2430" i="7"/>
  <c r="A2429" i="7"/>
  <c r="A2428" i="7"/>
  <c r="A2427" i="7"/>
  <c r="A2426" i="7"/>
  <c r="A2425" i="7"/>
  <c r="A2424" i="7"/>
  <c r="A2423" i="7"/>
  <c r="A2422" i="7"/>
  <c r="A2421" i="7"/>
  <c r="A2420" i="7"/>
  <c r="A2419" i="7"/>
  <c r="A2418" i="7"/>
  <c r="A2417" i="7"/>
  <c r="A2416" i="7"/>
  <c r="A2415" i="7"/>
  <c r="A2414" i="7"/>
  <c r="A2413" i="7"/>
  <c r="A2412" i="7"/>
  <c r="A2411" i="7"/>
  <c r="A2410" i="7"/>
  <c r="A2409" i="7"/>
  <c r="A2408" i="7"/>
  <c r="A2407" i="7"/>
  <c r="A2406" i="7"/>
  <c r="A2405" i="7"/>
  <c r="A2404" i="7"/>
  <c r="A2403" i="7"/>
  <c r="A2402" i="7"/>
  <c r="A2401" i="7"/>
  <c r="A2400" i="7"/>
  <c r="A2399" i="7"/>
  <c r="A2398" i="7"/>
  <c r="A2397" i="7"/>
  <c r="A2396" i="7"/>
  <c r="A2395" i="7"/>
  <c r="A2394" i="7"/>
  <c r="A2393" i="7"/>
  <c r="A2392" i="7"/>
  <c r="A2391" i="7"/>
  <c r="A2390" i="7"/>
  <c r="A2389" i="7"/>
  <c r="A2388" i="7"/>
  <c r="A2387" i="7"/>
  <c r="A2386" i="7"/>
  <c r="A2385" i="7"/>
  <c r="A2384" i="7"/>
  <c r="A2383" i="7"/>
  <c r="A2382" i="7"/>
  <c r="A2381" i="7"/>
  <c r="A2380" i="7"/>
  <c r="A2379" i="7"/>
  <c r="A2378" i="7"/>
  <c r="A2377" i="7"/>
  <c r="A2376" i="7"/>
  <c r="A2375" i="7"/>
  <c r="A2374" i="7"/>
  <c r="A2373" i="7"/>
  <c r="A2372" i="7"/>
  <c r="A2371" i="7"/>
  <c r="A2370" i="7"/>
  <c r="A2369" i="7"/>
  <c r="A2368" i="7"/>
  <c r="A2367" i="7"/>
  <c r="A2366" i="7"/>
  <c r="A2365" i="7"/>
  <c r="A2364" i="7"/>
  <c r="A2363" i="7"/>
  <c r="A2362" i="7"/>
  <c r="A2361" i="7"/>
  <c r="A2360" i="7"/>
  <c r="A2359" i="7"/>
  <c r="A2358" i="7"/>
  <c r="A2357" i="7"/>
  <c r="A2356" i="7"/>
  <c r="A2355" i="7"/>
  <c r="A2354" i="7"/>
  <c r="A2353" i="7"/>
  <c r="A2352" i="7"/>
  <c r="A2351" i="7"/>
  <c r="A2350" i="7"/>
  <c r="A2349" i="7"/>
  <c r="A2348" i="7"/>
  <c r="A2347" i="7"/>
  <c r="A2346" i="7"/>
  <c r="A2345" i="7"/>
  <c r="A2344" i="7"/>
  <c r="A2343" i="7"/>
  <c r="A2342" i="7"/>
  <c r="A2341" i="7"/>
  <c r="A2340" i="7"/>
  <c r="A2339" i="7"/>
  <c r="A2338" i="7"/>
  <c r="A2337" i="7"/>
  <c r="A2336" i="7"/>
  <c r="A2335" i="7"/>
  <c r="A2334" i="7"/>
  <c r="A2333" i="7"/>
  <c r="A2332" i="7"/>
  <c r="A2331" i="7"/>
  <c r="A2330" i="7"/>
  <c r="A2329" i="7"/>
  <c r="A2328" i="7"/>
  <c r="A2327" i="7"/>
  <c r="A2326" i="7"/>
  <c r="A2325" i="7"/>
  <c r="A2324" i="7"/>
  <c r="A2323" i="7"/>
  <c r="A2322" i="7"/>
  <c r="A2321" i="7"/>
  <c r="A2320" i="7"/>
  <c r="A2319" i="7"/>
  <c r="A2318" i="7"/>
  <c r="A2317" i="7"/>
  <c r="A2316" i="7"/>
  <c r="A2315" i="7"/>
  <c r="A2314" i="7"/>
  <c r="A2313" i="7"/>
  <c r="A2312" i="7"/>
  <c r="A2311" i="7"/>
  <c r="A2310" i="7"/>
  <c r="A2309" i="7"/>
  <c r="A2308" i="7"/>
  <c r="A2307" i="7"/>
  <c r="A2306" i="7"/>
  <c r="A2305" i="7"/>
  <c r="A2304" i="7"/>
  <c r="A2303" i="7"/>
  <c r="A2302" i="7"/>
  <c r="A2301" i="7"/>
  <c r="A2300" i="7"/>
  <c r="A2299" i="7"/>
  <c r="A2298" i="7"/>
  <c r="A2297" i="7"/>
  <c r="A2296" i="7"/>
  <c r="A2295" i="7"/>
  <c r="A2294" i="7"/>
  <c r="A2293" i="7"/>
  <c r="A2292" i="7"/>
  <c r="A2291" i="7"/>
  <c r="A2290" i="7"/>
  <c r="A2289" i="7"/>
  <c r="A2288" i="7"/>
  <c r="A2287" i="7"/>
  <c r="A2286" i="7"/>
  <c r="A2285" i="7"/>
  <c r="A2284" i="7"/>
  <c r="A2283" i="7"/>
  <c r="A2282" i="7"/>
  <c r="A2281" i="7"/>
  <c r="A2280" i="7"/>
  <c r="A2279" i="7"/>
  <c r="A2278" i="7"/>
  <c r="A2277" i="7"/>
  <c r="A2276" i="7"/>
  <c r="A2275" i="7"/>
  <c r="A2274" i="7"/>
  <c r="A2273" i="7"/>
  <c r="A2272" i="7"/>
  <c r="A2271" i="7"/>
  <c r="A2270" i="7"/>
  <c r="A2269" i="7"/>
  <c r="A2268" i="7"/>
  <c r="A2267" i="7"/>
  <c r="A2266" i="7"/>
  <c r="A2265" i="7"/>
  <c r="A2264" i="7"/>
  <c r="A2263" i="7"/>
  <c r="A2262" i="7"/>
  <c r="A2261" i="7"/>
  <c r="A2260" i="7"/>
  <c r="A2259" i="7"/>
  <c r="A2258" i="7"/>
  <c r="A2257" i="7"/>
  <c r="A2256" i="7"/>
  <c r="A2255" i="7"/>
  <c r="A2254" i="7"/>
  <c r="A2253" i="7"/>
  <c r="A2252" i="7"/>
  <c r="A2251" i="7"/>
  <c r="A2250" i="7"/>
  <c r="A2249" i="7"/>
  <c r="A2248" i="7"/>
  <c r="A2247" i="7"/>
  <c r="A2246" i="7"/>
  <c r="A2245" i="7"/>
  <c r="A2244" i="7"/>
  <c r="A2243" i="7"/>
  <c r="A2242" i="7"/>
  <c r="A2241" i="7"/>
  <c r="A2240" i="7"/>
  <c r="A2239" i="7"/>
  <c r="A2238" i="7"/>
  <c r="A2237" i="7"/>
  <c r="A2236" i="7"/>
  <c r="A2235" i="7"/>
  <c r="A2234" i="7"/>
  <c r="A2233" i="7"/>
  <c r="A2232" i="7"/>
  <c r="A2231" i="7"/>
  <c r="A2230" i="7"/>
  <c r="A2229" i="7"/>
  <c r="A2228" i="7"/>
  <c r="A2227" i="7"/>
  <c r="A2226" i="7"/>
  <c r="A2225" i="7"/>
  <c r="A2224" i="7"/>
  <c r="A2223" i="7"/>
  <c r="A2222" i="7"/>
  <c r="A2221" i="7"/>
  <c r="A2220" i="7"/>
  <c r="A2219" i="7"/>
  <c r="A2218" i="7"/>
  <c r="A2217" i="7"/>
  <c r="A2216" i="7"/>
  <c r="A2215" i="7"/>
  <c r="A2214" i="7"/>
  <c r="A2213" i="7"/>
  <c r="A2212" i="7"/>
  <c r="A2211" i="7"/>
  <c r="A2210" i="7"/>
  <c r="A2209" i="7"/>
  <c r="A2208" i="7"/>
  <c r="A2207" i="7"/>
  <c r="A2206" i="7"/>
  <c r="A2205" i="7"/>
  <c r="A2204" i="7"/>
  <c r="A2203" i="7"/>
  <c r="A2202" i="7"/>
  <c r="A2201" i="7"/>
  <c r="A2200" i="7"/>
  <c r="A2199" i="7"/>
  <c r="A2198" i="7"/>
  <c r="A2197" i="7"/>
  <c r="A2196" i="7"/>
  <c r="A2195" i="7"/>
  <c r="A2194" i="7"/>
  <c r="A2193" i="7"/>
  <c r="A2192" i="7"/>
  <c r="A2191" i="7"/>
  <c r="A2190" i="7"/>
  <c r="A2189" i="7"/>
  <c r="A2188" i="7"/>
  <c r="A2187" i="7"/>
  <c r="A2186" i="7"/>
  <c r="A2185" i="7"/>
  <c r="A2184" i="7"/>
  <c r="A2183" i="7"/>
  <c r="A2182" i="7"/>
  <c r="A2181" i="7"/>
  <c r="A2180" i="7"/>
  <c r="A2179" i="7"/>
  <c r="A2178" i="7"/>
  <c r="A2177" i="7"/>
  <c r="A2176" i="7"/>
  <c r="A2175" i="7"/>
  <c r="A2174" i="7"/>
  <c r="A2173" i="7"/>
  <c r="A2172" i="7"/>
  <c r="A2171" i="7"/>
  <c r="A2170" i="7"/>
  <c r="A2169" i="7"/>
  <c r="A2168" i="7"/>
  <c r="A2167" i="7"/>
  <c r="A2166" i="7"/>
  <c r="A2165" i="7"/>
  <c r="A2164" i="7"/>
  <c r="A2163" i="7"/>
  <c r="A2162" i="7"/>
  <c r="A2161" i="7"/>
  <c r="A2160" i="7"/>
  <c r="A2159" i="7"/>
  <c r="A2158" i="7"/>
  <c r="A2157" i="7"/>
  <c r="A2156" i="7"/>
  <c r="A2155" i="7"/>
  <c r="A2154" i="7"/>
  <c r="A2153" i="7"/>
  <c r="A2152" i="7"/>
  <c r="A2151" i="7"/>
  <c r="A2150" i="7"/>
  <c r="A2149" i="7"/>
  <c r="A2148" i="7"/>
  <c r="A2147" i="7"/>
  <c r="A2146" i="7"/>
  <c r="A2145" i="7"/>
  <c r="A2144" i="7"/>
  <c r="A2143" i="7"/>
  <c r="A2142" i="7"/>
  <c r="A2141" i="7"/>
  <c r="A2140" i="7"/>
  <c r="A2139" i="7"/>
  <c r="A2138" i="7"/>
  <c r="A2137" i="7"/>
  <c r="A2136" i="7"/>
  <c r="A2135" i="7"/>
  <c r="A2134" i="7"/>
  <c r="A2133" i="7"/>
  <c r="A2132" i="7"/>
  <c r="A2131" i="7"/>
  <c r="A2130" i="7"/>
  <c r="A2129" i="7"/>
  <c r="A2128" i="7"/>
  <c r="A2127" i="7"/>
  <c r="A2126" i="7"/>
  <c r="A2125" i="7"/>
  <c r="A2124" i="7"/>
  <c r="A2123" i="7"/>
  <c r="A2122" i="7"/>
  <c r="A2121" i="7"/>
  <c r="A2120" i="7"/>
  <c r="A2119" i="7"/>
  <c r="A2118" i="7"/>
  <c r="A2117" i="7"/>
  <c r="A2116" i="7"/>
  <c r="A2115" i="7"/>
  <c r="A2114" i="7"/>
  <c r="A2113" i="7"/>
  <c r="A2112" i="7"/>
  <c r="A2111" i="7"/>
  <c r="A2110" i="7"/>
  <c r="A2109" i="7"/>
  <c r="A2108" i="7"/>
  <c r="A2107" i="7"/>
  <c r="A2106" i="7"/>
  <c r="A2105" i="7"/>
  <c r="A2104" i="7"/>
  <c r="A2103" i="7"/>
  <c r="A2102" i="7"/>
  <c r="A2101" i="7"/>
  <c r="A2100" i="7"/>
  <c r="A2099" i="7"/>
  <c r="A2098" i="7"/>
  <c r="A2097" i="7"/>
  <c r="A2096" i="7"/>
  <c r="A2095" i="7"/>
  <c r="A2094" i="7"/>
  <c r="A2093" i="7"/>
  <c r="A2092" i="7"/>
  <c r="A2091" i="7"/>
  <c r="A2090" i="7"/>
  <c r="A2089" i="7"/>
  <c r="A2088" i="7"/>
  <c r="A2087" i="7"/>
  <c r="A2086" i="7"/>
  <c r="A2085" i="7"/>
  <c r="A2084" i="7"/>
  <c r="A2083" i="7"/>
  <c r="A2082" i="7"/>
  <c r="A2081" i="7"/>
  <c r="A2080" i="7"/>
  <c r="A2079" i="7"/>
  <c r="A2078" i="7"/>
  <c r="A2077" i="7"/>
  <c r="A2076" i="7"/>
  <c r="A2075" i="7"/>
  <c r="A2074" i="7"/>
  <c r="A2073" i="7"/>
  <c r="A2072" i="7"/>
  <c r="A2071" i="7"/>
  <c r="A2070" i="7"/>
  <c r="A2069" i="7"/>
  <c r="A2068" i="7"/>
  <c r="A2067" i="7"/>
  <c r="A2066" i="7"/>
  <c r="A2065" i="7"/>
  <c r="A2064" i="7"/>
  <c r="A2063" i="7"/>
  <c r="A2062" i="7"/>
  <c r="A2061" i="7"/>
  <c r="A2060" i="7"/>
  <c r="A2059" i="7"/>
  <c r="A2058" i="7"/>
  <c r="A2057" i="7"/>
  <c r="A2056" i="7"/>
  <c r="A2055" i="7"/>
  <c r="A2054" i="7"/>
  <c r="A2053" i="7"/>
  <c r="A2052" i="7"/>
  <c r="A2051" i="7"/>
  <c r="A2050" i="7"/>
  <c r="A2049" i="7"/>
  <c r="A2048" i="7"/>
  <c r="A2047" i="7"/>
  <c r="A2046" i="7"/>
  <c r="A2045" i="7"/>
  <c r="A2044" i="7"/>
  <c r="A2043" i="7"/>
  <c r="A2042" i="7"/>
  <c r="A2041" i="7"/>
  <c r="A2040" i="7"/>
  <c r="A2039" i="7"/>
  <c r="A2038" i="7"/>
  <c r="A2037" i="7"/>
  <c r="A2036" i="7"/>
  <c r="A2035" i="7"/>
  <c r="A2034" i="7"/>
  <c r="A2033" i="7"/>
  <c r="A2032" i="7"/>
  <c r="A2031" i="7"/>
  <c r="A2030" i="7"/>
  <c r="A2029" i="7"/>
  <c r="A2028" i="7"/>
  <c r="A2027" i="7"/>
  <c r="A2026" i="7"/>
  <c r="A2025" i="7"/>
  <c r="A2024" i="7"/>
  <c r="A2023" i="7"/>
  <c r="A2022" i="7"/>
  <c r="A2021" i="7"/>
  <c r="A2020" i="7"/>
  <c r="A2019" i="7"/>
  <c r="A2018" i="7"/>
  <c r="A2017" i="7"/>
  <c r="A2016" i="7"/>
  <c r="A2015" i="7"/>
  <c r="A2014" i="7"/>
  <c r="A2013" i="7"/>
  <c r="A2012" i="7"/>
  <c r="A2011" i="7"/>
  <c r="A2010" i="7"/>
  <c r="A2009" i="7"/>
  <c r="A2008" i="7"/>
  <c r="A2007" i="7"/>
  <c r="A2006" i="7"/>
  <c r="A2005" i="7"/>
  <c r="A2004" i="7"/>
  <c r="A2003" i="7"/>
  <c r="A2002" i="7"/>
  <c r="A2001" i="7"/>
  <c r="A2000" i="7"/>
  <c r="A1999" i="7"/>
  <c r="A1998" i="7"/>
  <c r="A1997" i="7"/>
  <c r="A1996" i="7"/>
  <c r="A1995" i="7"/>
  <c r="A1994" i="7"/>
  <c r="A1993" i="7"/>
  <c r="A1992" i="7"/>
  <c r="A1991" i="7"/>
  <c r="A1990" i="7"/>
  <c r="A1989" i="7"/>
  <c r="A1988" i="7"/>
  <c r="A1987" i="7"/>
  <c r="A1986" i="7"/>
  <c r="A1985" i="7"/>
  <c r="A1984" i="7"/>
  <c r="A1983" i="7"/>
  <c r="A1982" i="7"/>
  <c r="A1981" i="7"/>
  <c r="A1980" i="7"/>
  <c r="A1979" i="7"/>
  <c r="A1978" i="7"/>
  <c r="A1977" i="7"/>
  <c r="A1976" i="7"/>
  <c r="A1975" i="7"/>
  <c r="A1974" i="7"/>
  <c r="A1973" i="7"/>
  <c r="A1972" i="7"/>
  <c r="A1971" i="7"/>
  <c r="A1970" i="7"/>
  <c r="A1969" i="7"/>
  <c r="A1968" i="7"/>
  <c r="A1967" i="7"/>
  <c r="A1966" i="7"/>
  <c r="A1965" i="7"/>
  <c r="A1964" i="7"/>
  <c r="A1963" i="7"/>
  <c r="A1962" i="7"/>
  <c r="A1961" i="7"/>
  <c r="A1960" i="7"/>
  <c r="A1959" i="7"/>
  <c r="A1958" i="7"/>
  <c r="A1957" i="7"/>
  <c r="A1956" i="7"/>
  <c r="A1955" i="7"/>
  <c r="A1954" i="7"/>
  <c r="A1953" i="7"/>
  <c r="A1952" i="7"/>
  <c r="A1951" i="7"/>
  <c r="A1950" i="7"/>
  <c r="A1949" i="7"/>
  <c r="A1948" i="7"/>
  <c r="A1947" i="7"/>
  <c r="A1946" i="7"/>
  <c r="A1945" i="7"/>
  <c r="A1944" i="7"/>
  <c r="A1943" i="7"/>
  <c r="A1942" i="7"/>
  <c r="A1941" i="7"/>
  <c r="A1940" i="7"/>
  <c r="A1939" i="7"/>
  <c r="A1938" i="7"/>
  <c r="A1937" i="7"/>
  <c r="A1936" i="7"/>
  <c r="A1935" i="7"/>
  <c r="A1934" i="7"/>
  <c r="A1933" i="7"/>
  <c r="A1932" i="7"/>
  <c r="A1931" i="7"/>
  <c r="A1930" i="7"/>
  <c r="A1929" i="7"/>
  <c r="A1928" i="7"/>
  <c r="A1927" i="7"/>
  <c r="A1926" i="7"/>
  <c r="A1925" i="7"/>
  <c r="A1924" i="7"/>
  <c r="A1923" i="7"/>
  <c r="A1922" i="7"/>
  <c r="A1921" i="7"/>
  <c r="A1920" i="7"/>
  <c r="A1919" i="7"/>
  <c r="A1918" i="7"/>
  <c r="A1917" i="7"/>
  <c r="A1916" i="7"/>
  <c r="A1915" i="7"/>
  <c r="A1914" i="7"/>
  <c r="A1913" i="7"/>
  <c r="A1912" i="7"/>
  <c r="A1911" i="7"/>
  <c r="A1910" i="7"/>
  <c r="A1909" i="7"/>
  <c r="A1908" i="7"/>
  <c r="A1907" i="7"/>
  <c r="A1906" i="7"/>
  <c r="A1905" i="7"/>
  <c r="A1904" i="7"/>
  <c r="A1903" i="7"/>
  <c r="A1902" i="7"/>
  <c r="A1901" i="7"/>
  <c r="A1900" i="7"/>
  <c r="A1899" i="7"/>
  <c r="A1898" i="7"/>
  <c r="A1897" i="7"/>
  <c r="A1896" i="7"/>
  <c r="A1895" i="7"/>
  <c r="A1894" i="7"/>
  <c r="A1893" i="7"/>
  <c r="A1892" i="7"/>
  <c r="A1891" i="7"/>
  <c r="A1890" i="7"/>
  <c r="A1889" i="7"/>
  <c r="A1888" i="7"/>
  <c r="A1887" i="7"/>
  <c r="A1886" i="7"/>
  <c r="A1885" i="7"/>
  <c r="A1884" i="7"/>
  <c r="A1883" i="7"/>
  <c r="A1882" i="7"/>
  <c r="A1881" i="7"/>
  <c r="A1880" i="7"/>
  <c r="A1879" i="7"/>
  <c r="A1878" i="7"/>
  <c r="A1877" i="7"/>
  <c r="A1876" i="7"/>
  <c r="A1875" i="7"/>
  <c r="A1874" i="7"/>
  <c r="A1873" i="7"/>
  <c r="A1872" i="7"/>
  <c r="A1871" i="7"/>
  <c r="A1870" i="7"/>
  <c r="A1869" i="7"/>
  <c r="A1868" i="7"/>
  <c r="A1867" i="7"/>
  <c r="A1866" i="7"/>
  <c r="A1865" i="7"/>
  <c r="A1864" i="7"/>
  <c r="A1863" i="7"/>
  <c r="A1862" i="7"/>
  <c r="A1861" i="7"/>
  <c r="A1860" i="7"/>
  <c r="A1859" i="7"/>
  <c r="A1858" i="7"/>
  <c r="A1857" i="7"/>
  <c r="A1856" i="7"/>
  <c r="A1855" i="7"/>
  <c r="A1854" i="7"/>
  <c r="A1853" i="7"/>
  <c r="A1852" i="7"/>
  <c r="A1851" i="7"/>
  <c r="A1850" i="7"/>
  <c r="A1849" i="7"/>
  <c r="A1848" i="7"/>
  <c r="A1847" i="7"/>
  <c r="A1846" i="7"/>
  <c r="A1845" i="7"/>
  <c r="A1844" i="7"/>
  <c r="A1843" i="7"/>
  <c r="A1842" i="7"/>
  <c r="A1841" i="7"/>
  <c r="A1840" i="7"/>
  <c r="A1839" i="7"/>
  <c r="A1838" i="7"/>
  <c r="A1837" i="7"/>
  <c r="A1836" i="7"/>
  <c r="A1835" i="7"/>
  <c r="A1834" i="7"/>
  <c r="A1833" i="7"/>
  <c r="A1832" i="7"/>
  <c r="A1831" i="7"/>
  <c r="A1830" i="7"/>
  <c r="A1829" i="7"/>
  <c r="A1828" i="7"/>
  <c r="A1827" i="7"/>
  <c r="A1826" i="7"/>
  <c r="A1825" i="7"/>
  <c r="A1824" i="7"/>
  <c r="A1823" i="7"/>
  <c r="A1822" i="7"/>
  <c r="A1821" i="7"/>
  <c r="A1820" i="7"/>
  <c r="A1819" i="7"/>
  <c r="A1818" i="7"/>
  <c r="A1817" i="7"/>
  <c r="A1816" i="7"/>
  <c r="A1815" i="7"/>
  <c r="A1814" i="7"/>
  <c r="A1813" i="7"/>
  <c r="A1812" i="7"/>
  <c r="A1811" i="7"/>
  <c r="A1810" i="7"/>
  <c r="A1809" i="7"/>
  <c r="A1808" i="7"/>
  <c r="A1807" i="7"/>
  <c r="A1806" i="7"/>
  <c r="A1805" i="7"/>
  <c r="A1804" i="7"/>
  <c r="A1803" i="7"/>
  <c r="A1802" i="7"/>
  <c r="A1801" i="7"/>
  <c r="A1800" i="7"/>
  <c r="A1799" i="7"/>
  <c r="A1798" i="7"/>
  <c r="A1797" i="7"/>
  <c r="A1796" i="7"/>
  <c r="A1795" i="7"/>
  <c r="A1794" i="7"/>
  <c r="A1793" i="7"/>
  <c r="A1792" i="7"/>
  <c r="A1791" i="7"/>
  <c r="A1790" i="7"/>
  <c r="A1789" i="7"/>
  <c r="A1788" i="7"/>
  <c r="A1787" i="7"/>
  <c r="A1786" i="7"/>
  <c r="A1785" i="7"/>
  <c r="A1784" i="7"/>
  <c r="A1783" i="7"/>
  <c r="A1782" i="7"/>
  <c r="A1781" i="7"/>
  <c r="A1780" i="7"/>
  <c r="A1779" i="7"/>
  <c r="A1778" i="7"/>
  <c r="A1777" i="7"/>
  <c r="A1776" i="7"/>
  <c r="A1775" i="7"/>
  <c r="A1774" i="7"/>
  <c r="A1773" i="7"/>
  <c r="A1772" i="7"/>
  <c r="A1771" i="7"/>
  <c r="A1770" i="7"/>
  <c r="A1769" i="7"/>
  <c r="A1768" i="7"/>
  <c r="A1767" i="7"/>
  <c r="A1766" i="7"/>
  <c r="A1765" i="7"/>
  <c r="A1764" i="7"/>
  <c r="A1763" i="7"/>
  <c r="A1762" i="7"/>
  <c r="A1761" i="7"/>
  <c r="A1760" i="7"/>
  <c r="A1759" i="7"/>
  <c r="A1758" i="7"/>
  <c r="A1757" i="7"/>
  <c r="A1756" i="7"/>
  <c r="A1755" i="7"/>
  <c r="A1754" i="7"/>
  <c r="A1753" i="7"/>
  <c r="A1752" i="7"/>
  <c r="A1751" i="7"/>
  <c r="A1750" i="7"/>
  <c r="A1749" i="7"/>
  <c r="A1748" i="7"/>
  <c r="A1747" i="7"/>
  <c r="A1746" i="7"/>
  <c r="A1745" i="7"/>
  <c r="A1744" i="7"/>
  <c r="A1743" i="7"/>
  <c r="A1742" i="7"/>
  <c r="A1741" i="7"/>
  <c r="A1740" i="7"/>
  <c r="A1739" i="7"/>
  <c r="A1738" i="7"/>
  <c r="A1737" i="7"/>
  <c r="A1736" i="7"/>
  <c r="A1735" i="7"/>
  <c r="A1734" i="7"/>
  <c r="A1733" i="7"/>
  <c r="A1732" i="7"/>
  <c r="A1731" i="7"/>
  <c r="A1730" i="7"/>
  <c r="A1729" i="7"/>
  <c r="A1728" i="7"/>
  <c r="A1727" i="7"/>
  <c r="A1726" i="7"/>
  <c r="A1725" i="7"/>
  <c r="A1724" i="7"/>
  <c r="A1723" i="7"/>
  <c r="A1722" i="7"/>
  <c r="A1721" i="7"/>
  <c r="A1720" i="7"/>
  <c r="A1719" i="7"/>
  <c r="A1718" i="7"/>
  <c r="A1717" i="7"/>
  <c r="A1716" i="7"/>
  <c r="A1715" i="7"/>
  <c r="A1714" i="7"/>
  <c r="A1713" i="7"/>
  <c r="A1712" i="7"/>
  <c r="A1711" i="7"/>
  <c r="A1710" i="7"/>
  <c r="A1709" i="7"/>
  <c r="A1708" i="7"/>
  <c r="A1707" i="7"/>
  <c r="A1706" i="7"/>
  <c r="A1705" i="7"/>
  <c r="A1704" i="7"/>
  <c r="A1703" i="7"/>
  <c r="A1702" i="7"/>
  <c r="A1701" i="7"/>
  <c r="A1700" i="7"/>
  <c r="A1699" i="7"/>
  <c r="A1698" i="7"/>
  <c r="A1697" i="7"/>
  <c r="A1696" i="7"/>
  <c r="A1695" i="7"/>
  <c r="A1694" i="7"/>
  <c r="A1693" i="7"/>
  <c r="A1692" i="7"/>
  <c r="A1691" i="7"/>
  <c r="A1690" i="7"/>
  <c r="A1689" i="7"/>
  <c r="A1688" i="7"/>
  <c r="A1687" i="7"/>
  <c r="A1686" i="7"/>
  <c r="A1685" i="7"/>
  <c r="A1684" i="7"/>
  <c r="A1683" i="7"/>
  <c r="A1682" i="7"/>
  <c r="A1681" i="7"/>
  <c r="A1680" i="7"/>
  <c r="A1679" i="7"/>
  <c r="A1678" i="7"/>
  <c r="A1677" i="7"/>
  <c r="A1676" i="7"/>
  <c r="A1675" i="7"/>
  <c r="A1674" i="7"/>
  <c r="A1673" i="7"/>
  <c r="A1672" i="7"/>
  <c r="A1671" i="7"/>
  <c r="A1670" i="7"/>
  <c r="A1669" i="7"/>
  <c r="A1668" i="7"/>
  <c r="A1667" i="7"/>
  <c r="A1666" i="7"/>
  <c r="A1665" i="7"/>
  <c r="A1664" i="7"/>
  <c r="A1663" i="7"/>
  <c r="A1662" i="7"/>
  <c r="A1661" i="7"/>
  <c r="A1660" i="7"/>
  <c r="A1659" i="7"/>
  <c r="A1658" i="7"/>
  <c r="A1657" i="7"/>
  <c r="A1656" i="7"/>
  <c r="A1655" i="7"/>
  <c r="A1654" i="7"/>
  <c r="A1653" i="7"/>
  <c r="A1652" i="7"/>
  <c r="A1651" i="7"/>
  <c r="A1650" i="7"/>
  <c r="A1649" i="7"/>
  <c r="A1648" i="7"/>
  <c r="A1647" i="7"/>
  <c r="A1646" i="7"/>
  <c r="A1645" i="7"/>
  <c r="A1644" i="7"/>
  <c r="A1643" i="7"/>
  <c r="A1642" i="7"/>
  <c r="A1641" i="7"/>
  <c r="A1640" i="7"/>
  <c r="A1639" i="7"/>
  <c r="A1638" i="7"/>
  <c r="A1637" i="7"/>
  <c r="A1636" i="7"/>
  <c r="A1635" i="7"/>
  <c r="A1634" i="7"/>
  <c r="A1633" i="7"/>
  <c r="A1632" i="7"/>
  <c r="A1631" i="7"/>
  <c r="A1630" i="7"/>
  <c r="A1629" i="7"/>
  <c r="A1628" i="7"/>
  <c r="A1627" i="7"/>
  <c r="A1626" i="7"/>
  <c r="A1625" i="7"/>
  <c r="A1624" i="7"/>
  <c r="A1623" i="7"/>
  <c r="A1622" i="7"/>
  <c r="A1621" i="7"/>
  <c r="A1620" i="7"/>
  <c r="A1619" i="7"/>
  <c r="A1618" i="7"/>
  <c r="A1617" i="7"/>
  <c r="A1616" i="7"/>
  <c r="A1615" i="7"/>
  <c r="A1614" i="7"/>
  <c r="A1613" i="7"/>
  <c r="A1612" i="7"/>
  <c r="A1611" i="7"/>
  <c r="A1610" i="7"/>
  <c r="A1609" i="7"/>
  <c r="A1608" i="7"/>
  <c r="A1607" i="7"/>
  <c r="A1606" i="7"/>
  <c r="A1605" i="7"/>
  <c r="A1604" i="7"/>
  <c r="A1603" i="7"/>
  <c r="A1602" i="7"/>
  <c r="A1601" i="7"/>
  <c r="A1600" i="7"/>
  <c r="A1599" i="7"/>
  <c r="A1598" i="7"/>
  <c r="A1597" i="7"/>
  <c r="A1596" i="7"/>
  <c r="A1595" i="7"/>
  <c r="A1594" i="7"/>
  <c r="A1593" i="7"/>
  <c r="A1592" i="7"/>
  <c r="A1591" i="7"/>
  <c r="A1590" i="7"/>
  <c r="A1589" i="7"/>
  <c r="A1588" i="7"/>
  <c r="A1587" i="7"/>
  <c r="A1586" i="7"/>
  <c r="A1585" i="7"/>
  <c r="A1584" i="7"/>
  <c r="A1583" i="7"/>
  <c r="A1582" i="7"/>
  <c r="A1581" i="7"/>
  <c r="A1580" i="7"/>
  <c r="A1579" i="7"/>
  <c r="A1578" i="7"/>
  <c r="A1577" i="7"/>
  <c r="A1576" i="7"/>
  <c r="A1575" i="7"/>
  <c r="A1574" i="7"/>
  <c r="A1573" i="7"/>
  <c r="A1572" i="7"/>
  <c r="A1571" i="7"/>
  <c r="A1570" i="7"/>
  <c r="A1569" i="7"/>
  <c r="A1568" i="7"/>
  <c r="A1567" i="7"/>
  <c r="A1566" i="7"/>
  <c r="A1565" i="7"/>
  <c r="A1564" i="7"/>
  <c r="A1563" i="7"/>
  <c r="A1562" i="7"/>
  <c r="A1561" i="7"/>
  <c r="A1560" i="7"/>
  <c r="A1559" i="7"/>
  <c r="A1558" i="7"/>
  <c r="A1557" i="7"/>
  <c r="A1556" i="7"/>
  <c r="A1555" i="7"/>
  <c r="A1554" i="7"/>
  <c r="A1553" i="7"/>
  <c r="A1552" i="7"/>
  <c r="A1551" i="7"/>
  <c r="A1550" i="7"/>
  <c r="A1549" i="7"/>
  <c r="A1548" i="7"/>
  <c r="A1547" i="7"/>
  <c r="A1546" i="7"/>
  <c r="A1545" i="7"/>
  <c r="A1544" i="7"/>
  <c r="A1543" i="7"/>
  <c r="A1542" i="7"/>
  <c r="A1541" i="7"/>
  <c r="A1540" i="7"/>
  <c r="A1539" i="7"/>
  <c r="A1538" i="7"/>
  <c r="A1537" i="7"/>
  <c r="A1536" i="7"/>
  <c r="A1535" i="7"/>
  <c r="A1534" i="7"/>
  <c r="A1533" i="7"/>
  <c r="A1532" i="7"/>
  <c r="A1531" i="7"/>
  <c r="A1530" i="7"/>
  <c r="A1529" i="7"/>
  <c r="A1528" i="7"/>
  <c r="A1527" i="7"/>
  <c r="A1526" i="7"/>
  <c r="A1525" i="7"/>
  <c r="A1524" i="7"/>
  <c r="A1523" i="7"/>
  <c r="A1522" i="7"/>
  <c r="A1521" i="7"/>
  <c r="A1520" i="7"/>
  <c r="A1519" i="7"/>
  <c r="A1518" i="7"/>
  <c r="A1517" i="7"/>
  <c r="A1516" i="7"/>
  <c r="A1515" i="7"/>
  <c r="A1514" i="7"/>
  <c r="A1513" i="7"/>
  <c r="A1512" i="7"/>
  <c r="A1511" i="7"/>
  <c r="A1510" i="7"/>
  <c r="A1509" i="7"/>
  <c r="A1508" i="7"/>
  <c r="A1507" i="7"/>
  <c r="A1506" i="7"/>
  <c r="A1505" i="7"/>
  <c r="A1504" i="7"/>
  <c r="A1503" i="7"/>
  <c r="A1502" i="7"/>
  <c r="A1501" i="7"/>
  <c r="A1500" i="7"/>
  <c r="A1499" i="7"/>
  <c r="A1498" i="7"/>
  <c r="A1497" i="7"/>
  <c r="A1496" i="7"/>
  <c r="A1495" i="7"/>
  <c r="A1494" i="7"/>
  <c r="A1493" i="7"/>
  <c r="A1492" i="7"/>
  <c r="A1491" i="7"/>
  <c r="A1490" i="7"/>
  <c r="A1489" i="7"/>
  <c r="A1488" i="7"/>
  <c r="A1487" i="7"/>
  <c r="A1486" i="7"/>
  <c r="A1485" i="7"/>
  <c r="A1484" i="7"/>
  <c r="A1483" i="7"/>
  <c r="A1482" i="7"/>
  <c r="A1481" i="7"/>
  <c r="A1480" i="7"/>
  <c r="A1479" i="7"/>
  <c r="A1478" i="7"/>
  <c r="A1477" i="7"/>
  <c r="A1476" i="7"/>
  <c r="A1475" i="7"/>
  <c r="A1474" i="7"/>
  <c r="A1473" i="7"/>
  <c r="A1472" i="7"/>
  <c r="A1471" i="7"/>
  <c r="A1470" i="7"/>
  <c r="A1469" i="7"/>
  <c r="A1468" i="7"/>
  <c r="A1467" i="7"/>
  <c r="A1466" i="7"/>
  <c r="A1465" i="7"/>
  <c r="A1464" i="7"/>
  <c r="A1463" i="7"/>
  <c r="A1462" i="7"/>
  <c r="A1461" i="7"/>
  <c r="A1460" i="7"/>
  <c r="A1459" i="7"/>
  <c r="A1458" i="7"/>
  <c r="A1457" i="7"/>
  <c r="A1456" i="7"/>
  <c r="A1455" i="7"/>
  <c r="A1454" i="7"/>
  <c r="A1453" i="7"/>
  <c r="A1452" i="7"/>
  <c r="A1451" i="7"/>
  <c r="A1450" i="7"/>
  <c r="A1449" i="7"/>
  <c r="A1448" i="7"/>
  <c r="A1447" i="7"/>
  <c r="A1446" i="7"/>
  <c r="A1445" i="7"/>
  <c r="A1444" i="7"/>
  <c r="A1443" i="7"/>
  <c r="A1442" i="7"/>
  <c r="A1441" i="7"/>
  <c r="A1440" i="7"/>
  <c r="A1439" i="7"/>
  <c r="A1438" i="7"/>
  <c r="A1437" i="7"/>
  <c r="A1436" i="7"/>
  <c r="A1435" i="7"/>
  <c r="A1434" i="7"/>
  <c r="A1433" i="7"/>
  <c r="A1432" i="7"/>
  <c r="A1431" i="7"/>
  <c r="A1430" i="7"/>
  <c r="A1429" i="7"/>
  <c r="A1428" i="7"/>
  <c r="A1427" i="7"/>
  <c r="A1426" i="7"/>
  <c r="A1425" i="7"/>
  <c r="A1424" i="7"/>
  <c r="A1423" i="7"/>
  <c r="A1422" i="7"/>
  <c r="A1421" i="7"/>
  <c r="A1420" i="7"/>
  <c r="A1419" i="7"/>
  <c r="A1418" i="7"/>
  <c r="A1417" i="7"/>
  <c r="A1416" i="7"/>
  <c r="A1415" i="7"/>
  <c r="A1414" i="7"/>
  <c r="A1413" i="7"/>
  <c r="A1412" i="7"/>
  <c r="A1411" i="7"/>
  <c r="A1410" i="7"/>
  <c r="A1409" i="7"/>
  <c r="A1408" i="7"/>
  <c r="A1407" i="7"/>
  <c r="A1406" i="7"/>
  <c r="A1405" i="7"/>
  <c r="A1404" i="7"/>
  <c r="A1403" i="7"/>
  <c r="A1402" i="7"/>
  <c r="A1401" i="7"/>
  <c r="A1400" i="7"/>
  <c r="A1399" i="7"/>
  <c r="A1398" i="7"/>
  <c r="A1397" i="7"/>
  <c r="A1396" i="7"/>
  <c r="A1395" i="7"/>
  <c r="A1394" i="7"/>
  <c r="A1393" i="7"/>
  <c r="A1392" i="7"/>
  <c r="A1391" i="7"/>
  <c r="A1390" i="7"/>
  <c r="A1389" i="7"/>
  <c r="A1388" i="7"/>
  <c r="A1387" i="7"/>
  <c r="A1386" i="7"/>
  <c r="A1385" i="7"/>
  <c r="A1384" i="7"/>
  <c r="A1383" i="7"/>
  <c r="A1382" i="7"/>
  <c r="A1381" i="7"/>
  <c r="A1380" i="7"/>
  <c r="A1379" i="7"/>
  <c r="A1378" i="7"/>
  <c r="A1377" i="7"/>
  <c r="A1376" i="7"/>
  <c r="A1375" i="7"/>
  <c r="A1374" i="7"/>
  <c r="A1373" i="7"/>
  <c r="A1372" i="7"/>
  <c r="A1371" i="7"/>
  <c r="A1370" i="7"/>
  <c r="A1369" i="7"/>
  <c r="A1368" i="7"/>
  <c r="A1367" i="7"/>
  <c r="A1366" i="7"/>
  <c r="A1365" i="7"/>
  <c r="A1364" i="7"/>
  <c r="A1363" i="7"/>
  <c r="A1362" i="7"/>
  <c r="A1361" i="7"/>
  <c r="A1360" i="7"/>
  <c r="A1359" i="7"/>
  <c r="A1358" i="7"/>
  <c r="A1357" i="7"/>
  <c r="A1356" i="7"/>
  <c r="A1355" i="7"/>
  <c r="A1354" i="7"/>
  <c r="A1353" i="7"/>
  <c r="A1352" i="7"/>
  <c r="A1351" i="7"/>
  <c r="A1350" i="7"/>
  <c r="A1349" i="7"/>
  <c r="A1348" i="7"/>
  <c r="A1347" i="7"/>
  <c r="A1346" i="7"/>
  <c r="A1345" i="7"/>
  <c r="A1344" i="7"/>
  <c r="A1343" i="7"/>
  <c r="A1342" i="7"/>
  <c r="A1341" i="7"/>
  <c r="A1340" i="7"/>
  <c r="A1339" i="7"/>
  <c r="A1338" i="7"/>
  <c r="A1337" i="7"/>
  <c r="A1336" i="7"/>
  <c r="A1335" i="7"/>
  <c r="A1334" i="7"/>
  <c r="A1333" i="7"/>
  <c r="A1332" i="7"/>
  <c r="A1331" i="7"/>
  <c r="A1330" i="7"/>
  <c r="A1329" i="7"/>
  <c r="A1328" i="7"/>
  <c r="A1327" i="7"/>
  <c r="A1326" i="7"/>
  <c r="A1325" i="7"/>
  <c r="A1324" i="7"/>
  <c r="A1323" i="7"/>
  <c r="A1322" i="7"/>
  <c r="A1321" i="7"/>
  <c r="A1320" i="7"/>
  <c r="A1319" i="7"/>
  <c r="A1318" i="7"/>
  <c r="A1317" i="7"/>
  <c r="A1316" i="7"/>
  <c r="A1315" i="7"/>
  <c r="A1314" i="7"/>
  <c r="A1313" i="7"/>
  <c r="A1312" i="7"/>
  <c r="A1311" i="7"/>
  <c r="A1310" i="7"/>
  <c r="A1309" i="7"/>
  <c r="A1308" i="7"/>
  <c r="A1307" i="7"/>
  <c r="A1306" i="7"/>
  <c r="A1305" i="7"/>
  <c r="A1304" i="7"/>
  <c r="A1303" i="7"/>
  <c r="A1302" i="7"/>
  <c r="A1301" i="7"/>
  <c r="A1300" i="7"/>
  <c r="A1299" i="7"/>
  <c r="A1298" i="7"/>
  <c r="A1297" i="7"/>
  <c r="A1296" i="7"/>
  <c r="A1295" i="7"/>
  <c r="A1294" i="7"/>
  <c r="A1293" i="7"/>
  <c r="A1292" i="7"/>
  <c r="A1291" i="7"/>
  <c r="A1290" i="7"/>
  <c r="A1289" i="7"/>
  <c r="A1288" i="7"/>
  <c r="A1287" i="7"/>
  <c r="A1286" i="7"/>
  <c r="A1285" i="7"/>
  <c r="A1284" i="7"/>
  <c r="A1283" i="7"/>
  <c r="A1282" i="7"/>
  <c r="A1281" i="7"/>
  <c r="A1280" i="7"/>
  <c r="A1279" i="7"/>
  <c r="A1278" i="7"/>
  <c r="A1277" i="7"/>
  <c r="A1276" i="7"/>
  <c r="A1275" i="7"/>
  <c r="A1274" i="7"/>
  <c r="A1273" i="7"/>
  <c r="A1272" i="7"/>
  <c r="A1271" i="7"/>
  <c r="A1270" i="7"/>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Y24" i="1"/>
  <c r="X6" i="1"/>
  <c r="X17" i="1"/>
  <c r="X9" i="1"/>
  <c r="AA10" i="1"/>
  <c r="X3485" i="1"/>
  <c r="AA8" i="1"/>
  <c r="X13" i="1" l="1"/>
  <c r="Y26" i="1" s="1"/>
  <c r="X20" i="1" l="1"/>
</calcChain>
</file>

<file path=xl/sharedStrings.xml><?xml version="1.0" encoding="utf-8"?>
<sst xmlns="http://schemas.openxmlformats.org/spreadsheetml/2006/main" count="42160" uniqueCount="3619">
  <si>
    <t>Age</t>
  </si>
  <si>
    <t>Gender</t>
  </si>
  <si>
    <t>City</t>
  </si>
  <si>
    <t>Admission_Date</t>
  </si>
  <si>
    <t>Discharge_Date</t>
  </si>
  <si>
    <t>Diagnosis</t>
  </si>
  <si>
    <t>Department</t>
  </si>
  <si>
    <t>Doctor</t>
  </si>
  <si>
    <t>Treatment_Cost_USD</t>
  </si>
  <si>
    <t>Length_of_Stay</t>
  </si>
  <si>
    <t>Insurance_Status</t>
  </si>
  <si>
    <t>Outcome</t>
  </si>
  <si>
    <t>Admission_Type</t>
  </si>
  <si>
    <t>Bed_Type</t>
  </si>
  <si>
    <t>Payment_Method</t>
  </si>
  <si>
    <t>Lab_Tests_Count</t>
  </si>
  <si>
    <t>Medication_Cost_USD</t>
  </si>
  <si>
    <t>Readmission_Within_30_Days</t>
  </si>
  <si>
    <t>P00001</t>
  </si>
  <si>
    <t>Male</t>
  </si>
  <si>
    <t>Hyderabad</t>
  </si>
  <si>
    <t>Hypertension</t>
  </si>
  <si>
    <t>Cardiology</t>
  </si>
  <si>
    <t>Dr Patel</t>
  </si>
  <si>
    <t>Not Insured</t>
  </si>
  <si>
    <t>Recovered</t>
  </si>
  <si>
    <t>Elective</t>
  </si>
  <si>
    <t>Semi-Private</t>
  </si>
  <si>
    <t>Card</t>
  </si>
  <si>
    <t>No</t>
  </si>
  <si>
    <t>P00002</t>
  </si>
  <si>
    <t>Female</t>
  </si>
  <si>
    <t>Chennai</t>
  </si>
  <si>
    <t>Fracture</t>
  </si>
  <si>
    <t>Orthopedics</t>
  </si>
  <si>
    <t>Dr Singh</t>
  </si>
  <si>
    <t>Insured</t>
  </si>
  <si>
    <t>General</t>
  </si>
  <si>
    <t>Insurance</t>
  </si>
  <si>
    <t>Yes</t>
  </si>
  <si>
    <t>P00003</t>
  </si>
  <si>
    <t>Migraine</t>
  </si>
  <si>
    <t>Neurology</t>
  </si>
  <si>
    <t>Dr Gupta</t>
  </si>
  <si>
    <t>Urgent</t>
  </si>
  <si>
    <t>Cash</t>
  </si>
  <si>
    <t>P00004</t>
  </si>
  <si>
    <t>Pune</t>
  </si>
  <si>
    <t>Heart Disease</t>
  </si>
  <si>
    <t>ICU</t>
  </si>
  <si>
    <t>UPI</t>
  </si>
  <si>
    <t>P00005</t>
  </si>
  <si>
    <t>Diabetes</t>
  </si>
  <si>
    <t>Endocrinology</t>
  </si>
  <si>
    <t>Dr Rao</t>
  </si>
  <si>
    <t>Emergency</t>
  </si>
  <si>
    <t>Private</t>
  </si>
  <si>
    <t>P00006</t>
  </si>
  <si>
    <t>Dr Sharma</t>
  </si>
  <si>
    <t>Under Observation</t>
  </si>
  <si>
    <t>P00007</t>
  </si>
  <si>
    <t>Bengaluru</t>
  </si>
  <si>
    <t>Kidney Disease</t>
  </si>
  <si>
    <t>Nephrology</t>
  </si>
  <si>
    <t>P00008</t>
  </si>
  <si>
    <t>P00009</t>
  </si>
  <si>
    <t>Delhi</t>
  </si>
  <si>
    <t>Stroke</t>
  </si>
  <si>
    <t>P00010</t>
  </si>
  <si>
    <t>P00011</t>
  </si>
  <si>
    <t>Mumbai</t>
  </si>
  <si>
    <t>Asthma</t>
  </si>
  <si>
    <t>Pulmonology</t>
  </si>
  <si>
    <t>P00012</t>
  </si>
  <si>
    <t>COVID-19</t>
  </si>
  <si>
    <t>General Medicine</t>
  </si>
  <si>
    <t>Deceased</t>
  </si>
  <si>
    <t>P00013</t>
  </si>
  <si>
    <t>P00014</t>
  </si>
  <si>
    <t>Ahmedabad</t>
  </si>
  <si>
    <t>P00015</t>
  </si>
  <si>
    <t>Dr Verma</t>
  </si>
  <si>
    <t>P00016</t>
  </si>
  <si>
    <t>Dr Mehta</t>
  </si>
  <si>
    <t>P00017</t>
  </si>
  <si>
    <t>P00018</t>
  </si>
  <si>
    <t>P00019</t>
  </si>
  <si>
    <t>P00020</t>
  </si>
  <si>
    <t>P00021</t>
  </si>
  <si>
    <t>Kolkata</t>
  </si>
  <si>
    <t>P00022</t>
  </si>
  <si>
    <t>Dr Iyer</t>
  </si>
  <si>
    <t>P00023</t>
  </si>
  <si>
    <t>Pneumonia</t>
  </si>
  <si>
    <t>P00024</t>
  </si>
  <si>
    <t>P00025</t>
  </si>
  <si>
    <t>P00026</t>
  </si>
  <si>
    <t>P00027</t>
  </si>
  <si>
    <t>P00028</t>
  </si>
  <si>
    <t>P00029</t>
  </si>
  <si>
    <t>P00030</t>
  </si>
  <si>
    <t>Referred</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</si>
  <si>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</si>
  <si>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</si>
  <si>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</si>
  <si>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</si>
  <si>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</si>
  <si>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</si>
  <si>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</si>
  <si>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</si>
  <si>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</si>
  <si>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</si>
  <si>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</si>
  <si>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</si>
  <si>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</si>
  <si>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</si>
  <si>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</si>
  <si>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</si>
  <si>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</si>
  <si>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</si>
  <si>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</si>
  <si>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</si>
  <si>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</si>
  <si>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</si>
  <si>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</si>
  <si>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</si>
  <si>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</si>
  <si>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</si>
  <si>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</si>
  <si>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</si>
  <si>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</si>
  <si>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</si>
  <si>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</si>
  <si>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</si>
  <si>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</si>
  <si>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</si>
  <si>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</si>
  <si>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</si>
  <si>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</si>
  <si>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</si>
  <si>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</si>
  <si>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</si>
  <si>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</si>
  <si>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</si>
  <si>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</si>
  <si>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</si>
  <si>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</si>
  <si>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</si>
  <si>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</si>
  <si>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</si>
  <si>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</si>
  <si>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</si>
  <si>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</si>
  <si>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</si>
  <si>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</si>
  <si>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</si>
  <si>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</si>
  <si>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</si>
  <si>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</si>
  <si>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</si>
  <si>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</si>
  <si>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</si>
  <si>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</si>
  <si>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</si>
  <si>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</si>
  <si>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</si>
  <si>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</si>
  <si>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</si>
  <si>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</si>
  <si>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</si>
  <si>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</si>
  <si>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</si>
  <si>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</si>
  <si>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</si>
  <si>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</si>
  <si>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</si>
  <si>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</si>
  <si>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</si>
  <si>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</si>
  <si>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</si>
  <si>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</si>
  <si>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</si>
  <si>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</si>
  <si>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</si>
  <si>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</si>
  <si>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</si>
  <si>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</si>
  <si>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</si>
  <si>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</si>
  <si>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</si>
  <si>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</si>
  <si>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</si>
  <si>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</si>
  <si>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</si>
  <si>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</si>
  <si>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</si>
  <si>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</si>
  <si>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</si>
  <si>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</si>
  <si>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</si>
  <si>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</si>
  <si>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</si>
  <si>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</si>
  <si>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</si>
  <si>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</si>
  <si>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</si>
  <si>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</si>
  <si>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</si>
  <si>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</si>
  <si>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</si>
  <si>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</si>
  <si>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</si>
  <si>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</si>
  <si>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</si>
  <si>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</si>
  <si>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</si>
  <si>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</si>
  <si>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</si>
  <si>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</si>
  <si>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</si>
  <si>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</si>
  <si>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</si>
  <si>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</si>
  <si>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</si>
  <si>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</si>
  <si>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</si>
  <si>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</si>
  <si>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</si>
  <si>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</si>
  <si>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</si>
  <si>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</si>
  <si>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</si>
  <si>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</si>
  <si>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</si>
  <si>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</si>
  <si>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</si>
  <si>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</si>
  <si>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</si>
  <si>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</si>
  <si>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</si>
  <si>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</si>
  <si>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</si>
  <si>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</si>
  <si>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</si>
  <si>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</si>
  <si>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</si>
  <si>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</si>
  <si>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</si>
  <si>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</si>
  <si>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</si>
  <si>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</si>
  <si>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</si>
  <si>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P00181</t>
  </si>
  <si>
    <t>P00182</t>
  </si>
  <si>
    <t>P00183</t>
  </si>
  <si>
    <t>P00184</t>
  </si>
  <si>
    <t>P00185</t>
  </si>
  <si>
    <t>P00186</t>
  </si>
  <si>
    <t>P00187</t>
  </si>
  <si>
    <t>P00188</t>
  </si>
  <si>
    <t>P00189</t>
  </si>
  <si>
    <t>P00190</t>
  </si>
  <si>
    <t>P00191</t>
  </si>
  <si>
    <t>P00192</t>
  </si>
  <si>
    <t>P00193</t>
  </si>
  <si>
    <t>P00194</t>
  </si>
  <si>
    <t>P00195</t>
  </si>
  <si>
    <t>P00196</t>
  </si>
  <si>
    <t>P00197</t>
  </si>
  <si>
    <t>P00198</t>
  </si>
  <si>
    <t>P00199</t>
  </si>
  <si>
    <t>P00200</t>
  </si>
  <si>
    <t>P00201</t>
  </si>
  <si>
    <t>P00202</t>
  </si>
  <si>
    <t>P00203</t>
  </si>
  <si>
    <t>P00204</t>
  </si>
  <si>
    <t>P00205</t>
  </si>
  <si>
    <t>P00206</t>
  </si>
  <si>
    <t>P00207</t>
  </si>
  <si>
    <t>P00208</t>
  </si>
  <si>
    <t>P00209</t>
  </si>
  <si>
    <t>P00210</t>
  </si>
  <si>
    <t>P00211</t>
  </si>
  <si>
    <t>P00212</t>
  </si>
  <si>
    <t>P00213</t>
  </si>
  <si>
    <t>P00214</t>
  </si>
  <si>
    <t>P00215</t>
  </si>
  <si>
    <t>P00216</t>
  </si>
  <si>
    <t>P00217</t>
  </si>
  <si>
    <t>P00218</t>
  </si>
  <si>
    <t>P00219</t>
  </si>
  <si>
    <t>P00220</t>
  </si>
  <si>
    <t>P00221</t>
  </si>
  <si>
    <t>P00222</t>
  </si>
  <si>
    <t>P00223</t>
  </si>
  <si>
    <t>P00224</t>
  </si>
  <si>
    <t>P00225</t>
  </si>
  <si>
    <t>P00226</t>
  </si>
  <si>
    <t>P00227</t>
  </si>
  <si>
    <t>P00228</t>
  </si>
  <si>
    <t>P00229</t>
  </si>
  <si>
    <t>P00230</t>
  </si>
  <si>
    <t>P00231</t>
  </si>
  <si>
    <t>P00232</t>
  </si>
  <si>
    <t>P00233</t>
  </si>
  <si>
    <t>P00234</t>
  </si>
  <si>
    <t>P00235</t>
  </si>
  <si>
    <t>P00236</t>
  </si>
  <si>
    <t>P00237</t>
  </si>
  <si>
    <t>P00238</t>
  </si>
  <si>
    <t>P00239</t>
  </si>
  <si>
    <t>P00240</t>
  </si>
  <si>
    <t>P00241</t>
  </si>
  <si>
    <t>P00242</t>
  </si>
  <si>
    <t>P00243</t>
  </si>
  <si>
    <t>P00244</t>
  </si>
  <si>
    <t>P00245</t>
  </si>
  <si>
    <t>P00246</t>
  </si>
  <si>
    <t>P00247</t>
  </si>
  <si>
    <t>P00248</t>
  </si>
  <si>
    <t>P00249</t>
  </si>
  <si>
    <t>P00250</t>
  </si>
  <si>
    <t>P00251</t>
  </si>
  <si>
    <t>P00252</t>
  </si>
  <si>
    <t>P00253</t>
  </si>
  <si>
    <t>P00254</t>
  </si>
  <si>
    <t>P00255</t>
  </si>
  <si>
    <t>P00256</t>
  </si>
  <si>
    <t>P00257</t>
  </si>
  <si>
    <t>P00258</t>
  </si>
  <si>
    <t>P00259</t>
  </si>
  <si>
    <t>P00260</t>
  </si>
  <si>
    <t>P00261</t>
  </si>
  <si>
    <t>P00262</t>
  </si>
  <si>
    <t>P00263</t>
  </si>
  <si>
    <t>P00264</t>
  </si>
  <si>
    <t>P00265</t>
  </si>
  <si>
    <t>P00266</t>
  </si>
  <si>
    <t>P00267</t>
  </si>
  <si>
    <t>P00268</t>
  </si>
  <si>
    <t>P00269</t>
  </si>
  <si>
    <t>P00270</t>
  </si>
  <si>
    <t>P00271</t>
  </si>
  <si>
    <t>P00272</t>
  </si>
  <si>
    <t>P00273</t>
  </si>
  <si>
    <t>P00274</t>
  </si>
  <si>
    <t>P00275</t>
  </si>
  <si>
    <t>P00276</t>
  </si>
  <si>
    <t>P00277</t>
  </si>
  <si>
    <t>P00278</t>
  </si>
  <si>
    <t>P00279</t>
  </si>
  <si>
    <t>P00280</t>
  </si>
  <si>
    <t>P00281</t>
  </si>
  <si>
    <t>P00282</t>
  </si>
  <si>
    <t>P00283</t>
  </si>
  <si>
    <t>P00284</t>
  </si>
  <si>
    <t>P00285</t>
  </si>
  <si>
    <t>P00286</t>
  </si>
  <si>
    <t>P00287</t>
  </si>
  <si>
    <t>P00288</t>
  </si>
  <si>
    <t>P00289</t>
  </si>
  <si>
    <t>P00290</t>
  </si>
  <si>
    <t>P00291</t>
  </si>
  <si>
    <t>P00292</t>
  </si>
  <si>
    <t>P00293</t>
  </si>
  <si>
    <t>P00294</t>
  </si>
  <si>
    <t>P00295</t>
  </si>
  <si>
    <t>P00296</t>
  </si>
  <si>
    <t>P00297</t>
  </si>
  <si>
    <t>P00298</t>
  </si>
  <si>
    <t>P00299</t>
  </si>
  <si>
    <t>P00300</t>
  </si>
  <si>
    <t>P00301</t>
  </si>
  <si>
    <t>P00302</t>
  </si>
  <si>
    <t>P00303</t>
  </si>
  <si>
    <t>P00304</t>
  </si>
  <si>
    <t>P00305</t>
  </si>
  <si>
    <t>P00306</t>
  </si>
  <si>
    <t>P00307</t>
  </si>
  <si>
    <t>P00308</t>
  </si>
  <si>
    <t>P00309</t>
  </si>
  <si>
    <t>P00310</t>
  </si>
  <si>
    <t>P00311</t>
  </si>
  <si>
    <t>P00312</t>
  </si>
  <si>
    <t>P00313</t>
  </si>
  <si>
    <t>P00314</t>
  </si>
  <si>
    <t>P00315</t>
  </si>
  <si>
    <t>P00316</t>
  </si>
  <si>
    <t>P00317</t>
  </si>
  <si>
    <t>P00318</t>
  </si>
  <si>
    <t>P00319</t>
  </si>
  <si>
    <t>P00320</t>
  </si>
  <si>
    <t>P00321</t>
  </si>
  <si>
    <t>P00322</t>
  </si>
  <si>
    <t>P00323</t>
  </si>
  <si>
    <t>P00324</t>
  </si>
  <si>
    <t>P00325</t>
  </si>
  <si>
    <t>P00326</t>
  </si>
  <si>
    <t>P00327</t>
  </si>
  <si>
    <t>P00328</t>
  </si>
  <si>
    <t>P00329</t>
  </si>
  <si>
    <t>P00330</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</si>
  <si>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</si>
  <si>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</si>
  <si>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</si>
  <si>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</si>
  <si>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</si>
  <si>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</si>
  <si>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</si>
  <si>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</si>
  <si>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</si>
  <si>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</si>
  <si>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</si>
  <si>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</si>
  <si>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</si>
  <si>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</si>
  <si>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</si>
  <si>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</si>
  <si>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</si>
  <si>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</si>
  <si>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</si>
  <si>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</si>
  <si>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</si>
  <si>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</si>
  <si>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</si>
  <si>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</si>
  <si>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</si>
  <si>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</si>
  <si>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</si>
  <si>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</si>
  <si>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</si>
  <si>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</si>
  <si>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</si>
  <si>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</si>
  <si>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</si>
  <si>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</si>
  <si>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</si>
  <si>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</si>
  <si>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</si>
  <si>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P00368</t>
  </si>
  <si>
    <t>P00369</t>
  </si>
  <si>
    <t>P00370</t>
  </si>
  <si>
    <t>P00371</t>
  </si>
  <si>
    <t>P00372</t>
  </si>
  <si>
    <t>P00373</t>
  </si>
  <si>
    <t>P00374</t>
  </si>
  <si>
    <t>P00375</t>
  </si>
  <si>
    <t>P00376</t>
  </si>
  <si>
    <t>P00377</t>
  </si>
  <si>
    <t>P00378</t>
  </si>
  <si>
    <t>P00379</t>
  </si>
  <si>
    <t>P00380</t>
  </si>
  <si>
    <t>P00381</t>
  </si>
  <si>
    <t>P00382</t>
  </si>
  <si>
    <t>P00383</t>
  </si>
  <si>
    <t>P00384</t>
  </si>
  <si>
    <t>P00385</t>
  </si>
  <si>
    <t>P00386</t>
  </si>
  <si>
    <t>P00387</t>
  </si>
  <si>
    <t>P00388</t>
  </si>
  <si>
    <t>P00389</t>
  </si>
  <si>
    <t>P00390</t>
  </si>
  <si>
    <t>P00391</t>
  </si>
  <si>
    <t>P00392</t>
  </si>
  <si>
    <t>P00393</t>
  </si>
  <si>
    <t>P00394</t>
  </si>
  <si>
    <t>P00395</t>
  </si>
  <si>
    <t>P00396</t>
  </si>
  <si>
    <t>P00397</t>
  </si>
  <si>
    <t>P00398</t>
  </si>
  <si>
    <t>P00399</t>
  </si>
  <si>
    <t>P00400</t>
  </si>
  <si>
    <t>P00401</t>
  </si>
  <si>
    <t>P00402</t>
  </si>
  <si>
    <t>P00403</t>
  </si>
  <si>
    <t>P00404</t>
  </si>
  <si>
    <t>P00405</t>
  </si>
  <si>
    <t>P00406</t>
  </si>
  <si>
    <t>P00407</t>
  </si>
  <si>
    <t>P00408</t>
  </si>
  <si>
    <t>P00409</t>
  </si>
  <si>
    <t>P00410</t>
  </si>
  <si>
    <t>P00411</t>
  </si>
  <si>
    <t>P00412</t>
  </si>
  <si>
    <t>P00413</t>
  </si>
  <si>
    <t>P00414</t>
  </si>
  <si>
    <t>P00415</t>
  </si>
  <si>
    <t>P00416</t>
  </si>
  <si>
    <t>P00417</t>
  </si>
  <si>
    <t>P00418</t>
  </si>
  <si>
    <t>P00419</t>
  </si>
  <si>
    <t>P00420</t>
  </si>
  <si>
    <t>P00421</t>
  </si>
  <si>
    <t>P00422</t>
  </si>
  <si>
    <t>P00423</t>
  </si>
  <si>
    <t>P00424</t>
  </si>
  <si>
    <t>P00425</t>
  </si>
  <si>
    <t>P00426</t>
  </si>
  <si>
    <t>P00427</t>
  </si>
  <si>
    <t>P00428</t>
  </si>
  <si>
    <t>P00429</t>
  </si>
  <si>
    <t>P00430</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</si>
  <si>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</si>
  <si>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</si>
  <si>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</si>
  <si>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</si>
  <si>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</si>
  <si>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</si>
  <si>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</si>
  <si>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</si>
  <si>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</si>
  <si>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</si>
  <si>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</si>
  <si>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</si>
  <si>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</si>
  <si>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</si>
  <si>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</si>
  <si>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</si>
  <si>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</si>
  <si>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</si>
  <si>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</si>
  <si>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</si>
  <si>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</si>
  <si>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</si>
  <si>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</si>
  <si>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</si>
  <si>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</si>
  <si>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</si>
  <si>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</si>
  <si>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</si>
  <si>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</si>
  <si>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</si>
  <si>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</si>
  <si>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</si>
  <si>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</si>
  <si>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</si>
  <si>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</si>
  <si>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</si>
  <si>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</si>
  <si>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</si>
  <si>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</si>
  <si>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</si>
  <si>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</si>
  <si>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</si>
  <si>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</si>
  <si>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</si>
  <si>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</si>
  <si>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</si>
  <si>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</si>
  <si>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</si>
  <si>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</si>
  <si>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</si>
  <si>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</si>
  <si>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</si>
  <si>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</si>
  <si>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</si>
  <si>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</si>
  <si>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</si>
  <si>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</si>
  <si>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</si>
  <si>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</si>
  <si>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</si>
  <si>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</si>
  <si>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</si>
  <si>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</si>
  <si>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</si>
  <si>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</si>
  <si>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</si>
  <si>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</si>
  <si>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</si>
  <si>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</si>
  <si>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</si>
  <si>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</si>
  <si>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</si>
  <si>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</si>
  <si>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</si>
  <si>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</si>
  <si>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</si>
  <si>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</si>
  <si>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P00508</t>
  </si>
  <si>
    <t>P00509</t>
  </si>
  <si>
    <t>P00510</t>
  </si>
  <si>
    <t>P00511</t>
  </si>
  <si>
    <t>P00512</t>
  </si>
  <si>
    <t>P00513</t>
  </si>
  <si>
    <t>P00514</t>
  </si>
  <si>
    <t>P00515</t>
  </si>
  <si>
    <t>P00516</t>
  </si>
  <si>
    <t>P00517</t>
  </si>
  <si>
    <t>P00518</t>
  </si>
  <si>
    <t>P00519</t>
  </si>
  <si>
    <t>P00520</t>
  </si>
  <si>
    <t>P00521</t>
  </si>
  <si>
    <t>P00522</t>
  </si>
  <si>
    <t>P00523</t>
  </si>
  <si>
    <t>P00524</t>
  </si>
  <si>
    <t>P00525</t>
  </si>
  <si>
    <t>P00526</t>
  </si>
  <si>
    <t>P00527</t>
  </si>
  <si>
    <t>P00528</t>
  </si>
  <si>
    <t>P00529</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</si>
  <si>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</si>
  <si>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</si>
  <si>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</si>
  <si>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</si>
  <si>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</si>
  <si>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</si>
  <si>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</si>
  <si>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</si>
  <si>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</si>
  <si>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</si>
  <si>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</si>
  <si>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</si>
  <si>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</si>
  <si>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</si>
  <si>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</si>
  <si>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</si>
  <si>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</si>
  <si>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</si>
  <si>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</si>
  <si>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</si>
  <si>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</si>
  <si>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</si>
  <si>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</si>
  <si>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</si>
  <si>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</si>
  <si>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</si>
  <si>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</si>
  <si>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</si>
  <si>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</si>
  <si>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</si>
  <si>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</si>
  <si>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</si>
  <si>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</si>
  <si>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</si>
  <si>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</si>
  <si>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</si>
  <si>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</si>
  <si>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</si>
  <si>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</si>
  <si>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</si>
  <si>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</si>
  <si>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</si>
  <si>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</si>
  <si>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</si>
  <si>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</si>
  <si>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</si>
  <si>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</si>
  <si>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</si>
  <si>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</si>
  <si>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</si>
  <si>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</si>
  <si>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</si>
  <si>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</si>
  <si>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</si>
  <si>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</si>
  <si>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</si>
  <si>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</si>
  <si>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</si>
  <si>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</si>
  <si>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</si>
  <si>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</si>
  <si>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</si>
  <si>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</si>
  <si>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</si>
  <si>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</si>
  <si>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</si>
  <si>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</si>
  <si>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</si>
  <si>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</si>
  <si>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P00599</t>
  </si>
  <si>
    <t>P00600</t>
  </si>
  <si>
    <t>P00601</t>
  </si>
  <si>
    <t>P00602</t>
  </si>
  <si>
    <t>P00603</t>
  </si>
  <si>
    <t>P00604</t>
  </si>
  <si>
    <t>P00605</t>
  </si>
  <si>
    <t>P00606</t>
  </si>
  <si>
    <t>P00607</t>
  </si>
  <si>
    <t>P00608</t>
  </si>
  <si>
    <t>P00609</t>
  </si>
  <si>
    <t>P00610</t>
  </si>
  <si>
    <t>P00611</t>
  </si>
  <si>
    <t>P00612</t>
  </si>
  <si>
    <t>P00613</t>
  </si>
  <si>
    <t>P00614</t>
  </si>
  <si>
    <t>P00615</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</si>
  <si>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</si>
  <si>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</si>
  <si>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</si>
  <si>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</si>
  <si>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</si>
  <si>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</si>
  <si>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</si>
  <si>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</si>
  <si>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</si>
  <si>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</si>
  <si>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</si>
  <si>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</si>
  <si>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</si>
  <si>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</si>
  <si>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</si>
  <si>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</si>
  <si>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</si>
  <si>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</si>
  <si>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</si>
  <si>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</si>
  <si>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</si>
  <si>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</si>
  <si>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</si>
  <si>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</si>
  <si>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</si>
  <si>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</si>
  <si>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</si>
  <si>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</si>
  <si>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</si>
  <si>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</si>
  <si>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</si>
  <si>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</si>
  <si>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</si>
  <si>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</si>
  <si>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</si>
  <si>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</si>
  <si>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</si>
  <si>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</si>
  <si>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</si>
  <si>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</si>
  <si>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</si>
  <si>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</si>
  <si>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</si>
  <si>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</si>
  <si>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</si>
  <si>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</si>
  <si>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</si>
  <si>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</si>
  <si>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</si>
  <si>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</si>
  <si>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</si>
  <si>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</si>
  <si>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</si>
  <si>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</si>
  <si>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</si>
  <si>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</si>
  <si>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</si>
  <si>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</si>
  <si>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</si>
  <si>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</si>
  <si>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</si>
  <si>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</si>
  <si>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</si>
  <si>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</si>
  <si>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</si>
  <si>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</si>
  <si>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</si>
  <si>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</si>
  <si>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</si>
  <si>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</si>
  <si>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</si>
  <si>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</si>
  <si>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</si>
  <si>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</si>
  <si>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</si>
  <si>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</si>
  <si>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</si>
  <si>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</si>
  <si>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</si>
  <si>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</si>
  <si>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</si>
  <si>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</si>
  <si>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</si>
  <si>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</si>
  <si>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</si>
  <si>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</si>
  <si>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</si>
  <si>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</si>
  <si>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</si>
  <si>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</si>
  <si>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</si>
  <si>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</si>
  <si>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</si>
  <si>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</si>
  <si>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</si>
  <si>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</si>
  <si>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</si>
  <si>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</si>
  <si>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</si>
  <si>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</si>
  <si>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</si>
  <si>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</si>
  <si>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</si>
  <si>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</si>
  <si>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</si>
  <si>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</si>
  <si>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</si>
  <si>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</si>
  <si>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</si>
  <si>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</si>
  <si>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</si>
  <si>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</si>
  <si>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</si>
  <si>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</si>
  <si>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</si>
  <si>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</si>
  <si>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</si>
  <si>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</si>
  <si>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</si>
  <si>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</si>
  <si>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</si>
  <si>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</si>
  <si>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</si>
  <si>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</si>
  <si>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</si>
  <si>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</si>
  <si>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</si>
  <si>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</si>
  <si>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</si>
  <si>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</si>
  <si>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</si>
  <si>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</si>
  <si>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</si>
  <si>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</si>
  <si>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</si>
  <si>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</si>
  <si>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</si>
  <si>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</si>
  <si>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</si>
  <si>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</si>
  <si>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</si>
  <si>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</si>
  <si>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</si>
  <si>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</si>
  <si>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</si>
  <si>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</si>
  <si>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</si>
  <si>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</si>
  <si>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P00764</t>
  </si>
  <si>
    <t>P00765</t>
  </si>
  <si>
    <t>P00766</t>
  </si>
  <si>
    <t>P00767</t>
  </si>
  <si>
    <t>P00768</t>
  </si>
  <si>
    <t>P00769</t>
  </si>
  <si>
    <t>P00770</t>
  </si>
  <si>
    <t>P00771</t>
  </si>
  <si>
    <t>P00772</t>
  </si>
  <si>
    <t>P00773</t>
  </si>
  <si>
    <t>P00774</t>
  </si>
  <si>
    <t>P00775</t>
  </si>
  <si>
    <t>P00776</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</si>
  <si>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</si>
  <si>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</si>
  <si>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</si>
  <si>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</si>
  <si>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</si>
  <si>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</si>
  <si>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</si>
  <si>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</si>
  <si>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</si>
  <si>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</si>
  <si>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</si>
  <si>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</si>
  <si>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</si>
  <si>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</si>
  <si>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</si>
  <si>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</si>
  <si>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</si>
  <si>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</si>
  <si>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</si>
  <si>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</si>
  <si>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</si>
  <si>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</si>
  <si>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</si>
  <si>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</si>
  <si>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</si>
  <si>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</si>
  <si>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</si>
  <si>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</si>
  <si>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</si>
  <si>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</si>
  <si>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</si>
  <si>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</si>
  <si>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</si>
  <si>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</si>
  <si>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</si>
  <si>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</si>
  <si>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</si>
  <si>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</si>
  <si>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</si>
  <si>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</si>
  <si>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</si>
  <si>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</si>
  <si>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</si>
  <si>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</si>
  <si>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</si>
  <si>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</si>
  <si>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</si>
  <si>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</si>
  <si>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</si>
  <si>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</si>
  <si>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</si>
  <si>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</si>
  <si>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</si>
  <si>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</si>
  <si>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</si>
  <si>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</si>
  <si>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</si>
  <si>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</si>
  <si>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</si>
  <si>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</si>
  <si>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</si>
  <si>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</si>
  <si>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</si>
  <si>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</si>
  <si>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</si>
  <si>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</si>
  <si>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</si>
  <si>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</si>
  <si>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</si>
  <si>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</si>
  <si>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</si>
  <si>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</si>
  <si>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</si>
  <si>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</si>
  <si>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</si>
  <si>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</si>
  <si>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</si>
  <si>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</si>
  <si>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</si>
  <si>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</si>
  <si>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</si>
  <si>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</si>
  <si>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</si>
  <si>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</si>
  <si>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</si>
  <si>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</si>
  <si>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</si>
  <si>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</si>
  <si>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</si>
  <si>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</si>
  <si>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</si>
  <si>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</si>
  <si>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</si>
  <si>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</si>
  <si>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</si>
  <si>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</si>
  <si>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</si>
  <si>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</si>
  <si>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</si>
  <si>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</si>
  <si>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</si>
  <si>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</si>
  <si>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</si>
  <si>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</si>
  <si>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</si>
  <si>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</si>
  <si>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</si>
  <si>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</si>
  <si>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</si>
  <si>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</si>
  <si>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</si>
  <si>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</si>
  <si>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</si>
  <si>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</si>
  <si>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</si>
  <si>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</si>
  <si>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</si>
  <si>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</si>
  <si>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</si>
  <si>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</si>
  <si>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</si>
  <si>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</si>
  <si>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</si>
  <si>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</si>
  <si>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</si>
  <si>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</si>
  <si>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</si>
  <si>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</si>
  <si>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</si>
  <si>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</si>
  <si>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</si>
  <si>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</si>
  <si>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</si>
  <si>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</si>
  <si>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</si>
  <si>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</si>
  <si>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</si>
  <si>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</si>
  <si>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</si>
  <si>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</si>
  <si>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</si>
  <si>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</si>
  <si>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</si>
  <si>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</si>
  <si>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</si>
  <si>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</si>
  <si>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</si>
  <si>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</si>
  <si>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</si>
  <si>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</si>
  <si>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</si>
  <si>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</si>
  <si>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</si>
  <si>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</si>
  <si>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</si>
  <si>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</si>
  <si>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</si>
  <si>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</si>
  <si>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</si>
  <si>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</si>
  <si>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</si>
  <si>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</si>
  <si>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</si>
  <si>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</si>
  <si>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</si>
  <si>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</si>
  <si>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</si>
  <si>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</si>
  <si>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</si>
  <si>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</si>
  <si>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</si>
  <si>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</si>
  <si>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</si>
  <si>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</si>
  <si>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</si>
  <si>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</si>
  <si>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</si>
  <si>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</si>
  <si>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</si>
  <si>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</si>
  <si>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</si>
  <si>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</si>
  <si>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</si>
  <si>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</si>
  <si>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</si>
  <si>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</si>
  <si>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</si>
  <si>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</si>
  <si>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</si>
  <si>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</si>
  <si>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</si>
  <si>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</si>
  <si>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</si>
  <si>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</si>
  <si>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</si>
  <si>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</si>
  <si>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</si>
  <si>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</si>
  <si>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</si>
  <si>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</si>
  <si>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</si>
  <si>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</si>
  <si>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</si>
  <si>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</si>
  <si>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</si>
  <si>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</si>
  <si>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</si>
  <si>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</si>
  <si>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</si>
  <si>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</si>
  <si>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</si>
  <si>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</si>
  <si>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</si>
  <si>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</si>
  <si>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</si>
  <si>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</si>
  <si>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</si>
  <si>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</si>
  <si>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</si>
  <si>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</si>
  <si>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</si>
  <si>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</si>
  <si>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</si>
  <si>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</si>
  <si>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</si>
  <si>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</si>
  <si>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</si>
  <si>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</si>
  <si>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</si>
  <si>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</si>
  <si>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</si>
  <si>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</si>
  <si>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</si>
  <si>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</si>
  <si>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</si>
  <si>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</si>
  <si>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</si>
  <si>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</si>
  <si>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</si>
  <si>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</si>
  <si>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</si>
  <si>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</si>
  <si>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</si>
  <si>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</si>
  <si>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</si>
  <si>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</si>
  <si>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</si>
  <si>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</si>
  <si>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</si>
  <si>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</si>
  <si>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</si>
  <si>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</si>
  <si>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</si>
  <si>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</si>
  <si>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</si>
  <si>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</si>
  <si>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</si>
  <si>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</si>
  <si>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</si>
  <si>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</si>
  <si>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</si>
  <si>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</si>
  <si>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</si>
  <si>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</si>
  <si>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</si>
  <si>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</si>
  <si>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</si>
  <si>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</si>
  <si>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</si>
  <si>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</si>
  <si>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</si>
  <si>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</si>
  <si>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</si>
  <si>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</si>
  <si>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</si>
  <si>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</si>
  <si>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</si>
  <si>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</si>
  <si>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</si>
  <si>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</si>
  <si>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</si>
  <si>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</si>
  <si>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</si>
  <si>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</si>
  <si>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</si>
  <si>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</si>
  <si>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</si>
  <si>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</si>
  <si>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</si>
  <si>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</si>
  <si>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</si>
  <si>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</si>
  <si>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</si>
  <si>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</si>
  <si>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</si>
  <si>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</si>
  <si>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</si>
  <si>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</si>
  <si>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</si>
  <si>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</si>
  <si>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</si>
  <si>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</si>
  <si>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</si>
  <si>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</si>
  <si>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</si>
  <si>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</si>
  <si>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</si>
  <si>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</si>
  <si>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</si>
  <si>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</si>
  <si>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</si>
  <si>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</si>
  <si>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</si>
  <si>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</si>
  <si>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</si>
  <si>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</si>
  <si>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</si>
  <si>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</si>
  <si>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</si>
  <si>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</si>
  <si>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</si>
  <si>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</si>
  <si>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</si>
  <si>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</si>
  <si>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</si>
  <si>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</si>
  <si>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</si>
  <si>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</si>
  <si>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</si>
  <si>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</si>
  <si>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</si>
  <si>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</si>
  <si>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</si>
  <si>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</si>
  <si>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</si>
  <si>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</si>
  <si>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</si>
  <si>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</si>
  <si>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</si>
  <si>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</si>
  <si>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</si>
  <si>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</si>
  <si>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</si>
  <si>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</si>
  <si>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</si>
  <si>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</si>
  <si>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</si>
  <si>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</si>
  <si>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</si>
  <si>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</si>
  <si>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</si>
  <si>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</si>
  <si>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</si>
  <si>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</si>
  <si>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</si>
  <si>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</si>
  <si>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</si>
  <si>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</si>
  <si>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</si>
  <si>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</si>
  <si>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</si>
  <si>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</si>
  <si>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</si>
  <si>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</si>
  <si>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</si>
  <si>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</si>
  <si>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</si>
  <si>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</si>
  <si>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</si>
  <si>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</si>
  <si>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</si>
  <si>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</si>
  <si>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</si>
  <si>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</si>
  <si>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</si>
  <si>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</si>
  <si>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</si>
  <si>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</si>
  <si>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</si>
  <si>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</si>
  <si>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</si>
  <si>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</si>
  <si>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</si>
  <si>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</si>
  <si>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</si>
  <si>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</si>
  <si>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</si>
  <si>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</si>
  <si>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</si>
  <si>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</si>
  <si>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</si>
  <si>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</si>
  <si>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</si>
  <si>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</si>
  <si>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</si>
  <si>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</si>
  <si>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</si>
  <si>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</si>
  <si>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</si>
  <si>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</si>
  <si>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</si>
  <si>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</si>
  <si>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</si>
  <si>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</si>
  <si>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</si>
  <si>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</si>
  <si>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</si>
  <si>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</si>
  <si>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</si>
  <si>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</si>
  <si>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</si>
  <si>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</si>
  <si>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</si>
  <si>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</si>
  <si>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</si>
  <si>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</si>
  <si>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</si>
  <si>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</si>
  <si>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</si>
  <si>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</si>
  <si>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</si>
  <si>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</si>
  <si>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</si>
  <si>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</si>
  <si>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</si>
  <si>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</si>
  <si>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</si>
  <si>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</si>
  <si>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</si>
  <si>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</si>
  <si>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</si>
  <si>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</si>
  <si>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</si>
  <si>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</si>
  <si>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</si>
  <si>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</si>
  <si>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</si>
  <si>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</si>
  <si>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</si>
  <si>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</si>
  <si>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</si>
  <si>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</si>
  <si>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</si>
  <si>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</si>
  <si>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</si>
  <si>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</si>
  <si>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</si>
  <si>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</si>
  <si>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</si>
  <si>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</si>
  <si>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</si>
  <si>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</si>
  <si>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</si>
  <si>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</si>
  <si>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</si>
  <si>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</si>
  <si>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</si>
  <si>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</si>
  <si>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</si>
  <si>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</si>
  <si>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</si>
  <si>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</si>
  <si>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</si>
  <si>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</si>
  <si>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</si>
  <si>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</si>
  <si>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</si>
  <si>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</si>
  <si>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</si>
  <si>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</si>
  <si>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</si>
  <si>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</si>
  <si>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</si>
  <si>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</si>
  <si>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</si>
  <si>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</si>
  <si>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</si>
  <si>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</si>
  <si>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</si>
  <si>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</si>
  <si>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</si>
  <si>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</si>
  <si>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</si>
  <si>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</si>
  <si>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</si>
  <si>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</si>
  <si>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</si>
  <si>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</si>
  <si>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</si>
  <si>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</si>
  <si>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</si>
  <si>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</si>
  <si>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</si>
  <si>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</si>
  <si>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</si>
  <si>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</si>
  <si>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</si>
  <si>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</si>
  <si>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</si>
  <si>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</si>
  <si>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</si>
  <si>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</si>
  <si>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</si>
  <si>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</si>
  <si>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</si>
  <si>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</si>
  <si>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</si>
  <si>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</si>
  <si>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</si>
  <si>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</si>
  <si>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</si>
  <si>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</si>
  <si>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</si>
  <si>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</si>
  <si>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</si>
  <si>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</si>
  <si>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</si>
  <si>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</si>
  <si>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</si>
  <si>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</si>
  <si>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</si>
  <si>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</si>
  <si>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</si>
  <si>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</si>
  <si>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</si>
  <si>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</si>
  <si>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</si>
  <si>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</si>
  <si>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</si>
  <si>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</si>
  <si>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</si>
  <si>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</si>
  <si>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</si>
  <si>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</si>
  <si>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</si>
  <si>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</si>
  <si>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</si>
  <si>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</si>
  <si>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</si>
  <si>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</si>
  <si>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</si>
  <si>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</si>
  <si>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</si>
  <si>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</si>
  <si>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</si>
  <si>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</si>
  <si>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</si>
  <si>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</si>
  <si>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</si>
  <si>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</si>
  <si>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</si>
  <si>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</si>
  <si>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</si>
  <si>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</si>
  <si>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</si>
  <si>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</si>
  <si>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</si>
  <si>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</si>
  <si>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</si>
  <si>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</si>
  <si>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</si>
  <si>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</si>
  <si>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</si>
  <si>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</si>
  <si>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</si>
  <si>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</si>
  <si>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</si>
  <si>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</si>
  <si>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</si>
  <si>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</si>
  <si>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</si>
  <si>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</si>
  <si>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</si>
  <si>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</si>
  <si>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</si>
  <si>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</si>
  <si>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</si>
  <si>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</si>
  <si>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</si>
  <si>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</si>
  <si>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</si>
  <si>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</si>
  <si>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</si>
  <si>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</si>
  <si>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</si>
  <si>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</si>
  <si>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</si>
  <si>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</si>
  <si>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</si>
  <si>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</si>
  <si>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</si>
  <si>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</si>
  <si>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</si>
  <si>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</si>
  <si>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</si>
  <si>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</si>
  <si>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</si>
  <si>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</si>
  <si>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</si>
  <si>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</si>
  <si>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</si>
  <si>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</si>
  <si>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</si>
  <si>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</si>
  <si>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</si>
  <si>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</si>
  <si>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</si>
  <si>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</si>
  <si>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</si>
  <si>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</si>
  <si>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</si>
  <si>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</si>
  <si>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</si>
  <si>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</si>
  <si>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</si>
  <si>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</si>
  <si>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</si>
  <si>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</si>
  <si>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</si>
  <si>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</si>
  <si>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</si>
  <si>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</si>
  <si>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</si>
  <si>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</si>
  <si>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</si>
  <si>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</si>
  <si>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</si>
  <si>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</si>
  <si>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</si>
  <si>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</si>
  <si>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</si>
  <si>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</si>
  <si>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</si>
  <si>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</si>
  <si>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</si>
  <si>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</si>
  <si>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</si>
  <si>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</si>
  <si>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</si>
  <si>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</si>
  <si>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</si>
  <si>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</si>
  <si>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</si>
  <si>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</si>
  <si>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</si>
  <si>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</si>
  <si>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</si>
  <si>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</si>
  <si>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</si>
  <si>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</si>
  <si>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</si>
  <si>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</si>
  <si>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</si>
  <si>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</si>
  <si>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</si>
  <si>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</si>
  <si>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</si>
  <si>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</si>
  <si>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</si>
  <si>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</si>
  <si>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</si>
  <si>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</si>
  <si>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</si>
  <si>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</si>
  <si>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</si>
  <si>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</si>
  <si>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</si>
  <si>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</si>
  <si>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</si>
  <si>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</si>
  <si>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</si>
  <si>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</si>
  <si>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</si>
  <si>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</si>
  <si>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</si>
  <si>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</si>
  <si>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</si>
  <si>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</si>
  <si>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</si>
  <si>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</si>
  <si>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</si>
  <si>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</si>
  <si>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</si>
  <si>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</si>
  <si>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</si>
  <si>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</si>
  <si>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</si>
  <si>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</si>
  <si>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</si>
  <si>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</si>
  <si>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</si>
  <si>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</si>
  <si>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</si>
  <si>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</si>
  <si>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</si>
  <si>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</si>
  <si>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</si>
  <si>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</si>
  <si>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</si>
  <si>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</si>
  <si>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</si>
  <si>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</si>
  <si>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</si>
  <si>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</si>
  <si>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</si>
  <si>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</si>
  <si>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</si>
  <si>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</si>
  <si>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</si>
  <si>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</si>
  <si>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</si>
  <si>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</si>
  <si>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</si>
  <si>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</si>
  <si>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</si>
  <si>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</si>
  <si>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</si>
  <si>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</si>
  <si>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</si>
  <si>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</si>
  <si>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</si>
  <si>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</si>
  <si>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</si>
  <si>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</si>
  <si>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</si>
  <si>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</si>
  <si>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</si>
  <si>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</si>
  <si>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</si>
  <si>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</si>
  <si>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</si>
  <si>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</si>
  <si>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</si>
  <si>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</si>
  <si>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</si>
  <si>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</si>
  <si>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</si>
  <si>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</si>
  <si>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</si>
  <si>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</si>
  <si>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</si>
  <si>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</si>
  <si>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</si>
  <si>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</si>
  <si>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</si>
  <si>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</si>
  <si>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</si>
  <si>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</si>
  <si>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</si>
  <si>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</si>
  <si>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</si>
  <si>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</si>
  <si>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</si>
  <si>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</si>
  <si>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</si>
  <si>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</si>
  <si>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</si>
  <si>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</si>
  <si>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</si>
  <si>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</si>
  <si>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</si>
  <si>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</si>
  <si>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</si>
  <si>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</si>
  <si>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</si>
  <si>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</si>
  <si>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</si>
  <si>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</si>
  <si>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</si>
  <si>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</si>
  <si>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</si>
  <si>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</si>
  <si>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</si>
  <si>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</si>
  <si>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</si>
  <si>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</si>
  <si>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</si>
  <si>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</si>
  <si>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</si>
  <si>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</si>
  <si>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</si>
  <si>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</si>
  <si>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</si>
  <si>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</si>
  <si>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</si>
  <si>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</si>
  <si>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</si>
  <si>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</si>
  <si>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</si>
  <si>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</si>
  <si>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</si>
  <si>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</si>
  <si>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</si>
  <si>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</si>
  <si>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</si>
  <si>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</si>
  <si>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</si>
  <si>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</si>
  <si>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</si>
  <si>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</si>
  <si>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</si>
  <si>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</si>
  <si>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</si>
  <si>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</si>
  <si>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</si>
  <si>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</si>
  <si>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</si>
  <si>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</si>
  <si>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</si>
  <si>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</si>
  <si>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</si>
  <si>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</si>
  <si>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</si>
  <si>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</si>
  <si>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</si>
  <si>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</si>
  <si>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</si>
  <si>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</si>
  <si>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</si>
  <si>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</si>
  <si>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</si>
  <si>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</si>
  <si>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</si>
  <si>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</si>
  <si>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</si>
  <si>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</si>
  <si>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</si>
  <si>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</si>
  <si>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</si>
  <si>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</si>
  <si>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</si>
  <si>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</si>
  <si>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</si>
  <si>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</si>
  <si>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</si>
  <si>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</si>
  <si>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</si>
  <si>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</si>
  <si>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</si>
  <si>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</si>
  <si>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</si>
  <si>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</si>
  <si>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</si>
  <si>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</si>
  <si>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</si>
  <si>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</si>
  <si>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</si>
  <si>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</si>
  <si>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</si>
  <si>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</si>
  <si>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</si>
  <si>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</si>
  <si>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</si>
  <si>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</si>
  <si>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</si>
  <si>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</si>
  <si>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</si>
  <si>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</si>
  <si>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</si>
  <si>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</si>
  <si>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</si>
  <si>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</si>
  <si>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</si>
  <si>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</si>
  <si>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</si>
  <si>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</si>
  <si>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</si>
  <si>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</si>
  <si>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</si>
  <si>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</si>
  <si>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</si>
  <si>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</si>
  <si>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</si>
  <si>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</si>
  <si>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</si>
  <si>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</si>
  <si>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</si>
  <si>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</si>
  <si>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</si>
  <si>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</si>
  <si>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</si>
  <si>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</si>
  <si>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</si>
  <si>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</si>
  <si>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</si>
  <si>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</si>
  <si>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</si>
  <si>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</si>
  <si>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</si>
  <si>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</si>
  <si>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</si>
  <si>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</si>
  <si>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</si>
  <si>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</si>
  <si>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</si>
  <si>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</si>
  <si>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</si>
  <si>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</si>
  <si>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</si>
  <si>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</si>
  <si>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</si>
  <si>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</si>
  <si>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</si>
  <si>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</si>
  <si>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</si>
  <si>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</si>
  <si>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</si>
  <si>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</si>
  <si>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</si>
  <si>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</si>
  <si>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</si>
  <si>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</si>
  <si>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</si>
  <si>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</si>
  <si>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</si>
  <si>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</si>
  <si>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</si>
  <si>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</si>
  <si>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</si>
  <si>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</si>
  <si>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</si>
  <si>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</si>
  <si>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</si>
  <si>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</si>
  <si>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</si>
  <si>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</si>
  <si>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</si>
  <si>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</si>
  <si>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</si>
  <si>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</si>
  <si>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</si>
  <si>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</si>
  <si>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</si>
  <si>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</si>
  <si>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</si>
  <si>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</si>
  <si>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</si>
  <si>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</si>
  <si>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</si>
  <si>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</si>
  <si>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</si>
  <si>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</si>
  <si>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</si>
  <si>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</si>
  <si>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</si>
  <si>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</si>
  <si>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</si>
  <si>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</si>
  <si>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</si>
  <si>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</si>
  <si>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</si>
  <si>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</si>
  <si>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</si>
  <si>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</si>
  <si>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</si>
  <si>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</si>
  <si>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</si>
  <si>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</si>
  <si>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</si>
  <si>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</si>
  <si>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</si>
  <si>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</si>
  <si>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</si>
  <si>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</si>
  <si>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</si>
  <si>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</si>
  <si>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</si>
  <si>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</si>
  <si>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</si>
  <si>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</si>
  <si>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</si>
  <si>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</si>
  <si>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</si>
  <si>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</si>
  <si>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</si>
  <si>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</si>
  <si>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</si>
  <si>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</si>
  <si>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</si>
  <si>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</si>
  <si>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</si>
  <si>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</si>
  <si>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</si>
  <si>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</si>
  <si>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</si>
  <si>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</si>
  <si>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</si>
  <si>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</si>
  <si>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</si>
  <si>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</si>
  <si>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</si>
  <si>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</si>
  <si>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</si>
  <si>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</si>
  <si>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</si>
  <si>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</si>
  <si>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</si>
  <si>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</si>
  <si>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</si>
  <si>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</si>
  <si>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</si>
  <si>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</si>
  <si>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</si>
  <si>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</si>
  <si>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</si>
  <si>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</si>
  <si>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</si>
  <si>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</si>
  <si>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</si>
  <si>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</si>
  <si>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</si>
  <si>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</si>
  <si>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</si>
  <si>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</si>
  <si>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</si>
  <si>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</si>
  <si>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</si>
  <si>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</si>
  <si>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</si>
  <si>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</si>
  <si>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</si>
  <si>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</si>
  <si>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</si>
  <si>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</si>
  <si>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</si>
  <si>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</si>
  <si>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</si>
  <si>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</si>
  <si>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</si>
  <si>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</si>
  <si>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</si>
  <si>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</si>
  <si>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</si>
  <si>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</si>
  <si>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</si>
  <si>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</si>
  <si>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</si>
  <si>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</si>
  <si>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</si>
  <si>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</si>
  <si>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</si>
  <si>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</si>
  <si>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</si>
  <si>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</si>
  <si>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</si>
  <si>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</si>
  <si>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</si>
  <si>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</si>
  <si>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</si>
  <si>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</si>
  <si>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</si>
  <si>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</si>
  <si>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</si>
  <si>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</si>
  <si>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</si>
  <si>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</si>
  <si>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</si>
  <si>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</si>
  <si>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</si>
  <si>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</si>
  <si>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</si>
  <si>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</si>
  <si>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</si>
  <si>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</si>
  <si>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</si>
  <si>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</si>
  <si>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</si>
  <si>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</si>
  <si>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</si>
  <si>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</si>
  <si>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</si>
  <si>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</si>
  <si>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</si>
  <si>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</si>
  <si>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</si>
  <si>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</si>
  <si>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</si>
  <si>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</si>
  <si>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</si>
  <si>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</si>
  <si>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</si>
  <si>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</si>
  <si>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</si>
  <si>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</si>
  <si>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</si>
  <si>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</si>
  <si>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</si>
  <si>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</si>
  <si>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</si>
  <si>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</si>
  <si>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</si>
  <si>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</si>
  <si>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</si>
  <si>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</si>
  <si>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</si>
  <si>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</si>
  <si>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</si>
  <si>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</si>
  <si>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</si>
  <si>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</si>
  <si>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</si>
  <si>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</si>
  <si>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</si>
  <si>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</si>
  <si>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</si>
  <si>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</si>
  <si>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</si>
  <si>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</si>
  <si>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</si>
  <si>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</si>
  <si>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</si>
  <si>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</si>
  <si>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</si>
  <si>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</si>
  <si>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</si>
  <si>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</si>
  <si>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</si>
  <si>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</si>
  <si>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</si>
  <si>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</si>
  <si>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</si>
  <si>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</si>
  <si>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</si>
  <si>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</si>
  <si>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</si>
  <si>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</si>
  <si>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</si>
  <si>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</si>
  <si>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</si>
  <si>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</si>
  <si>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</si>
  <si>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</si>
  <si>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</si>
  <si>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</si>
  <si>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</si>
  <si>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</si>
  <si>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</si>
  <si>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</si>
  <si>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</si>
  <si>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</si>
  <si>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</si>
  <si>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</si>
  <si>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</si>
  <si>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</si>
  <si>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</si>
  <si>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</si>
  <si>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</si>
  <si>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</si>
  <si>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</si>
  <si>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</si>
  <si>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</si>
  <si>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</si>
  <si>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</si>
  <si>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</si>
  <si>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</si>
  <si>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</si>
  <si>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</si>
  <si>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</si>
  <si>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</si>
  <si>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</si>
  <si>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</si>
  <si>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</si>
  <si>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</si>
  <si>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</si>
  <si>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</si>
  <si>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</si>
  <si>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</si>
  <si>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</si>
  <si>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</si>
  <si>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</si>
  <si>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</si>
  <si>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</si>
  <si>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</si>
  <si>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</si>
  <si>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</si>
  <si>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</si>
  <si>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</si>
  <si>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</si>
  <si>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</si>
  <si>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</si>
  <si>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</si>
  <si>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</si>
  <si>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</si>
  <si>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</si>
  <si>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</si>
  <si>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</si>
  <si>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</si>
  <si>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</si>
  <si>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</si>
  <si>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</si>
  <si>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</si>
  <si>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</si>
  <si>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</si>
  <si>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</si>
  <si>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</si>
  <si>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</si>
  <si>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</si>
  <si>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</si>
  <si>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</si>
  <si>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</si>
  <si>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</si>
  <si>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</si>
  <si>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</si>
  <si>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</si>
  <si>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</si>
  <si>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</si>
  <si>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</si>
  <si>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</si>
  <si>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</si>
  <si>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</si>
  <si>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</si>
  <si>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</si>
  <si>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</si>
  <si>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</si>
  <si>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</si>
  <si>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</si>
  <si>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</si>
  <si>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</si>
  <si>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</si>
  <si>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</si>
  <si>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</si>
  <si>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</si>
  <si>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</si>
  <si>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</si>
  <si>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</si>
  <si>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</si>
  <si>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</si>
  <si>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</si>
  <si>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</si>
  <si>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</si>
  <si>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</si>
  <si>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</si>
  <si>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</si>
  <si>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</si>
  <si>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</si>
  <si>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</si>
  <si>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</si>
  <si>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</si>
  <si>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</si>
  <si>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</si>
  <si>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</si>
  <si>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</si>
  <si>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</si>
  <si>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</si>
  <si>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</si>
  <si>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</si>
  <si>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</si>
  <si>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</si>
  <si>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</si>
  <si>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</si>
  <si>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</si>
  <si>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</si>
  <si>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</si>
  <si>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</si>
  <si>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</si>
  <si>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</si>
  <si>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</si>
  <si>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</si>
  <si>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</si>
  <si>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</si>
  <si>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</si>
  <si>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</si>
  <si>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</si>
  <si>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</si>
  <si>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</si>
  <si>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</si>
  <si>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</si>
  <si>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</si>
  <si>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</si>
  <si>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</si>
  <si>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</si>
  <si>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</si>
  <si>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</si>
  <si>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</si>
  <si>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</si>
  <si>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</si>
  <si>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</si>
  <si>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</si>
  <si>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</si>
  <si>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</si>
  <si>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</si>
  <si>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</si>
  <si>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</si>
  <si>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</si>
  <si>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</si>
  <si>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</si>
  <si>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</si>
  <si>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</si>
  <si>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</si>
  <si>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</si>
  <si>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</si>
  <si>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</si>
  <si>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</si>
  <si>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</si>
  <si>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</si>
  <si>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</si>
  <si>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</si>
  <si>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</si>
  <si>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</si>
  <si>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</si>
  <si>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</si>
  <si>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</si>
  <si>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</si>
  <si>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</si>
  <si>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</si>
  <si>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</si>
  <si>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</si>
  <si>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</si>
  <si>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</si>
  <si>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</si>
  <si>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</si>
  <si>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</si>
  <si>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</si>
  <si>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</si>
  <si>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</si>
  <si>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</si>
  <si>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</si>
  <si>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</si>
  <si>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</si>
  <si>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</si>
  <si>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</si>
  <si>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</si>
  <si>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</si>
  <si>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</si>
  <si>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</si>
  <si>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</si>
  <si>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</si>
  <si>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</si>
  <si>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</si>
  <si>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</si>
  <si>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</si>
  <si>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</si>
  <si>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</si>
  <si>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</si>
  <si>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</si>
  <si>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</si>
  <si>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</si>
  <si>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</si>
  <si>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</si>
  <si>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</si>
  <si>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</si>
  <si>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</si>
  <si>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</si>
  <si>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</si>
  <si>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</si>
  <si>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</si>
  <si>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</si>
  <si>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</si>
  <si>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</si>
  <si>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</si>
  <si>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</si>
  <si>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</si>
  <si>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</si>
  <si>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</si>
  <si>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</si>
  <si>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</si>
  <si>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</si>
  <si>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</si>
  <si>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</si>
  <si>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</si>
  <si>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</si>
  <si>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</si>
  <si>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</si>
  <si>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</si>
  <si>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</si>
  <si>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</si>
  <si>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</si>
  <si>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</si>
  <si>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</si>
  <si>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</si>
  <si>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</si>
  <si>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</si>
  <si>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</si>
  <si>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</si>
  <si>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</si>
  <si>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</si>
  <si>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</si>
  <si>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</si>
  <si>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</si>
  <si>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</si>
  <si>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</si>
  <si>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</si>
  <si>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</si>
  <si>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</si>
  <si>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</si>
  <si>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</si>
  <si>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</si>
  <si>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</si>
  <si>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</si>
  <si>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</si>
  <si>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</si>
  <si>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</si>
  <si>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</si>
  <si>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</si>
  <si>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</si>
  <si>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</si>
  <si>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</si>
  <si>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</si>
  <si>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</si>
  <si>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</si>
  <si>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</si>
  <si>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</si>
  <si>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</si>
  <si>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</si>
  <si>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</si>
  <si>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</si>
  <si>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</si>
  <si>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</si>
  <si>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</si>
  <si>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</si>
  <si>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</si>
  <si>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</si>
  <si>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</si>
  <si>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</si>
  <si>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</si>
  <si>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</si>
  <si>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</si>
  <si>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</si>
  <si>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</si>
  <si>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</si>
  <si>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</si>
  <si>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</si>
  <si>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</si>
  <si>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</si>
  <si>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</si>
  <si>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</si>
  <si>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</si>
  <si>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</si>
  <si>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</si>
  <si>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</si>
  <si>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</si>
  <si>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</si>
  <si>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</si>
  <si>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</si>
  <si>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</si>
  <si>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</si>
  <si>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</si>
  <si>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</si>
  <si>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</si>
  <si>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</si>
  <si>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</si>
  <si>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</si>
  <si>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</si>
  <si>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</si>
  <si>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</si>
  <si>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</si>
  <si>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</si>
  <si>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</si>
  <si>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</si>
  <si>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</si>
  <si>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</si>
  <si>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</si>
  <si>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</si>
  <si>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</si>
  <si>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</si>
  <si>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</si>
  <si>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</si>
  <si>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</si>
  <si>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</si>
  <si>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</si>
  <si>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</si>
  <si>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</si>
  <si>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</si>
  <si>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</si>
  <si>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</si>
  <si>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</si>
  <si>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</si>
  <si>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</si>
  <si>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</si>
  <si>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</si>
  <si>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</si>
  <si>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</si>
  <si>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</si>
  <si>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</si>
  <si>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</si>
  <si>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</si>
  <si>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</si>
  <si>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</si>
  <si>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</si>
  <si>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</si>
  <si>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</si>
  <si>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</si>
  <si>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</si>
  <si>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</si>
  <si>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</si>
  <si>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</si>
  <si>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</si>
  <si>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</si>
  <si>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</si>
  <si>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</si>
  <si>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</si>
  <si>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</si>
  <si>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</si>
  <si>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</si>
  <si>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</si>
  <si>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</si>
  <si>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</si>
  <si>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</si>
  <si>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</si>
  <si>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</si>
  <si>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</si>
  <si>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</si>
  <si>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</si>
  <si>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</si>
  <si>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</si>
  <si>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</si>
  <si>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</si>
  <si>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</si>
  <si>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</si>
  <si>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</si>
  <si>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</si>
  <si>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</si>
  <si>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</si>
  <si>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</si>
  <si>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</si>
  <si>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</si>
  <si>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</si>
  <si>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</si>
  <si>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</si>
  <si>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</si>
  <si>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</si>
  <si>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</si>
  <si>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</si>
  <si>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</si>
  <si>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</si>
  <si>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</si>
  <si>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</si>
  <si>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</si>
  <si>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</si>
  <si>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</si>
  <si>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</si>
  <si>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</si>
  <si>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</si>
  <si>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</si>
  <si>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</si>
  <si>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</si>
  <si>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</si>
  <si>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</si>
  <si>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</si>
  <si>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</si>
  <si>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</si>
  <si>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</si>
  <si>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</si>
  <si>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</si>
  <si>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</si>
  <si>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</si>
  <si>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</si>
  <si>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</si>
  <si>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</si>
  <si>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</si>
  <si>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</si>
  <si>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</si>
  <si>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</si>
  <si>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</si>
  <si>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</si>
  <si>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</si>
  <si>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</si>
  <si>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</si>
  <si>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</si>
  <si>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</si>
  <si>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</si>
  <si>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</si>
  <si>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</si>
  <si>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</si>
  <si>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</si>
  <si>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</si>
  <si>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</si>
  <si>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</si>
  <si>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</si>
  <si>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</si>
  <si>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</si>
  <si>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</si>
  <si>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</si>
  <si>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</si>
  <si>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</si>
  <si>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</si>
  <si>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</si>
  <si>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</si>
  <si>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</si>
  <si>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</si>
  <si>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</si>
  <si>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</si>
  <si>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</si>
  <si>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</si>
  <si>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</si>
  <si>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</si>
  <si>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</si>
  <si>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</si>
  <si>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</si>
  <si>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</si>
  <si>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</si>
  <si>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</si>
  <si>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</si>
  <si>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</si>
  <si>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</si>
  <si>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</si>
  <si>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</si>
  <si>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</si>
  <si>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</si>
  <si>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</si>
  <si>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</si>
  <si>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</si>
  <si>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</si>
  <si>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</si>
  <si>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</si>
  <si>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</si>
  <si>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</si>
  <si>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</si>
  <si>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</si>
  <si>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</si>
  <si>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</si>
  <si>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</si>
  <si>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</si>
  <si>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</si>
  <si>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</si>
  <si>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</si>
  <si>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</si>
  <si>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</si>
  <si>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</si>
  <si>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</si>
  <si>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</si>
  <si>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</si>
  <si>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</si>
  <si>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</si>
  <si>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</si>
  <si>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</si>
  <si>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</si>
  <si>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</si>
  <si>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</si>
  <si>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</si>
  <si>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</si>
  <si>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</si>
  <si>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</si>
  <si>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</si>
  <si>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</si>
  <si>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</si>
  <si>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</si>
  <si>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</si>
  <si>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</si>
  <si>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</si>
  <si>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</si>
  <si>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</si>
  <si>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</si>
  <si>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</si>
  <si>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</si>
  <si>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</si>
  <si>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</si>
  <si>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</si>
  <si>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</si>
  <si>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</si>
  <si>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</si>
  <si>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</si>
  <si>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</si>
  <si>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</si>
  <si>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</si>
  <si>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</si>
  <si>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</si>
  <si>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</si>
  <si>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</si>
  <si>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</si>
  <si>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</si>
  <si>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</si>
  <si>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</si>
  <si>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</si>
  <si>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</si>
  <si>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</si>
  <si>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</si>
  <si>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</si>
  <si>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</si>
  <si>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</si>
  <si>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</si>
  <si>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</si>
  <si>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</si>
  <si>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</si>
  <si>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</si>
  <si>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</si>
  <si>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</si>
  <si>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</si>
  <si>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</si>
  <si>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</si>
  <si>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</si>
  <si>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</si>
  <si>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</si>
  <si>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</si>
  <si>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</si>
  <si>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</si>
  <si>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</si>
  <si>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</si>
  <si>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</si>
  <si>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</si>
  <si>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</si>
  <si>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</si>
  <si>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</si>
  <si>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</si>
  <si>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</si>
  <si>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</si>
  <si>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</si>
  <si>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</si>
  <si>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</si>
  <si>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</si>
  <si>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</si>
  <si>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</si>
  <si>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</si>
  <si>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</si>
  <si>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</si>
  <si>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</si>
  <si>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</si>
  <si>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</si>
  <si>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</si>
  <si>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</si>
  <si>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</si>
  <si>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</si>
  <si>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</si>
  <si>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</si>
  <si>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</si>
  <si>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</si>
  <si>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</si>
  <si>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</si>
  <si>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</si>
  <si>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</si>
  <si>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</si>
  <si>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</si>
  <si>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</si>
  <si>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</si>
  <si>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</si>
  <si>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</si>
  <si>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</si>
  <si>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</si>
  <si>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</si>
  <si>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</si>
  <si>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</si>
  <si>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</si>
  <si>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</si>
  <si>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</si>
  <si>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</si>
  <si>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</si>
  <si>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</si>
  <si>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</si>
  <si>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</si>
  <si>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</si>
  <si>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</si>
  <si>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</si>
  <si>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</si>
  <si>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</si>
  <si>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</si>
  <si>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</si>
  <si>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</si>
  <si>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</si>
  <si>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</si>
  <si>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</si>
  <si>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</si>
  <si>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</si>
  <si>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</si>
  <si>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</si>
  <si>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</si>
  <si>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</si>
  <si>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</si>
  <si>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</si>
  <si>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</si>
  <si>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</si>
  <si>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</si>
  <si>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</si>
  <si>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</si>
  <si>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</si>
  <si>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</si>
  <si>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</si>
  <si>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</si>
  <si>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</si>
  <si>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</si>
  <si>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</si>
  <si>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</si>
  <si>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</si>
  <si>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</si>
  <si>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</si>
  <si>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</si>
  <si>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</si>
  <si>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</si>
  <si>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</si>
  <si>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</si>
  <si>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</si>
  <si>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</si>
  <si>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</si>
  <si>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</si>
  <si>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</si>
  <si>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</si>
  <si>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</si>
  <si>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</si>
  <si>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</si>
  <si>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</si>
  <si>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</si>
  <si>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</si>
  <si>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</si>
  <si>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</si>
  <si>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</si>
  <si>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</si>
  <si>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</si>
  <si>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</si>
  <si>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</si>
  <si>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</si>
  <si>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</si>
  <si>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</si>
  <si>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</si>
  <si>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</si>
  <si>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</si>
  <si>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</si>
  <si>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</si>
  <si>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</si>
  <si>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</si>
  <si>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</si>
  <si>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</si>
  <si>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</si>
  <si>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</si>
  <si>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</si>
  <si>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</si>
  <si>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</si>
  <si>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</si>
  <si>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</si>
  <si>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</si>
  <si>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</si>
  <si>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</si>
  <si>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</si>
  <si>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</si>
  <si>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</si>
  <si>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</si>
  <si>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</si>
  <si>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</si>
  <si>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</si>
  <si>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</si>
  <si>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</si>
  <si>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</si>
  <si>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</si>
  <si>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</si>
  <si>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</si>
  <si>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</si>
  <si>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</si>
  <si>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</si>
  <si>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</si>
  <si>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</si>
  <si>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</si>
  <si>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</si>
  <si>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</si>
  <si>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</si>
  <si>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</si>
  <si>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</si>
  <si>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</si>
  <si>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</si>
  <si>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</si>
  <si>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</si>
  <si>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</si>
  <si>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</si>
  <si>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</si>
  <si>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</si>
  <si>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</si>
  <si>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</si>
  <si>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</si>
  <si>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</si>
  <si>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</si>
  <si>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</si>
  <si>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</si>
  <si>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</si>
  <si>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</si>
  <si>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</si>
  <si>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</si>
  <si>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</si>
  <si>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</si>
  <si>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</si>
  <si>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</si>
  <si>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</si>
  <si>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</si>
  <si>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</si>
  <si>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</si>
  <si>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</si>
  <si>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</si>
  <si>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</si>
  <si>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</si>
  <si>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</si>
  <si>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</si>
  <si>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</si>
  <si>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</si>
  <si>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</si>
  <si>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</si>
  <si>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</si>
  <si>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</si>
  <si>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</si>
  <si>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</si>
  <si>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</si>
  <si>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</si>
  <si>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</si>
  <si>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</si>
  <si>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</si>
  <si>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</si>
  <si>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</si>
  <si>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</si>
  <si>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</si>
  <si>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</si>
  <si>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</si>
  <si>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</si>
  <si>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</si>
  <si>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</si>
  <si>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</si>
  <si>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</si>
  <si>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</si>
  <si>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</si>
  <si>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</si>
  <si>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</si>
  <si>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</si>
  <si>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</si>
  <si>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</si>
  <si>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</si>
  <si>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</si>
  <si>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</si>
  <si>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</si>
  <si>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</si>
  <si>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</si>
  <si>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</si>
  <si>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</si>
  <si>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</si>
  <si>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</si>
  <si>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</si>
  <si>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</si>
  <si>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</si>
  <si>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</si>
  <si>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</si>
  <si>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</si>
  <si>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</si>
  <si>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</si>
  <si>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</si>
  <si>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</si>
  <si>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</si>
  <si>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</si>
  <si>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</si>
  <si>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</si>
  <si>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</si>
  <si>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</si>
  <si>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</si>
  <si>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</si>
  <si>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</si>
  <si>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</si>
  <si>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</si>
  <si>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</si>
  <si>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</si>
  <si>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</si>
  <si>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</si>
  <si>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</si>
  <si>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</si>
  <si>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</si>
  <si>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</si>
  <si>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</si>
  <si>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</si>
  <si>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</si>
  <si>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</si>
  <si>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</si>
  <si>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</si>
  <si>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</si>
  <si>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</si>
  <si>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</si>
  <si>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</si>
  <si>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</si>
  <si>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</si>
  <si>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</si>
  <si>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</si>
  <si>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</si>
  <si>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</si>
  <si>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</si>
  <si>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</si>
  <si>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</si>
  <si>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</si>
  <si>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</si>
  <si>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</si>
  <si>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</si>
  <si>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</si>
  <si>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</si>
  <si>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</si>
  <si>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</si>
  <si>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</si>
  <si>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</si>
  <si>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</si>
  <si>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</si>
  <si>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</si>
  <si>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</si>
  <si>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</si>
  <si>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</si>
  <si>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</si>
  <si>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</si>
  <si>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</si>
  <si>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</si>
  <si>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</si>
  <si>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</si>
  <si>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</si>
  <si>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</si>
  <si>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</si>
  <si>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</si>
  <si>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</si>
  <si>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</si>
  <si>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</si>
  <si>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</si>
  <si>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</si>
  <si>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</si>
  <si>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</si>
  <si>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</si>
  <si>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</si>
  <si>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</si>
  <si>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</si>
  <si>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</si>
  <si>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</si>
  <si>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</si>
  <si>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</si>
  <si>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</si>
  <si>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</si>
  <si>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</si>
  <si>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</si>
  <si>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</si>
  <si>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</si>
  <si>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</si>
  <si>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</si>
  <si>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</si>
  <si>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</si>
  <si>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</si>
  <si>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</si>
  <si>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</si>
  <si>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</si>
  <si>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</si>
  <si>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</si>
  <si>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</si>
  <si>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</si>
  <si>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</si>
  <si>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</si>
  <si>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</si>
  <si>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</si>
  <si>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</si>
  <si>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</si>
  <si>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</si>
  <si>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</si>
  <si>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</si>
  <si>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</si>
  <si>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</si>
  <si>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</si>
  <si>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</si>
  <si>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</si>
  <si>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</si>
  <si>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</si>
  <si>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</si>
  <si>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</si>
  <si>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</si>
  <si>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</si>
  <si>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</si>
  <si>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</si>
  <si>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</si>
  <si>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</si>
  <si>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</si>
  <si>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</si>
  <si>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</si>
  <si>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</si>
  <si>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</si>
  <si>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</si>
  <si>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</si>
  <si>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</si>
  <si>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</si>
  <si>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</si>
  <si>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</si>
  <si>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</si>
  <si>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</si>
  <si>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</si>
  <si>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</si>
  <si>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</si>
  <si>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</si>
  <si>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</si>
  <si>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</si>
  <si>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</si>
  <si>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</si>
  <si>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</si>
  <si>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</si>
  <si>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</si>
  <si>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</si>
  <si>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</si>
  <si>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</si>
  <si>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</si>
  <si>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</si>
  <si>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</si>
  <si>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</si>
  <si>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</si>
  <si>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</si>
  <si>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</si>
  <si>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</si>
  <si>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</si>
  <si>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</si>
  <si>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</si>
  <si>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</si>
  <si>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</si>
  <si>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</si>
  <si>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</si>
  <si>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</si>
  <si>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</si>
  <si>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</si>
  <si>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</si>
  <si>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</si>
  <si>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</si>
  <si>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</si>
  <si>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</si>
  <si>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</si>
  <si>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</si>
  <si>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</si>
  <si>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</si>
  <si>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</si>
  <si>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</si>
  <si>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</si>
  <si>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</si>
  <si>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</si>
  <si>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</si>
  <si>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</si>
  <si>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</si>
  <si>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</si>
  <si>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</si>
  <si>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</si>
  <si>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</si>
  <si>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</si>
  <si>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</si>
  <si>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</si>
  <si>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</si>
  <si>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</si>
  <si>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</si>
  <si>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</si>
  <si>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</si>
  <si>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</si>
  <si>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</si>
  <si>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</si>
  <si>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</si>
  <si>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</si>
  <si>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</si>
  <si>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</si>
  <si>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</si>
  <si>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</si>
  <si>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</si>
  <si>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</si>
  <si>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</si>
  <si>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</si>
  <si>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</si>
  <si>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</si>
  <si>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</si>
  <si>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</si>
  <si>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</si>
  <si>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</si>
  <si>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</si>
  <si>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</si>
  <si>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</si>
  <si>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</si>
  <si>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</si>
  <si>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</si>
  <si>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</si>
  <si>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</si>
  <si>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</si>
  <si>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</si>
  <si>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</si>
  <si>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</si>
  <si>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</si>
  <si>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</si>
  <si>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</si>
  <si>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</si>
  <si>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</si>
  <si>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</si>
  <si>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</si>
  <si>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</si>
  <si>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</si>
  <si>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</si>
  <si>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</si>
  <si>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</si>
  <si>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</si>
  <si>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</si>
  <si>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</si>
  <si>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</si>
  <si>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</si>
  <si>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</si>
  <si>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</si>
  <si>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</si>
  <si>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</si>
  <si>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</si>
  <si>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</si>
  <si>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</si>
  <si>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</si>
  <si>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</si>
  <si>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</si>
  <si>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</si>
  <si>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</si>
  <si>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</si>
  <si>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</si>
  <si>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</si>
  <si>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</si>
  <si>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</si>
  <si>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</si>
  <si>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</si>
  <si>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</si>
  <si>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</si>
  <si>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</si>
  <si>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</si>
  <si>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</si>
  <si>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</si>
  <si>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</si>
  <si>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</si>
  <si>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</si>
  <si>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</si>
  <si>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</si>
  <si>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</si>
  <si>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</si>
  <si>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</si>
  <si>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</si>
  <si>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</si>
  <si>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</si>
  <si>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</si>
  <si>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</si>
  <si>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</si>
  <si>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</si>
  <si>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</si>
  <si>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</si>
  <si>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</si>
  <si>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</si>
  <si>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</si>
  <si>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</si>
  <si>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</si>
  <si>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</si>
  <si>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</si>
  <si>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</si>
  <si>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</si>
  <si>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</si>
  <si>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</si>
  <si>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</si>
  <si>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</si>
  <si>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</si>
  <si>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</si>
  <si>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</si>
  <si>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</si>
  <si>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P03007</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</si>
  <si>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</si>
  <si>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</si>
  <si>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</si>
  <si>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</si>
  <si>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</si>
  <si>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</si>
  <si>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</si>
  <si>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</si>
  <si>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</si>
  <si>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</si>
  <si>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</si>
  <si>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</si>
  <si>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</si>
  <si>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</si>
  <si>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</si>
  <si>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</si>
  <si>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</si>
  <si>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</si>
  <si>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</si>
  <si>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</si>
  <si>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</si>
  <si>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</si>
  <si>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</si>
  <si>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</si>
  <si>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</si>
  <si>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</si>
  <si>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</si>
  <si>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</si>
  <si>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</si>
  <si>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</si>
  <si>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</si>
  <si>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</si>
  <si>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</si>
  <si>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</si>
  <si>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</si>
  <si>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</si>
  <si>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</si>
  <si>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</si>
  <si>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</si>
  <si>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</si>
  <si>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</si>
  <si>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</si>
  <si>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</si>
  <si>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</si>
  <si>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</si>
  <si>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</si>
  <si>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</si>
  <si>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</si>
  <si>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</si>
  <si>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</si>
  <si>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</si>
  <si>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</si>
  <si>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</si>
  <si>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</si>
  <si>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</si>
  <si>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</si>
  <si>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</si>
  <si>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</si>
  <si>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</si>
  <si>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</si>
  <si>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</si>
  <si>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</si>
  <si>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</si>
  <si>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</si>
  <si>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</si>
  <si>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</si>
  <si>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</si>
  <si>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</si>
  <si>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</si>
  <si>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</si>
  <si>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</si>
  <si>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</si>
  <si>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</si>
  <si>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</si>
  <si>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</si>
  <si>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</si>
  <si>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</si>
  <si>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</si>
  <si>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</si>
  <si>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</si>
  <si>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</si>
  <si>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</si>
  <si>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</si>
  <si>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</si>
  <si>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</si>
  <si>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</si>
  <si>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</si>
  <si>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</si>
  <si>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</si>
  <si>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</si>
  <si>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</si>
  <si>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</si>
  <si>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</si>
  <si>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</si>
  <si>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</si>
  <si>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</si>
  <si>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</si>
  <si>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</si>
  <si>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</si>
  <si>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</si>
  <si>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</si>
  <si>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</si>
  <si>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</si>
  <si>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</si>
  <si>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</si>
  <si>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</si>
  <si>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</si>
  <si>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</si>
  <si>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</si>
  <si>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</si>
  <si>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</si>
  <si>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</si>
  <si>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</si>
  <si>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</si>
  <si>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</si>
  <si>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</si>
  <si>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</si>
  <si>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</si>
  <si>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</si>
  <si>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</si>
  <si>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</si>
  <si>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</si>
  <si>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</si>
  <si>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</si>
  <si>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</si>
  <si>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</si>
  <si>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</si>
  <si>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</si>
  <si>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</si>
  <si>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</si>
  <si>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</si>
  <si>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</si>
  <si>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</si>
  <si>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</si>
  <si>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</si>
  <si>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</si>
  <si>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</si>
  <si>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</si>
  <si>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</si>
  <si>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</si>
  <si>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</si>
  <si>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</si>
  <si>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</si>
  <si>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</si>
  <si>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</si>
  <si>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</si>
  <si>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</si>
  <si>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</si>
  <si>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</si>
  <si>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</si>
  <si>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</si>
  <si>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</si>
  <si>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</si>
  <si>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</si>
  <si>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</si>
  <si>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</si>
  <si>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</si>
  <si>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</si>
  <si>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</si>
  <si>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</si>
  <si>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</si>
  <si>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</si>
  <si>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</si>
  <si>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</si>
  <si>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</si>
  <si>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</si>
  <si>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</si>
  <si>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</si>
  <si>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</si>
  <si>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</si>
  <si>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</si>
  <si>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</si>
  <si>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</si>
  <si>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</si>
  <si>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</si>
  <si>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</si>
  <si>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</si>
  <si>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</si>
  <si>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</si>
  <si>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</si>
  <si>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</si>
  <si>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</si>
  <si>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</si>
  <si>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</si>
  <si>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</si>
  <si>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</si>
  <si>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</si>
  <si>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</si>
  <si>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</si>
  <si>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</si>
  <si>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</si>
  <si>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</si>
  <si>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</si>
  <si>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</si>
  <si>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</si>
  <si>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</si>
  <si>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</si>
  <si>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</si>
  <si>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</si>
  <si>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</si>
  <si>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</si>
  <si>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</si>
  <si>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</si>
  <si>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</si>
  <si>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</si>
  <si>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</si>
  <si>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</si>
  <si>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</si>
  <si>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</si>
  <si>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</si>
  <si>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</si>
  <si>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</si>
  <si>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</si>
  <si>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</si>
  <si>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</si>
  <si>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</si>
  <si>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</si>
  <si>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</si>
  <si>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</si>
  <si>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</si>
  <si>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</si>
  <si>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</si>
  <si>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</si>
  <si>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</si>
  <si>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</si>
  <si>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</si>
  <si>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</si>
  <si>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</si>
  <si>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</si>
  <si>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</si>
  <si>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</si>
  <si>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</si>
  <si>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</si>
  <si>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</si>
  <si>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</si>
  <si>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</si>
  <si>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</si>
  <si>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</si>
  <si>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</si>
  <si>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</si>
  <si>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</si>
  <si>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</si>
  <si>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</si>
  <si>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</si>
  <si>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</si>
  <si>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</si>
  <si>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</si>
  <si>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</si>
  <si>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</si>
  <si>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</si>
  <si>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</si>
  <si>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</si>
  <si>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</si>
  <si>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</si>
  <si>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</si>
  <si>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</si>
  <si>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</si>
  <si>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</si>
  <si>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</si>
  <si>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</si>
  <si>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</si>
  <si>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</si>
  <si>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</si>
  <si>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</si>
  <si>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</si>
  <si>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</si>
  <si>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</si>
  <si>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</si>
  <si>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</si>
  <si>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</si>
  <si>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</si>
  <si>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</si>
  <si>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</si>
  <si>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</si>
  <si>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</si>
  <si>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</si>
  <si>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</si>
  <si>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</si>
  <si>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</si>
  <si>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</si>
  <si>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</si>
  <si>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</si>
  <si>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</si>
  <si>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</si>
  <si>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</si>
  <si>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</si>
  <si>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</si>
  <si>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</si>
  <si>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</si>
  <si>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P03297</t>
  </si>
  <si>
    <t>P03298</t>
  </si>
  <si>
    <t>P03299</t>
  </si>
  <si>
    <t>P03300</t>
  </si>
  <si>
    <t>P03301</t>
  </si>
  <si>
    <t>P03302</t>
  </si>
  <si>
    <t>P03303</t>
  </si>
  <si>
    <t>P03304</t>
  </si>
  <si>
    <t>P03305</t>
  </si>
  <si>
    <t>P03306</t>
  </si>
  <si>
    <t>P03307</t>
  </si>
  <si>
    <t>P03308</t>
  </si>
  <si>
    <t>P03309</t>
  </si>
  <si>
    <t>P03310</t>
  </si>
  <si>
    <t>P03311</t>
  </si>
  <si>
    <t>P03312</t>
  </si>
  <si>
    <t>P03313</t>
  </si>
  <si>
    <t>P03314</t>
  </si>
  <si>
    <t>P03315</t>
  </si>
  <si>
    <t>P03316</t>
  </si>
  <si>
    <t>P03317</t>
  </si>
  <si>
    <t>P03318</t>
  </si>
  <si>
    <t>P03319</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</si>
  <si>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</si>
  <si>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</si>
  <si>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</si>
  <si>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</si>
  <si>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</si>
  <si>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</si>
  <si>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</si>
  <si>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</si>
  <si>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</si>
  <si>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</si>
  <si>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</si>
  <si>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</si>
  <si>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</si>
  <si>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</si>
  <si>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</si>
  <si>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</si>
  <si>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</si>
  <si>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</si>
  <si>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</si>
  <si>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</si>
  <si>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</si>
  <si>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</si>
  <si>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</si>
  <si>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</si>
  <si>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</si>
  <si>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</si>
  <si>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</si>
  <si>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</si>
  <si>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</si>
  <si>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</si>
  <si>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</si>
  <si>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</si>
  <si>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</si>
  <si>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</si>
  <si>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</si>
  <si>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</si>
  <si>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</si>
  <si>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</si>
  <si>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</si>
  <si>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</si>
  <si>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</si>
  <si>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</si>
  <si>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</si>
  <si>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</si>
  <si>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</si>
  <si>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</si>
  <si>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</si>
  <si>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</si>
  <si>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</si>
  <si>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</si>
  <si>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P03370</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</si>
  <si>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</si>
  <si>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</si>
  <si>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</si>
  <si>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</si>
  <si>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</si>
  <si>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</si>
  <si>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</si>
  <si>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</si>
  <si>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</si>
  <si>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</si>
  <si>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</si>
  <si>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</si>
  <si>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</si>
  <si>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</si>
  <si>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</si>
  <si>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</si>
  <si>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</si>
  <si>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</si>
  <si>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</si>
  <si>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</si>
  <si>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</si>
  <si>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</si>
  <si>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</si>
  <si>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</si>
  <si>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</si>
  <si>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</si>
  <si>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</si>
  <si>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</si>
  <si>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</si>
  <si>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</si>
  <si>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</si>
  <si>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</si>
  <si>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</si>
  <si>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</si>
  <si>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</si>
  <si>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</si>
  <si>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</si>
  <si>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</si>
  <si>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</si>
  <si>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</si>
  <si>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</si>
  <si>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</si>
  <si>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</si>
  <si>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</si>
  <si>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</si>
  <si>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</si>
  <si>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</si>
  <si>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</si>
  <si>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</si>
  <si>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</si>
  <si>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</si>
  <si>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</si>
  <si>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</si>
  <si>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</si>
  <si>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</si>
  <si>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</si>
  <si>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</si>
  <si>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</si>
  <si>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</si>
  <si>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</si>
  <si>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</si>
  <si>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</si>
  <si>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</si>
  <si>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</si>
  <si>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</si>
  <si>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</si>
  <si>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</si>
  <si>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</si>
  <si>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</si>
  <si>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</si>
  <si>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</si>
  <si>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</si>
  <si>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</si>
  <si>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</si>
  <si>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</si>
  <si>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</si>
  <si>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</si>
  <si>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</si>
  <si>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</si>
  <si>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</si>
  <si>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</si>
  <si>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</si>
  <si>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</si>
  <si>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</si>
  <si>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</si>
  <si>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</si>
  <si>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</si>
  <si>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</si>
  <si>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</si>
  <si>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</si>
  <si>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</si>
  <si>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</si>
  <si>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</si>
  <si>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</si>
  <si>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</si>
  <si>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</si>
  <si>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</si>
  <si>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</si>
  <si>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</si>
  <si>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</si>
  <si>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</si>
  <si>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</si>
  <si>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</si>
  <si>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</si>
  <si>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</si>
  <si>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</si>
  <si>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</si>
  <si>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</si>
  <si>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</si>
  <si>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</si>
  <si>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</si>
  <si>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</si>
  <si>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</si>
  <si>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</si>
  <si>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</si>
  <si>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</si>
  <si>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</si>
  <si>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</si>
  <si>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</si>
  <si>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</si>
  <si>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</si>
  <si>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</si>
  <si>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</si>
  <si>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</si>
  <si>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</si>
  <si>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</si>
  <si>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</si>
  <si>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</si>
  <si>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</si>
  <si>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</si>
  <si>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average treatment cost</t>
  </si>
  <si>
    <t>average medication cost</t>
  </si>
  <si>
    <t>number of patients admitted in hospital</t>
  </si>
  <si>
    <t>average length of stay</t>
  </si>
  <si>
    <t>days</t>
  </si>
  <si>
    <t>total revenue</t>
  </si>
  <si>
    <t>total treatment cost</t>
  </si>
  <si>
    <t>total medication cost</t>
  </si>
  <si>
    <t>Row Labels</t>
  </si>
  <si>
    <t>Grand Total</t>
  </si>
  <si>
    <t>count of insured patients</t>
  </si>
  <si>
    <t>count of noninsured patients</t>
  </si>
  <si>
    <t>Count of Patient_ID</t>
  </si>
  <si>
    <t>Mar</t>
  </si>
  <si>
    <t>May</t>
  </si>
  <si>
    <t>Jun</t>
  </si>
  <si>
    <t>Jul</t>
  </si>
  <si>
    <t>TOTAL patients</t>
  </si>
  <si>
    <t>COUNT OF READMITTED PATIENTS</t>
  </si>
  <si>
    <t>READMISSION RATE</t>
  </si>
  <si>
    <t>IS READMITTED PATIENTS/TOTAL PATIENTS</t>
  </si>
  <si>
    <t>Column1</t>
  </si>
  <si>
    <t>Oct</t>
  </si>
  <si>
    <t>Dec</t>
  </si>
  <si>
    <t>number of emergency patients</t>
  </si>
  <si>
    <t>emergency rate</t>
  </si>
  <si>
    <t>Months (Admission_Date)</t>
  </si>
  <si>
    <t>Average of Length_of_Stay</t>
  </si>
  <si>
    <t>Years (Admission_Date)</t>
  </si>
  <si>
    <t>2023</t>
  </si>
  <si>
    <t>Jan</t>
  </si>
  <si>
    <t>Feb</t>
  </si>
  <si>
    <t>Apr</t>
  </si>
  <si>
    <t>Aug</t>
  </si>
  <si>
    <t>Sep</t>
  </si>
  <si>
    <t>Nov</t>
  </si>
  <si>
    <t>Treatmetn cost INR</t>
  </si>
  <si>
    <t>in 2023 emergency patients were 51 and elective patients were 54</t>
  </si>
  <si>
    <t>dr gupta and dr verma have the greatest number of patients allotted.</t>
  </si>
  <si>
    <t>dr verma have cardiology patients in the highest alongwith dr iyer who have 88 number of acrdiology patients</t>
  </si>
  <si>
    <t>dr gupta have neurology patients highest  alongwith dr mehta</t>
  </si>
  <si>
    <t>dr patel have pulmonology patients as the greatest with dr singh</t>
  </si>
  <si>
    <t xml:space="preserve">Readmission </t>
  </si>
  <si>
    <t>icu beds treatment cost is the highest semiprivate and general are on the same side and private are a little higher side</t>
  </si>
  <si>
    <t>Average of Treatment_Cost_USD</t>
  </si>
  <si>
    <t>(All)</t>
  </si>
  <si>
    <t>Medication cost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</si>
</sst>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F800]dddd\,\ mmmm\ dd\,\ yyyy"/>
    <numFmt numFmtId="165" formatCode="[$-14009]d/m/yy;@"/>
    <numFmt numFmtId="166" formatCode="[$-14009]dd\ mmmm\ yyyy;@"/>
    <numFmt numFmtId="167" formatCode="0.0"/>
    <numFmt numFmtId="168" formatCode="_ [$₹-4009]\ * #,##0.00_ ;_ [$₹-4009]\ * \-#,##0.00_ ;_ [$₹-4009]\ * &quot;-&quot;??_ ;_ @_ "/>
  </numFmts>
  <fonts count="5" x14ac:knownFonts="1">
    <font>
      <sz val="11"/>
      <color theme="1"/>
      <name val="Calibri"/>
      <family val="2"/>
      <scheme val="minor"/>
    </font>
    <font>
      <u/>
      <sz val="11"/>
      <color theme="10"/>
      <name val="Calibri"/>
      <family val="2"/>
      <scheme val="minor"/>
    </font>
    <font>
      <u/>
      <sz val="11"/>
      <color theme="4" tint="-0.499984740745262"/>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0" fontId="1" fillId="0" borderId="0" applyNumberFormat="0" applyFill="0" applyBorder="0" applyAlignment="0" applyProtection="0"/>
    <xf numFmtId="44" fontId="3" fillId="0" borderId="0" applyFont="0" applyFill="0" applyBorder="0" applyAlignment="0" applyProtection="0"/>
  </cellStyleXfs>
  <cellXfs count="15">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 fillId="0" borderId="0" xfId="1" applyFont="1" applyFill="1"/>
    <xf numFmtId="167" fontId="0" fillId="0" borderId="0" xfId="0" applyNumberFormat="1"/>
    <xf numFmtId="168" fontId="0" fillId="0" borderId="0" xfId="0" applyNumberFormat="1"/>
    <xf numFmtId="0" fontId="4" fillId="3" borderId="1" xfId="0" applyFont="1" applyFill="1" applyBorder="1"/>
    <xf numFmtId="168" fontId="0" fillId="2" borderId="1" xfId="0" applyNumberFormat="1" applyFill="1" applyBorder="1"/>
    <xf numFmtId="168" fontId="0" fillId="0" borderId="1" xfId="0" applyNumberFormat="1" applyBorder="1"/>
    <xf numFmtId="168" fontId="0" fillId="2" borderId="1" xfId="2" applyNumberFormat="1" applyFont="1" applyFill="1" applyBorder="1"/>
    <xf numFmtId="168" fontId="0" fillId="0" borderId="1" xfId="2" applyNumberFormat="1" applyFont="1" applyBorder="1"/>
  </cellXfs>
  <cellStyles count="3">
    <cellStyle name="Currency" xfId="2" builtinId="4"/>
    <cellStyle name="Hyperlink" xfId="1" builtinId="8"/>
    <cellStyle name="Normal" xfId="0" builtinId="0"/>
  </cellStyles>
  <dxfs count="3">
    <dxf>
      <numFmt numFmtId="0" formatCode="General"/>
    </dxf>
    <dxf>
      <numFmt numFmtId="166" formatCode="[$-14009]dd\ mmmm\ yyyy;@"/>
    </dxf>
    <dxf>
      <numFmt numFmtId="164" formatCode="[$-F800]dddd\,\ mmmm\ dd\,\ yyyy"/>
    </dxf>
  </dxfs>
  <tableStyles count="0" defaultTableStyle="TableStyleMedium9"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[Hospital_Analytics_Dataset.xlsx]MORE CHARTS!PivotTable5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Citywise Patient Distribution</a:t>
            </a:r>
          </a:p>
        </c:rich>
      </c:tx>
      <c:layout>
        <c:manualLayout>
          <c:xMode val="edge"/>
          <c:yMode val="edge"/>
          <c:x val="0.15002299392063168"/>
          <c:y val="3.5246537579029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hade val="61000"/>
            </a:schemeClr>
          </a:solidFill>
          <a:ln>
            <a:noFill/>
          </a:ln>
          <a:effectLst/>
        </c:spPr>
      </c:pivotFmt>
      <c:pivotFmt>
        <c:idx val="38"/>
        <c:spPr>
          <a:solidFill>
            <a:schemeClr val="accent1">
              <a:shade val="45000"/>
            </a:schemeClr>
          </a:solidFill>
          <a:ln>
            <a:noFill/>
          </a:ln>
          <a:effectLst/>
        </c:spPr>
      </c:pivotFmt>
      <c:pivotFmt>
        <c:idx val="39"/>
        <c:spPr>
          <a:solidFill>
            <a:schemeClr val="accent1">
              <a:shade val="76000"/>
            </a:schemeClr>
          </a:solidFill>
          <a:ln>
            <a:noFill/>
          </a:ln>
          <a:effectLst/>
        </c:spPr>
      </c:pivotFmt>
      <c:pivotFmt>
        <c:idx val="40"/>
        <c:spPr>
          <a:solidFill>
            <a:schemeClr val="accent1">
              <a:shade val="92000"/>
            </a:schemeClr>
          </a:solidFill>
          <a:ln>
            <a:noFill/>
          </a:ln>
          <a:effectLst/>
        </c:spPr>
      </c:pivotFmt>
      <c:pivotFmt>
        <c:idx val="41"/>
        <c:spPr>
          <a:solidFill>
            <a:schemeClr val="accent1">
              <a:tint val="93000"/>
            </a:schemeClr>
          </a:solidFill>
          <a:ln>
            <a:noFill/>
          </a:ln>
          <a:effectLst/>
        </c:spPr>
      </c:pivotFmt>
      <c:pivotFmt>
        <c:idx val="42"/>
        <c:spPr>
          <a:solidFill>
            <a:schemeClr val="accent1">
              <a:tint val="77000"/>
            </a:schemeClr>
          </a:solidFill>
          <a:ln>
            <a:noFill/>
          </a:ln>
          <a:effectLst/>
        </c:spPr>
      </c:pivotFmt>
      <c:pivotFmt>
        <c:idx val="43"/>
        <c:spPr>
          <a:solidFill>
            <a:schemeClr val="accent1">
              <a:tint val="62000"/>
            </a:schemeClr>
          </a:solidFill>
          <a:ln>
            <a:noFill/>
          </a:ln>
          <a:effectLst/>
        </c:spPr>
      </c:pivotFmt>
      <c:pivotFmt>
        <c:idx val="44"/>
        <c:spPr>
          <a:solidFill>
            <a:schemeClr val="accent1">
              <a:tint val="46000"/>
            </a:schemeClr>
          </a:solidFill>
          <a:ln>
            <a:noFill/>
          </a:ln>
          <a:effectLst/>
        </c:spPr>
      </c:pivotFmt>
    </c:pivotFmts>
    <c:plotArea>
      <c:layout/>
      <c:barChart>
        <c:barDir val="bar"/>
        <c:grouping val="clustered"/>
        <c:varyColors val="0"/>
        <c:ser>
          <c:idx val="0"/>
          <c:order val="0"/>
          <c:tx>
            <c:strRef>
              <c:f>'MORE CHARTS'!$D$2</c:f>
              <c:strCache>
                <c:ptCount val="1"/>
                <c:pt idx="0">
                  <c:v>Total</c:v>
                </c:pt>
              </c:strCache>
            </c:strRef>
          </c:tx>
          <c:spPr>
            <a:solidFill>
              <a:schemeClr val="accent1"/>
            </a:solidFill>
            <a:ln>
              <a:noFill/>
            </a:ln>
            <a:effectLst/>
          </c:spPr>
          <c:invertIfNegative val="0"/>
          <c:dPt>
            <c:idx val="0"/>
            <c:invertIfNegative val="0"/>
            <c:bubble3D val="0"/>
            <c:spPr>
              <a:solidFill>
                <a:schemeClr val="accent1">
                  <a:shade val="45000"/>
                </a:schemeClr>
              </a:solidFill>
              <a:ln>
                <a:noFill/>
              </a:ln>
              <a:effectLst/>
            </c:spPr>
            <c:extLst>
              <c:ext xmlns:c16="http://schemas.microsoft.com/office/drawing/2014/chart" uri="{C3380CC4-5D6E-409C-BE32-E72D297353CC}">
                <c16:uniqueId val="{00000001-0432-41FF-8727-BC69C64EC694}"/>
              </c:ext>
            </c:extLst>
          </c:dPt>
          <c:dPt>
            <c:idx val="1"/>
            <c:invertIfNegative val="0"/>
            <c:bubble3D val="0"/>
            <c:spPr>
              <a:solidFill>
                <a:schemeClr val="accent1">
                  <a:shade val="61000"/>
                </a:schemeClr>
              </a:solidFill>
              <a:ln>
                <a:noFill/>
              </a:ln>
              <a:effectLst/>
            </c:spPr>
            <c:extLst>
              <c:ext xmlns:c16="http://schemas.microsoft.com/office/drawing/2014/chart" uri="{C3380CC4-5D6E-409C-BE32-E72D297353CC}">
                <c16:uniqueId val="{00000000-5A99-418A-A39E-50D8B3415BAA}"/>
              </c:ext>
            </c:extLst>
          </c:dPt>
          <c:dPt>
            <c:idx val="2"/>
            <c:invertIfNegative val="0"/>
            <c:bubble3D val="0"/>
            <c:spPr>
              <a:solidFill>
                <a:schemeClr val="accent1">
                  <a:shade val="76000"/>
                </a:schemeClr>
              </a:solidFill>
              <a:ln>
                <a:noFill/>
              </a:ln>
              <a:effectLst/>
            </c:spPr>
            <c:extLst>
              <c:ext xmlns:c16="http://schemas.microsoft.com/office/drawing/2014/chart" uri="{C3380CC4-5D6E-409C-BE32-E72D297353CC}">
                <c16:uniqueId val="{00000005-0432-41FF-8727-BC69C64EC694}"/>
              </c:ext>
            </c:extLst>
          </c:dPt>
          <c:dPt>
            <c:idx val="3"/>
            <c:invertIfNegative val="0"/>
            <c:bubble3D val="0"/>
            <c:spPr>
              <a:solidFill>
                <a:schemeClr val="accent1">
                  <a:shade val="92000"/>
                </a:schemeClr>
              </a:solidFill>
              <a:ln>
                <a:noFill/>
              </a:ln>
              <a:effectLst/>
            </c:spPr>
            <c:extLst>
              <c:ext xmlns:c16="http://schemas.microsoft.com/office/drawing/2014/chart" uri="{C3380CC4-5D6E-409C-BE32-E72D297353CC}">
                <c16:uniqueId val="{00000007-0432-41FF-8727-BC69C64EC694}"/>
              </c:ext>
            </c:extLst>
          </c:dPt>
          <c:dPt>
            <c:idx val="4"/>
            <c:invertIfNegative val="0"/>
            <c:bubble3D val="0"/>
            <c:spPr>
              <a:solidFill>
                <a:schemeClr val="accent1">
                  <a:tint val="93000"/>
                </a:schemeClr>
              </a:solidFill>
              <a:ln>
                <a:noFill/>
              </a:ln>
              <a:effectLst/>
            </c:spPr>
            <c:extLst>
              <c:ext xmlns:c16="http://schemas.microsoft.com/office/drawing/2014/chart" uri="{C3380CC4-5D6E-409C-BE32-E72D297353CC}">
                <c16:uniqueId val="{00000009-0432-41FF-8727-BC69C64EC694}"/>
              </c:ext>
            </c:extLst>
          </c:dPt>
          <c:dPt>
            <c:idx val="5"/>
            <c:invertIfNegative val="0"/>
            <c:bubble3D val="0"/>
            <c:spPr>
              <a:solidFill>
                <a:schemeClr val="accent1">
                  <a:tint val="77000"/>
                </a:schemeClr>
              </a:solidFill>
              <a:ln>
                <a:noFill/>
              </a:ln>
              <a:effectLst/>
            </c:spPr>
            <c:extLst>
              <c:ext xmlns:c16="http://schemas.microsoft.com/office/drawing/2014/chart" uri="{C3380CC4-5D6E-409C-BE32-E72D297353CC}">
                <c16:uniqueId val="{0000000B-0432-41FF-8727-BC69C64EC694}"/>
              </c:ext>
            </c:extLst>
          </c:dPt>
          <c:dPt>
            <c:idx val="6"/>
            <c:invertIfNegative val="0"/>
            <c:bubble3D val="0"/>
            <c:spPr>
              <a:solidFill>
                <a:schemeClr val="accent1">
                  <a:tint val="62000"/>
                </a:schemeClr>
              </a:solidFill>
              <a:ln>
                <a:noFill/>
              </a:ln>
              <a:effectLst/>
            </c:spPr>
            <c:extLst>
              <c:ext xmlns:c16="http://schemas.microsoft.com/office/drawing/2014/chart" uri="{C3380CC4-5D6E-409C-BE32-E72D297353CC}">
                <c16:uniqueId val="{0000000D-0432-41FF-8727-BC69C64EC694}"/>
              </c:ext>
            </c:extLst>
          </c:dPt>
          <c:dPt>
            <c:idx val="7"/>
            <c:invertIfNegative val="0"/>
            <c:bubble3D val="0"/>
            <c:spPr>
              <a:solidFill>
                <a:schemeClr val="accent1">
                  <a:tint val="46000"/>
                </a:schemeClr>
              </a:solidFill>
              <a:ln>
                <a:noFill/>
              </a:ln>
              <a:effectLst/>
            </c:spPr>
            <c:extLst>
              <c:ext xmlns:c16="http://schemas.microsoft.com/office/drawing/2014/chart" uri="{C3380CC4-5D6E-409C-BE32-E72D297353CC}">
                <c16:uniqueId val="{0000000F-0432-41FF-8727-BC69C64EC6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'MORE CHARTS'!$C$3:$C$11</c:f>
              <c:strCache>
                <c:ptCount val="8"/>
                <c:pt idx="0">
                  <c:v>Pune</c:v>
                </c:pt>
                <c:pt idx="1">
                  <c:v>Ahmedabad</c:v>
                </c:pt>
                <c:pt idx="2">
                  <c:v>Bengaluru</c:v>
                </c:pt>
                <c:pt idx="3">
                  <c:v>Chennai</c:v>
                </c:pt>
                <c:pt idx="4">
                  <c:v>Delhi</c:v>
                </c:pt>
                <c:pt idx="5">
                  <c:v>Hyderabad</c:v>
                </c:pt>
                <c:pt idx="6">
                  <c:v>Kolkata</c:v>
                </c:pt>
                <c:pt idx="7">
                  <c:v>Mumbai</c:v>
                </c:pt>
              </c:strCache>
            </c:strRef>
          </c:cat>
          <c:val>
            <c:numRef>
              <c:f>'MORE CHARTS'!$D$3:$D$11</c:f>
              <c:numCache>
                <c:formatCode>General</c:formatCode>
                <c:ptCount val="8"/>
                <c:pt idx="0">
                  <c:v>165</c:v>
                </c:pt>
                <c:pt idx="1">
                  <c:v>175</c:v>
                </c:pt>
                <c:pt idx="2">
                  <c:v>168</c:v>
                </c:pt>
                <c:pt idx="3">
                  <c:v>139</c:v>
                </c:pt>
                <c:pt idx="4">
                  <c:v>153</c:v>
                </c:pt>
                <c:pt idx="5">
                  <c:v>178</c:v>
                </c:pt>
                <c:pt idx="6">
                  <c:v>172</c:v>
                </c:pt>
                <c:pt idx="7">
                  <c:v>166</c:v>
                </c:pt>
              </c:numCache>
            </c:numRef>
          </c:val>
          <c:extLst>
            <c:ext xmlns:c16="http://schemas.microsoft.com/office/drawing/2014/chart" uri="{C3380CC4-5D6E-409C-BE32-E72D297353CC}">
              <c16:uniqueId val="{00000010-8042-4ADE-98F4-D32106184AD1}"/>
            </c:ext>
          </c:extLst>
        </c:ser>
        <c:dLbls>
          <c:showLegendKey val="0"/>
          <c:showVal val="1"/>
          <c:showCatName val="0"/>
          <c:showSerName val="0"/>
          <c:showPercent val="0"/>
          <c:showBubbleSize val="0"/>
        </c:dLbls>
        <c:gapWidth val="100"/>
        <c:axId val="610891592"/>
        <c:axId val="535529400"/>
      </c:barChart>
      <c:valAx>
        <c:axId val="5355294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10891592"/>
        <c:crosses val="autoZero"/>
        <c:crossBetween val="between"/>
      </c:valAx>
      <c:catAx>
        <c:axId val="610891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29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[Hospital_Analytics_Dataset.xlsx]MORE CHARTS!PivotTable2</c:name>
    <c:fmtId val="1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600" b="1">
                <a:solidFill>
                  <a:sysClr val="windowText" lastClr="000000"/>
                </a:solidFill>
              </a:rPr>
              <a:t>Patients Admission Type</a:t>
            </a:r>
          </a:p>
        </c:rich>
      </c:tx>
      <c:layout>
        <c:manualLayout>
          <c:xMode val="edge"/>
          <c:yMode val="edge"/>
          <c:x val="0.14361687743577509"/>
          <c:y val="3.0158326983320645E-3"/>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4.3443917851500792E-2"/>
          <c:y val="0.18846544715447155"/>
          <c:w val="0.93285939968404419"/>
          <c:h val="0.71906368030215739"/>
        </c:manualLayout>
      </c:layout>
      <c:doughnutChart>
        <c:varyColors val="1"/>
        <c:ser>
          <c:idx val="0"/>
          <c:order val="0"/>
          <c:tx>
            <c:strRef>
              <c:f>'MORE CHARTS'!$B$2</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D2DC-422E-9D21-ECA947BC4113}"/>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D2DC-422E-9D21-ECA947BC4113}"/>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D2DC-422E-9D21-ECA947BC411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'MORE CHARTS'!$A$3:$A$6</c:f>
              <c:strCache>
                <c:ptCount val="3"/>
                <c:pt idx="0">
                  <c:v>Elective</c:v>
                </c:pt>
                <c:pt idx="1">
                  <c:v>Emergency</c:v>
                </c:pt>
                <c:pt idx="2">
                  <c:v>Urgent</c:v>
                </c:pt>
              </c:strCache>
            </c:strRef>
          </c:cat>
          <c:val>
            <c:numRef>
              <c:f>'MORE CHARTS'!$B$3:$B$6</c:f>
              <c:numCache>
                <c:formatCode>General</c:formatCode>
                <c:ptCount val="3"/>
                <c:pt idx="0">
                  <c:v>436</c:v>
                </c:pt>
                <c:pt idx="1">
                  <c:v>439</c:v>
                </c:pt>
                <c:pt idx="2">
                  <c:v>441</c:v>
                </c:pt>
              </c:numCache>
            </c:numRef>
          </c:val>
          <c:extLst>
            <c:ext xmlns:c16="http://schemas.microsoft.com/office/drawing/2014/chart" uri="{C3380CC4-5D6E-409C-BE32-E72D297353CC}">
              <c16:uniqueId val="{00000000-1189-4A59-A7D8-400B55EE5AD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[Hospital_Analytics_Dataset.xlsx]MORE CHARTS!PivotTable1</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1">
                <a:solidFill>
                  <a:schemeClr val="tx1"/>
                </a:solidFill>
              </a:rPr>
              <a:t>Number of patients Monthly </a:t>
            </a:r>
          </a:p>
        </c:rich>
      </c:tx>
      <c:layout>
        <c:manualLayout>
          <c:xMode val="edge"/>
          <c:yMode val="edge"/>
          <c:x val="0.2796498828735516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3116454502593E-2"/>
          <c:y val="0.10689814814814817"/>
          <c:w val="0.94813767090994816"/>
          <c:h val="0.71162839020122481"/>
        </c:manualLayout>
      </c:layout>
      <c:lineChart>
        <c:grouping val="standard"/>
        <c:varyColors val="0"/>
        <c:ser>
          <c:idx val="0"/>
          <c:order val="0"/>
          <c:tx>
            <c:strRef>
              <c:f>'MORE CHARTS'!$D$14:$D$15</c:f>
              <c:strCache>
                <c:ptCount val="1"/>
                <c:pt idx="0">
                  <c:v>2023</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'MORE CHARTS'!$C$16:$C$28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'MORE CHARTS'!$D$16:$D$28</c:f>
              <c:numCache>
                <c:formatCode>General</c:formatCode>
                <c:ptCount val="12"/>
                <c:pt idx="0">
                  <c:v>117</c:v>
                </c:pt>
                <c:pt idx="1">
                  <c:v>100</c:v>
                </c:pt>
                <c:pt idx="2">
                  <c:v>123</c:v>
                </c:pt>
                <c:pt idx="3">
                  <c:v>107</c:v>
                </c:pt>
                <c:pt idx="4">
                  <c:v>139</c:v>
                </c:pt>
                <c:pt idx="5">
                  <c:v>98</c:v>
                </c:pt>
                <c:pt idx="6">
                  <c:v>104</c:v>
                </c:pt>
                <c:pt idx="7">
                  <c:v>113</c:v>
                </c:pt>
                <c:pt idx="8">
                  <c:v>99</c:v>
                </c:pt>
                <c:pt idx="9">
                  <c:v>128</c:v>
                </c:pt>
                <c:pt idx="10">
                  <c:v>89</c:v>
                </c:pt>
                <c:pt idx="11">
                  <c:v>99</c:v>
                </c:pt>
              </c:numCache>
            </c:numRef>
          </c:val>
          <c:smooth val="0"/>
          <c:extLst>
            <c:ext xmlns:c16="http://schemas.microsoft.com/office/drawing/2014/chart" uri="{C3380CC4-5D6E-409C-BE32-E72D297353CC}">
              <c16:uniqueId val="{00000001-A823-4501-A3DA-03FC1ECE4CA7}"/>
            </c:ext>
          </c:extLst>
        </c:ser>
        <c:dLbls>
          <c:dLblPos val="t"/>
          <c:showLegendKey val="0"/>
          <c:showVal val="1"/>
          <c:showCatName val="0"/>
          <c:showSerName val="0"/>
          <c:showPercent val="0"/>
          <c:showBubbleSize val="0"/>
        </c:dLbls>
        <c:marker val="1"/>
        <c:smooth val="0"/>
        <c:axId val="725705728"/>
        <c:axId val="722013840"/>
      </c:lineChart>
      <c:catAx>
        <c:axId val="725705728"/>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2013840"/>
        <c:crosses val="autoZero"/>
        <c:auto val="1"/>
        <c:lblAlgn val="ctr"/>
        <c:lblOffset val="100"/>
        <c:noMultiLvlLbl val="0"/>
      </c:catAx>
      <c:valAx>
        <c:axId val="722013840"/>
        <c:scaling>
          <c:orientation val="minMax"/>
        </c:scaling>
        <c:delete val="1"/>
        <c:axPos val="l"/>
        <c:numFmt formatCode="General" sourceLinked="1"/>
        <c:majorTickMark val="none"/>
        <c:minorTickMark val="none"/>
        <c:tickLblPos val="nextTo"/>
        <c:crossAx val="72570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[Hospital_Analytics_Dataset.xlsx]MORE CHARTS!PivotTable3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Doctors/Patients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'MORE CHARTS'!$B$8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'MORE CHARTS'!$A$9:$A$17</c:f>
              <c:strCache>
                <c:ptCount val="8"/>
                <c:pt idx="0">
                  <c:v>Dr Gupta</c:v>
                </c:pt>
                <c:pt idx="1">
                  <c:v>Dr Iyer</c:v>
                </c:pt>
                <c:pt idx="2">
                  <c:v>Dr Mehta</c:v>
                </c:pt>
                <c:pt idx="3">
                  <c:v>Dr Patel</c:v>
                </c:pt>
                <c:pt idx="4">
                  <c:v>Dr Rao</c:v>
                </c:pt>
                <c:pt idx="5">
                  <c:v>Dr Sharma</c:v>
                </c:pt>
                <c:pt idx="6">
                  <c:v>Dr Singh</c:v>
                </c:pt>
                <c:pt idx="7">
                  <c:v>Dr Verma</c:v>
                </c:pt>
              </c:strCache>
            </c:strRef>
          </c:cat>
          <c:val>
            <c:numRef>
              <c:f>'MORE CHARTS'!$B$9:$B$17</c:f>
              <c:numCache>
                <c:formatCode>General</c:formatCode>
                <c:ptCount val="8"/>
                <c:pt idx="0">
                  <c:v>181</c:v>
                </c:pt>
                <c:pt idx="1">
                  <c:v>157</c:v>
                </c:pt>
                <c:pt idx="2">
                  <c:v>166</c:v>
                </c:pt>
                <c:pt idx="3">
                  <c:v>142</c:v>
                </c:pt>
                <c:pt idx="4">
                  <c:v>163</c:v>
                </c:pt>
                <c:pt idx="5">
                  <c:v>169</c:v>
                </c:pt>
                <c:pt idx="6">
                  <c:v>164</c:v>
                </c:pt>
                <c:pt idx="7">
                  <c:v>174</c:v>
                </c:pt>
              </c:numCache>
            </c:numRef>
          </c:val>
          <c:extLst>
            <c:ext xmlns:c16="http://schemas.microsoft.com/office/drawing/2014/chart" uri="{C3380CC4-5D6E-409C-BE32-E72D297353CC}">
              <c16:uniqueId val="{00000000-3183-4429-B638-BCD05AD3C2ED}"/>
            </c:ext>
          </c:extLst>
        </c:ser>
        <c:dLbls>
          <c:dLblPos val="outEnd"/>
          <c:showLegendKey val="0"/>
          <c:showVal val="1"/>
          <c:showCatName val="0"/>
          <c:showSerName val="0"/>
          <c:showPercent val="0"/>
          <c:showBubbleSize val="0"/>
        </c:dLbls>
        <c:gapWidth val="182"/>
        <c:axId val="624489080"/>
        <c:axId val="624489440"/>
      </c:barChart>
      <c:catAx>
        <c:axId val="624489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9440"/>
        <c:crosses val="autoZero"/>
        <c:auto val="1"/>
        <c:lblAlgn val="ctr"/>
        <c:lblOffset val="100"/>
        <c:noMultiLvlLbl val="0"/>
      </c:catAx>
      <c:valAx>
        <c:axId val="6244894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4489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[Hospital_Analytics_Dataset.xlsx]MORE CHARTS!PivotTable7</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solidFill>
                  <a:sysClr val="windowText" lastClr="000000"/>
                </a:solidFill>
              </a:rPr>
              <a:t>Patients/Department</a:t>
            </a:r>
          </a:p>
        </c:rich>
      </c:tx>
      <c:layout>
        <c:manualLayout>
          <c:xMode val="edge"/>
          <c:yMode val="edge"/>
          <c:x val="0.23728320209973755"/>
          <c:y val="4.573170731707317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9842519685045"/>
          <c:y val="0.17306910569105691"/>
          <c:w val="0.83483543307086616"/>
          <c:h val="0.71006097560975612"/>
        </c:manualLayout>
      </c:layout>
      <c:barChart>
        <c:barDir val="bar"/>
        <c:grouping val="clustered"/>
        <c:varyColors val="0"/>
        <c:ser>
          <c:idx val="0"/>
          <c:order val="0"/>
          <c:tx>
            <c:strRef>
              <c:f>'MORE CHARTS'!$G$46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'MORE CHARTS'!$F$47:$F$54</c:f>
              <c:strCache>
                <c:ptCount val="7"/>
                <c:pt idx="0">
                  <c:v>Cardiology</c:v>
                </c:pt>
                <c:pt idx="1">
                  <c:v>Endocrinology</c:v>
                </c:pt>
                <c:pt idx="2">
                  <c:v>General Medicine</c:v>
                </c:pt>
                <c:pt idx="3">
                  <c:v>Nephrology</c:v>
                </c:pt>
                <c:pt idx="4">
                  <c:v>Neurology</c:v>
                </c:pt>
                <c:pt idx="5">
                  <c:v>Orthopedics</c:v>
                </c:pt>
                <c:pt idx="6">
                  <c:v>Pulmonology</c:v>
                </c:pt>
              </c:strCache>
            </c:strRef>
          </c:cat>
          <c:val>
            <c:numRef>
              <c:f>'MORE CHARTS'!$G$47:$G$54</c:f>
              <c:numCache>
                <c:formatCode>General</c:formatCode>
                <c:ptCount val="7"/>
                <c:pt idx="0">
                  <c:v>229</c:v>
                </c:pt>
                <c:pt idx="1">
                  <c:v>136</c:v>
                </c:pt>
                <c:pt idx="2">
                  <c:v>136</c:v>
                </c:pt>
                <c:pt idx="3">
                  <c:v>132</c:v>
                </c:pt>
                <c:pt idx="4">
                  <c:v>255</c:v>
                </c:pt>
                <c:pt idx="5">
                  <c:v>144</c:v>
                </c:pt>
                <c:pt idx="6">
                  <c:v>284</c:v>
                </c:pt>
              </c:numCache>
            </c:numRef>
          </c:val>
          <c:extLst>
            <c:ext xmlns:c16="http://schemas.microsoft.com/office/drawing/2014/chart" uri="{C3380CC4-5D6E-409C-BE32-E72D297353CC}">
              <c16:uniqueId val="{00000000-F989-4CEF-B177-6BAA7417FB7D}"/>
            </c:ext>
          </c:extLst>
        </c:ser>
        <c:dLbls>
          <c:dLblPos val="outEnd"/>
          <c:showLegendKey val="0"/>
          <c:showVal val="1"/>
          <c:showCatName val="0"/>
          <c:showSerName val="0"/>
          <c:showPercent val="0"/>
          <c:showBubbleSize val="0"/>
        </c:dLbls>
        <c:gapWidth val="100"/>
        <c:axId val="543350280"/>
        <c:axId val="543351000"/>
      </c:barChart>
      <c:catAx>
        <c:axId val="5433502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3351000"/>
        <c:crosses val="autoZero"/>
        <c:auto val="1"/>
        <c:lblAlgn val="ctr"/>
        <c:lblOffset val="100"/>
        <c:noMultiLvlLbl val="0"/>
      </c:catAx>
      <c:valAx>
        <c:axId val="543351000"/>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43350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[Hospital_Analytics_Dataset.xlsx]MORE CHARTS!PivotTable10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ysClr val="windowText" lastClr="000000"/>
                </a:solidFill>
              </a:rPr>
              <a:t>Bed type/patients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5374121015622E-2"/>
          <c:y val="0.18922485786455376"/>
          <c:w val="0.89772797451120745"/>
          <c:h val="0.57180904894725149"/>
        </c:manualLayout>
      </c:layout>
      <c:barChart>
        <c:barDir val="col"/>
        <c:grouping val="clustered"/>
        <c:varyColors val="0"/>
        <c:ser>
          <c:idx val="0"/>
          <c:order val="0"/>
          <c:tx>
            <c:strRef>
              <c:f>'MORE CHARTS'!$P$26</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597D-4DFC-B3D7-2B1E1BF66C7A}"/>
              </c:ext>
            </c:extLst>
          </c:dPt>
          <c:dPt>
            <c:idx val="1"/>
            <c:invertIfNegative val="0"/>
            <c:bubble3D val="0"/>
            <c:extLst>
              <c:ext xmlns:c16="http://schemas.microsoft.com/office/drawing/2014/chart" uri="{C3380CC4-5D6E-409C-BE32-E72D297353CC}">
                <c16:uniqueId val="{00000001-597D-4DFC-B3D7-2B1E1BF66C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'MORE CHARTS'!$O$27:$O$31</c:f>
              <c:strCache>
                <c:ptCount val="4"/>
                <c:pt idx="0">
                  <c:v>General</c:v>
                </c:pt>
                <c:pt idx="1">
                  <c:v>ICU</c:v>
                </c:pt>
                <c:pt idx="2">
                  <c:v>Private</c:v>
                </c:pt>
                <c:pt idx="3">
                  <c:v>Semi-Private</c:v>
                </c:pt>
              </c:strCache>
            </c:strRef>
          </c:cat>
          <c:val>
            <c:numRef>
              <c:f>'MORE CHARTS'!$P$27:$P$31</c:f>
              <c:numCache>
                <c:formatCode>General</c:formatCode>
                <c:ptCount val="4"/>
                <c:pt idx="0">
                  <c:v>861</c:v>
                </c:pt>
                <c:pt idx="1">
                  <c:v>840</c:v>
                </c:pt>
                <c:pt idx="2">
                  <c:v>929</c:v>
                </c:pt>
                <c:pt idx="3">
                  <c:v>870</c:v>
                </c:pt>
              </c:numCache>
            </c:numRef>
          </c:val>
          <c:extLst>
            <c:ext xmlns:c16="http://schemas.microsoft.com/office/drawing/2014/chart" uri="{C3380CC4-5D6E-409C-BE32-E72D297353CC}">
              <c16:uniqueId val="{00000002-597D-4DFC-B3D7-2B1E1BF66C7A}"/>
            </c:ext>
          </c:extLst>
        </c:ser>
        <c:dLbls>
          <c:dLblPos val="outEnd"/>
          <c:showLegendKey val="0"/>
          <c:showVal val="1"/>
          <c:showCatName val="0"/>
          <c:showSerName val="0"/>
          <c:showPercent val="0"/>
          <c:showBubbleSize val="0"/>
        </c:dLbls>
        <c:gapWidth val="100"/>
        <c:axId val="628583432"/>
        <c:axId val="628583792"/>
      </c:barChart>
      <c:catAx>
        <c:axId val="628583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83792"/>
        <c:crosses val="autoZero"/>
        <c:auto val="1"/>
        <c:lblAlgn val="ctr"/>
        <c:lblOffset val="100"/>
        <c:noMultiLvlLbl val="0"/>
      </c:catAx>
      <c:valAx>
        <c:axId val="6285837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28583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[Hospital_Analytics_Dataset.xlsx]MORE CHARTS!PivotTable4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length of stay for each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'MORE CHARTS'!$C$46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'MORE CHARTS'!$B$47:$B$54</c:f>
              <c:strCache>
                <c:ptCount val="7"/>
                <c:pt idx="0">
                  <c:v>Cardiology</c:v>
                </c:pt>
                <c:pt idx="1">
                  <c:v>Endocrinology</c:v>
                </c:pt>
                <c:pt idx="2">
                  <c:v>General Medicine</c:v>
                </c:pt>
                <c:pt idx="3">
                  <c:v>Nephrology</c:v>
                </c:pt>
                <c:pt idx="4">
                  <c:v>Neurology</c:v>
                </c:pt>
                <c:pt idx="5">
                  <c:v>Orthopedics</c:v>
                </c:pt>
                <c:pt idx="6">
                  <c:v>Pulmonology</c:v>
                </c:pt>
              </c:strCache>
            </c:strRef>
          </c:cat>
          <c:val>
            <c:numRef>
              <c:f>'MORE CHARTS'!$C$47:$C$54</c:f>
              <c:numCache>
                <c:formatCode>0.0</c:formatCode>
                <c:ptCount val="7"/>
                <c:pt idx="0">
                  <c:v>12.56768558951965</c:v>
                </c:pt>
                <c:pt idx="1">
                  <c:v>12.529411764705882</c:v>
                </c:pt>
                <c:pt idx="2">
                  <c:v>11.602941176470589</c:v>
                </c:pt>
                <c:pt idx="3">
                  <c:v>12.840909090909092</c:v>
                </c:pt>
                <c:pt idx="4">
                  <c:v>11.611764705882353</c:v>
                </c:pt>
                <c:pt idx="5">
                  <c:v>11.527777777777779</c:v>
                </c:pt>
                <c:pt idx="6">
                  <c:v>11.964788732394366</c:v>
                </c:pt>
              </c:numCache>
            </c:numRef>
          </c:val>
          <c:extLst>
            <c:ext xmlns:c16="http://schemas.microsoft.com/office/drawing/2014/chart" uri="{C3380CC4-5D6E-409C-BE32-E72D297353CC}">
              <c16:uniqueId val="{00000000-7C42-4E48-A0D5-F252F97BF85B}"/>
            </c:ext>
          </c:extLst>
        </c:ser>
        <c:dLbls>
          <c:dLblPos val="outEnd"/>
          <c:showLegendKey val="0"/>
          <c:showVal val="1"/>
          <c:showCatName val="0"/>
          <c:showSerName val="0"/>
          <c:showPercent val="0"/>
          <c:showBubbleSize val="0"/>
        </c:dLbls>
        <c:gapWidth val="219"/>
        <c:axId val="374240464"/>
        <c:axId val="374239024"/>
      </c:barChart>
      <c:catAx>
        <c:axId val="37424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39024"/>
        <c:crosses val="autoZero"/>
        <c:auto val="1"/>
        <c:lblAlgn val="ctr"/>
        <c:lblOffset val="100"/>
        <c:noMultiLvlLbl val="0"/>
      </c:catAx>
      <c:valAx>
        <c:axId val="374239024"/>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7424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[Hospital_Analytics_Dataset.xlsx]MORE CHARTS!PivotTable9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Number</a:t>
            </a:r>
            <a:r>
              <a:rPr lang="en-US" b="1" baseline="0">
                <a:solidFill>
                  <a:sysClr val="windowText" lastClr="000000"/>
                </a:solidFill>
              </a:rPr>
              <a:t> of Insured/nonInsured patients</a:t>
            </a:r>
            <a:endParaRPr lang="en-US" b="1">
              <a:solidFill>
                <a:sysClr val="windowText" lastClr="000000"/>
              </a:solidFill>
            </a:endParaRPr>
          </a:p>
        </c:rich>
      </c:tx>
      <c:layout>
        <c:manualLayout>
          <c:xMode val="edge"/>
          <c:yMode val="edge"/>
          <c:x val="0.2477424991687359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'MORE CHARTS'!$M$31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'MORE CHARTS'!$L$32:$L$34</c:f>
              <c:strCache>
                <c:ptCount val="2"/>
                <c:pt idx="0">
                  <c:v>Insured</c:v>
                </c:pt>
                <c:pt idx="1">
                  <c:v>Not Insured</c:v>
                </c:pt>
              </c:strCache>
            </c:strRef>
          </c:cat>
          <c:val>
            <c:numRef>
              <c:f>'MORE CHARTS'!$M$32:$M$34</c:f>
              <c:numCache>
                <c:formatCode>General</c:formatCode>
                <c:ptCount val="2"/>
                <c:pt idx="0">
                  <c:v>665</c:v>
                </c:pt>
                <c:pt idx="1">
                  <c:v>651</c:v>
                </c:pt>
              </c:numCache>
            </c:numRef>
          </c:val>
          <c:extLst>
            <c:ext xmlns:c16="http://schemas.microsoft.com/office/drawing/2014/chart" uri="{C3380CC4-5D6E-409C-BE32-E72D297353CC}">
              <c16:uniqueId val="{00000000-A909-4633-BECB-26C107F0EB2B}"/>
            </c:ext>
          </c:extLst>
        </c:ser>
        <c:dLbls>
          <c:dLblPos val="outEnd"/>
          <c:showLegendKey val="0"/>
          <c:showVal val="1"/>
          <c:showCatName val="0"/>
          <c:showSerName val="0"/>
          <c:showPercent val="0"/>
          <c:showBubbleSize val="0"/>
        </c:dLbls>
        <c:gapWidth val="219"/>
        <c:overlap val="-27"/>
        <c:axId val="635465008"/>
        <c:axId val="545594768"/>
      </c:barChart>
      <c:catAx>
        <c:axId val="6354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94768"/>
        <c:crosses val="autoZero"/>
        <c:auto val="1"/>
        <c:lblAlgn val="ctr"/>
        <c:lblOffset val="100"/>
        <c:noMultiLvlLbl val="0"/>
      </c:catAx>
      <c:valAx>
        <c:axId val="5455947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546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[Hospital_Analytics_Dataset.xlsx]MORE CHARTS!PivotTable8</c:name>
    <c:fmtId val="1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Number</a:t>
            </a:r>
            <a:r>
              <a:rPr lang="en-US" b="1" baseline="0"/>
              <a:t> of male/female patients</a:t>
            </a:r>
            <a:endParaRPr lang="en-US"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'MORE CHARTS'!$M$26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'MORE CHARTS'!$L$27:$L$29</c:f>
              <c:strCache>
                <c:ptCount val="2"/>
                <c:pt idx="0">
                  <c:v>Female</c:v>
                </c:pt>
                <c:pt idx="1">
                  <c:v>Male</c:v>
                </c:pt>
              </c:strCache>
            </c:strRef>
          </c:cat>
          <c:val>
            <c:numRef>
              <c:f>'MORE CHARTS'!$M$27:$M$29</c:f>
              <c:numCache>
                <c:formatCode>General</c:formatCode>
                <c:ptCount val="2"/>
                <c:pt idx="0">
                  <c:v>622</c:v>
                </c:pt>
                <c:pt idx="1">
                  <c:v>694</c:v>
                </c:pt>
              </c:numCache>
            </c:numRef>
          </c:val>
          <c:extLst>
            <c:ext xmlns:c16="http://schemas.microsoft.com/office/drawing/2014/chart" uri="{C3380CC4-5D6E-409C-BE32-E72D297353CC}">
              <c16:uniqueId val="{00000000-6279-463F-B076-2DC532D79008}"/>
            </c:ext>
          </c:extLst>
        </c:ser>
        <c:dLbls>
          <c:dLblPos val="inEnd"/>
          <c:showLegendKey val="0"/>
          <c:showVal val="1"/>
          <c:showCatName val="0"/>
          <c:showSerName val="0"/>
          <c:showPercent val="0"/>
          <c:showBubbleSize val="0"/>
        </c:dLbls>
        <c:gapWidth val="41"/>
        <c:axId val="543320376"/>
        <c:axId val="543316416"/>
      </c:barChart>
      <c:catAx>
        <c:axId val="543320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43316416"/>
        <c:crosses val="autoZero"/>
        <c:auto val="1"/>
        <c:lblAlgn val="ctr"/>
        <c:lblOffset val="100"/>
        <c:noMultiLvlLbl val="0"/>
      </c:catAx>
      <c:valAx>
        <c:axId val="543316416"/>
        <c:scaling>
          <c:orientation val="minMax"/>
        </c:scaling>
        <c:delete val="1"/>
        <c:axPos val="l"/>
        <c:numFmt formatCode="General" sourceLinked="1"/>
        <c:majorTickMark val="none"/>
        <c:minorTickMark val="none"/>
        <c:tickLblPos val="nextTo"/>
        <c:crossAx val="543320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5.xml"/><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76200</xdr:rowOff>
    </xdr:from>
    <xdr:to>
      <xdr:col>20</xdr:col>
      <xdr:colOff>502920</xdr:colOff>
      <xdr:row>36</xdr:row>
      <xdr:rowOff>106680</xdr:rowOff>
    </xdr:to>
    <xdr:sp macro="" textlink="">
      <xdr:nvSpPr>
        <xdr:cNvPr id="12" name="Rectangle 11">
          <a:extLst>
            <a:ext uri="{FF2B5EF4-FFF2-40B4-BE49-F238E27FC236}">
              <a16:creationId xmlns:a16="http://schemas.microsoft.com/office/drawing/2014/main" id="{2878DCC8-1886-3107-2352-234FE7BFD5F9}"/>
            </a:ext>
          </a:extLst>
        </xdr:cNvPr>
        <xdr:cNvSpPr/>
      </xdr:nvSpPr>
      <xdr:spPr>
        <a:xfrm>
          <a:off x="0" y="76200"/>
          <a:ext cx="12976860" cy="661416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0</xdr:rowOff>
    </xdr:from>
    <xdr:to>
      <xdr:col>20</xdr:col>
      <xdr:colOff>441960</xdr:colOff>
      <xdr:row>3</xdr:row>
      <xdr:rowOff>83820</xdr:rowOff>
    </xdr:to>
    <xdr:sp macro="" textlink="">
      <xdr:nvSpPr>
        <xdr:cNvPr id="2" name="TextBox 1">
          <a:extLst>
            <a:ext uri="{FF2B5EF4-FFF2-40B4-BE49-F238E27FC236}">
              <a16:creationId xmlns:a16="http://schemas.microsoft.com/office/drawing/2014/main" id="{FDCB6DA8-9736-5162-F1EC-7BF5DB100273}"/>
            </a:ext>
          </a:extLst>
        </xdr:cNvPr>
        <xdr:cNvSpPr txBox="1"/>
      </xdr:nvSpPr>
      <xdr:spPr>
        <a:xfrm>
          <a:off x="106680" y="182880"/>
          <a:ext cx="12809220" cy="4495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Hospital</a:t>
          </a:r>
          <a:r>
            <a:rPr lang="en-IN" sz="1800" b="1" baseline="0">
              <a:solidFill>
                <a:schemeClr val="tx1"/>
              </a:solidFill>
            </a:rPr>
            <a:t> Management  Dashboard</a:t>
          </a:r>
          <a:endParaRPr lang="en-IN" sz="1800" b="1">
            <a:solidFill>
              <a:schemeClr val="tx1"/>
            </a:solidFill>
          </a:endParaRPr>
        </a:p>
      </xdr:txBody>
    </xdr:sp>
    <xdr:clientData/>
  </xdr:twoCellAnchor>
  <xdr:twoCellAnchor>
    <xdr:from>
      <xdr:col>2</xdr:col>
      <xdr:colOff>510540</xdr:colOff>
      <xdr:row>3</xdr:row>
      <xdr:rowOff>121920</xdr:rowOff>
    </xdr:from>
    <xdr:to>
      <xdr:col>6</xdr:col>
      <xdr:colOff>144780</xdr:colOff>
      <xdr:row>6</xdr:row>
      <xdr:rowOff>121920</xdr:rowOff>
    </xdr:to>
    <xdr:sp macro="" textlink="Hospital_Operations_Data!AB18">
      <xdr:nvSpPr>
        <xdr:cNvPr id="3" name="TextBox 2">
          <a:extLst>
            <a:ext uri="{FF2B5EF4-FFF2-40B4-BE49-F238E27FC236}">
              <a16:creationId xmlns:a16="http://schemas.microsoft.com/office/drawing/2014/main" id="{8084DCDE-FF12-93C6-1FE4-35ED6CA99F83}"/>
            </a:ext>
          </a:extLst>
        </xdr:cNvPr>
        <xdr:cNvSpPr txBox="1"/>
      </xdr:nvSpPr>
      <xdr:spPr>
        <a:xfrm>
          <a:off x="2011680" y="670560"/>
          <a:ext cx="2072640" cy="5486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REVENUE</a:t>
          </a:r>
          <a:endParaRPr lang="en-US" sz="1100" b="1" i="0" u="none" strike="noStrike">
            <a:solidFill>
              <a:srgbClr val="000000"/>
            </a:solidFill>
            <a:latin typeface="Calibri"/>
            <a:ea typeface="Calibri"/>
            <a:cs typeface="Calibri"/>
          </a:endParaRPr>
        </a:p>
        <a:p>
          <a:pPr algn="r"/>
          <a:r>
            <a:rPr lang="en-IN" sz="1100" b="1">
              <a:solidFill>
                <a:schemeClr val="tx1"/>
              </a:solidFill>
            </a:rPr>
            <a:t>38.6</a:t>
          </a:r>
          <a:r>
            <a:rPr lang="en-IN" sz="1100" b="1" baseline="0">
              <a:solidFill>
                <a:schemeClr val="tx1"/>
              </a:solidFill>
            </a:rPr>
            <a:t> Crore</a:t>
          </a:r>
          <a:endParaRPr lang="en-IN" sz="1100" b="1">
            <a:solidFill>
              <a:schemeClr val="tx1"/>
            </a:solidFill>
          </a:endParaRPr>
        </a:p>
      </xdr:txBody>
    </xdr:sp>
    <xdr:clientData/>
  </xdr:twoCellAnchor>
  <xdr:twoCellAnchor>
    <xdr:from>
      <xdr:col>0</xdr:col>
      <xdr:colOff>114300</xdr:colOff>
      <xdr:row>3</xdr:row>
      <xdr:rowOff>121920</xdr:rowOff>
    </xdr:from>
    <xdr:to>
      <xdr:col>2</xdr:col>
      <xdr:colOff>464820</xdr:colOff>
      <xdr:row>6</xdr:row>
      <xdr:rowOff>121920</xdr:rowOff>
    </xdr:to>
    <xdr:sp macro="" textlink="Hospital_Operations_Data!X13">
      <xdr:nvSpPr>
        <xdr:cNvPr id="4" name="TextBox 3">
          <a:extLst>
            <a:ext uri="{FF2B5EF4-FFF2-40B4-BE49-F238E27FC236}">
              <a16:creationId xmlns:a16="http://schemas.microsoft.com/office/drawing/2014/main" id="{0B2A76D6-1868-4966-B29D-A4B979E00D3E}"/>
            </a:ext>
          </a:extLst>
        </xdr:cNvPr>
        <xdr:cNvSpPr txBox="1"/>
      </xdr:nvSpPr>
      <xdr:spPr>
        <a:xfrm>
          <a:off x="114300" y="670560"/>
          <a:ext cx="1851660" cy="5486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i="0" u="none" strike="noStrike">
              <a:solidFill>
                <a:schemeClr val="tx1"/>
              </a:solidFill>
              <a:latin typeface="Calibri"/>
              <a:ea typeface="Calibri"/>
              <a:cs typeface="Calibri"/>
            </a:rPr>
            <a:t>TOTAL PATIENTS</a:t>
          </a:r>
        </a:p>
        <a:p>
          <a:pPr algn="r"/>
          <a:fld id="{D49BF70A-32AB-4A89-872F-4B3E97E9254C}" type="TxLink">
            <a:rPr lang="en-US" sz="1100" b="1" i="0" u="none" strike="noStrike">
              <a:solidFill>
                <a:schemeClr val="tx1"/>
              </a:solidFill>
              <a:latin typeface="Calibri"/>
              <a:ea typeface="Calibri"/>
              <a:cs typeface="Calibri"/>
            </a:rPr>
            <a:pPr algn="r"/>
            <a:t>3500</a:t>
          </a:fld>
          <a:endParaRPr lang="en-US" sz="1100" b="1" i="0" u="none" strike="noStrike">
            <a:solidFill>
              <a:schemeClr val="tx1"/>
            </a:solidFill>
            <a:latin typeface="Calibri"/>
            <a:ea typeface="Calibri"/>
            <a:cs typeface="Calibri"/>
          </a:endParaRPr>
        </a:p>
      </xdr:txBody>
    </xdr:sp>
    <xdr:clientData/>
  </xdr:twoCellAnchor>
  <xdr:twoCellAnchor>
    <xdr:from>
      <xdr:col>6</xdr:col>
      <xdr:colOff>220980</xdr:colOff>
      <xdr:row>3</xdr:row>
      <xdr:rowOff>129540</xdr:rowOff>
    </xdr:from>
    <xdr:to>
      <xdr:col>10</xdr:col>
      <xdr:colOff>45720</xdr:colOff>
      <xdr:row>6</xdr:row>
      <xdr:rowOff>129540</xdr:rowOff>
    </xdr:to>
    <xdr:sp macro="" textlink="Hospital_Operations_Data!AA6">
      <xdr:nvSpPr>
        <xdr:cNvPr id="5" name="TextBox 4">
          <a:extLst>
            <a:ext uri="{FF2B5EF4-FFF2-40B4-BE49-F238E27FC236}">
              <a16:creationId xmlns:a16="http://schemas.microsoft.com/office/drawing/2014/main" id="{D6018B19-07AE-4660-B45D-7C3FAC641989}"/>
            </a:ext>
          </a:extLst>
        </xdr:cNvPr>
        <xdr:cNvSpPr txBox="1"/>
      </xdr:nvSpPr>
      <xdr:spPr>
        <a:xfrm>
          <a:off x="4160520" y="678180"/>
          <a:ext cx="2263140" cy="5486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i="0" u="none" strike="noStrike">
              <a:solidFill>
                <a:srgbClr val="000000"/>
              </a:solidFill>
              <a:latin typeface="Calibri"/>
              <a:ea typeface="Calibri"/>
              <a:cs typeface="Calibri"/>
            </a:rPr>
            <a:t>AVERAGE</a:t>
          </a:r>
          <a:r>
            <a:rPr lang="en-US" sz="1100" b="1" i="0" u="none" strike="noStrike" baseline="0">
              <a:solidFill>
                <a:srgbClr val="000000"/>
              </a:solidFill>
              <a:latin typeface="Calibri"/>
              <a:ea typeface="Calibri"/>
              <a:cs typeface="Calibri"/>
            </a:rPr>
            <a:t> TREATMENT COST</a:t>
          </a:r>
        </a:p>
        <a:p>
          <a:pPr algn="r"/>
          <a:r>
            <a:rPr lang="en-US" sz="1100" b="1" i="0" u="none" strike="noStrike" baseline="0">
              <a:solidFill>
                <a:srgbClr val="000000"/>
              </a:solidFill>
              <a:latin typeface="Calibri"/>
              <a:ea typeface="Calibri"/>
              <a:cs typeface="Calibri"/>
            </a:rPr>
            <a:t>92,450</a:t>
          </a:r>
          <a:endParaRPr lang="en-US" sz="1100" b="1" i="0" u="none" strike="noStrike">
            <a:solidFill>
              <a:srgbClr val="000000"/>
            </a:solidFill>
            <a:latin typeface="Calibri"/>
            <a:ea typeface="Calibri"/>
            <a:cs typeface="Calibri"/>
          </a:endParaRPr>
        </a:p>
      </xdr:txBody>
    </xdr:sp>
    <xdr:clientData/>
  </xdr:twoCellAnchor>
  <xdr:twoCellAnchor>
    <xdr:from>
      <xdr:col>5</xdr:col>
      <xdr:colOff>571500</xdr:colOff>
      <xdr:row>23</xdr:row>
      <xdr:rowOff>30480</xdr:rowOff>
    </xdr:from>
    <xdr:to>
      <xdr:col>11</xdr:col>
      <xdr:colOff>480060</xdr:colOff>
      <xdr:row>36</xdr:row>
      <xdr:rowOff>76200</xdr:rowOff>
    </xdr:to>
    <xdr:graphicFrame macro="">
      <xdr:nvGraphicFramePr>
        <xdr:cNvPr id="6" name="Chart 5">
          <a:extLst>
            <a:ext uri="{FF2B5EF4-FFF2-40B4-BE49-F238E27FC236}">
              <a16:creationId xmlns:a16="http://schemas.microsoft.com/office/drawing/2014/main" id="{A79833FB-D115-4B34-80C8-4E1F31C72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83820</xdr:colOff>
      <xdr:row>3</xdr:row>
      <xdr:rowOff>129540</xdr:rowOff>
    </xdr:from>
    <xdr:to>
      <xdr:col>13</xdr:col>
      <xdr:colOff>121920</xdr:colOff>
      <xdr:row>6</xdr:row>
      <xdr:rowOff>129540</xdr:rowOff>
    </xdr:to>
    <xdr:sp macro="" textlink="Hospital_Operations_Data!X20">
      <xdr:nvSpPr>
        <xdr:cNvPr id="8" name="TextBox 7">
          <a:extLst>
            <a:ext uri="{FF2B5EF4-FFF2-40B4-BE49-F238E27FC236}">
              <a16:creationId xmlns:a16="http://schemas.microsoft.com/office/drawing/2014/main" id="{4116D2A1-D98B-4E06-8F49-56FE8CD861AC}"/>
            </a:ext>
          </a:extLst>
        </xdr:cNvPr>
        <xdr:cNvSpPr txBox="1"/>
      </xdr:nvSpPr>
      <xdr:spPr>
        <a:xfrm>
          <a:off x="6461760" y="678180"/>
          <a:ext cx="1866900" cy="5486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1100" b="1" i="0" u="none" strike="noStrike">
              <a:solidFill>
                <a:srgbClr val="000000"/>
              </a:solidFill>
              <a:latin typeface="Calibri"/>
              <a:ea typeface="Calibri"/>
              <a:cs typeface="Calibri"/>
            </a:rPr>
            <a:t>READMISSION RATE</a:t>
          </a:r>
        </a:p>
        <a:p>
          <a:pPr marL="0" indent="0" algn="r"/>
          <a:fld id="{55D2B5CC-F1A0-4C18-AAE2-A6BA026B58AC}" type="TxLink">
            <a:rPr lang="en-US" sz="1100" b="1" i="0" u="none" strike="noStrike">
              <a:solidFill>
                <a:srgbClr val="000000"/>
              </a:solidFill>
              <a:latin typeface="Calibri"/>
              <a:ea typeface="Calibri"/>
              <a:cs typeface="Calibri"/>
            </a:rPr>
            <a:pPr marL="0" indent="0" algn="r"/>
            <a:t>0.12</a:t>
          </a:fld>
          <a:endParaRPr lang="en-US" sz="1100" b="1" i="0" u="none" strike="noStrike">
            <a:solidFill>
              <a:srgbClr val="000000"/>
            </a:solidFill>
            <a:latin typeface="Calibri"/>
            <a:ea typeface="Calibri"/>
            <a:cs typeface="Calibri"/>
          </a:endParaRPr>
        </a:p>
      </xdr:txBody>
    </xdr:sp>
    <xdr:clientData/>
  </xdr:twoCellAnchor>
  <xdr:twoCellAnchor>
    <xdr:from>
      <xdr:col>13</xdr:col>
      <xdr:colOff>160020</xdr:colOff>
      <xdr:row>3</xdr:row>
      <xdr:rowOff>129540</xdr:rowOff>
    </xdr:from>
    <xdr:to>
      <xdr:col>15</xdr:col>
      <xdr:colOff>601980</xdr:colOff>
      <xdr:row>6</xdr:row>
      <xdr:rowOff>137160</xdr:rowOff>
    </xdr:to>
    <xdr:sp macro="" textlink="Hospital_Operations_Data!Y26">
      <xdr:nvSpPr>
        <xdr:cNvPr id="14" name="TextBox 13">
          <a:extLst>
            <a:ext uri="{FF2B5EF4-FFF2-40B4-BE49-F238E27FC236}">
              <a16:creationId xmlns:a16="http://schemas.microsoft.com/office/drawing/2014/main" id="{FC139AFC-4AAC-43BD-8C8B-66A438D7814D}"/>
            </a:ext>
          </a:extLst>
        </xdr:cNvPr>
        <xdr:cNvSpPr txBox="1"/>
      </xdr:nvSpPr>
      <xdr:spPr>
        <a:xfrm>
          <a:off x="8366760" y="678180"/>
          <a:ext cx="1661160" cy="55626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1100" b="1" i="0" u="none" strike="noStrike">
              <a:solidFill>
                <a:srgbClr val="000000"/>
              </a:solidFill>
              <a:latin typeface="Calibri"/>
              <a:ea typeface="Calibri"/>
              <a:cs typeface="Calibri"/>
            </a:rPr>
            <a:t>EMERGENCY RATE</a:t>
          </a:r>
        </a:p>
        <a:p>
          <a:pPr marL="0" indent="0" algn="r"/>
          <a:fld id="{858D73A1-688C-483A-B526-35631FE5D905}" type="TxLink">
            <a:rPr lang="en-US" sz="1100" b="1" i="0" u="none" strike="noStrike">
              <a:solidFill>
                <a:srgbClr val="000000"/>
              </a:solidFill>
              <a:latin typeface="Calibri"/>
              <a:ea typeface="Calibri"/>
              <a:cs typeface="Calibri"/>
            </a:rPr>
            <a:pPr marL="0" indent="0" algn="r"/>
            <a:t>0.33</a:t>
          </a:fld>
          <a:endParaRPr lang="en-US" sz="1100" b="1" i="0" u="none" strike="noStrike">
            <a:solidFill>
              <a:srgbClr val="000000"/>
            </a:solidFill>
            <a:latin typeface="Calibri"/>
            <a:ea typeface="Calibri"/>
            <a:cs typeface="Calibri"/>
          </a:endParaRPr>
        </a:p>
      </xdr:txBody>
    </xdr:sp>
    <xdr:clientData/>
  </xdr:twoCellAnchor>
  <xdr:twoCellAnchor>
    <xdr:from>
      <xdr:col>11</xdr:col>
      <xdr:colOff>525780</xdr:colOff>
      <xdr:row>23</xdr:row>
      <xdr:rowOff>0</xdr:rowOff>
    </xdr:from>
    <xdr:to>
      <xdr:col>15</xdr:col>
      <xdr:colOff>601980</xdr:colOff>
      <xdr:row>36</xdr:row>
      <xdr:rowOff>53340</xdr:rowOff>
    </xdr:to>
    <xdr:graphicFrame macro="">
      <xdr:nvGraphicFramePr>
        <xdr:cNvPr id="17" name="Chart 16">
          <a:extLst>
            <a:ext uri="{FF2B5EF4-FFF2-40B4-BE49-F238E27FC236}">
              <a16:creationId xmlns:a16="http://schemas.microsoft.com/office/drawing/2014/main" id="{33614256-FCBC-400C-8DDA-42F5B608F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0</xdr:row>
      <xdr:rowOff>30480</xdr:rowOff>
    </xdr:from>
    <xdr:to>
      <xdr:col>24</xdr:col>
      <xdr:colOff>510540</xdr:colOff>
      <xdr:row>36</xdr:row>
      <xdr:rowOff>160020</xdr:rowOff>
    </xdr:to>
    <xdr:sp macro="" textlink="">
      <xdr:nvSpPr>
        <xdr:cNvPr id="11" name="Rectangle: Rounded Corners 10">
          <a:extLst>
            <a:ext uri="{FF2B5EF4-FFF2-40B4-BE49-F238E27FC236}">
              <a16:creationId xmlns:a16="http://schemas.microsoft.com/office/drawing/2014/main" id="{A1C74B7F-F7F8-DA95-43F1-882FAE09F20B}"/>
            </a:ext>
          </a:extLst>
        </xdr:cNvPr>
        <xdr:cNvSpPr/>
      </xdr:nvSpPr>
      <xdr:spPr>
        <a:xfrm>
          <a:off x="228600" y="30480"/>
          <a:ext cx="15194280" cy="6713220"/>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editAs="oneCell">
    <xdr:from>
      <xdr:col>16</xdr:col>
      <xdr:colOff>60960</xdr:colOff>
      <xdr:row>3</xdr:row>
      <xdr:rowOff>121920</xdr:rowOff>
    </xdr:from>
    <xdr:to>
      <xdr:col>20</xdr:col>
      <xdr:colOff>457200</xdr:colOff>
      <xdr:row>11</xdr:row>
      <xdr:rowOff>22860</xdr:rowOff>
    </xdr:to>
    <mc:AlternateContent xmlns:mc="http://schemas.openxmlformats.org/markup-compatibility/2006" xmlns:a14="http://schemas.microsoft.com/office/drawing/2010/main">
      <mc:Choice Requires="a14">
        <xdr:graphicFrame macro="">
          <xdr:nvGraphicFramePr>
            <xdr:cNvPr id="9" name="Doctor">
              <a:extLst>
                <a:ext uri="{FF2B5EF4-FFF2-40B4-BE49-F238E27FC236}">
                  <a16:creationId xmlns:a16="http://schemas.microsoft.com/office/drawing/2014/main" id="{485C0E34-AE8E-2BF3-A1FA-39A84EE0D53F}"/>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0447020" y="670560"/>
              <a:ext cx="225552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7</xdr:row>
      <xdr:rowOff>38100</xdr:rowOff>
    </xdr:from>
    <xdr:to>
      <xdr:col>8</xdr:col>
      <xdr:colOff>220980</xdr:colOff>
      <xdr:row>19</xdr:row>
      <xdr:rowOff>30480</xdr:rowOff>
    </xdr:to>
    <xdr:graphicFrame macro="">
      <xdr:nvGraphicFramePr>
        <xdr:cNvPr id="13" name="Chart 12">
          <a:extLst>
            <a:ext uri="{FF2B5EF4-FFF2-40B4-BE49-F238E27FC236}">
              <a16:creationId xmlns:a16="http://schemas.microsoft.com/office/drawing/2014/main" id="{D727D7DB-0942-4105-A28A-7771B02AF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251460</xdr:colOff>
      <xdr:row>7</xdr:row>
      <xdr:rowOff>38100</xdr:rowOff>
    </xdr:from>
    <xdr:to>
      <xdr:col>16</xdr:col>
      <xdr:colOff>7620</xdr:colOff>
      <xdr:row>19</xdr:row>
      <xdr:rowOff>15240</xdr:rowOff>
    </xdr:to>
    <xdr:graphicFrame macro="">
      <xdr:nvGraphicFramePr>
        <xdr:cNvPr id="20" name="Chart 19">
          <a:extLst>
            <a:ext uri="{FF2B5EF4-FFF2-40B4-BE49-F238E27FC236}">
              <a16:creationId xmlns:a16="http://schemas.microsoft.com/office/drawing/2014/main" id="{7D7E9870-8526-42A6-9F35-2459AFCC2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322252</xdr:colOff>
      <xdr:row>1</xdr:row>
      <xdr:rowOff>15240</xdr:rowOff>
    </xdr:from>
    <xdr:to>
      <xdr:col>7</xdr:col>
      <xdr:colOff>261445</xdr:colOff>
      <xdr:row>3</xdr:row>
      <xdr:rowOff>114300</xdr:rowOff>
    </xdr:to>
    <xdr:pic>
      <xdr:nvPicPr>
        <xdr:cNvPr id="10" name="chart">
          <a:extLst>
            <a:ext uri="{FF2B5EF4-FFF2-40B4-BE49-F238E27FC236}">
              <a16:creationId xmlns:a16="http://schemas.microsoft.com/office/drawing/2014/main" id="{CA2348C0-A5CB-67D4-AA0F-54B2DF55E9A0}"/>
            </a:ext>
          </a:extLst>
        </xdr:cNvPr>
        <xdr:cNvPicPr>
          <a:picLocks noChangeAspect="1"/>
        </xdr:cNvPicPr>
      </xdr:nvPicPr>
      <xdr:blipFill>
        <a:blip xmlns:r="http://schemas.openxmlformats.org/officeDocument/2006/relationships" r:embed="rId5"/>
        <a:stretch>
          <a:fillRect/>
        </a:stretch>
      </xdr:blipFill>
      <xdr:spPr>
        <a:xfrm>
          <a:off x="4261792" y="198120"/>
          <a:ext cx="548793" cy="464820"/>
        </a:xfrm>
        <a:prstGeom prst="rect">
          <a:avLst/>
        </a:prstGeom>
      </xdr:spPr>
    </xdr:pic>
    <xdr:clientData/>
  </xdr:twoCellAnchor>
  <xdr:twoCellAnchor editAs="oneCell">
    <xdr:from>
      <xdr:col>0</xdr:col>
      <xdr:colOff>190501</xdr:colOff>
      <xdr:row>3</xdr:row>
      <xdr:rowOff>152401</xdr:rowOff>
    </xdr:from>
    <xdr:to>
      <xdr:col>0</xdr:col>
      <xdr:colOff>704561</xdr:colOff>
      <xdr:row>6</xdr:row>
      <xdr:rowOff>99060</xdr:rowOff>
    </xdr:to>
    <xdr:pic>
      <xdr:nvPicPr>
        <xdr:cNvPr id="19" name="Picture 18">
          <a:extLst>
            <a:ext uri="{FF2B5EF4-FFF2-40B4-BE49-F238E27FC236}">
              <a16:creationId xmlns:a16="http://schemas.microsoft.com/office/drawing/2014/main" id="{1DEBD33C-5D92-4F7B-5101-0EE2A9DD574B}"/>
            </a:ext>
          </a:extLst>
        </xdr:cNvPr>
        <xdr:cNvPicPr>
          <a:picLocks noChangeAspect="1"/>
        </xdr:cNvPicPr>
      </xdr:nvPicPr>
      <xdr:blipFill>
        <a:blip xmlns:r="http://schemas.openxmlformats.org/officeDocument/2006/relationships" r:embed="rId6"/>
        <a:stretch>
          <a:fillRect/>
        </a:stretch>
      </xdr:blipFill>
      <xdr:spPr>
        <a:xfrm>
          <a:off x="190501" y="701041"/>
          <a:ext cx="514060" cy="495299"/>
        </a:xfrm>
        <a:prstGeom prst="rect">
          <a:avLst/>
        </a:prstGeom>
      </xdr:spPr>
    </xdr:pic>
    <xdr:clientData/>
  </xdr:twoCellAnchor>
  <xdr:twoCellAnchor editAs="oneCell">
    <xdr:from>
      <xdr:col>2</xdr:col>
      <xdr:colOff>548642</xdr:colOff>
      <xdr:row>3</xdr:row>
      <xdr:rowOff>175261</xdr:rowOff>
    </xdr:from>
    <xdr:to>
      <xdr:col>3</xdr:col>
      <xdr:colOff>397102</xdr:colOff>
      <xdr:row>6</xdr:row>
      <xdr:rowOff>53340</xdr:rowOff>
    </xdr:to>
    <xdr:pic>
      <xdr:nvPicPr>
        <xdr:cNvPr id="21" name="Picture 20">
          <a:extLst>
            <a:ext uri="{FF2B5EF4-FFF2-40B4-BE49-F238E27FC236}">
              <a16:creationId xmlns:a16="http://schemas.microsoft.com/office/drawing/2014/main" id="{E82ECF72-3B3E-DBF7-51A8-71A941B91B8F}"/>
            </a:ext>
          </a:extLst>
        </xdr:cNvPr>
        <xdr:cNvPicPr>
          <a:picLocks noChangeAspect="1"/>
        </xdr:cNvPicPr>
      </xdr:nvPicPr>
      <xdr:blipFill>
        <a:blip xmlns:r="http://schemas.openxmlformats.org/officeDocument/2006/relationships" r:embed="rId7"/>
        <a:stretch>
          <a:fillRect/>
        </a:stretch>
      </xdr:blipFill>
      <xdr:spPr>
        <a:xfrm>
          <a:off x="2049782" y="723901"/>
          <a:ext cx="458060" cy="426719"/>
        </a:xfrm>
        <a:prstGeom prst="rect">
          <a:avLst/>
        </a:prstGeom>
      </xdr:spPr>
    </xdr:pic>
    <xdr:clientData/>
  </xdr:twoCellAnchor>
  <xdr:twoCellAnchor editAs="oneCell">
    <xdr:from>
      <xdr:col>6</xdr:col>
      <xdr:colOff>274320</xdr:colOff>
      <xdr:row>3</xdr:row>
      <xdr:rowOff>167641</xdr:rowOff>
    </xdr:from>
    <xdr:to>
      <xdr:col>7</xdr:col>
      <xdr:colOff>57211</xdr:colOff>
      <xdr:row>6</xdr:row>
      <xdr:rowOff>45720</xdr:rowOff>
    </xdr:to>
    <xdr:pic>
      <xdr:nvPicPr>
        <xdr:cNvPr id="22" name="Picture 21">
          <a:extLst>
            <a:ext uri="{FF2B5EF4-FFF2-40B4-BE49-F238E27FC236}">
              <a16:creationId xmlns:a16="http://schemas.microsoft.com/office/drawing/2014/main" id="{5650CF9F-A6EF-D51C-E54E-A75A6C36A43D}"/>
            </a:ext>
          </a:extLst>
        </xdr:cNvPr>
        <xdr:cNvPicPr>
          <a:picLocks noChangeAspect="1"/>
        </xdr:cNvPicPr>
      </xdr:nvPicPr>
      <xdr:blipFill>
        <a:blip xmlns:r="http://schemas.openxmlformats.org/officeDocument/2006/relationships" r:embed="rId8"/>
        <a:stretch>
          <a:fillRect/>
        </a:stretch>
      </xdr:blipFill>
      <xdr:spPr>
        <a:xfrm>
          <a:off x="4213860" y="716281"/>
          <a:ext cx="392491" cy="426719"/>
        </a:xfrm>
        <a:prstGeom prst="rect">
          <a:avLst/>
        </a:prstGeom>
      </xdr:spPr>
    </xdr:pic>
    <xdr:clientData/>
  </xdr:twoCellAnchor>
  <xdr:twoCellAnchor editAs="oneCell">
    <xdr:from>
      <xdr:col>10</xdr:col>
      <xdr:colOff>83820</xdr:colOff>
      <xdr:row>4</xdr:row>
      <xdr:rowOff>1</xdr:rowOff>
    </xdr:from>
    <xdr:to>
      <xdr:col>11</xdr:col>
      <xdr:colOff>46017</xdr:colOff>
      <xdr:row>6</xdr:row>
      <xdr:rowOff>45721</xdr:rowOff>
    </xdr:to>
    <xdr:pic>
      <xdr:nvPicPr>
        <xdr:cNvPr id="23" name="Picture 22">
          <a:extLst>
            <a:ext uri="{FF2B5EF4-FFF2-40B4-BE49-F238E27FC236}">
              <a16:creationId xmlns:a16="http://schemas.microsoft.com/office/drawing/2014/main" id="{049AD1F9-7B53-AEB2-7D04-59670FB8BFFD}"/>
            </a:ext>
          </a:extLst>
        </xdr:cNvPr>
        <xdr:cNvPicPr>
          <a:picLocks noChangeAspect="1"/>
        </xdr:cNvPicPr>
      </xdr:nvPicPr>
      <xdr:blipFill rotWithShape="1">
        <a:blip xmlns:r="http://schemas.openxmlformats.org/officeDocument/2006/relationships" r:embed="rId9" cstate="screen">
          <a:extLst>
            <a:ext uri="{28A0092B-C50C-407E-A947-70E740481C1C}">
              <a14:useLocalDpi xmlns:a14="http://schemas.microsoft.com/office/drawing/2010/main"/>
            </a:ext>
          </a:extLst>
        </a:blip>
        <a:srcRect l="-4164"/>
        <a:stretch>
          <a:fillRect/>
        </a:stretch>
      </xdr:blipFill>
      <xdr:spPr>
        <a:xfrm>
          <a:off x="6461760" y="731521"/>
          <a:ext cx="571797" cy="411480"/>
        </a:xfrm>
        <a:prstGeom prst="rect">
          <a:avLst/>
        </a:prstGeom>
      </xdr:spPr>
    </xdr:pic>
    <xdr:clientData/>
  </xdr:twoCellAnchor>
  <xdr:twoCellAnchor editAs="oneCell">
    <xdr:from>
      <xdr:col>13</xdr:col>
      <xdr:colOff>190500</xdr:colOff>
      <xdr:row>3</xdr:row>
      <xdr:rowOff>175259</xdr:rowOff>
    </xdr:from>
    <xdr:to>
      <xdr:col>14</xdr:col>
      <xdr:colOff>28819</xdr:colOff>
      <xdr:row>6</xdr:row>
      <xdr:rowOff>30480</xdr:rowOff>
    </xdr:to>
    <xdr:pic>
      <xdr:nvPicPr>
        <xdr:cNvPr id="24" name="Picture 23">
          <a:extLst>
            <a:ext uri="{FF2B5EF4-FFF2-40B4-BE49-F238E27FC236}">
              <a16:creationId xmlns:a16="http://schemas.microsoft.com/office/drawing/2014/main" id="{2294F57C-6F37-1879-0989-27BAA9011E68}"/>
            </a:ext>
          </a:extLst>
        </xdr:cNvPr>
        <xdr:cNvPicPr>
          <a:picLocks noChangeAspect="1"/>
        </xdr:cNvPicPr>
      </xdr:nvPicPr>
      <xdr:blipFill>
        <a:blip xmlns:r="http://schemas.openxmlformats.org/officeDocument/2006/relationships" r:embed="rId10"/>
        <a:stretch>
          <a:fillRect/>
        </a:stretch>
      </xdr:blipFill>
      <xdr:spPr>
        <a:xfrm>
          <a:off x="8397240" y="723899"/>
          <a:ext cx="447919" cy="403861"/>
        </a:xfrm>
        <a:prstGeom prst="rect">
          <a:avLst/>
        </a:prstGeom>
      </xdr:spPr>
    </xdr:pic>
    <xdr:clientData/>
  </xdr:twoCellAnchor>
  <xdr:twoCellAnchor editAs="oneCell">
    <xdr:from>
      <xdr:col>3</xdr:col>
      <xdr:colOff>0</xdr:colOff>
      <xdr:row>19</xdr:row>
      <xdr:rowOff>83820</xdr:rowOff>
    </xdr:from>
    <xdr:to>
      <xdr:col>16</xdr:col>
      <xdr:colOff>7620</xdr:colOff>
      <xdr:row>22</xdr:row>
      <xdr:rowOff>144780</xdr:rowOff>
    </xdr:to>
    <mc:AlternateContent xmlns:mc="http://schemas.openxmlformats.org/markup-compatibility/2006" xmlns:a14="http://schemas.microsoft.com/office/drawing/2010/main">
      <mc:Choice Requires="a14">
        <xdr:graphicFrame macro="">
          <xdr:nvGraphicFramePr>
            <xdr:cNvPr id="26" name="Months (Admission_Date)">
              <a:extLst>
                <a:ext uri="{FF2B5EF4-FFF2-40B4-BE49-F238E27FC236}">
                  <a16:creationId xmlns:a16="http://schemas.microsoft.com/office/drawing/2014/main" id="{7BB7286D-D626-A19A-4B1F-A1404C9EB0A8}"/>
                </a:ext>
              </a:extLst>
            </xdr:cNvPr>
            <xdr:cNvGraphicFramePr/>
          </xdr:nvGraphicFramePr>
          <xdr:xfrm>
            <a:off x="0" y="0"/>
            <a:ext cx="0" cy="0"/>
          </xdr:xfrm>
          <a:graphic>
            <a:graphicData uri="http://schemas.microsoft.com/office/drawing/2010/slicer">
              <sle:slicer xmlns:sle="http://schemas.microsoft.com/office/drawing/2010/slicer" name="Months (Admission_Date)"/>
            </a:graphicData>
          </a:graphic>
        </xdr:graphicFrame>
      </mc:Choice>
      <mc:Fallback xmlns="">
        <xdr:sp macro="" textlink="">
          <xdr:nvSpPr>
            <xdr:cNvPr id="0" name=""/>
            <xdr:cNvSpPr>
              <a:spLocks noTextEdit="1"/>
            </xdr:cNvSpPr>
          </xdr:nvSpPr>
          <xdr:spPr>
            <a:xfrm>
              <a:off x="2110740" y="3558540"/>
              <a:ext cx="80010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19</xdr:row>
      <xdr:rowOff>60961</xdr:rowOff>
    </xdr:from>
    <xdr:to>
      <xdr:col>2</xdr:col>
      <xdr:colOff>579120</xdr:colOff>
      <xdr:row>23</xdr:row>
      <xdr:rowOff>0</xdr:rowOff>
    </xdr:to>
    <mc:AlternateContent xmlns:mc="http://schemas.openxmlformats.org/markup-compatibility/2006" xmlns:a14="http://schemas.microsoft.com/office/drawing/2010/main">
      <mc:Choice Requires="a14">
        <xdr:graphicFrame macro="">
          <xdr:nvGraphicFramePr>
            <xdr:cNvPr id="18" name="Years (Admission_Date)">
              <a:extLst>
                <a:ext uri="{FF2B5EF4-FFF2-40B4-BE49-F238E27FC236}">
                  <a16:creationId xmlns:a16="http://schemas.microsoft.com/office/drawing/2014/main" id="{B68C18A0-237D-CE1F-0A70-C5AFBD8C2062}"/>
                </a:ext>
              </a:extLst>
            </xdr:cNvPr>
            <xdr:cNvGraphicFramePr/>
          </xdr:nvGraphicFramePr>
          <xdr:xfrm>
            <a:off x="0" y="0"/>
            <a:ext cx="0" cy="0"/>
          </xdr:xfrm>
          <a:graphic>
            <a:graphicData uri="http://schemas.microsoft.com/office/drawing/2010/slicer">
              <sle:slicer xmlns:sle="http://schemas.microsoft.com/office/drawing/2010/slicer" name="Years (Admission_Date)"/>
            </a:graphicData>
          </a:graphic>
        </xdr:graphicFrame>
      </mc:Choice>
      <mc:Fallback xmlns="">
        <xdr:sp macro="" textlink="">
          <xdr:nvSpPr>
            <xdr:cNvPr id="0" name=""/>
            <xdr:cNvSpPr>
              <a:spLocks noTextEdit="1"/>
            </xdr:cNvSpPr>
          </xdr:nvSpPr>
          <xdr:spPr>
            <a:xfrm>
              <a:off x="68580" y="3535681"/>
              <a:ext cx="201168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23</xdr:row>
      <xdr:rowOff>38100</xdr:rowOff>
    </xdr:from>
    <xdr:to>
      <xdr:col>5</xdr:col>
      <xdr:colOff>541020</xdr:colOff>
      <xdr:row>36</xdr:row>
      <xdr:rowOff>53340</xdr:rowOff>
    </xdr:to>
    <xdr:graphicFrame macro="">
      <xdr:nvGraphicFramePr>
        <xdr:cNvPr id="25" name="Chart 24">
          <a:extLst>
            <a:ext uri="{FF2B5EF4-FFF2-40B4-BE49-F238E27FC236}">
              <a16:creationId xmlns:a16="http://schemas.microsoft.com/office/drawing/2014/main" id="{DF745783-5AB6-4371-A870-E361FBDC3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53340</xdr:colOff>
      <xdr:row>23</xdr:row>
      <xdr:rowOff>0</xdr:rowOff>
    </xdr:from>
    <xdr:to>
      <xdr:col>20</xdr:col>
      <xdr:colOff>464820</xdr:colOff>
      <xdr:row>36</xdr:row>
      <xdr:rowOff>53340</xdr:rowOff>
    </xdr:to>
    <xdr:graphicFrame macro="">
      <xdr:nvGraphicFramePr>
        <xdr:cNvPr id="29" name="Chart 28">
          <a:extLst>
            <a:ext uri="{FF2B5EF4-FFF2-40B4-BE49-F238E27FC236}">
              <a16:creationId xmlns:a16="http://schemas.microsoft.com/office/drawing/2014/main" id="{A39FCDC1-B631-40C9-A41D-E9A3B295A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60960</xdr:colOff>
      <xdr:row>11</xdr:row>
      <xdr:rowOff>30480</xdr:rowOff>
    </xdr:from>
    <xdr:to>
      <xdr:col>20</xdr:col>
      <xdr:colOff>457200</xdr:colOff>
      <xdr:row>22</xdr:row>
      <xdr:rowOff>144780</xdr:rowOff>
    </xdr:to>
    <xdr:graphicFrame macro="">
      <xdr:nvGraphicFramePr>
        <xdr:cNvPr id="30" name="Chart 29">
          <a:extLst>
            <a:ext uri="{FF2B5EF4-FFF2-40B4-BE49-F238E27FC236}">
              <a16:creationId xmlns:a16="http://schemas.microsoft.com/office/drawing/2014/main" id="{3BFCF1DC-C3D9-40A8-8E1D-79AAD0F69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0</xdr:row>
      <xdr:rowOff>30480</xdr:rowOff>
    </xdr:from>
    <xdr:to>
      <xdr:col>5</xdr:col>
      <xdr:colOff>7620</xdr:colOff>
      <xdr:row>11</xdr:row>
      <xdr:rowOff>53340</xdr:rowOff>
    </xdr:to>
    <xdr:graphicFrame macro="">
      <xdr:nvGraphicFramePr>
        <xdr:cNvPr id="3" name="Chart 2">
          <a:extLst>
            <a:ext uri="{FF2B5EF4-FFF2-40B4-BE49-F238E27FC236}">
              <a16:creationId xmlns:a16="http://schemas.microsoft.com/office/drawing/2014/main" id="{25C123EE-42EE-4E73-BBAC-2DF6FA184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0</xdr:row>
      <xdr:rowOff>22860</xdr:rowOff>
    </xdr:from>
    <xdr:to>
      <xdr:col>13</xdr:col>
      <xdr:colOff>167640</xdr:colOff>
      <xdr:row>11</xdr:row>
      <xdr:rowOff>106680</xdr:rowOff>
    </xdr:to>
    <xdr:graphicFrame macro="">
      <xdr:nvGraphicFramePr>
        <xdr:cNvPr id="5" name="Chart 4">
          <a:extLst>
            <a:ext uri="{FF2B5EF4-FFF2-40B4-BE49-F238E27FC236}">
              <a16:creationId xmlns:a16="http://schemas.microsoft.com/office/drawing/2014/main" id="{6C19EEB3-DD8C-490D-8124-64E51FD62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685800</xdr:colOff>
      <xdr:row>20</xdr:row>
      <xdr:rowOff>38100</xdr:rowOff>
    </xdr:from>
    <xdr:to>
      <xdr:col>9</xdr:col>
      <xdr:colOff>556260</xdr:colOff>
      <xdr:row>38</xdr:row>
      <xdr:rowOff>7620</xdr:rowOff>
    </xdr:to>
    <xdr:sp macro="" textlink="">
      <xdr:nvSpPr>
        <xdr:cNvPr id="2" name="TextBox 1">
          <a:extLst>
            <a:ext uri="{FF2B5EF4-FFF2-40B4-BE49-F238E27FC236}">
              <a16:creationId xmlns:a16="http://schemas.microsoft.com/office/drawing/2014/main" id="{54F39B48-7A98-B3C5-5EA1-4CF0ADE259CB}"/>
            </a:ext>
          </a:extLst>
        </xdr:cNvPr>
        <xdr:cNvSpPr txBox="1"/>
      </xdr:nvSpPr>
      <xdr:spPr>
        <a:xfrm>
          <a:off x="685800" y="3695700"/>
          <a:ext cx="9105900" cy="326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Hospital operations analysis dashboard explanation</a:t>
          </a:r>
          <a:endParaRPr lang="en-IN" sz="1100">
            <a:solidFill>
              <a:schemeClr val="dk1"/>
            </a:solidFill>
            <a:effectLst/>
            <a:latin typeface="+mn-lt"/>
            <a:ea typeface="+mn-ea"/>
            <a:cs typeface="+mn-cs"/>
          </a:endParaRPr>
        </a:p>
        <a:p>
          <a:r>
            <a:rPr lang="en-IN" sz="1100">
              <a:solidFill>
                <a:schemeClr val="dk1"/>
              </a:solidFill>
              <a:effectLst/>
              <a:latin typeface="+mn-lt"/>
              <a:ea typeface="+mn-ea"/>
              <a:cs typeface="+mn-cs"/>
            </a:rPr>
            <a:t>Business problem-"This dashboard was created for the management of a multi-specialty hospital to monitor operational performance, patient trends, and resource utilization. The objective was to provide management with an interactive dashboard that supports data-driven decisions to improve hospital efficiency and patient care."</a:t>
          </a:r>
        </a:p>
        <a:p>
          <a:r>
            <a:rPr lang="en-IN" sz="1100">
              <a:solidFill>
                <a:schemeClr val="dk1"/>
              </a:solidFill>
              <a:effectLst/>
              <a:latin typeface="+mn-lt"/>
              <a:ea typeface="+mn-ea"/>
              <a:cs typeface="+mn-cs"/>
            </a:rPr>
            <a:t> </a:t>
          </a:r>
        </a:p>
        <a:p>
          <a:r>
            <a:rPr lang="en-IN" sz="1100">
              <a:solidFill>
                <a:schemeClr val="dk1"/>
              </a:solidFill>
              <a:effectLst/>
              <a:latin typeface="+mn-lt"/>
              <a:ea typeface="+mn-ea"/>
              <a:cs typeface="+mn-cs"/>
            </a:rPr>
            <a:t>"I worked with a dataset of 3,500 patient records spanning three years (2023–2025). The data included patient demographics, admission details, diagnoses, departments, doctors, treatment costs, insurance information, and operational metrics such as readmissions and admission types."</a:t>
          </a:r>
        </a:p>
        <a:p>
          <a:r>
            <a:rPr lang="en-IN" sz="1100">
              <a:solidFill>
                <a:schemeClr val="dk1"/>
              </a:solidFill>
              <a:effectLst/>
              <a:latin typeface="+mn-lt"/>
              <a:ea typeface="+mn-ea"/>
              <a:cs typeface="+mn-cs"/>
            </a:rPr>
            <a:t>"The KPI cards provide an executive summary of the hospital's performance."</a:t>
          </a:r>
        </a:p>
        <a:p>
          <a:r>
            <a:rPr lang="en-IN" sz="1100">
              <a:solidFill>
                <a:schemeClr val="dk1"/>
              </a:solidFill>
              <a:effectLst/>
              <a:latin typeface="+mn-lt"/>
              <a:ea typeface="+mn-ea"/>
              <a:cs typeface="+mn-cs"/>
            </a:rPr>
            <a:t>Then explain each one:</a:t>
          </a:r>
        </a:p>
        <a:p>
          <a:r>
            <a:rPr lang="en-IN" sz="1100" b="1">
              <a:solidFill>
                <a:schemeClr val="dk1"/>
              </a:solidFill>
              <a:effectLst/>
              <a:latin typeface="+mn-lt"/>
              <a:ea typeface="+mn-ea"/>
              <a:cs typeface="+mn-cs"/>
            </a:rPr>
            <a:t>Total Patients</a:t>
          </a:r>
          <a:r>
            <a:rPr lang="en-IN" sz="1100">
              <a:solidFill>
                <a:schemeClr val="dk1"/>
              </a:solidFill>
              <a:effectLst/>
              <a:latin typeface="+mn-lt"/>
              <a:ea typeface="+mn-ea"/>
              <a:cs typeface="+mn-cs"/>
            </a:rPr>
            <a:t> → Overall hospital workload. </a:t>
          </a:r>
        </a:p>
        <a:p>
          <a:r>
            <a:rPr lang="en-IN" sz="1100" b="1">
              <a:solidFill>
                <a:schemeClr val="dk1"/>
              </a:solidFill>
              <a:effectLst/>
              <a:latin typeface="+mn-lt"/>
              <a:ea typeface="+mn-ea"/>
              <a:cs typeface="+mn-cs"/>
            </a:rPr>
            <a:t>Total Revenue</a:t>
          </a:r>
          <a:r>
            <a:rPr lang="en-IN" sz="1100">
              <a:solidFill>
                <a:schemeClr val="dk1"/>
              </a:solidFill>
              <a:effectLst/>
              <a:latin typeface="+mn-lt"/>
              <a:ea typeface="+mn-ea"/>
              <a:cs typeface="+mn-cs"/>
            </a:rPr>
            <a:t> → Overall billing generated by the hospital. </a:t>
          </a:r>
        </a:p>
        <a:p>
          <a:r>
            <a:rPr lang="en-IN" sz="1100" b="1">
              <a:solidFill>
                <a:schemeClr val="dk1"/>
              </a:solidFill>
              <a:effectLst/>
              <a:latin typeface="+mn-lt"/>
              <a:ea typeface="+mn-ea"/>
              <a:cs typeface="+mn-cs"/>
            </a:rPr>
            <a:t>Average Treatment Cost</a:t>
          </a:r>
          <a:r>
            <a:rPr lang="en-IN" sz="1100">
              <a:solidFill>
                <a:schemeClr val="dk1"/>
              </a:solidFill>
              <a:effectLst/>
              <a:latin typeface="+mn-lt"/>
              <a:ea typeface="+mn-ea"/>
              <a:cs typeface="+mn-cs"/>
            </a:rPr>
            <a:t> → Average cost incurred per patient admission. </a:t>
          </a:r>
        </a:p>
        <a:p>
          <a:r>
            <a:rPr lang="en-IN" sz="1100" b="1">
              <a:solidFill>
                <a:schemeClr val="dk1"/>
              </a:solidFill>
              <a:effectLst/>
              <a:latin typeface="+mn-lt"/>
              <a:ea typeface="+mn-ea"/>
              <a:cs typeface="+mn-cs"/>
            </a:rPr>
            <a:t>Readmission Rate</a:t>
          </a:r>
          <a:r>
            <a:rPr lang="en-IN" sz="1100">
              <a:solidFill>
                <a:schemeClr val="dk1"/>
              </a:solidFill>
              <a:effectLst/>
              <a:latin typeface="+mn-lt"/>
              <a:ea typeface="+mn-ea"/>
              <a:cs typeface="+mn-cs"/>
            </a:rPr>
            <a:t> → Indicates treatment effectiveness and post-discharge care. </a:t>
          </a:r>
        </a:p>
        <a:p>
          <a:r>
            <a:rPr lang="en-IN" sz="1100" b="1">
              <a:solidFill>
                <a:schemeClr val="dk1"/>
              </a:solidFill>
              <a:effectLst/>
              <a:latin typeface="+mn-lt"/>
              <a:ea typeface="+mn-ea"/>
              <a:cs typeface="+mn-cs"/>
            </a:rPr>
            <a:t>Emergency Rate</a:t>
          </a:r>
          <a:r>
            <a:rPr lang="en-IN" sz="1100">
              <a:solidFill>
                <a:schemeClr val="dk1"/>
              </a:solidFill>
              <a:effectLst/>
              <a:latin typeface="+mn-lt"/>
              <a:ea typeface="+mn-ea"/>
              <a:cs typeface="+mn-cs"/>
            </a:rPr>
            <a:t> → Helps understand emergency department demand.</a:t>
          </a:r>
        </a:p>
        <a:p>
          <a:r>
            <a:rPr lang="en-IN" sz="1100" b="1">
              <a:solidFill>
                <a:schemeClr val="dk1"/>
              </a:solidFill>
              <a:effectLst/>
              <a:latin typeface="+mn-lt"/>
              <a:ea typeface="+mn-ea"/>
              <a:cs typeface="+mn-cs"/>
            </a:rPr>
            <a:t>Diagnosis</a:t>
          </a:r>
          <a:endParaRPr lang="en-IN" sz="1100">
            <a:solidFill>
              <a:schemeClr val="dk1"/>
            </a:solidFill>
            <a:effectLst/>
            <a:latin typeface="+mn-lt"/>
            <a:ea typeface="+mn-ea"/>
            <a:cs typeface="+mn-cs"/>
          </a:endParaRPr>
        </a:p>
        <a:p>
          <a:r>
            <a:rPr lang="en-IN" sz="1100">
              <a:solidFill>
                <a:schemeClr val="dk1"/>
              </a:solidFill>
              <a:effectLst/>
              <a:latin typeface="+mn-lt"/>
              <a:ea typeface="+mn-ea"/>
              <a:cs typeface="+mn-cs"/>
            </a:rPr>
            <a:t>"This chart highlights the most common diagnoses, enabling hospital management to identify prevalent diseases and allocate medical resources effectively."</a:t>
          </a:r>
        </a:p>
        <a:p>
          <a:r>
            <a:rPr lang="en-IN" sz="1100">
              <a:solidFill>
                <a:schemeClr val="dk1"/>
              </a:solidFill>
              <a:effectLst/>
              <a:latin typeface="+mn-lt"/>
              <a:ea typeface="+mn-ea"/>
              <a:cs typeface="+mn-cs"/>
            </a:rPr>
            <a:t> </a:t>
          </a:r>
        </a:p>
        <a:p>
          <a:r>
            <a:rPr lang="en-IN" sz="1100">
              <a:solidFill>
                <a:schemeClr val="dk1"/>
              </a:solidFill>
              <a:effectLst/>
              <a:latin typeface="+mn-lt"/>
              <a:ea typeface="+mn-ea"/>
              <a:cs typeface="+mn-cs"/>
            </a:rPr>
            <a:t> </a:t>
          </a:r>
        </a:p>
        <a:p>
          <a:r>
            <a:rPr lang="en-IN" sz="1100">
              <a:solidFill>
                <a:schemeClr val="dk1"/>
              </a:solidFill>
              <a:effectLst/>
              <a:latin typeface="+mn-lt"/>
              <a:ea typeface="+mn-ea"/>
              <a:cs typeface="+mn-cs"/>
            </a:rPr>
            <a:t> </a:t>
          </a:r>
        </a:p>
        <a:p>
          <a:r>
            <a:rPr lang="en-IN" sz="1100">
              <a:solidFill>
                <a:schemeClr val="dk1"/>
              </a:solidFill>
              <a:effectLst/>
              <a:latin typeface="+mn-lt"/>
              <a:ea typeface="+mn-ea"/>
              <a:cs typeface="+mn-cs"/>
            </a:rPr>
            <a:t> </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Shimpi" refreshedDate="46196.639912037041" createdVersion="8" refreshedVersion="8" minRefreshableVersion="3" recordCount="3500" xr:uid="{01D35179-5F3F-4D40-976A-6C89732DEE5B}">
  <cacheSource type="worksheet">
    <worksheetSource name="Hospital_Operations_Data"/>
  </cacheSource>
  <cacheFields count="23">
    <cacheField name="Patient_ID" numFmtId="0">
      <sharedItems count="3500">
        <s v="P00001"/>
        <s v="P00002"/>
        <s v="P00003"/>
        <s v="P00004"/>
        <s v="P00005"/>
        <s v="P00006"/>
        <s v="P00007"/>
        <s v="P00008"/>
        <s v="P00009"/>
        <s v="P00010"/>
        <s v="P00011"/>
        <s v="P00012"/>
        <s v="P00013"/>
        <s v="P00014"/>
        <s v="P00015"/>
        <s v="P00016"/>
        <s v="P00017"/>
        <s v="P00018"/>
        <s v="P00019"/>
        <s v="P00020"/>
        <s v="P00021"/>
        <s v="P00022"/>
        <s v="P00023"/>
        <s v="P00024"/>
        <s v="P00025"/>
        <s v="P00026"/>
        <s v="P00027"/>
        <s v="P00028"/>
        <s v="P00029"/>
        <s v="P00030"/>
        <s v="P00031"/>
        <s v="P00032"/>
        <s v="P00033"/>
        <s v="P00034"/>
        <s v="P00035"/>
        <s v="P00036"/>
        <s v="P00037"/>
        <s v="P00038"/>
        <s v="P00039"/>
        <s v="P00040"/>
        <s v="P00041"/>
        <s v="P00042"/>
        <s v="P00043"/>
        <s v="P00044"/>
        <s v="P00045"/>
        <s v="P00046"/>
        <s v="P00047"/>
        <s v="P00048"/>
        <s v="P00049"/>
        <s v="P00050"/>
        <s v="P00051"/>
        <s v="P00052"/>
        <s v="P00053"/>
        <s v="P00054"/>
        <s v="P00055"/>
        <s v="P00056"/>
        <s v="P00057"/>
        <s v="P00058"/>
        <s v="P00059"/>
        <s v="P00060"/>
        <s v="P00061"/>
        <s v="P00062"/>
        <s v="P00063"/>
        <s v="P00064"/>
        <s v="P00065"/>
        <s v="P00066"/>
        <s v="P00067"/>
        <s v="P00068"/>
        <s v="P00069"/>
        <s v="P00070"/>
        <s v="P00071"/>
        <s v="P00072"/>
        <s v="P00073"/>
        <s v="P00074"/>
        <s v="P00075"/>
        <s v="P00076"/>
        <s v="P00077"/>
        <s v="P00078"/>
        <s v="P00079"/>
        <s v="P00080"/>
        <s v="P00081"/>
        <s v="P00082"/>
        <s v="P00083"/>
        <s v="P00084"/>
        <s v="P00085"/>
        <s v="P00086"/>
        <s v="P00087"/>
        <s v="P00088"/>
        <s v="P00089"/>
        <s v="P00090"/>
        <s v="P00091"/>
        <s v="P00092"/>
        <s v="P00093"/>
        <s v="P00094"/>
        <s v="P00095"/>
        <s v="P00096"/>
        <s v="P00097"/>
        <s v="P00098"/>
        <s v="P00099"/>
        <s v="P00100"/>
        <s v="P00101"/>
        <s v="P00102"/>
        <s v="P00103"/>
        <s v="P00104"/>
        <s v="P00105"/>
        <s v="P00106"/>
        <s v="P00107"/>
        <s v="P00108"/>
        <s v="P00109"/>
        <s v="P00110"/>
        <s v="P00111"/>
        <s v="P00112"/>
        <s v="P00113"/>
        <s v="P00114"/>
        <s v="P00115"/>
        <s v="P00116"/>
        <s v="P00117"/>
        <s v="P00118"/>
        <s v="P00119"/>
        <s v="P00120"/>
        <s v="P00121"/>
        <s v="P00122"/>
        <s v="P00123"/>
        <s v="P00124"/>
        <s v="P00125"/>
        <s v="P00126"/>
        <s v="P00127"/>
        <s v="P00128"/>
        <s v="P00129"/>
        <s v="P00130"/>
        <s v="P00131"/>
        <s v="P00132"/>
        <s v="P00133"/>
        <s v="P00134"/>
        <s v="P00135"/>
        <s v="P00136"/>
        <s v="P00137"/>
        <s v="P00138"/>
        <s v="P00139"/>
        <s v="P00140"/>
        <s v="P00141"/>
        <s v="P00142"/>
        <s v="P00143"/>
        <s v="P00144"/>
        <s v="P00145"/>
        <s v="P00146"/>
        <s v="P00147"/>
        <s v="P00148"/>
        <s v="P00149"/>
        <s v="P00150"/>
        <s v="P00151"/>
        <s v="P00152"/>
        <s v="P00153"/>
        <s v="P00154"/>
        <s v="P00155"/>
        <s v="P00156"/>
        <s v="P00157"/>
        <s v="P00158"/>
        <s v="P00159"/>
        <s v="P00160"/>
        <s v="P00161"/>
        <s v="P00162"/>
        <s v="P00163"/>
        <s v="P00164"/>
        <s v="P00165"/>
        <s v="P00166"/>
        <s v="P00167"/>
        <s v="P00168"/>
        <s v="P00169"/>
        <s v="P00170"/>
        <s v="P00171"/>
        <s v="P00172"/>
        <s v="P00173"/>
        <s v="P00174"/>
        <s v="P00175"/>
        <s v="P00176"/>
        <s v="P00177"/>
        <s v="P00178"/>
        <s v="P00179"/>
        <s v="P00180"/>
        <s v="P00181"/>
        <s v="P00182"/>
        <s v="P00183"/>
        <s v="P00184"/>
        <s v="P00185"/>
        <s v="P00186"/>
        <s v="P00187"/>
        <s v="P00188"/>
        <s v="P00189"/>
        <s v="P00190"/>
        <s v="P00191"/>
        <s v="P00192"/>
        <s v="P00193"/>
        <s v="P00194"/>
        <s v="P00195"/>
        <s v="P00196"/>
        <s v="P00197"/>
        <s v="P00198"/>
        <s v="P00199"/>
        <s v="P00200"/>
        <s v="P00201"/>
        <s v="P00202"/>
        <s v="P00203"/>
        <s v="P00204"/>
        <s v="P00205"/>
        <s v="P00206"/>
        <s v="P00207"/>
        <s v="P00208"/>
        <s v="P00209"/>
        <s v="P00210"/>
        <s v="P00211"/>
        <s v="P00212"/>
        <s v="P00213"/>
        <s v="P00214"/>
        <s v="P00215"/>
        <s v="P00216"/>
        <s v="P00217"/>
        <s v="P00218"/>
        <s v="P00219"/>
        <s v="P00220"/>
        <s v="P00221"/>
        <s v="P00222"/>
        <s v="P00223"/>
        <s v="P00224"/>
        <s v="P00225"/>
        <s v="P00226"/>
        <s v="P00227"/>
        <s v="P00228"/>
        <s v="P00229"/>
        <s v="P00230"/>
        <s v="P00231"/>
        <s v="P00232"/>
        <s v="P00233"/>
        <s v="P00234"/>
        <s v="P00235"/>
        <s v="P00236"/>
        <s v="P00237"/>
        <s v="P00238"/>
        <s v="P00239"/>
        <s v="P00240"/>
        <s v="P00241"/>
        <s v="P00242"/>
        <s v="P00243"/>
        <s v="P00244"/>
        <s v="P00245"/>
        <s v="P00246"/>
        <s v="P00247"/>
        <s v="P00248"/>
        <s v="P00249"/>
        <s v="P00250"/>
        <s v="P00251"/>
        <s v="P00252"/>
        <s v="P00253"/>
        <s v="P00254"/>
        <s v="P00255"/>
        <s v="P00256"/>
        <s v="P00257"/>
        <s v="P00258"/>
        <s v="P00259"/>
        <s v="P00260"/>
        <s v="P00261"/>
        <s v="P00262"/>
        <s v="P00263"/>
        <s v="P00264"/>
        <s v="P00265"/>
        <s v="P00266"/>
        <s v="P00267"/>
        <s v="P00268"/>
        <s v="P00269"/>
        <s v="P00270"/>
        <s v="P00271"/>
        <s v="P00272"/>
        <s v="P00273"/>
        <s v="P00274"/>
        <s v="P00275"/>
        <s v="P00276"/>
        <s v="P00277"/>
        <s v="P00278"/>
        <s v="P00279"/>
        <s v="P00280"/>
        <s v="P00281"/>
        <s v="P00282"/>
        <s v="P00283"/>
        <s v="P00284"/>
        <s v="P00285"/>
        <s v="P00286"/>
        <s v="P00287"/>
        <s v="P00288"/>
        <s v="P00289"/>
        <s v="P00290"/>
        <s v="P00291"/>
        <s v="P00292"/>
        <s v="P00293"/>
        <s v="P00294"/>
        <s v="P00295"/>
        <s v="P00296"/>
        <s v="P00297"/>
        <s v="P00298"/>
        <s v="P00299"/>
        <s v="P00300"/>
        <s v="P00301"/>
        <s v="P00302"/>
        <s v="P00303"/>
        <s v="P00304"/>
        <s v="P00305"/>
        <s v="P00306"/>
        <s v="P00307"/>
        <s v="P00308"/>
        <s v="P00309"/>
        <s v="P00310"/>
        <s v="P00311"/>
        <s v="P00312"/>
        <s v="P00313"/>
        <s v="P00314"/>
        <s v="P00315"/>
        <s v="P00316"/>
        <s v="P00317"/>
        <s v="P00318"/>
        <s v="P00319"/>
        <s v="P00320"/>
        <s v="P00321"/>
        <s v="P00322"/>
        <s v="P00323"/>
        <s v="P00324"/>
        <s v="P00325"/>
        <s v="P00326"/>
        <s v="P00327"/>
        <s v="P00328"/>
        <s v="P00329"/>
        <s v="P00330"/>
        <s v="P00331"/>
        <s v="P00332"/>
        <s v="P00333"/>
        <s v="P00334"/>
        <s v="P00335"/>
        <s v="P00336"/>
        <s v="P00337"/>
        <s v="P00338"/>
        <s v="P00339"/>
        <s v="P00340"/>
        <s v="P00341"/>
        <s v="P00342"/>
        <s v="P00343"/>
        <s v="P00344"/>
        <s v="P00345"/>
        <s v="P00346"/>
        <s v="P00347"/>
        <s v="P00348"/>
        <s v="P00349"/>
        <s v="P00350"/>
        <s v="P00351"/>
        <s v="P00352"/>
        <s v="P00353"/>
        <s v="P00354"/>
        <s v="P00355"/>
        <s v="P00356"/>
        <s v="P00357"/>
        <s v="P00358"/>
        <s v="P00359"/>
        <s v="P00360"/>
        <s v="P00361"/>
        <s v="P00362"/>
        <s v="P00363"/>
        <s v="P00364"/>
        <s v="P00365"/>
        <s v="P00366"/>
        <s v="P00367"/>
        <s v="P00368"/>
        <s v="P00369"/>
        <s v="P00370"/>
        <s v="P00371"/>
        <s v="P00372"/>
        <s v="P00373"/>
        <s v="P00374"/>
        <s v="P00375"/>
        <s v="P00376"/>
        <s v="P00377"/>
        <s v="P00378"/>
        <s v="P00379"/>
        <s v="P00380"/>
        <s v="P00381"/>
        <s v="P00382"/>
        <s v="P00383"/>
        <s v="P00384"/>
        <s v="P00385"/>
        <s v="P00386"/>
        <s v="P00387"/>
        <s v="P00388"/>
        <s v="P00389"/>
        <s v="P00390"/>
        <s v="P00391"/>
        <s v="P00392"/>
        <s v="P00393"/>
        <s v="P00394"/>
        <s v="P00395"/>
        <s v="P00396"/>
        <s v="P00397"/>
        <s v="P00398"/>
        <s v="P00399"/>
        <s v="P00400"/>
        <s v="P00401"/>
        <s v="P00402"/>
        <s v="P00403"/>
        <s v="P00404"/>
        <s v="P00405"/>
        <s v="P00406"/>
        <s v="P00407"/>
        <s v="P00408"/>
        <s v="P00409"/>
        <s v="P00410"/>
        <s v="P00411"/>
        <s v="P00412"/>
        <s v="P00413"/>
        <s v="P00414"/>
        <s v="P00415"/>
        <s v="P00416"/>
        <s v="P00417"/>
        <s v="P00418"/>
        <s v="P00419"/>
        <s v="P00420"/>
        <s v="P00421"/>
        <s v="P00422"/>
        <s v="P00423"/>
        <s v="P00424"/>
        <s v="P00425"/>
        <s v="P00426"/>
        <s v="P00427"/>
        <s v="P00428"/>
        <s v="P00429"/>
        <s v="P00430"/>
        <s v="P00431"/>
        <s v="P00432"/>
        <s v="P00433"/>
        <s v="P00434"/>
        <s v="P00435"/>
        <s v="P00436"/>
        <s v="P00437"/>
        <s v="P00438"/>
        <s v="P00439"/>
        <s v="P00440"/>
        <s v="P00441"/>
        <s v="P00442"/>
        <s v="P00443"/>
        <s v="P00444"/>
        <s v="P00445"/>
        <s v="P00446"/>
        <s v="P00447"/>
        <s v="P00448"/>
        <s v="P00449"/>
        <s v="P00450"/>
        <s v="P00451"/>
        <s v="P00452"/>
        <s v="P00453"/>
        <s v="P00454"/>
        <s v="P00455"/>
        <s v="P00456"/>
        <s v="P00457"/>
        <s v="P00458"/>
        <s v="P00459"/>
        <s v="P00460"/>
        <s v="P00461"/>
        <s v="P00462"/>
        <s v="P00463"/>
        <s v="P00464"/>
        <s v="P00465"/>
        <s v="P00466"/>
        <s v="P00467"/>
        <s v="P00468"/>
        <s v="P00469"/>
        <s v="P00470"/>
        <s v="P00471"/>
        <s v="P00472"/>
        <s v="P00473"/>
        <s v="P00474"/>
        <s v="P00475"/>
        <s v="P00476"/>
        <s v="P00477"/>
        <s v="P00478"/>
        <s v="P00479"/>
        <s v="P00480"/>
        <s v="P00481"/>
        <s v="P00482"/>
        <s v="P00483"/>
        <s v="P00484"/>
        <s v="P00485"/>
        <s v="P00486"/>
        <s v="P00487"/>
        <s v="P00488"/>
        <s v="P00489"/>
        <s v="P00490"/>
        <s v="P00491"/>
        <s v="P00492"/>
        <s v="P00493"/>
        <s v="P00494"/>
        <s v="P00495"/>
        <s v="P00496"/>
        <s v="P00497"/>
        <s v="P00498"/>
        <s v="P00499"/>
        <s v="P00500"/>
        <s v="P00501"/>
        <s v="P00502"/>
        <s v="P00503"/>
        <s v="P00504"/>
        <s v="P00505"/>
        <s v="P00506"/>
        <s v="P00507"/>
        <s v="P00508"/>
        <s v="P00509"/>
        <s v="P00510"/>
        <s v="P00511"/>
        <s v="P00512"/>
        <s v="P00513"/>
        <s v="P00514"/>
        <s v="P00515"/>
        <s v="P00516"/>
        <s v="P00517"/>
        <s v="P00518"/>
        <s v="P00519"/>
        <s v="P00520"/>
        <s v="P00521"/>
        <s v="P00522"/>
        <s v="P00523"/>
        <s v="P00524"/>
        <s v="P00525"/>
        <s v="P00526"/>
        <s v="P00527"/>
        <s v="P00528"/>
        <s v="P00529"/>
        <s v="P00530"/>
        <s v="P00531"/>
        <s v="P00532"/>
        <s v="P00533"/>
        <s v="P00534"/>
        <s v="P00535"/>
        <s v="P00536"/>
        <s v="P00537"/>
        <s v="P00538"/>
        <s v="P00539"/>
        <s v="P00540"/>
        <s v="P00541"/>
        <s v="P00542"/>
        <s v="P00543"/>
        <s v="P00544"/>
        <s v="P00545"/>
        <s v="P00546"/>
        <s v="P00547"/>
        <s v="P00548"/>
        <s v="P00549"/>
        <s v="P00550"/>
        <s v="P00551"/>
        <s v="P00552"/>
        <s v="P00553"/>
        <s v="P00554"/>
        <s v="P00555"/>
        <s v="P00556"/>
        <s v="P00557"/>
        <s v="P00558"/>
        <s v="P00559"/>
        <s v="P00560"/>
        <s v="P00561"/>
        <s v="P00562"/>
        <s v="P00563"/>
        <s v="P00564"/>
        <s v="P00565"/>
        <s v="P00566"/>
        <s v="P00567"/>
        <s v="P00568"/>
        <s v="P00569"/>
        <s v="P00570"/>
        <s v="P00571"/>
        <s v="P00572"/>
        <s v="P00573"/>
        <s v="P00574"/>
        <s v="P00575"/>
        <s v="P00576"/>
        <s v="P00577"/>
        <s v="P00578"/>
        <s v="P00579"/>
        <s v="P00580"/>
        <s v="P00581"/>
        <s v="P00582"/>
        <s v="P00583"/>
        <s v="P00584"/>
        <s v="P00585"/>
        <s v="P00586"/>
        <s v="P00587"/>
        <s v="P00588"/>
        <s v="P00589"/>
        <s v="P00590"/>
        <s v="P00591"/>
        <s v="P00592"/>
        <s v="P00593"/>
        <s v="P00594"/>
        <s v="P00595"/>
        <s v="P00596"/>
        <s v="P00597"/>
        <s v="P00598"/>
        <s v="P00599"/>
        <s v="P00600"/>
        <s v="P00601"/>
        <s v="P00602"/>
        <s v="P00603"/>
        <s v="P00604"/>
        <s v="P00605"/>
        <s v="P00606"/>
        <s v="P00607"/>
        <s v="P00608"/>
        <s v="P00609"/>
        <s v="P00610"/>
        <s v="P00611"/>
        <s v="P00612"/>
        <s v="P00613"/>
        <s v="P00614"/>
        <s v="P00615"/>
        <s v="P00616"/>
        <s v="P00617"/>
        <s v="P00618"/>
        <s v="P00619"/>
        <s v="P00620"/>
        <s v="P00621"/>
        <s v="P00622"/>
        <s v="P00623"/>
        <s v="P00624"/>
        <s v="P00625"/>
        <s v="P00626"/>
        <s v="P00627"/>
        <s v="P00628"/>
        <s v="P00629"/>
        <s v="P00630"/>
        <s v="P00631"/>
        <s v="P00632"/>
        <s v="P00633"/>
        <s v="P00634"/>
        <s v="P00635"/>
        <s v="P00636"/>
        <s v="P00637"/>
        <s v="P00638"/>
        <s v="P00639"/>
        <s v="P00640"/>
        <s v="P00641"/>
        <s v="P00642"/>
        <s v="P00643"/>
        <s v="P00644"/>
        <s v="P00645"/>
        <s v="P00646"/>
        <s v="P00647"/>
        <s v="P00648"/>
        <s v="P00649"/>
        <s v="P00650"/>
        <s v="P00651"/>
        <s v="P00652"/>
        <s v="P00653"/>
        <s v="P00654"/>
        <s v="P00655"/>
        <s v="P00656"/>
        <s v="P00657"/>
        <s v="P00658"/>
        <s v="P00659"/>
        <s v="P00660"/>
        <s v="P00661"/>
        <s v="P00662"/>
        <s v="P00663"/>
        <s v="P00664"/>
        <s v="P00665"/>
        <s v="P00666"/>
        <s v="P00667"/>
        <s v="P00668"/>
        <s v="P00669"/>
        <s v="P00670"/>
        <s v="P00671"/>
        <s v="P00672"/>
        <s v="P00673"/>
        <s v="P00674"/>
        <s v="P00675"/>
        <s v="P00676"/>
        <s v="P00677"/>
        <s v="P00678"/>
        <s v="P00679"/>
        <s v="P00680"/>
        <s v="P00681"/>
        <s v="P00682"/>
        <s v="P00683"/>
        <s v="P00684"/>
        <s v="P00685"/>
        <s v="P00686"/>
        <s v="P00687"/>
        <s v="P00688"/>
        <s v="P00689"/>
        <s v="P00690"/>
        <s v="P00691"/>
        <s v="P00692"/>
        <s v="P00693"/>
        <s v="P00694"/>
        <s v="P00695"/>
        <s v="P00696"/>
        <s v="P00697"/>
        <s v="P00698"/>
        <s v="P00699"/>
        <s v="P00700"/>
        <s v="P00701"/>
        <s v="P00702"/>
        <s v="P00703"/>
        <s v="P00704"/>
        <s v="P00705"/>
        <s v="P00706"/>
        <s v="P00707"/>
        <s v="P00708"/>
        <s v="P00709"/>
        <s v="P00710"/>
        <s v="P00711"/>
        <s v="P00712"/>
        <s v="P00713"/>
        <s v="P00714"/>
        <s v="P00715"/>
        <s v="P00716"/>
        <s v="P00717"/>
        <s v="P00718"/>
        <s v="P00719"/>
        <s v="P00720"/>
        <s v="P00721"/>
        <s v="P00722"/>
        <s v="P00723"/>
        <s v="P00724"/>
        <s v="P00725"/>
        <s v="P00726"/>
        <s v="P00727"/>
        <s v="P00728"/>
        <s v="P00729"/>
        <s v="P00730"/>
        <s v="P00731"/>
        <s v="P00732"/>
        <s v="P00733"/>
        <s v="P00734"/>
        <s v="P00735"/>
        <s v="P00736"/>
        <s v="P00737"/>
        <s v="P00738"/>
        <s v="P00739"/>
        <s v="P00740"/>
        <s v="P00741"/>
        <s v="P00742"/>
        <s v="P00743"/>
        <s v="P00744"/>
        <s v="P00745"/>
        <s v="P00746"/>
        <s v="P00747"/>
        <s v="P00748"/>
        <s v="P00749"/>
        <s v="P00750"/>
        <s v="P00751"/>
        <s v="P00752"/>
        <s v="P00753"/>
        <s v="P00754"/>
        <s v="P00755"/>
        <s v="P00756"/>
        <s v="P00757"/>
        <s v="P00758"/>
        <s v="P00759"/>
        <s v="P00760"/>
        <s v="P00761"/>
        <s v="P00762"/>
        <s v="P00763"/>
        <s v="P00764"/>
        <s v="P00765"/>
        <s v="P00766"/>
        <s v="P00767"/>
        <s v="P00768"/>
        <s v="P00769"/>
        <s v="P00770"/>
        <s v="P00771"/>
        <s v="P00772"/>
        <s v="P00773"/>
        <s v="P00774"/>
        <s v="P00775"/>
        <s v="P00776"/>
        <s v="P00777"/>
        <s v="P00778"/>
        <s v="P00779"/>
        <s v="P00780"/>
        <s v="P00781"/>
        <s v="P00782"/>
        <s v="P00783"/>
        <s v="P00784"/>
        <s v="P00785"/>
        <s v="P00786"/>
        <s v="P00787"/>
        <s v="P00788"/>
        <s v="P00789"/>
        <s v="P00790"/>
        <s v="P00791"/>
        <s v="P00792"/>
        <s v="P00793"/>
        <s v="P00794"/>
        <s v="P00795"/>
        <s v="P00796"/>
        <s v="P00797"/>
        <s v="P00798"/>
        <s v="P00799"/>
        <s v="P00800"/>
        <s v="P00801"/>
        <s v="P00802"/>
        <s v="P00803"/>
        <s v="P00804"/>
        <s v="P00805"/>
        <s v="P00806"/>
        <s v="P00807"/>
        <s v="P00808"/>
        <s v="P00809"/>
        <s v="P00810"/>
        <s v="P00811"/>
        <s v="P00812"/>
        <s v="P00813"/>
        <s v="P00814"/>
        <s v="P00815"/>
        <s v="P00816"/>
        <s v="P00817"/>
        <s v="P00818"/>
        <s v="P00819"/>
        <s v="P00820"/>
        <s v="P00821"/>
        <s v="P00822"/>
        <s v="P00823"/>
        <s v="P00824"/>
        <s v="P00825"/>
        <s v="P00826"/>
        <s v="P00827"/>
        <s v="P00828"/>
        <s v="P00829"/>
        <s v="P00830"/>
        <s v="P00831"/>
        <s v="P00832"/>
        <s v="P00833"/>
        <s v="P00834"/>
        <s v="P00835"/>
        <s v="P00836"/>
        <s v="P00837"/>
        <s v="P00838"/>
        <s v="P00839"/>
        <s v="P00840"/>
        <s v="P00841"/>
        <s v="P00842"/>
        <s v="P00843"/>
        <s v="P00844"/>
        <s v="P00845"/>
        <s v="P00846"/>
        <s v="P00847"/>
        <s v="P00848"/>
        <s v="P00849"/>
        <s v="P00850"/>
        <s v="P00851"/>
        <s v="P00852"/>
        <s v="P00853"/>
        <s v="P00854"/>
        <s v="P00855"/>
        <s v="P00856"/>
        <s v="P00857"/>
        <s v="P00858"/>
        <s v="P00859"/>
        <s v="P00860"/>
        <s v="P00861"/>
        <s v="P00862"/>
        <s v="P00863"/>
        <s v="P00864"/>
        <s v="P00865"/>
        <s v="P00866"/>
        <s v="P00867"/>
        <s v="P00868"/>
        <s v="P00869"/>
        <s v="P00870"/>
        <s v="P00871"/>
        <s v="P00872"/>
        <s v="P00873"/>
        <s v="P00874"/>
        <s v="P00875"/>
        <s v="P00876"/>
        <s v="P00877"/>
        <s v="P00878"/>
        <s v="P00879"/>
        <s v="P00880"/>
        <s v="P00881"/>
        <s v="P00882"/>
        <s v="P00883"/>
        <s v="P00884"/>
        <s v="P00885"/>
        <s v="P00886"/>
        <s v="P00887"/>
        <s v="P00888"/>
        <s v="P00889"/>
        <s v="P00890"/>
        <s v="P00891"/>
        <s v="P00892"/>
        <s v="P00893"/>
        <s v="P00894"/>
        <s v="P00895"/>
        <s v="P00896"/>
        <s v="P00897"/>
        <s v="P00898"/>
        <s v="P00899"/>
        <s v="P00900"/>
        <s v="P00901"/>
        <s v="P00902"/>
        <s v="P00903"/>
        <s v="P00904"/>
        <s v="P00905"/>
        <s v="P00906"/>
        <s v="P00907"/>
        <s v="P00908"/>
        <s v="P00909"/>
        <s v="P00910"/>
        <s v="P00911"/>
        <s v="P00912"/>
        <s v="P00913"/>
        <s v="P00914"/>
        <s v="P00915"/>
        <s v="P00916"/>
        <s v="P00917"/>
        <s v="P00918"/>
        <s v="P00919"/>
        <s v="P00920"/>
        <s v="P00921"/>
        <s v="P00922"/>
        <s v="P00923"/>
        <s v="P00924"/>
        <s v="P00925"/>
        <s v="P00926"/>
        <s v="P00927"/>
        <s v="P00928"/>
        <s v="P00929"/>
        <s v="P00930"/>
        <s v="P00931"/>
        <s v="P00932"/>
        <s v="P00933"/>
        <s v="P00934"/>
        <s v="P00935"/>
        <s v="P00936"/>
        <s v="P00937"/>
        <s v="P00938"/>
        <s v="P00939"/>
        <s v="P00940"/>
        <s v="P00941"/>
        <s v="P00942"/>
        <s v="P00943"/>
        <s v="P00944"/>
        <s v="P00945"/>
        <s v="P00946"/>
        <s v="P00947"/>
        <s v="P00948"/>
        <s v="P00949"/>
        <s v="P00950"/>
        <s v="P00951"/>
        <s v="P00952"/>
        <s v="P00953"/>
        <s v="P00954"/>
        <s v="P00955"/>
        <s v="P00956"/>
        <s v="P00957"/>
        <s v="P00958"/>
        <s v="P00959"/>
        <s v="P00960"/>
        <s v="P00961"/>
        <s v="P00962"/>
        <s v="P00963"/>
        <s v="P00964"/>
        <s v="P00965"/>
        <s v="P00966"/>
        <s v="P00967"/>
        <s v="P00968"/>
        <s v="P00969"/>
        <s v="P00970"/>
        <s v="P00971"/>
        <s v="P00972"/>
        <s v="P00973"/>
        <s v="P00974"/>
        <s v="P00975"/>
        <s v="P00976"/>
        <s v="P00977"/>
        <s v="P00978"/>
        <s v="P00979"/>
        <s v="P00980"/>
        <s v="P00981"/>
        <s v="P00982"/>
        <s v="P00983"/>
        <s v="P00984"/>
        <s v="P00985"/>
        <s v="P00986"/>
        <s v="P00987"/>
        <s v="P00988"/>
        <s v="P00989"/>
        <s v="P00990"/>
        <s v="P00991"/>
        <s v="P00992"/>
        <s v="P00993"/>
        <s v="P00994"/>
        <s v="P00995"/>
        <s v="P00996"/>
        <s v="P00997"/>
        <s v="P00998"/>
        <s v="P00999"/>
        <s v="P01000"/>
        <s v="P01001"/>
        <s v="P01002"/>
        <s v="P01003"/>
        <s v="P01004"/>
        <s v="P01005"/>
        <s v="P01006"/>
        <s v="P01007"/>
        <s v="P01008"/>
        <s v="P01009"/>
        <s v="P01010"/>
        <s v="P01011"/>
        <s v="P01012"/>
        <s v="P01013"/>
        <s v="P01014"/>
        <s v="P01015"/>
        <s v="P01016"/>
        <s v="P01017"/>
        <s v="P01018"/>
        <s v="P01019"/>
        <s v="P01020"/>
        <s v="P01021"/>
        <s v="P01022"/>
        <s v="P01023"/>
        <s v="P01024"/>
        <s v="P01025"/>
        <s v="P01026"/>
        <s v="P01027"/>
        <s v="P01028"/>
        <s v="P01029"/>
        <s v="P01030"/>
        <s v="P01031"/>
        <s v="P01032"/>
        <s v="P01033"/>
        <s v="P01034"/>
        <s v="P01035"/>
        <s v="P01036"/>
        <s v="P01037"/>
        <s v="P01038"/>
        <s v="P01039"/>
        <s v="P01040"/>
        <s v="P01041"/>
        <s v="P01042"/>
        <s v="P01043"/>
        <s v="P01044"/>
        <s v="P01045"/>
        <s v="P01046"/>
        <s v="P01047"/>
        <s v="P01048"/>
        <s v="P01049"/>
        <s v="P01050"/>
        <s v="P01051"/>
        <s v="P01052"/>
        <s v="P01053"/>
        <s v="P01054"/>
        <s v="P01055"/>
        <s v="P01056"/>
        <s v="P01057"/>
        <s v="P01058"/>
        <s v="P01059"/>
        <s v="P01060"/>
        <s v="P01061"/>
        <s v="P01062"/>
        <s v="P01063"/>
        <s v="P01064"/>
        <s v="P01065"/>
        <s v="P01066"/>
        <s v="P01067"/>
        <s v="P01068"/>
        <s v="P01069"/>
        <s v="P01070"/>
        <s v="P01071"/>
        <s v="P01072"/>
        <s v="P01073"/>
        <s v="P01074"/>
        <s v="P01075"/>
        <s v="P01076"/>
        <s v="P01077"/>
        <s v="P01078"/>
        <s v="P01079"/>
        <s v="P01080"/>
        <s v="P01081"/>
        <s v="P01082"/>
        <s v="P01083"/>
        <s v="P01084"/>
        <s v="P01085"/>
        <s v="P01086"/>
        <s v="P01087"/>
        <s v="P01088"/>
        <s v="P01089"/>
        <s v="P01090"/>
        <s v="P01091"/>
        <s v="P01092"/>
        <s v="P01093"/>
        <s v="P01094"/>
        <s v="P01095"/>
        <s v="P01096"/>
        <s v="P01097"/>
        <s v="P01098"/>
        <s v="P01099"/>
        <s v="P01100"/>
        <s v="P01101"/>
        <s v="P01102"/>
        <s v="P01103"/>
        <s v="P01104"/>
        <s v="P01105"/>
        <s v="P01106"/>
        <s v="P01107"/>
        <s v="P01108"/>
        <s v="P01109"/>
        <s v="P01110"/>
        <s v="P01111"/>
        <s v="P01112"/>
        <s v="P01113"/>
        <s v="P01114"/>
        <s v="P01115"/>
        <s v="P01116"/>
        <s v="P01117"/>
        <s v="P01118"/>
        <s v="P01119"/>
        <s v="P01120"/>
        <s v="P01121"/>
        <s v="P01122"/>
        <s v="P01123"/>
        <s v="P01124"/>
        <s v="P01125"/>
        <s v="P01126"/>
        <s v="P01127"/>
        <s v="P01128"/>
        <s v="P01129"/>
        <s v="P01130"/>
        <s v="P01131"/>
        <s v="P01132"/>
        <s v="P01133"/>
        <s v="P01134"/>
        <s v="P01135"/>
        <s v="P01136"/>
        <s v="P01137"/>
        <s v="P01138"/>
        <s v="P01139"/>
        <s v="P01140"/>
        <s v="P01141"/>
        <s v="P01142"/>
        <s v="P01143"/>
        <s v="P01144"/>
        <s v="P01145"/>
        <s v="P01146"/>
        <s v="P01147"/>
        <s v="P01148"/>
        <s v="P01149"/>
        <s v="P01150"/>
        <s v="P01151"/>
        <s v="P01152"/>
        <s v="P01153"/>
        <s v="P01154"/>
        <s v="P01155"/>
        <s v="P01156"/>
        <s v="P01157"/>
        <s v="P01158"/>
        <s v="P01159"/>
        <s v="P01160"/>
        <s v="P01161"/>
        <s v="P01162"/>
        <s v="P01163"/>
        <s v="P01164"/>
        <s v="P01165"/>
        <s v="P01166"/>
        <s v="P01167"/>
        <s v="P01168"/>
        <s v="P01169"/>
        <s v="P01170"/>
        <s v="P01171"/>
        <s v="P01172"/>
        <s v="P01173"/>
        <s v="P01174"/>
        <s v="P01175"/>
        <s v="P01176"/>
        <s v="P01177"/>
        <s v="P01178"/>
        <s v="P01179"/>
        <s v="P01180"/>
        <s v="P01181"/>
        <s v="P01182"/>
        <s v="P01183"/>
        <s v="P01184"/>
        <s v="P01185"/>
        <s v="P01186"/>
        <s v="P01187"/>
        <s v="P01188"/>
        <s v="P01189"/>
        <s v="P01190"/>
        <s v="P01191"/>
        <s v="P01192"/>
        <s v="P01193"/>
        <s v="P01194"/>
        <s v="P01195"/>
        <s v="P01196"/>
        <s v="P01197"/>
        <s v="P01198"/>
        <s v="P01199"/>
        <s v="P01200"/>
        <s v="P01201"/>
        <s v="P01202"/>
        <s v="P01203"/>
        <s v="P01204"/>
        <s v="P01205"/>
        <s v="P01206"/>
        <s v="P01207"/>
        <s v="P01208"/>
        <s v="P01209"/>
        <s v="P01210"/>
        <s v="P01211"/>
        <s v="P01212"/>
        <s v="P01213"/>
        <s v="P01214"/>
        <s v="P01215"/>
        <s v="P01216"/>
        <s v="P01217"/>
        <s v="P01218"/>
        <s v="P01219"/>
        <s v="P01220"/>
        <s v="P01221"/>
        <s v="P01222"/>
        <s v="P01223"/>
        <s v="P01224"/>
        <s v="P01225"/>
        <s v="P01226"/>
        <s v="P01227"/>
        <s v="P01228"/>
        <s v="P01229"/>
        <s v="P01230"/>
        <s v="P01231"/>
        <s v="P01232"/>
        <s v="P01233"/>
        <s v="P01234"/>
        <s v="P01235"/>
        <s v="P01236"/>
        <s v="P01237"/>
        <s v="P01238"/>
        <s v="P01239"/>
        <s v="P01240"/>
        <s v="P01241"/>
        <s v="P01242"/>
        <s v="P01243"/>
        <s v="P01244"/>
        <s v="P01245"/>
        <s v="P01246"/>
        <s v="P01247"/>
        <s v="P01248"/>
        <s v="P01249"/>
        <s v="P01250"/>
        <s v="P01251"/>
        <s v="P01252"/>
        <s v="P01253"/>
        <s v="P01254"/>
        <s v="P01255"/>
        <s v="P01256"/>
        <s v="P01257"/>
        <s v="P01258"/>
        <s v="P01259"/>
        <s v="P01260"/>
        <s v="P01261"/>
        <s v="P01262"/>
        <s v="P01263"/>
        <s v="P01264"/>
        <s v="P01265"/>
        <s v="P01266"/>
        <s v="P01267"/>
        <s v="P01268"/>
        <s v="P01269"/>
        <s v="P01270"/>
        <s v="P01271"/>
        <s v="P01272"/>
        <s v="P01273"/>
        <s v="P01274"/>
        <s v="P01275"/>
        <s v="P01276"/>
        <s v="P01277"/>
        <s v="P01278"/>
        <s v="P01279"/>
        <s v="P01280"/>
        <s v="P01281"/>
        <s v="P01282"/>
        <s v="P01283"/>
        <s v="P01284"/>
        <s v="P01285"/>
        <s v="P01286"/>
        <s v="P01287"/>
        <s v="P01288"/>
        <s v="P01289"/>
        <s v="P01290"/>
        <s v="P01291"/>
        <s v="P01292"/>
        <s v="P01293"/>
        <s v="P01294"/>
        <s v="P01295"/>
        <s v="P01296"/>
        <s v="P01297"/>
        <s v="P01298"/>
        <s v="P01299"/>
        <s v="P01300"/>
        <s v="P01301"/>
        <s v="P01302"/>
        <s v="P01303"/>
        <s v="P01304"/>
        <s v="P01305"/>
        <s v="P01306"/>
        <s v="P01307"/>
        <s v="P01308"/>
        <s v="P01309"/>
        <s v="P01310"/>
        <s v="P01311"/>
        <s v="P01312"/>
        <s v="P01313"/>
        <s v="P01314"/>
        <s v="P01315"/>
        <s v="P01316"/>
        <s v="P01317"/>
        <s v="P01318"/>
        <s v="P01319"/>
        <s v="P01320"/>
        <s v="P01321"/>
        <s v="P01322"/>
        <s v="P01323"/>
        <s v="P01324"/>
        <s v="P01325"/>
        <s v="P01326"/>
        <s v="P01327"/>
        <s v="P01328"/>
        <s v="P01329"/>
        <s v="P01330"/>
        <s v="P01331"/>
        <s v="P01332"/>
        <s v="P01333"/>
        <s v="P01334"/>
        <s v="P01335"/>
        <s v="P01336"/>
        <s v="P01337"/>
        <s v="P01338"/>
        <s v="P01339"/>
        <s v="P01340"/>
        <s v="P01341"/>
        <s v="P01342"/>
        <s v="P01343"/>
        <s v="P01344"/>
        <s v="P01345"/>
        <s v="P01346"/>
        <s v="P01347"/>
        <s v="P01348"/>
        <s v="P01349"/>
        <s v="P01350"/>
        <s v="P01351"/>
        <s v="P01352"/>
        <s v="P01353"/>
        <s v="P01354"/>
        <s v="P01355"/>
        <s v="P01356"/>
        <s v="P01357"/>
        <s v="P01358"/>
        <s v="P01359"/>
        <s v="P01360"/>
        <s v="P01361"/>
        <s v="P01362"/>
        <s v="P01363"/>
        <s v="P01364"/>
        <s v="P01365"/>
        <s v="P01366"/>
        <s v="P01367"/>
        <s v="P01368"/>
        <s v="P01369"/>
        <s v="P01370"/>
        <s v="P01371"/>
        <s v="P01372"/>
        <s v="P01373"/>
        <s v="P01374"/>
        <s v="P01375"/>
        <s v="P01376"/>
        <s v="P01377"/>
        <s v="P01378"/>
        <s v="P01379"/>
        <s v="P01380"/>
        <s v="P01381"/>
        <s v="P01382"/>
        <s v="P01383"/>
        <s v="P01384"/>
        <s v="P01385"/>
        <s v="P01386"/>
        <s v="P01387"/>
        <s v="P01388"/>
        <s v="P01389"/>
        <s v="P01390"/>
        <s v="P01391"/>
        <s v="P01392"/>
        <s v="P01393"/>
        <s v="P01394"/>
        <s v="P01395"/>
        <s v="P01396"/>
        <s v="P01397"/>
        <s v="P01398"/>
        <s v="P01399"/>
        <s v="P01400"/>
        <s v="P01401"/>
        <s v="P01402"/>
        <s v="P01403"/>
        <s v="P01404"/>
        <s v="P01405"/>
        <s v="P01406"/>
        <s v="P01407"/>
        <s v="P01408"/>
        <s v="P01409"/>
        <s v="P01410"/>
        <s v="P01411"/>
        <s v="P01412"/>
        <s v="P01413"/>
        <s v="P01414"/>
        <s v="P01415"/>
        <s v="P01416"/>
        <s v="P01417"/>
        <s v="P01418"/>
        <s v="P01419"/>
        <s v="P01420"/>
        <s v="P01421"/>
        <s v="P01422"/>
        <s v="P01423"/>
        <s v="P01424"/>
        <s v="P01425"/>
        <s v="P01426"/>
        <s v="P01427"/>
        <s v="P01428"/>
        <s v="P01429"/>
        <s v="P01430"/>
        <s v="P01431"/>
        <s v="P01432"/>
        <s v="P01433"/>
        <s v="P01434"/>
        <s v="P01435"/>
        <s v="P01436"/>
        <s v="P01437"/>
        <s v="P01438"/>
        <s v="P01439"/>
        <s v="P01440"/>
        <s v="P01441"/>
        <s v="P01442"/>
        <s v="P01443"/>
        <s v="P01444"/>
        <s v="P01445"/>
        <s v="P01446"/>
        <s v="P01447"/>
        <s v="P01448"/>
        <s v="P01449"/>
        <s v="P01450"/>
        <s v="P01451"/>
        <s v="P01452"/>
        <s v="P01453"/>
        <s v="P01454"/>
        <s v="P01455"/>
        <s v="P01456"/>
        <s v="P01457"/>
        <s v="P01458"/>
        <s v="P01459"/>
        <s v="P01460"/>
        <s v="P01461"/>
        <s v="P01462"/>
        <s v="P01463"/>
        <s v="P01464"/>
        <s v="P01465"/>
        <s v="P01466"/>
        <s v="P01467"/>
        <s v="P01468"/>
        <s v="P01469"/>
        <s v="P01470"/>
        <s v="P01471"/>
        <s v="P01472"/>
        <s v="P01473"/>
        <s v="P01474"/>
        <s v="P01475"/>
        <s v="P01476"/>
        <s v="P01477"/>
        <s v="P01478"/>
        <s v="P01479"/>
        <s v="P01480"/>
        <s v="P01481"/>
        <s v="P01482"/>
        <s v="P01483"/>
        <s v="P01484"/>
        <s v="P01485"/>
        <s v="P01486"/>
        <s v="P01487"/>
        <s v="P01488"/>
        <s v="P01489"/>
        <s v="P01490"/>
        <s v="P01491"/>
        <s v="P01492"/>
        <s v="P01493"/>
        <s v="P01494"/>
        <s v="P01495"/>
        <s v="P01496"/>
        <s v="P01497"/>
        <s v="P01498"/>
        <s v="P01499"/>
        <s v="P01500"/>
        <s v="P01501"/>
        <s v="P01502"/>
        <s v="P01503"/>
        <s v="P01504"/>
        <s v="P01505"/>
        <s v="P01506"/>
        <s v="P01507"/>
        <s v="P01508"/>
        <s v="P01509"/>
        <s v="P01510"/>
        <s v="P01511"/>
        <s v="P01512"/>
        <s v="P01513"/>
        <s v="P01514"/>
        <s v="P01515"/>
        <s v="P01516"/>
        <s v="P01517"/>
        <s v="P01518"/>
        <s v="P01519"/>
        <s v="P01520"/>
        <s v="P01521"/>
        <s v="P01522"/>
        <s v="P01523"/>
        <s v="P01524"/>
        <s v="P01525"/>
        <s v="P01526"/>
        <s v="P01527"/>
        <s v="P01528"/>
        <s v="P01529"/>
        <s v="P01530"/>
        <s v="P01531"/>
        <s v="P01532"/>
        <s v="P01533"/>
        <s v="P01534"/>
        <s v="P01535"/>
        <s v="P01536"/>
        <s v="P01537"/>
        <s v="P01538"/>
        <s v="P01539"/>
        <s v="P01540"/>
        <s v="P01541"/>
        <s v="P01542"/>
        <s v="P01543"/>
        <s v="P01544"/>
        <s v="P01545"/>
        <s v="P01546"/>
        <s v="P01547"/>
        <s v="P01548"/>
        <s v="P01549"/>
        <s v="P01550"/>
        <s v="P01551"/>
        <s v="P01552"/>
        <s v="P01553"/>
        <s v="P01554"/>
        <s v="P01555"/>
        <s v="P01556"/>
        <s v="P01557"/>
        <s v="P01558"/>
        <s v="P01559"/>
        <s v="P01560"/>
        <s v="P01561"/>
        <s v="P01562"/>
        <s v="P01563"/>
        <s v="P01564"/>
        <s v="P01565"/>
        <s v="P01566"/>
        <s v="P01567"/>
        <s v="P01568"/>
        <s v="P01569"/>
        <s v="P01570"/>
        <s v="P01571"/>
        <s v="P01572"/>
        <s v="P01573"/>
        <s v="P01574"/>
        <s v="P01575"/>
        <s v="P01576"/>
        <s v="P01577"/>
        <s v="P01578"/>
        <s v="P01579"/>
        <s v="P01580"/>
        <s v="P01581"/>
        <s v="P01582"/>
        <s v="P01583"/>
        <s v="P01584"/>
        <s v="P01585"/>
        <s v="P01586"/>
        <s v="P01587"/>
        <s v="P01588"/>
        <s v="P01589"/>
        <s v="P01590"/>
        <s v="P01591"/>
        <s v="P01592"/>
        <s v="P01593"/>
        <s v="P01594"/>
        <s v="P01595"/>
        <s v="P01596"/>
        <s v="P01597"/>
        <s v="P01598"/>
        <s v="P01599"/>
        <s v="P01600"/>
        <s v="P01601"/>
        <s v="P01602"/>
        <s v="P01603"/>
        <s v="P01604"/>
        <s v="P01605"/>
        <s v="P01606"/>
        <s v="P01607"/>
        <s v="P01608"/>
        <s v="P01609"/>
        <s v="P01610"/>
        <s v="P01611"/>
        <s v="P01612"/>
        <s v="P01613"/>
        <s v="P01614"/>
        <s v="P01615"/>
        <s v="P01616"/>
        <s v="P01617"/>
        <s v="P01618"/>
        <s v="P01619"/>
        <s v="P01620"/>
        <s v="P01621"/>
        <s v="P01622"/>
        <s v="P01623"/>
        <s v="P01624"/>
        <s v="P01625"/>
        <s v="P01626"/>
        <s v="P01627"/>
        <s v="P01628"/>
        <s v="P01629"/>
        <s v="P01630"/>
        <s v="P01631"/>
        <s v="P01632"/>
        <s v="P01633"/>
        <s v="P01634"/>
        <s v="P01635"/>
        <s v="P01636"/>
        <s v="P01637"/>
        <s v="P01638"/>
        <s v="P01639"/>
        <s v="P01640"/>
        <s v="P01641"/>
        <s v="P01642"/>
        <s v="P01643"/>
        <s v="P01644"/>
        <s v="P01645"/>
        <s v="P01646"/>
        <s v="P01647"/>
        <s v="P01648"/>
        <s v="P01649"/>
        <s v="P01650"/>
        <s v="P01651"/>
        <s v="P01652"/>
        <s v="P01653"/>
        <s v="P01654"/>
        <s v="P01655"/>
        <s v="P01656"/>
        <s v="P01657"/>
        <s v="P01658"/>
        <s v="P01659"/>
        <s v="P01660"/>
        <s v="P01661"/>
        <s v="P01662"/>
        <s v="P01663"/>
        <s v="P01664"/>
        <s v="P01665"/>
        <s v="P01666"/>
        <s v="P01667"/>
        <s v="P01668"/>
        <s v="P01669"/>
        <s v="P01670"/>
        <s v="P01671"/>
        <s v="P01672"/>
        <s v="P01673"/>
        <s v="P01674"/>
        <s v="P01675"/>
        <s v="P01676"/>
        <s v="P01677"/>
        <s v="P01678"/>
        <s v="P01679"/>
        <s v="P01680"/>
        <s v="P01681"/>
        <s v="P01682"/>
        <s v="P01683"/>
        <s v="P01684"/>
        <s v="P01685"/>
        <s v="P01686"/>
        <s v="P01687"/>
        <s v="P01688"/>
        <s v="P01689"/>
        <s v="P01690"/>
        <s v="P01691"/>
        <s v="P01692"/>
        <s v="P01693"/>
        <s v="P01694"/>
        <s v="P01695"/>
        <s v="P01696"/>
        <s v="P01697"/>
        <s v="P01698"/>
        <s v="P01699"/>
        <s v="P01700"/>
        <s v="P01701"/>
        <s v="P01702"/>
        <s v="P01703"/>
        <s v="P01704"/>
        <s v="P01705"/>
        <s v="P01706"/>
        <s v="P01707"/>
        <s v="P01708"/>
        <s v="P01709"/>
        <s v="P01710"/>
        <s v="P01711"/>
        <s v="P01712"/>
        <s v="P01713"/>
        <s v="P01714"/>
        <s v="P01715"/>
        <s v="P01716"/>
        <s v="P01717"/>
        <s v="P01718"/>
        <s v="P01719"/>
        <s v="P01720"/>
        <s v="P01721"/>
        <s v="P01722"/>
        <s v="P01723"/>
        <s v="P01724"/>
        <s v="P01725"/>
        <s v="P01726"/>
        <s v="P01727"/>
        <s v="P01728"/>
        <s v="P01729"/>
        <s v="P01730"/>
        <s v="P01731"/>
        <s v="P01732"/>
        <s v="P01733"/>
        <s v="P01734"/>
        <s v="P01735"/>
        <s v="P01736"/>
        <s v="P01737"/>
        <s v="P01738"/>
        <s v="P01739"/>
        <s v="P01740"/>
        <s v="P01741"/>
        <s v="P01742"/>
        <s v="P01743"/>
        <s v="P01744"/>
        <s v="P01745"/>
        <s v="P01746"/>
        <s v="P01747"/>
        <s v="P01748"/>
        <s v="P01749"/>
        <s v="P01750"/>
        <s v="P01751"/>
        <s v="P01752"/>
        <s v="P01753"/>
        <s v="P01754"/>
        <s v="P01755"/>
        <s v="P01756"/>
        <s v="P01757"/>
        <s v="P01758"/>
        <s v="P01759"/>
        <s v="P01760"/>
        <s v="P01761"/>
        <s v="P01762"/>
        <s v="P01763"/>
        <s v="P01764"/>
        <s v="P01765"/>
        <s v="P01766"/>
        <s v="P01767"/>
        <s v="P01768"/>
        <s v="P01769"/>
        <s v="P01770"/>
        <s v="P01771"/>
        <s v="P01772"/>
        <s v="P01773"/>
        <s v="P01774"/>
        <s v="P01775"/>
        <s v="P01776"/>
        <s v="P01777"/>
        <s v="P01778"/>
        <s v="P01779"/>
        <s v="P01780"/>
        <s v="P01781"/>
        <s v="P01782"/>
        <s v="P01783"/>
        <s v="P01784"/>
        <s v="P01785"/>
        <s v="P01786"/>
        <s v="P01787"/>
        <s v="P01788"/>
        <s v="P01789"/>
        <s v="P01790"/>
        <s v="P01791"/>
        <s v="P01792"/>
        <s v="P01793"/>
        <s v="P01794"/>
        <s v="P01795"/>
        <s v="P01796"/>
        <s v="P01797"/>
        <s v="P01798"/>
        <s v="P01799"/>
        <s v="P01800"/>
        <s v="P01801"/>
        <s v="P01802"/>
        <s v="P01803"/>
        <s v="P01804"/>
        <s v="P01805"/>
        <s v="P01806"/>
        <s v="P01807"/>
        <s v="P01808"/>
        <s v="P01809"/>
        <s v="P01810"/>
        <s v="P01811"/>
        <s v="P01812"/>
        <s v="P01813"/>
        <s v="P01814"/>
        <s v="P01815"/>
        <s v="P01816"/>
        <s v="P01817"/>
        <s v="P01818"/>
        <s v="P01819"/>
        <s v="P01820"/>
        <s v="P01821"/>
        <s v="P01822"/>
        <s v="P01823"/>
        <s v="P01824"/>
        <s v="P01825"/>
        <s v="P01826"/>
        <s v="P01827"/>
        <s v="P01828"/>
        <s v="P01829"/>
        <s v="P01830"/>
        <s v="P01831"/>
        <s v="P01832"/>
        <s v="P01833"/>
        <s v="P01834"/>
        <s v="P01835"/>
        <s v="P01836"/>
        <s v="P01837"/>
        <s v="P01838"/>
        <s v="P01839"/>
        <s v="P01840"/>
        <s v="P01841"/>
        <s v="P01842"/>
        <s v="P01843"/>
        <s v="P01844"/>
        <s v="P01845"/>
        <s v="P01846"/>
        <s v="P01847"/>
        <s v="P01848"/>
        <s v="P01849"/>
        <s v="P01850"/>
        <s v="P01851"/>
        <s v="P01852"/>
        <s v="P01853"/>
        <s v="P01854"/>
        <s v="P01855"/>
        <s v="P01856"/>
        <s v="P01857"/>
        <s v="P01858"/>
        <s v="P01859"/>
        <s v="P01860"/>
        <s v="P01861"/>
        <s v="P01862"/>
        <s v="P01863"/>
        <s v="P01864"/>
        <s v="P01865"/>
        <s v="P01866"/>
        <s v="P01867"/>
        <s v="P01868"/>
        <s v="P01869"/>
        <s v="P01870"/>
        <s v="P01871"/>
        <s v="P01872"/>
        <s v="P01873"/>
        <s v="P01874"/>
        <s v="P01875"/>
        <s v="P01876"/>
        <s v="P01877"/>
        <s v="P01878"/>
        <s v="P01879"/>
        <s v="P01880"/>
        <s v="P01881"/>
        <s v="P01882"/>
        <s v="P01883"/>
        <s v="P01884"/>
        <s v="P01885"/>
        <s v="P01886"/>
        <s v="P01887"/>
        <s v="P01888"/>
        <s v="P01889"/>
        <s v="P01890"/>
        <s v="P01891"/>
        <s v="P01892"/>
        <s v="P01893"/>
        <s v="P01894"/>
        <s v="P01895"/>
        <s v="P01896"/>
        <s v="P01897"/>
        <s v="P01898"/>
        <s v="P01899"/>
        <s v="P01900"/>
        <s v="P01901"/>
        <s v="P01902"/>
        <s v="P01903"/>
        <s v="P01904"/>
        <s v="P01905"/>
        <s v="P01906"/>
        <s v="P01907"/>
        <s v="P01908"/>
        <s v="P01909"/>
        <s v="P01910"/>
        <s v="P01911"/>
        <s v="P01912"/>
        <s v="P01913"/>
        <s v="P01914"/>
        <s v="P01915"/>
        <s v="P01916"/>
        <s v="P01917"/>
        <s v="P01918"/>
        <s v="P01919"/>
        <s v="P01920"/>
        <s v="P01921"/>
        <s v="P01922"/>
        <s v="P01923"/>
        <s v="P01924"/>
        <s v="P01925"/>
        <s v="P01926"/>
        <s v="P01927"/>
        <s v="P01928"/>
        <s v="P01929"/>
        <s v="P01930"/>
        <s v="P01931"/>
        <s v="P01932"/>
        <s v="P01933"/>
        <s v="P01934"/>
        <s v="P01935"/>
        <s v="P01936"/>
        <s v="P01937"/>
        <s v="P01938"/>
        <s v="P01939"/>
        <s v="P01940"/>
        <s v="P01941"/>
        <s v="P01942"/>
        <s v="P01943"/>
        <s v="P01944"/>
        <s v="P01945"/>
        <s v="P01946"/>
        <s v="P01947"/>
        <s v="P01948"/>
        <s v="P01949"/>
        <s v="P01950"/>
        <s v="P01951"/>
        <s v="P01952"/>
        <s v="P01953"/>
        <s v="P01954"/>
        <s v="P01955"/>
        <s v="P01956"/>
        <s v="P01957"/>
        <s v="P01958"/>
        <s v="P01959"/>
        <s v="P01960"/>
        <s v="P01961"/>
        <s v="P01962"/>
        <s v="P01963"/>
        <s v="P01964"/>
        <s v="P01965"/>
        <s v="P01966"/>
        <s v="P01967"/>
        <s v="P01968"/>
        <s v="P01969"/>
        <s v="P01970"/>
        <s v="P01971"/>
        <s v="P01972"/>
        <s v="P01973"/>
        <s v="P01974"/>
        <s v="P01975"/>
        <s v="P01976"/>
        <s v="P01977"/>
        <s v="P01978"/>
        <s v="P01979"/>
        <s v="P01980"/>
        <s v="P01981"/>
        <s v="P01982"/>
        <s v="P01983"/>
        <s v="P01984"/>
        <s v="P01985"/>
        <s v="P01986"/>
        <s v="P01987"/>
        <s v="P01988"/>
        <s v="P01989"/>
        <s v="P01990"/>
        <s v="P01991"/>
        <s v="P01992"/>
        <s v="P01993"/>
        <s v="P01994"/>
        <s v="P01995"/>
        <s v="P01996"/>
        <s v="P01997"/>
        <s v="P01998"/>
        <s v="P01999"/>
        <s v="P02000"/>
        <s v="P02001"/>
        <s v="P02002"/>
        <s v="P02003"/>
        <s v="P02004"/>
        <s v="P02005"/>
        <s v="P02006"/>
        <s v="P02007"/>
        <s v="P02008"/>
        <s v="P02009"/>
        <s v="P02010"/>
        <s v="P02011"/>
        <s v="P02012"/>
        <s v="P02013"/>
        <s v="P02014"/>
        <s v="P02015"/>
        <s v="P02016"/>
        <s v="P02017"/>
        <s v="P02018"/>
        <s v="P02019"/>
        <s v="P02020"/>
        <s v="P02021"/>
        <s v="P02022"/>
        <s v="P02023"/>
        <s v="P02024"/>
        <s v="P02025"/>
        <s v="P02026"/>
        <s v="P02027"/>
        <s v="P02028"/>
        <s v="P02029"/>
        <s v="P02030"/>
        <s v="P02031"/>
        <s v="P02032"/>
        <s v="P02033"/>
        <s v="P02034"/>
        <s v="P02035"/>
        <s v="P02036"/>
        <s v="P02037"/>
        <s v="P02038"/>
        <s v="P02039"/>
        <s v="P02040"/>
        <s v="P02041"/>
        <s v="P02042"/>
        <s v="P02043"/>
        <s v="P02044"/>
        <s v="P02045"/>
        <s v="P02046"/>
        <s v="P02047"/>
        <s v="P02048"/>
        <s v="P02049"/>
        <s v="P02050"/>
        <s v="P02051"/>
        <s v="P02052"/>
        <s v="P02053"/>
        <s v="P02054"/>
        <s v="P02055"/>
        <s v="P02056"/>
        <s v="P02057"/>
        <s v="P02058"/>
        <s v="P02059"/>
        <s v="P02060"/>
        <s v="P02061"/>
        <s v="P02062"/>
        <s v="P02063"/>
        <s v="P02064"/>
        <s v="P02065"/>
        <s v="P02066"/>
        <s v="P02067"/>
        <s v="P02068"/>
        <s v="P02069"/>
        <s v="P02070"/>
        <s v="P02071"/>
        <s v="P02072"/>
        <s v="P02073"/>
        <s v="P02074"/>
        <s v="P02075"/>
        <s v="P02076"/>
        <s v="P02077"/>
        <s v="P02078"/>
        <s v="P02079"/>
        <s v="P02080"/>
        <s v="P02081"/>
        <s v="P02082"/>
        <s v="P02083"/>
        <s v="P02084"/>
        <s v="P02085"/>
        <s v="P02086"/>
        <s v="P02087"/>
        <s v="P02088"/>
        <s v="P02089"/>
        <s v="P02090"/>
        <s v="P02091"/>
        <s v="P02092"/>
        <s v="P02093"/>
        <s v="P02094"/>
        <s v="P02095"/>
        <s v="P02096"/>
        <s v="P02097"/>
        <s v="P02098"/>
        <s v="P02099"/>
        <s v="P02100"/>
        <s v="P02101"/>
        <s v="P02102"/>
        <s v="P02103"/>
        <s v="P02104"/>
        <s v="P02105"/>
        <s v="P02106"/>
        <s v="P02107"/>
        <s v="P02108"/>
        <s v="P02109"/>
        <s v="P02110"/>
        <s v="P02111"/>
        <s v="P02112"/>
        <s v="P02113"/>
        <s v="P02114"/>
        <s v="P02115"/>
        <s v="P02116"/>
        <s v="P02117"/>
        <s v="P02118"/>
        <s v="P02119"/>
        <s v="P02120"/>
        <s v="P02121"/>
        <s v="P02122"/>
        <s v="P02123"/>
        <s v="P02124"/>
        <s v="P02125"/>
        <s v="P02126"/>
        <s v="P02127"/>
        <s v="P02128"/>
        <s v="P02129"/>
        <s v="P02130"/>
        <s v="P02131"/>
        <s v="P02132"/>
        <s v="P02133"/>
        <s v="P02134"/>
        <s v="P02135"/>
        <s v="P02136"/>
        <s v="P02137"/>
        <s v="P02138"/>
        <s v="P02139"/>
        <s v="P02140"/>
        <s v="P02141"/>
        <s v="P02142"/>
        <s v="P02143"/>
        <s v="P02144"/>
        <s v="P02145"/>
        <s v="P02146"/>
        <s v="P02147"/>
        <s v="P02148"/>
        <s v="P02149"/>
        <s v="P02150"/>
        <s v="P02151"/>
        <s v="P02152"/>
        <s v="P02153"/>
        <s v="P02154"/>
        <s v="P02155"/>
        <s v="P02156"/>
        <s v="P02157"/>
        <s v="P02158"/>
        <s v="P02159"/>
        <s v="P02160"/>
        <s v="P02161"/>
        <s v="P02162"/>
        <s v="P02163"/>
        <s v="P02164"/>
        <s v="P02165"/>
        <s v="P02166"/>
        <s v="P02167"/>
        <s v="P02168"/>
        <s v="P02169"/>
        <s v="P02170"/>
        <s v="P02171"/>
        <s v="P02172"/>
        <s v="P02173"/>
        <s v="P02174"/>
        <s v="P02175"/>
        <s v="P02176"/>
        <s v="P02177"/>
        <s v="P02178"/>
        <s v="P02179"/>
        <s v="P02180"/>
        <s v="P02181"/>
        <s v="P02182"/>
        <s v="P02183"/>
        <s v="P02184"/>
        <s v="P02185"/>
        <s v="P02186"/>
        <s v="P02187"/>
        <s v="P02188"/>
        <s v="P02189"/>
        <s v="P02190"/>
        <s v="P02191"/>
        <s v="P02192"/>
        <s v="P02193"/>
        <s v="P02194"/>
        <s v="P02195"/>
        <s v="P02196"/>
        <s v="P02197"/>
        <s v="P02198"/>
        <s v="P02199"/>
        <s v="P02200"/>
        <s v="P02201"/>
        <s v="P02202"/>
        <s v="P02203"/>
        <s v="P02204"/>
        <s v="P02205"/>
        <s v="P02206"/>
        <s v="P02207"/>
        <s v="P02208"/>
        <s v="P02209"/>
        <s v="P02210"/>
        <s v="P02211"/>
        <s v="P02212"/>
        <s v="P02213"/>
        <s v="P02214"/>
        <s v="P02215"/>
        <s v="P02216"/>
        <s v="P02217"/>
        <s v="P02218"/>
        <s v="P02219"/>
        <s v="P02220"/>
        <s v="P02221"/>
        <s v="P02222"/>
        <s v="P02223"/>
        <s v="P02224"/>
        <s v="P02225"/>
        <s v="P02226"/>
        <s v="P02227"/>
        <s v="P02228"/>
        <s v="P02229"/>
        <s v="P02230"/>
        <s v="P02231"/>
        <s v="P02232"/>
        <s v="P02233"/>
        <s v="P02234"/>
        <s v="P02235"/>
        <s v="P02236"/>
        <s v="P02237"/>
        <s v="P02238"/>
        <s v="P02239"/>
        <s v="P02240"/>
        <s v="P02241"/>
        <s v="P02242"/>
        <s v="P02243"/>
        <s v="P02244"/>
        <s v="P02245"/>
        <s v="P02246"/>
        <s v="P02247"/>
        <s v="P02248"/>
        <s v="P02249"/>
        <s v="P02250"/>
        <s v="P02251"/>
        <s v="P02252"/>
        <s v="P02253"/>
        <s v="P02254"/>
        <s v="P02255"/>
        <s v="P02256"/>
        <s v="P02257"/>
        <s v="P02258"/>
        <s v="P02259"/>
        <s v="P02260"/>
        <s v="P02261"/>
        <s v="P02262"/>
        <s v="P02263"/>
        <s v="P02264"/>
        <s v="P02265"/>
        <s v="P02266"/>
        <s v="P02267"/>
        <s v="P02268"/>
        <s v="P02269"/>
        <s v="P02270"/>
        <s v="P02271"/>
        <s v="P02272"/>
        <s v="P02273"/>
        <s v="P02274"/>
        <s v="P02275"/>
        <s v="P02276"/>
        <s v="P02277"/>
        <s v="P02278"/>
        <s v="P02279"/>
        <s v="P02280"/>
        <s v="P02281"/>
        <s v="P02282"/>
        <s v="P02283"/>
        <s v="P02284"/>
        <s v="P02285"/>
        <s v="P02286"/>
        <s v="P02287"/>
        <s v="P02288"/>
        <s v="P02289"/>
        <s v="P02290"/>
        <s v="P02291"/>
        <s v="P02292"/>
        <s v="P02293"/>
        <s v="P02294"/>
        <s v="P02295"/>
        <s v="P02296"/>
        <s v="P02297"/>
        <s v="P02298"/>
        <s v="P02299"/>
        <s v="P02300"/>
        <s v="P02301"/>
        <s v="P02302"/>
        <s v="P02303"/>
        <s v="P02304"/>
        <s v="P02305"/>
        <s v="P02306"/>
        <s v="P02307"/>
        <s v="P02308"/>
        <s v="P02309"/>
        <s v="P02310"/>
        <s v="P02311"/>
        <s v="P02312"/>
        <s v="P02313"/>
        <s v="P02314"/>
        <s v="P02315"/>
        <s v="P02316"/>
        <s v="P02317"/>
        <s v="P02318"/>
        <s v="P02319"/>
        <s v="P02320"/>
        <s v="P02321"/>
        <s v="P02322"/>
        <s v="P02323"/>
        <s v="P02324"/>
        <s v="P02325"/>
        <s v="P02326"/>
        <s v="P02327"/>
        <s v="P02328"/>
        <s v="P02329"/>
        <s v="P02330"/>
        <s v="P02331"/>
        <s v="P02332"/>
        <s v="P02333"/>
        <s v="P02334"/>
        <s v="P02335"/>
        <s v="P02336"/>
        <s v="P02337"/>
        <s v="P02338"/>
        <s v="P02339"/>
        <s v="P02340"/>
        <s v="P02341"/>
        <s v="P02342"/>
        <s v="P02343"/>
        <s v="P02344"/>
        <s v="P02345"/>
        <s v="P02346"/>
        <s v="P02347"/>
        <s v="P02348"/>
        <s v="P02349"/>
        <s v="P02350"/>
        <s v="P02351"/>
        <s v="P02352"/>
        <s v="P02353"/>
        <s v="P02354"/>
        <s v="P02355"/>
        <s v="P02356"/>
        <s v="P02357"/>
        <s v="P02358"/>
        <s v="P02359"/>
        <s v="P02360"/>
        <s v="P02361"/>
        <s v="P02362"/>
        <s v="P02363"/>
        <s v="P02364"/>
        <s v="P02365"/>
        <s v="P02366"/>
        <s v="P02367"/>
        <s v="P02368"/>
        <s v="P02369"/>
        <s v="P02370"/>
        <s v="P02371"/>
        <s v="P02372"/>
        <s v="P02373"/>
        <s v="P02374"/>
        <s v="P02375"/>
        <s v="P02376"/>
        <s v="P02377"/>
        <s v="P02378"/>
        <s v="P02379"/>
        <s v="P02380"/>
        <s v="P02381"/>
        <s v="P02382"/>
        <s v="P02383"/>
        <s v="P02384"/>
        <s v="P02385"/>
        <s v="P02386"/>
        <s v="P02387"/>
        <s v="P02388"/>
        <s v="P02389"/>
        <s v="P02390"/>
        <s v="P02391"/>
        <s v="P02392"/>
        <s v="P02393"/>
        <s v="P02394"/>
        <s v="P02395"/>
        <s v="P02396"/>
        <s v="P02397"/>
        <s v="P02398"/>
        <s v="P02399"/>
        <s v="P02400"/>
        <s v="P02401"/>
        <s v="P02402"/>
        <s v="P02403"/>
        <s v="P02404"/>
        <s v="P02405"/>
        <s v="P02406"/>
        <s v="P02407"/>
        <s v="P02408"/>
        <s v="P02409"/>
        <s v="P02410"/>
        <s v="P02411"/>
        <s v="P02412"/>
        <s v="P02413"/>
        <s v="P02414"/>
        <s v="P02415"/>
        <s v="P02416"/>
        <s v="P02417"/>
        <s v="P02418"/>
        <s v="P02419"/>
        <s v="P02420"/>
        <s v="P02421"/>
        <s v="P02422"/>
        <s v="P02423"/>
        <s v="P02424"/>
        <s v="P02425"/>
        <s v="P02426"/>
        <s v="P02427"/>
        <s v="P02428"/>
        <s v="P02429"/>
        <s v="P02430"/>
        <s v="P02431"/>
        <s v="P02432"/>
        <s v="P02433"/>
        <s v="P02434"/>
        <s v="P02435"/>
        <s v="P02436"/>
        <s v="P02437"/>
        <s v="P02438"/>
        <s v="P02439"/>
        <s v="P02440"/>
        <s v="P02441"/>
        <s v="P02442"/>
        <s v="P02443"/>
        <s v="P02444"/>
        <s v="P02445"/>
        <s v="P02446"/>
        <s v="P02447"/>
        <s v="P02448"/>
        <s v="P02449"/>
        <s v="P02450"/>
        <s v="P02451"/>
        <s v="P02452"/>
        <s v="P02453"/>
        <s v="P02454"/>
        <s v="P02455"/>
        <s v="P02456"/>
        <s v="P02457"/>
        <s v="P02458"/>
        <s v="P02459"/>
        <s v="P02460"/>
        <s v="P02461"/>
        <s v="P02462"/>
        <s v="P02463"/>
        <s v="P02464"/>
        <s v="P02465"/>
        <s v="P02466"/>
        <s v="P02467"/>
        <s v="P02468"/>
        <s v="P02469"/>
        <s v="P02470"/>
        <s v="P02471"/>
        <s v="P02472"/>
        <s v="P02473"/>
        <s v="P02474"/>
        <s v="P02475"/>
        <s v="P02476"/>
        <s v="P02477"/>
        <s v="P02478"/>
        <s v="P02479"/>
        <s v="P02480"/>
        <s v="P02481"/>
        <s v="P02482"/>
        <s v="P02483"/>
        <s v="P02484"/>
        <s v="P02485"/>
        <s v="P02486"/>
        <s v="P02487"/>
        <s v="P02488"/>
        <s v="P02489"/>
        <s v="P02490"/>
        <s v="P02491"/>
        <s v="P02492"/>
        <s v="P02493"/>
        <s v="P02494"/>
        <s v="P02495"/>
        <s v="P02496"/>
        <s v="P02497"/>
        <s v="P02498"/>
        <s v="P02499"/>
        <s v="P02500"/>
        <s v="P02501"/>
        <s v="P02502"/>
        <s v="P02503"/>
        <s v="P02504"/>
        <s v="P02505"/>
        <s v="P02506"/>
        <s v="P02507"/>
        <s v="P02508"/>
        <s v="P02509"/>
        <s v="P02510"/>
        <s v="P02511"/>
        <s v="P02512"/>
        <s v="P02513"/>
        <s v="P02514"/>
        <s v="P02515"/>
        <s v="P02516"/>
        <s v="P02517"/>
        <s v="P02518"/>
        <s v="P02519"/>
        <s v="P02520"/>
        <s v="P02521"/>
        <s v="P02522"/>
        <s v="P02523"/>
        <s v="P02524"/>
        <s v="P02525"/>
        <s v="P02526"/>
        <s v="P02527"/>
        <s v="P02528"/>
        <s v="P02529"/>
        <s v="P02530"/>
        <s v="P02531"/>
        <s v="P02532"/>
        <s v="P02533"/>
        <s v="P02534"/>
        <s v="P02535"/>
        <s v="P02536"/>
        <s v="P02537"/>
        <s v="P02538"/>
        <s v="P02539"/>
        <s v="P02540"/>
        <s v="P02541"/>
        <s v="P02542"/>
        <s v="P02543"/>
        <s v="P02544"/>
        <s v="P02545"/>
        <s v="P02546"/>
        <s v="P02547"/>
        <s v="P02548"/>
        <s v="P02549"/>
        <s v="P02550"/>
        <s v="P02551"/>
        <s v="P02552"/>
        <s v="P02553"/>
        <s v="P02554"/>
        <s v="P02555"/>
        <s v="P02556"/>
        <s v="P02557"/>
        <s v="P02558"/>
        <s v="P02559"/>
        <s v="P02560"/>
        <s v="P02561"/>
        <s v="P02562"/>
        <s v="P02563"/>
        <s v="P02564"/>
        <s v="P02565"/>
        <s v="P02566"/>
        <s v="P02567"/>
        <s v="P02568"/>
        <s v="P02569"/>
        <s v="P02570"/>
        <s v="P02571"/>
        <s v="P02572"/>
        <s v="P02573"/>
        <s v="P02574"/>
        <s v="P02575"/>
        <s v="P02576"/>
        <s v="P02577"/>
        <s v="P02578"/>
        <s v="P02579"/>
        <s v="P02580"/>
        <s v="P02581"/>
        <s v="P02582"/>
        <s v="P02583"/>
        <s v="P02584"/>
        <s v="P02585"/>
        <s v="P02586"/>
        <s v="P02587"/>
        <s v="P02588"/>
        <s v="P02589"/>
        <s v="P02590"/>
        <s v="P02591"/>
        <s v="P02592"/>
        <s v="P02593"/>
        <s v="P02594"/>
        <s v="P02595"/>
        <s v="P02596"/>
        <s v="P02597"/>
        <s v="P02598"/>
        <s v="P02599"/>
        <s v="P02600"/>
        <s v="P02601"/>
        <s v="P02602"/>
        <s v="P02603"/>
        <s v="P02604"/>
        <s v="P02605"/>
        <s v="P02606"/>
        <s v="P02607"/>
        <s v="P02608"/>
        <s v="P02609"/>
        <s v="P02610"/>
        <s v="P02611"/>
        <s v="P02612"/>
        <s v="P02613"/>
        <s v="P02614"/>
        <s v="P02615"/>
        <s v="P02616"/>
        <s v="P02617"/>
        <s v="P02618"/>
        <s v="P02619"/>
        <s v="P02620"/>
        <s v="P02621"/>
        <s v="P02622"/>
        <s v="P02623"/>
        <s v="P02624"/>
        <s v="P02625"/>
        <s v="P02626"/>
        <s v="P02627"/>
        <s v="P02628"/>
        <s v="P02629"/>
        <s v="P02630"/>
        <s v="P02631"/>
        <s v="P02632"/>
        <s v="P02633"/>
        <s v="P02634"/>
        <s v="P02635"/>
        <s v="P02636"/>
        <s v="P02637"/>
        <s v="P02638"/>
        <s v="P02639"/>
        <s v="P02640"/>
        <s v="P02641"/>
        <s v="P02642"/>
        <s v="P02643"/>
        <s v="P02644"/>
        <s v="P02645"/>
        <s v="P02646"/>
        <s v="P02647"/>
        <s v="P02648"/>
        <s v="P02649"/>
        <s v="P02650"/>
        <s v="P02651"/>
        <s v="P02652"/>
        <s v="P02653"/>
        <s v="P02654"/>
        <s v="P02655"/>
        <s v="P02656"/>
        <s v="P02657"/>
        <s v="P02658"/>
        <s v="P02659"/>
        <s v="P02660"/>
        <s v="P02661"/>
        <s v="P02662"/>
        <s v="P02663"/>
        <s v="P02664"/>
        <s v="P02665"/>
        <s v="P02666"/>
        <s v="P02667"/>
        <s v="P02668"/>
        <s v="P02669"/>
        <s v="P02670"/>
        <s v="P02671"/>
        <s v="P02672"/>
        <s v="P02673"/>
        <s v="P02674"/>
        <s v="P02675"/>
        <s v="P02676"/>
        <s v="P02677"/>
        <s v="P02678"/>
        <s v="P02679"/>
        <s v="P02680"/>
        <s v="P02681"/>
        <s v="P02682"/>
        <s v="P02683"/>
        <s v="P02684"/>
        <s v="P02685"/>
        <s v="P02686"/>
        <s v="P02687"/>
        <s v="P02688"/>
        <s v="P02689"/>
        <s v="P02690"/>
        <s v="P02691"/>
        <s v="P02692"/>
        <s v="P02693"/>
        <s v="P02694"/>
        <s v="P02695"/>
        <s v="P02696"/>
        <s v="P02697"/>
        <s v="P02698"/>
        <s v="P02699"/>
        <s v="P02700"/>
        <s v="P02701"/>
        <s v="P02702"/>
        <s v="P02703"/>
        <s v="P02704"/>
        <s v="P02705"/>
        <s v="P02706"/>
        <s v="P02707"/>
        <s v="P02708"/>
        <s v="P02709"/>
        <s v="P02710"/>
        <s v="P02711"/>
        <s v="P02712"/>
        <s v="P02713"/>
        <s v="P02714"/>
        <s v="P02715"/>
        <s v="P02716"/>
        <s v="P02717"/>
        <s v="P02718"/>
        <s v="P02719"/>
        <s v="P02720"/>
        <s v="P02721"/>
        <s v="P02722"/>
        <s v="P02723"/>
        <s v="P02724"/>
        <s v="P02725"/>
        <s v="P02726"/>
        <s v="P02727"/>
        <s v="P02728"/>
        <s v="P02729"/>
        <s v="P02730"/>
        <s v="P02731"/>
        <s v="P02732"/>
        <s v="P02733"/>
        <s v="P02734"/>
        <s v="P02735"/>
        <s v="P02736"/>
        <s v="P02737"/>
        <s v="P02738"/>
        <s v="P02739"/>
        <s v="P02740"/>
        <s v="P02741"/>
        <s v="P02742"/>
        <s v="P02743"/>
        <s v="P02744"/>
        <s v="P02745"/>
        <s v="P02746"/>
        <s v="P02747"/>
        <s v="P02748"/>
        <s v="P02749"/>
        <s v="P02750"/>
        <s v="P02751"/>
        <s v="P02752"/>
        <s v="P02753"/>
        <s v="P02754"/>
        <s v="P02755"/>
        <s v="P02756"/>
        <s v="P02757"/>
        <s v="P02758"/>
        <s v="P02759"/>
        <s v="P02760"/>
        <s v="P02761"/>
        <s v="P02762"/>
        <s v="P02763"/>
        <s v="P02764"/>
        <s v="P02765"/>
        <s v="P02766"/>
        <s v="P02767"/>
        <s v="P02768"/>
        <s v="P02769"/>
        <s v="P02770"/>
        <s v="P02771"/>
        <s v="P02772"/>
        <s v="P02773"/>
        <s v="P02774"/>
        <s v="P02775"/>
        <s v="P02776"/>
        <s v="P02777"/>
        <s v="P02778"/>
        <s v="P02779"/>
        <s v="P02780"/>
        <s v="P02781"/>
        <s v="P02782"/>
        <s v="P02783"/>
        <s v="P02784"/>
        <s v="P02785"/>
        <s v="P02786"/>
        <s v="P02787"/>
        <s v="P02788"/>
        <s v="P02789"/>
        <s v="P02790"/>
        <s v="P02791"/>
        <s v="P02792"/>
        <s v="P02793"/>
        <s v="P02794"/>
        <s v="P02795"/>
        <s v="P02796"/>
        <s v="P02797"/>
        <s v="P02798"/>
        <s v="P02799"/>
        <s v="P02800"/>
        <s v="P02801"/>
        <s v="P02802"/>
        <s v="P02803"/>
        <s v="P02804"/>
        <s v="P02805"/>
        <s v="P02806"/>
        <s v="P02807"/>
        <s v="P02808"/>
        <s v="P02809"/>
        <s v="P02810"/>
        <s v="P02811"/>
        <s v="P02812"/>
        <s v="P02813"/>
        <s v="P02814"/>
        <s v="P02815"/>
        <s v="P02816"/>
        <s v="P02817"/>
        <s v="P02818"/>
        <s v="P02819"/>
        <s v="P02820"/>
        <s v="P02821"/>
        <s v="P02822"/>
        <s v="P02823"/>
        <s v="P02824"/>
        <s v="P02825"/>
        <s v="P02826"/>
        <s v="P02827"/>
        <s v="P02828"/>
        <s v="P02829"/>
        <s v="P02830"/>
        <s v="P02831"/>
        <s v="P02832"/>
        <s v="P02833"/>
        <s v="P02834"/>
        <s v="P02835"/>
        <s v="P02836"/>
        <s v="P02837"/>
        <s v="P02838"/>
        <s v="P02839"/>
        <s v="P02840"/>
        <s v="P02841"/>
        <s v="P02842"/>
        <s v="P02843"/>
        <s v="P02844"/>
        <s v="P02845"/>
        <s v="P02846"/>
        <s v="P02847"/>
        <s v="P02848"/>
        <s v="P02849"/>
        <s v="P02850"/>
        <s v="P02851"/>
        <s v="P02852"/>
        <s v="P02853"/>
        <s v="P02854"/>
        <s v="P02855"/>
        <s v="P02856"/>
        <s v="P02857"/>
        <s v="P02858"/>
        <s v="P02859"/>
        <s v="P02860"/>
        <s v="P02861"/>
        <s v="P02862"/>
        <s v="P02863"/>
        <s v="P02864"/>
        <s v="P02865"/>
        <s v="P02866"/>
        <s v="P02867"/>
        <s v="P02868"/>
        <s v="P02869"/>
        <s v="P02870"/>
        <s v="P02871"/>
        <s v="P02872"/>
        <s v="P02873"/>
        <s v="P02874"/>
        <s v="P02875"/>
        <s v="P02876"/>
        <s v="P02877"/>
        <s v="P02878"/>
        <s v="P02879"/>
        <s v="P02880"/>
        <s v="P02881"/>
        <s v="P02882"/>
        <s v="P02883"/>
        <s v="P02884"/>
        <s v="P02885"/>
        <s v="P02886"/>
        <s v="P02887"/>
        <s v="P02888"/>
        <s v="P02889"/>
        <s v="P02890"/>
        <s v="P02891"/>
        <s v="P02892"/>
        <s v="P02893"/>
        <s v="P02894"/>
        <s v="P02895"/>
        <s v="P02896"/>
        <s v="P02897"/>
        <s v="P02898"/>
        <s v="P02899"/>
        <s v="P02900"/>
        <s v="P02901"/>
        <s v="P02902"/>
        <s v="P02903"/>
        <s v="P02904"/>
        <s v="P02905"/>
        <s v="P02906"/>
        <s v="P02907"/>
        <s v="P02908"/>
        <s v="P02909"/>
        <s v="P02910"/>
        <s v="P02911"/>
        <s v="P02912"/>
        <s v="P02913"/>
        <s v="P02914"/>
        <s v="P02915"/>
        <s v="P02916"/>
        <s v="P02917"/>
        <s v="P02918"/>
        <s v="P02919"/>
        <s v="P02920"/>
        <s v="P02921"/>
        <s v="P02922"/>
        <s v="P02923"/>
        <s v="P02924"/>
        <s v="P02925"/>
        <s v="P02926"/>
        <s v="P02927"/>
        <s v="P02928"/>
        <s v="P02929"/>
        <s v="P02930"/>
        <s v="P02931"/>
        <s v="P02932"/>
        <s v="P02933"/>
        <s v="P02934"/>
        <s v="P02935"/>
        <s v="P02936"/>
        <s v="P02937"/>
        <s v="P02938"/>
        <s v="P02939"/>
        <s v="P02940"/>
        <s v="P02941"/>
        <s v="P02942"/>
        <s v="P02943"/>
        <s v="P02944"/>
        <s v="P02945"/>
        <s v="P02946"/>
        <s v="P02947"/>
        <s v="P02948"/>
        <s v="P02949"/>
        <s v="P02950"/>
        <s v="P02951"/>
        <s v="P02952"/>
        <s v="P02953"/>
        <s v="P02954"/>
        <s v="P02955"/>
        <s v="P02956"/>
        <s v="P02957"/>
        <s v="P02958"/>
        <s v="P02959"/>
        <s v="P02960"/>
        <s v="P02961"/>
        <s v="P02962"/>
        <s v="P02963"/>
        <s v="P02964"/>
        <s v="P02965"/>
        <s v="P02966"/>
        <s v="P02967"/>
        <s v="P02968"/>
        <s v="P02969"/>
        <s v="P02970"/>
        <s v="P02971"/>
        <s v="P02972"/>
        <s v="P02973"/>
        <s v="P02974"/>
        <s v="P02975"/>
        <s v="P02976"/>
        <s v="P02977"/>
        <s v="P02978"/>
        <s v="P02979"/>
        <s v="P02980"/>
        <s v="P02981"/>
        <s v="P02982"/>
        <s v="P02983"/>
        <s v="P02984"/>
        <s v="P02985"/>
        <s v="P02986"/>
        <s v="P02987"/>
        <s v="P02988"/>
        <s v="P02989"/>
        <s v="P02990"/>
        <s v="P02991"/>
        <s v="P02992"/>
        <s v="P02993"/>
        <s v="P02994"/>
        <s v="P02995"/>
        <s v="P02996"/>
        <s v="P02997"/>
        <s v="P02998"/>
        <s v="P02999"/>
        <s v="P03000"/>
        <s v="P03001"/>
        <s v="P03002"/>
        <s v="P03003"/>
        <s v="P03004"/>
        <s v="P03005"/>
        <s v="P03006"/>
        <s v="P03007"/>
        <s v="P03008"/>
        <s v="P03009"/>
        <s v="P03010"/>
        <s v="P03011"/>
        <s v="P03012"/>
        <s v="P03013"/>
        <s v="P03014"/>
        <s v="P03015"/>
        <s v="P03016"/>
        <s v="P03017"/>
        <s v="P03018"/>
        <s v="P03019"/>
        <s v="P03020"/>
        <s v="P03021"/>
        <s v="P03022"/>
        <s v="P03023"/>
        <s v="P03024"/>
        <s v="P03025"/>
        <s v="P03026"/>
        <s v="P03027"/>
        <s v="P03028"/>
        <s v="P03029"/>
        <s v="P03030"/>
        <s v="P03031"/>
        <s v="P03032"/>
        <s v="P03033"/>
        <s v="P03034"/>
        <s v="P03035"/>
        <s v="P03036"/>
        <s v="P03037"/>
        <s v="P03038"/>
        <s v="P03039"/>
        <s v="P03040"/>
        <s v="P03041"/>
        <s v="P03042"/>
        <s v="P03043"/>
        <s v="P03044"/>
        <s v="P03045"/>
        <s v="P03046"/>
        <s v="P03047"/>
        <s v="P03048"/>
        <s v="P03049"/>
        <s v="P03050"/>
        <s v="P03051"/>
        <s v="P03052"/>
        <s v="P03053"/>
        <s v="P03054"/>
        <s v="P03055"/>
        <s v="P03056"/>
        <s v="P03057"/>
        <s v="P03058"/>
        <s v="P03059"/>
        <s v="P03060"/>
        <s v="P03061"/>
        <s v="P03062"/>
        <s v="P03063"/>
        <s v="P03064"/>
        <s v="P03065"/>
        <s v="P03066"/>
        <s v="P03067"/>
        <s v="P03068"/>
        <s v="P03069"/>
        <s v="P03070"/>
        <s v="P03071"/>
        <s v="P03072"/>
        <s v="P03073"/>
        <s v="P03074"/>
        <s v="P03075"/>
        <s v="P03076"/>
        <s v="P03077"/>
        <s v="P03078"/>
        <s v="P03079"/>
        <s v="P03080"/>
        <s v="P03081"/>
        <s v="P03082"/>
        <s v="P03083"/>
        <s v="P03084"/>
        <s v="P03085"/>
        <s v="P03086"/>
        <s v="P03087"/>
        <s v="P03088"/>
        <s v="P03089"/>
        <s v="P03090"/>
        <s v="P03091"/>
        <s v="P03092"/>
        <s v="P03093"/>
        <s v="P03094"/>
        <s v="P03095"/>
        <s v="P03096"/>
        <s v="P03097"/>
        <s v="P03098"/>
        <s v="P03099"/>
        <s v="P03100"/>
        <s v="P03101"/>
        <s v="P03102"/>
        <s v="P03103"/>
        <s v="P03104"/>
        <s v="P03105"/>
        <s v="P03106"/>
        <s v="P03107"/>
        <s v="P03108"/>
        <s v="P03109"/>
        <s v="P03110"/>
        <s v="P03111"/>
        <s v="P03112"/>
        <s v="P03113"/>
        <s v="P03114"/>
        <s v="P03115"/>
        <s v="P03116"/>
        <s v="P03117"/>
        <s v="P03118"/>
        <s v="P03119"/>
        <s v="P03120"/>
        <s v="P03121"/>
        <s v="P03122"/>
        <s v="P03123"/>
        <s v="P03124"/>
        <s v="P03125"/>
        <s v="P03126"/>
        <s v="P03127"/>
        <s v="P03128"/>
        <s v="P03129"/>
        <s v="P03130"/>
        <s v="P03131"/>
        <s v="P03132"/>
        <s v="P03133"/>
        <s v="P03134"/>
        <s v="P03135"/>
        <s v="P03136"/>
        <s v="P03137"/>
        <s v="P03138"/>
        <s v="P03139"/>
        <s v="P03140"/>
        <s v="P03141"/>
        <s v="P03142"/>
        <s v="P03143"/>
        <s v="P03144"/>
        <s v="P03145"/>
        <s v="P03146"/>
        <s v="P03147"/>
        <s v="P03148"/>
        <s v="P03149"/>
        <s v="P03150"/>
        <s v="P03151"/>
        <s v="P03152"/>
        <s v="P03153"/>
        <s v="P03154"/>
        <s v="P03155"/>
        <s v="P03156"/>
        <s v="P03157"/>
        <s v="P03158"/>
        <s v="P03159"/>
        <s v="P03160"/>
        <s v="P03161"/>
        <s v="P03162"/>
        <s v="P03163"/>
        <s v="P03164"/>
        <s v="P03165"/>
        <s v="P03166"/>
        <s v="P03167"/>
        <s v="P03168"/>
        <s v="P03169"/>
        <s v="P03170"/>
        <s v="P03171"/>
        <s v="P03172"/>
        <s v="P03173"/>
        <s v="P03174"/>
        <s v="P03175"/>
        <s v="P03176"/>
        <s v="P03177"/>
        <s v="P03178"/>
        <s v="P03179"/>
        <s v="P03180"/>
        <s v="P03181"/>
        <s v="P03182"/>
        <s v="P03183"/>
        <s v="P03184"/>
        <s v="P03185"/>
        <s v="P03186"/>
        <s v="P03187"/>
        <s v="P03188"/>
        <s v="P03189"/>
        <s v="P03190"/>
        <s v="P03191"/>
        <s v="P03192"/>
        <s v="P03193"/>
        <s v="P03194"/>
        <s v="P03195"/>
        <s v="P03196"/>
        <s v="P03197"/>
        <s v="P03198"/>
        <s v="P03199"/>
        <s v="P03200"/>
        <s v="P03201"/>
        <s v="P03202"/>
        <s v="P03203"/>
        <s v="P03204"/>
        <s v="P03205"/>
        <s v="P03206"/>
        <s v="P03207"/>
        <s v="P03208"/>
        <s v="P03209"/>
        <s v="P03210"/>
        <s v="P03211"/>
        <s v="P03212"/>
        <s v="P03213"/>
        <s v="P03214"/>
        <s v="P03215"/>
        <s v="P03216"/>
        <s v="P03217"/>
        <s v="P03218"/>
        <s v="P03219"/>
        <s v="P03220"/>
        <s v="P03221"/>
        <s v="P03222"/>
        <s v="P03223"/>
        <s v="P03224"/>
        <s v="P03225"/>
        <s v="P03226"/>
        <s v="P03227"/>
        <s v="P03228"/>
        <s v="P03229"/>
        <s v="P03230"/>
        <s v="P03231"/>
        <s v="P03232"/>
        <s v="P03233"/>
        <s v="P03234"/>
        <s v="P03235"/>
        <s v="P03236"/>
        <s v="P03237"/>
        <s v="P03238"/>
        <s v="P03239"/>
        <s v="P03240"/>
        <s v="P03241"/>
        <s v="P03242"/>
        <s v="P03243"/>
        <s v="P03244"/>
        <s v="P03245"/>
        <s v="P03246"/>
        <s v="P03247"/>
        <s v="P03248"/>
        <s v="P03249"/>
        <s v="P03250"/>
        <s v="P03251"/>
        <s v="P03252"/>
        <s v="P03253"/>
        <s v="P03254"/>
        <s v="P03255"/>
        <s v="P03256"/>
        <s v="P03257"/>
        <s v="P03258"/>
        <s v="P03259"/>
        <s v="P03260"/>
        <s v="P03261"/>
        <s v="P03262"/>
        <s v="P03263"/>
        <s v="P03264"/>
        <s v="P03265"/>
        <s v="P03266"/>
        <s v="P03267"/>
        <s v="P03268"/>
        <s v="P03269"/>
        <s v="P03270"/>
        <s v="P03271"/>
        <s v="P03272"/>
        <s v="P03273"/>
        <s v="P03274"/>
        <s v="P03275"/>
        <s v="P03276"/>
        <s v="P03277"/>
        <s v="P03278"/>
        <s v="P03279"/>
        <s v="P03280"/>
        <s v="P03281"/>
        <s v="P03282"/>
        <s v="P03283"/>
        <s v="P03284"/>
        <s v="P03285"/>
        <s v="P03286"/>
        <s v="P03287"/>
        <s v="P03288"/>
        <s v="P03289"/>
        <s v="P03290"/>
        <s v="P03291"/>
        <s v="P03292"/>
        <s v="P03293"/>
        <s v="P03294"/>
        <s v="P03295"/>
        <s v="P03296"/>
        <s v="P03297"/>
        <s v="P03298"/>
        <s v="P03299"/>
        <s v="P03300"/>
        <s v="P03301"/>
        <s v="P03302"/>
        <s v="P03303"/>
        <s v="P03304"/>
        <s v="P03305"/>
        <s v="P03306"/>
        <s v="P03307"/>
        <s v="P03308"/>
        <s v="P03309"/>
        <s v="P03310"/>
        <s v="P03311"/>
        <s v="P03312"/>
        <s v="P03313"/>
        <s v="P03314"/>
        <s v="P03315"/>
        <s v="P03316"/>
        <s v="P03317"/>
        <s v="P03318"/>
        <s v="P03319"/>
        <s v="P03320"/>
        <s v="P03321"/>
        <s v="P03322"/>
        <s v="P03323"/>
        <s v="P03324"/>
        <s v="P03325"/>
        <s v="P03326"/>
        <s v="P03327"/>
        <s v="P03328"/>
        <s v="P03329"/>
        <s v="P03330"/>
        <s v="P03331"/>
        <s v="P03332"/>
        <s v="P03333"/>
        <s v="P03334"/>
        <s v="P03335"/>
        <s v="P03336"/>
        <s v="P03337"/>
        <s v="P03338"/>
        <s v="P03339"/>
        <s v="P03340"/>
        <s v="P03341"/>
        <s v="P03342"/>
        <s v="P03343"/>
        <s v="P03344"/>
        <s v="P03345"/>
        <s v="P03346"/>
        <s v="P03347"/>
        <s v="P03348"/>
        <s v="P03349"/>
        <s v="P03350"/>
        <s v="P03351"/>
        <s v="P03352"/>
        <s v="P03353"/>
        <s v="P03354"/>
        <s v="P03355"/>
        <s v="P03356"/>
        <s v="P03357"/>
        <s v="P03358"/>
        <s v="P03359"/>
        <s v="P03360"/>
        <s v="P03361"/>
        <s v="P03362"/>
        <s v="P03363"/>
        <s v="P03364"/>
        <s v="P03365"/>
        <s v="P03366"/>
        <s v="P03367"/>
        <s v="P03368"/>
        <s v="P03369"/>
        <s v="P03370"/>
        <s v="P03371"/>
        <s v="P03372"/>
        <s v="P03373"/>
        <s v="P03374"/>
        <s v="P03375"/>
        <s v="P03376"/>
        <s v="P03377"/>
        <s v="P03378"/>
        <s v="P03379"/>
        <s v="P03380"/>
        <s v="P03381"/>
        <s v="P03382"/>
        <s v="P03383"/>
        <s v="P03384"/>
        <s v="P03385"/>
        <s v="P03386"/>
        <s v="P03387"/>
        <s v="P03388"/>
        <s v="P03389"/>
        <s v="P03390"/>
        <s v="P03391"/>
        <s v="P03392"/>
        <s v="P03393"/>
        <s v="P03394"/>
        <s v="P03395"/>
        <s v="P03396"/>
        <s v="P03397"/>
        <s v="P03398"/>
        <s v="P03399"/>
        <s v="P03400"/>
        <s v="P03401"/>
        <s v="P03402"/>
        <s v="P03403"/>
        <s v="P03404"/>
        <s v="P03405"/>
        <s v="P03406"/>
        <s v="P03407"/>
        <s v="P03408"/>
        <s v="P03409"/>
        <s v="P03410"/>
        <s v="P03411"/>
        <s v="P03412"/>
        <s v="P03413"/>
        <s v="P03414"/>
        <s v="P03415"/>
        <s v="P03416"/>
        <s v="P03417"/>
        <s v="P03418"/>
        <s v="P03419"/>
        <s v="P03420"/>
        <s v="P03421"/>
        <s v="P03422"/>
        <s v="P03423"/>
        <s v="P03424"/>
        <s v="P03425"/>
        <s v="P03426"/>
        <s v="P03427"/>
        <s v="P03428"/>
        <s v="P03429"/>
        <s v="P03430"/>
        <s v="P03431"/>
        <s v="P03432"/>
        <s v="P03433"/>
        <s v="P03434"/>
        <s v="P03435"/>
        <s v="P03436"/>
        <s v="P03437"/>
        <s v="P03438"/>
        <s v="P03439"/>
        <s v="P03440"/>
        <s v="P03441"/>
        <s v="P03442"/>
        <s v="P03443"/>
        <s v="P03444"/>
        <s v="P03445"/>
        <s v="P03446"/>
        <s v="P03447"/>
        <s v="P03448"/>
        <s v="P03449"/>
        <s v="P03450"/>
        <s v="P03451"/>
        <s v="P03452"/>
        <s v="P03453"/>
        <s v="P03454"/>
        <s v="P03455"/>
        <s v="P03456"/>
        <s v="P03457"/>
        <s v="P03458"/>
        <s v="P03459"/>
        <s v="P03460"/>
        <s v="P03461"/>
        <s v="P03462"/>
        <s v="P03463"/>
        <s v="P03464"/>
        <s v="P03465"/>
        <s v="P03466"/>
        <s v="P03467"/>
        <s v="P03468"/>
        <s v="P03469"/>
        <s v="P03470"/>
        <s v="P03471"/>
        <s v="P03472"/>
        <s v="P03473"/>
        <s v="P03474"/>
        <s v="P03475"/>
        <s v="P03476"/>
        <s v="P03477"/>
        <s v="P03478"/>
        <s v="P03479"/>
        <s v="P03480"/>
        <s v="P03481"/>
        <s v="P03482"/>
        <s v="P03483"/>
        <s v="P03484"/>
        <s v="P03485"/>
        <s v="P03486"/>
        <s v="P03487"/>
        <s v="P03488"/>
        <s v="P03489"/>
        <s v="P03490"/>
        <s v="P03491"/>
        <s v="P03492"/>
        <s v="P03493"/>
        <s v="P03494"/>
        <s v="P03495"/>
        <s v="P03496"/>
        <s v="P03497"/>
        <s v="P03498"/>
        <s v="P03499"/>
        <s v="P03500"/>
      </sharedItems>
    </cacheField>
    <cacheField name="Age" numFmtId="0">
      <sharedItems containsSemiMixedTypes="0" containsString="0" containsNumber="1" containsInteger="1" minValue="18" maxValue="90" count="73">
        <n v="38"/>
        <n v="77"/>
        <n v="75"/>
        <n v="31"/>
        <n v="25"/>
        <n v="54"/>
        <n v="39"/>
        <n v="29"/>
        <n v="89"/>
        <n v="69"/>
        <n v="81"/>
        <n v="33"/>
        <n v="62"/>
        <n v="76"/>
        <n v="49"/>
        <n v="36"/>
        <n v="72"/>
        <n v="71"/>
        <n v="57"/>
        <n v="82"/>
        <n v="68"/>
        <n v="63"/>
        <n v="80"/>
        <n v="83"/>
        <n v="52"/>
        <n v="23"/>
        <n v="24"/>
        <n v="70"/>
        <n v="56"/>
        <n v="53"/>
        <n v="86"/>
        <n v="55"/>
        <n v="22"/>
        <n v="48"/>
        <n v="27"/>
        <n v="32"/>
        <n v="20"/>
        <n v="73"/>
        <n v="18"/>
        <n v="35"/>
        <n v="37"/>
        <n v="26"/>
        <n v="28"/>
        <n v="60"/>
        <n v="42"/>
        <n v="88"/>
        <n v="85"/>
        <n v="19"/>
        <n v="65"/>
        <n v="66"/>
        <n v="47"/>
        <n v="50"/>
        <n v="40"/>
        <n v="41"/>
        <n v="44"/>
        <n v="87"/>
        <n v="74"/>
        <n v="90"/>
        <n v="84"/>
        <n v="64"/>
        <n v="67"/>
        <n v="34"/>
        <n v="45"/>
        <n v="61"/>
        <n v="46"/>
        <n v="51"/>
        <n v="43"/>
        <n v="30"/>
        <n v="59"/>
        <n v="58"/>
        <n v="79"/>
        <n v="78"/>
        <n v="21"/>
      </sharedItems>
    </cacheField>
    <cacheField name="Gender" numFmtId="0">
      <sharedItems count="2">
        <s v="Male"/>
        <s v="Female"/>
      </sharedItems>
    </cacheField>
    <cacheField name="City" numFmtId="0">
      <sharedItems count="8">
        <s v="Hyderabad"/>
        <s v="Chennai"/>
        <s v="Pune"/>
        <s v="Bengaluru"/>
        <s v="Delhi"/>
        <s v="Mumbai"/>
        <s v="Ahmedabad"/>
        <s v="Kolkata"/>
      </sharedItems>
    </cacheField>
    <cacheField name="Admission_Date" numFmtId="164">
      <sharedItems containsSemiMixedTypes="0" containsNonDate="0" containsDate="1" containsString="0" minDate="2023-01-01T00:00:00" maxDate="2025-09-28T00:00:00" count="971">
        <d v="2025-03-29T00:00:00"/>
        <d v="2023-05-11T00:00:00"/>
        <d v="2024-03-15T00:00:00"/>
        <d v="2023-11-23T00:00:00"/>
        <d v="2025-08-17T00:00:00"/>
        <d v="2023-08-07T00:00:00"/>
        <d v="2024-03-09T00:00:00"/>
        <d v="2025-03-31T00:00:00"/>
        <d v="2023-02-20T00:00:00"/>
        <d v="2025-04-14T00:00:00"/>
        <d v="2023-09-26T00:00:00"/>
        <d v="2025-02-19T00:00:00"/>
        <d v="2023-09-28T00:00:00"/>
        <d v="2023-04-05T00:00:00"/>
        <d v="2023-10-18T00:00:00"/>
        <d v="2024-01-06T00:00:00"/>
        <d v="2024-09-26T00:00:00"/>
        <d v="2023-10-05T00:00:00"/>
        <d v="2025-08-11T00:00:00"/>
        <d v="2025-09-02T00:00:00"/>
        <d v="2024-11-30T00:00:00"/>
        <d v="2024-08-22T00:00:00"/>
        <d v="2024-01-18T00:00:00"/>
        <d v="2024-02-20T00:00:00"/>
        <d v="2023-05-22T00:00:00"/>
        <d v="2024-09-20T00:00:00"/>
        <d v="2023-09-29T00:00:00"/>
        <d v="2023-06-06T00:00:00"/>
        <d v="2025-08-07T00:00:00"/>
        <d v="2023-03-18T00:00:00"/>
        <d v="2024-12-22T00:00:00"/>
        <d v="2024-09-10T00:00:00"/>
        <d v="2023-03-11T00:00:00"/>
        <d v="2025-08-24T00:00:00"/>
        <d v="2024-02-03T00:00:00"/>
        <d v="2025-02-04T00:00:00"/>
        <d v="2023-03-31T00:00:00"/>
        <d v="2024-07-26T00:00:00"/>
        <d v="2025-06-09T00:00:00"/>
        <d v="2025-03-03T00:00:00"/>
        <d v="2023-11-26T00:00:00"/>
        <d v="2023-08-19T00:00:00"/>
        <d v="2023-05-31T00:00:00"/>
        <d v="2024-01-01T00:00:00"/>
        <d v="2023-05-25T00:00:00"/>
        <d v="2023-01-12T00:00:00"/>
        <d v="2025-01-20T00:00:00"/>
        <d v="2023-06-18T00:00:00"/>
        <d v="2025-08-19T00:00:00"/>
        <d v="2025-06-10T00:00:00"/>
        <d v="2023-12-15T00:00:00"/>
        <d v="2024-02-12T00:00:00"/>
        <d v="2024-08-02T00:00:00"/>
        <d v="2024-03-21T00:00:00"/>
        <d v="2024-04-02T00:00:00"/>
        <d v="2025-08-06T00:00:00"/>
        <d v="2025-01-12T00:00:00"/>
        <d v="2023-06-10T00:00:00"/>
        <d v="2025-05-21T00:00:00"/>
        <d v="2024-09-03T00:00:00"/>
        <d v="2024-02-27T00:00:00"/>
        <d v="2024-12-23T00:00:00"/>
        <d v="2025-03-09T00:00:00"/>
        <d v="2024-09-02T00:00:00"/>
        <d v="2023-09-12T00:00:00"/>
        <d v="2023-06-08T00:00:00"/>
        <d v="2023-10-03T00:00:00"/>
        <d v="2023-01-25T00:00:00"/>
        <d v="2024-07-13T00:00:00"/>
        <d v="2023-05-13T00:00:00"/>
        <d v="2024-04-09T00:00:00"/>
        <d v="2023-04-17T00:00:00"/>
        <d v="2025-03-21T00:00:00"/>
        <d v="2024-10-23T00:00:00"/>
        <d v="2023-08-04T00:00:00"/>
        <d v="2025-04-12T00:00:00"/>
        <d v="2023-01-03T00:00:00"/>
        <d v="2023-04-09T00:00:00"/>
        <d v="2025-02-20T00:00:00"/>
        <d v="2023-04-25T00:00:00"/>
        <d v="2025-01-22T00:00:00"/>
        <d v="2023-10-31T00:00:00"/>
        <d v="2025-09-22T00:00:00"/>
        <d v="2023-03-24T00:00:00"/>
        <d v="2024-01-14T00:00:00"/>
        <d v="2023-11-13T00:00:00"/>
        <d v="2025-02-10T00:00:00"/>
        <d v="2023-10-29T00:00:00"/>
        <d v="2023-01-30T00:00:00"/>
        <d v="2025-06-15T00:00:00"/>
        <d v="2024-07-12T00:00:00"/>
        <d v="2025-06-21T00:00:00"/>
        <d v="2024-11-11T00:00:00"/>
        <d v="2025-08-01T00:00:00"/>
        <d v="2023-01-09T00:00:00"/>
        <d v="2024-03-31T00:00:00"/>
        <d v="2024-04-07T00:00:00"/>
        <d v="2024-07-25T00:00:00"/>
        <d v="2023-05-12T00:00:00"/>
        <d v="2023-12-12T00:00:00"/>
        <d v="2024-11-24T00:00:00"/>
        <d v="2025-05-26T00:00:00"/>
        <d v="2023-07-24T00:00:00"/>
        <d v="2024-03-24T00:00:00"/>
        <d v="2023-01-26T00:00:00"/>
        <d v="2024-10-14T00:00:00"/>
        <d v="2025-05-06T00:00:00"/>
        <d v="2024-11-12T00:00:00"/>
        <d v="2023-04-11T00:00:00"/>
        <d v="2023-02-07T00:00:00"/>
        <d v="2024-11-18T00:00:00"/>
        <d v="2023-04-14T00:00:00"/>
        <d v="2025-02-02T00:00:00"/>
        <d v="2025-08-09T00:00:00"/>
        <d v="2023-08-05T00:00:00"/>
        <d v="2023-06-12T00:00:00"/>
        <d v="2023-03-13T00:00:00"/>
        <d v="2023-01-01T00:00:00"/>
        <d v="2025-03-26T00:00:00"/>
        <d v="2025-01-10T00:00:00"/>
        <d v="2025-08-22T00:00:00"/>
        <d v="2023-05-07T00:00:00"/>
        <d v="2025-09-08T00:00:00"/>
        <d v="2024-09-19T00:00:00"/>
        <d v="2025-08-04T00:00:00"/>
        <d v="2023-04-16T00:00:00"/>
        <d v="2025-05-04T00:00:00"/>
        <d v="2023-10-08T00:00:00"/>
        <d v="2025-08-16T00:00:00"/>
        <d v="2023-06-14T00:00:00"/>
        <d v="2023-10-20T00:00:00"/>
        <d v="2023-08-22T00:00:00"/>
        <d v="2024-12-06T00:00:00"/>
        <d v="2023-03-03T00:00:00"/>
        <d v="2024-10-30T00:00:00"/>
        <d v="2024-10-07T00:00:00"/>
        <d v="2024-05-02T00:00:00"/>
        <d v="2024-05-20T00:00:00"/>
        <d v="2024-12-29T00:00:00"/>
        <d v="2023-09-25T00:00:00"/>
        <d v="2025-03-17T00:00:00"/>
        <d v="2023-08-08T00:00:00"/>
        <d v="2025-07-11T00:00:00"/>
        <d v="2024-11-29T00:00:00"/>
        <d v="2025-09-14T00:00:00"/>
        <d v="2023-07-03T00:00:00"/>
        <d v="2023-10-22T00:00:00"/>
        <d v="2024-09-04T00:00:00"/>
        <d v="2025-07-04T00:00:00"/>
        <d v="2024-04-21T00:00:00"/>
        <d v="2023-02-10T00:00:00"/>
        <d v="2025-01-24T00:00:00"/>
        <d v="2025-06-01T00:00:00"/>
        <d v="2025-07-03T00:00:00"/>
        <d v="2025-01-18T00:00:00"/>
        <d v="2024-03-04T00:00:00"/>
        <d v="2024-07-29T00:00:00"/>
        <d v="2024-12-05T00:00:00"/>
        <d v="2023-06-05T00:00:00"/>
        <d v="2023-07-08T00:00:00"/>
        <d v="2023-03-28T00:00:00"/>
        <d v="2024-06-16T00:00:00"/>
        <d v="2024-05-30T00:00:00"/>
        <d v="2025-05-18T00:00:00"/>
        <d v="2025-08-13T00:00:00"/>
        <d v="2023-03-25T00:00:00"/>
        <d v="2024-01-19T00:00:00"/>
        <d v="2023-03-20T00:00:00"/>
        <d v="2023-01-16T00:00:00"/>
        <d v="2025-06-06T00:00:00"/>
        <d v="2023-02-04T00:00:00"/>
        <d v="2023-05-21T00:00:00"/>
        <d v="2023-07-02T00:00:00"/>
        <d v="2025-08-18T00:00:00"/>
        <d v="2023-02-24T00:00:00"/>
        <d v="2024-10-10T00:00:00"/>
        <d v="2023-11-17T00:00:00"/>
        <d v="2025-03-13T00:00:00"/>
        <d v="2023-09-19T00:00:00"/>
        <d v="2024-11-01T00:00:00"/>
        <d v="2025-04-27T00:00:00"/>
        <d v="2023-07-06T00:00:00"/>
        <d v="2023-07-21T00:00:00"/>
        <d v="2023-02-23T00:00:00"/>
        <d v="2024-03-10T00:00:00"/>
        <d v="2024-02-06T00:00:00"/>
        <d v="2023-03-14T00:00:00"/>
        <d v="2023-07-27T00:00:00"/>
        <d v="2025-06-29T00:00:00"/>
        <d v="2024-05-01T00:00:00"/>
        <d v="2025-05-01T00:00:00"/>
        <d v="2023-04-07T00:00:00"/>
        <d v="2024-08-06T00:00:00"/>
        <d v="2024-06-14T00:00:00"/>
        <d v="2025-03-28T00:00:00"/>
        <d v="2023-02-17T00:00:00"/>
        <d v="2024-10-27T00:00:00"/>
        <d v="2024-07-03T00:00:00"/>
        <d v="2023-09-13T00:00:00"/>
        <d v="2025-07-06T00:00:00"/>
        <d v="2025-04-16T00:00:00"/>
        <d v="2024-08-21T00:00:00"/>
        <d v="2025-01-05T00:00:00"/>
        <d v="2024-01-12T00:00:00"/>
        <d v="2023-08-11T00:00:00"/>
        <d v="2025-04-28T00:00:00"/>
        <d v="2023-08-23T00:00:00"/>
        <d v="2023-07-28T00:00:00"/>
        <d v="2023-02-14T00:00:00"/>
        <d v="2024-10-04T00:00:00"/>
        <d v="2023-12-10T00:00:00"/>
        <d v="2024-07-07T00:00:00"/>
        <d v="2024-12-24T00:00:00"/>
        <d v="2023-08-28T00:00:00"/>
        <d v="2024-07-21T00:00:00"/>
        <d v="2023-08-29T00:00:00"/>
        <d v="2024-10-22T00:00:00"/>
        <d v="2024-04-22T00:00:00"/>
        <d v="2023-08-30T00:00:00"/>
        <d v="2024-11-17T00:00:00"/>
        <d v="2023-04-21T00:00:00"/>
        <d v="2023-09-07T00:00:00"/>
        <d v="2025-01-16T00:00:00"/>
        <d v="2025-01-13T00:00:00"/>
        <d v="2023-10-09T00:00:00"/>
        <d v="2024-12-16T00:00:00"/>
        <d v="2023-11-04T00:00:00"/>
        <d v="2024-09-08T00:00:00"/>
        <d v="2024-05-23T00:00:00"/>
        <d v="2024-07-15T00:00:00"/>
        <d v="2024-11-28T00:00:00"/>
        <d v="2025-03-20T00:00:00"/>
        <d v="2023-09-30T00:00:00"/>
        <d v="2025-01-02T00:00:00"/>
        <d v="2025-07-19T00:00:00"/>
        <d v="2023-07-10T00:00:00"/>
        <d v="2025-06-26T00:00:00"/>
        <d v="2025-06-16T00:00:00"/>
        <d v="2025-06-14T00:00:00"/>
        <d v="2025-09-12T00:00:00"/>
        <d v="2023-12-22T00:00:00"/>
        <d v="2025-03-08T00:00:00"/>
        <d v="2024-09-29T00:00:00"/>
        <d v="2024-03-07T00:00:00"/>
        <d v="2023-09-14T00:00:00"/>
        <d v="2024-01-21T00:00:00"/>
        <d v="2023-04-30T00:00:00"/>
        <d v="2024-10-17T00:00:00"/>
        <d v="2023-03-10T00:00:00"/>
        <d v="2023-09-23T00:00:00"/>
        <d v="2024-01-26T00:00:00"/>
        <d v="2023-01-08T00:00:00"/>
        <d v="2023-03-08T00:00:00"/>
        <d v="2024-01-28T00:00:00"/>
        <d v="2025-06-22T00:00:00"/>
        <d v="2023-05-16T00:00:00"/>
        <d v="2024-07-18T00:00:00"/>
        <d v="2023-09-16T00:00:00"/>
        <d v="2023-08-16T00:00:00"/>
        <d v="2025-02-26T00:00:00"/>
        <d v="2025-02-07T00:00:00"/>
        <d v="2023-08-21T00:00:00"/>
        <d v="2024-11-04T00:00:00"/>
        <d v="2023-08-15T00:00:00"/>
        <d v="2024-06-06T00:00:00"/>
        <d v="2023-10-21T00:00:00"/>
        <d v="2024-12-15T00:00:00"/>
        <d v="2023-08-20T00:00:00"/>
        <d v="2024-12-01T00:00:00"/>
        <d v="2024-07-31T00:00:00"/>
        <d v="2025-06-30T00:00:00"/>
        <d v="2023-05-23T00:00:00"/>
        <d v="2024-12-21T00:00:00"/>
        <d v="2024-06-30T00:00:00"/>
        <d v="2024-02-19T00:00:00"/>
        <d v="2023-03-19T00:00:00"/>
        <d v="2025-03-07T00:00:00"/>
        <d v="2025-02-13T00:00:00"/>
        <d v="2024-05-26T00:00:00"/>
        <d v="2023-11-22T00:00:00"/>
        <d v="2024-02-13T00:00:00"/>
        <d v="2024-11-22T00:00:00"/>
        <d v="2025-01-30T00:00:00"/>
        <d v="2024-08-05T00:00:00"/>
        <d v="2023-09-01T00:00:00"/>
        <d v="2023-08-18T00:00:00"/>
        <d v="2023-09-11T00:00:00"/>
        <d v="2024-05-31T00:00:00"/>
        <d v="2025-05-08T00:00:00"/>
        <d v="2025-09-04T00:00:00"/>
        <d v="2023-01-24T00:00:00"/>
        <d v="2023-05-04T00:00:00"/>
        <d v="2024-10-12T00:00:00"/>
        <d v="2023-09-05T00:00:00"/>
        <d v="2024-08-19T00:00:00"/>
        <d v="2024-02-01T00:00:00"/>
        <d v="2024-06-21T00:00:00"/>
        <d v="2024-03-29T00:00:00"/>
        <d v="2023-10-11T00:00:00"/>
        <d v="2024-10-31T00:00:00"/>
        <d v="2024-03-12T00:00:00"/>
        <d v="2024-01-31T00:00:00"/>
        <d v="2025-04-18T00:00:00"/>
        <d v="2024-04-25T00:00:00"/>
        <d v="2023-01-23T00:00:00"/>
        <d v="2023-08-24T00:00:00"/>
        <d v="2023-04-01T00:00:00"/>
        <d v="2024-06-17T00:00:00"/>
        <d v="2025-08-26T00:00:00"/>
        <d v="2025-04-08T00:00:00"/>
        <d v="2025-09-19T00:00:00"/>
        <d v="2023-05-03T00:00:00"/>
        <d v="2025-08-10T00:00:00"/>
        <d v="2025-02-08T00:00:00"/>
        <d v="2024-12-07T00:00:00"/>
        <d v="2024-11-16T00:00:00"/>
        <d v="2025-02-24T00:00:00"/>
        <d v="2025-07-29T00:00:00"/>
        <d v="2025-04-17T00:00:00"/>
        <d v="2023-02-19T00:00:00"/>
        <d v="2024-08-23T00:00:00"/>
        <d v="2023-07-14T00:00:00"/>
        <d v="2024-05-11T00:00:00"/>
        <d v="2024-09-01T00:00:00"/>
        <d v="2023-02-26T00:00:00"/>
        <d v="2024-07-19T00:00:00"/>
        <d v="2023-05-01T00:00:00"/>
        <d v="2025-01-08T00:00:00"/>
        <d v="2025-08-29T00:00:00"/>
        <d v="2024-11-09T00:00:00"/>
        <d v="2024-03-02T00:00:00"/>
        <d v="2024-03-26T00:00:00"/>
        <d v="2024-02-14T00:00:00"/>
        <d v="2024-02-05T00:00:00"/>
        <d v="2025-01-25T00:00:00"/>
        <d v="2025-02-17T00:00:00"/>
        <d v="2023-05-27T00:00:00"/>
        <d v="2024-01-11T00:00:00"/>
        <d v="2024-08-14T00:00:00"/>
        <d v="2023-05-05T00:00:00"/>
        <d v="2025-07-17T00:00:00"/>
        <d v="2025-04-26T00:00:00"/>
        <d v="2024-12-19T00:00:00"/>
        <d v="2023-03-30T00:00:00"/>
        <d v="2023-05-26T00:00:00"/>
        <d v="2024-05-29T00:00:00"/>
        <d v="2024-06-02T00:00:00"/>
        <d v="2024-05-13T00:00:00"/>
        <d v="2024-02-11T00:00:00"/>
        <d v="2025-04-05T00:00:00"/>
        <d v="2023-01-21T00:00:00"/>
        <d v="2023-02-13T00:00:00"/>
        <d v="2023-11-01T00:00:00"/>
        <d v="2024-07-17T00:00:00"/>
        <d v="2023-05-14T00:00:00"/>
        <d v="2023-01-20T00:00:00"/>
        <d v="2025-03-19T00:00:00"/>
        <d v="2023-08-14T00:00:00"/>
        <d v="2024-09-13T00:00:00"/>
        <d v="2024-10-08T00:00:00"/>
        <d v="2023-07-17T00:00:00"/>
        <d v="2025-07-10T00:00:00"/>
        <d v="2025-09-25T00:00:00"/>
        <d v="2025-05-30T00:00:00"/>
        <d v="2024-04-03T00:00:00"/>
        <d v="2023-05-09T00:00:00"/>
        <d v="2023-01-11T00:00:00"/>
        <d v="2023-10-23T00:00:00"/>
        <d v="2023-06-04T00:00:00"/>
        <d v="2023-11-29T00:00:00"/>
        <d v="2024-10-24T00:00:00"/>
        <d v="2024-03-06T00:00:00"/>
        <d v="2024-08-01T00:00:00"/>
        <d v="2024-04-14T00:00:00"/>
        <d v="2024-08-13T00:00:00"/>
        <d v="2025-05-14T00:00:00"/>
        <d v="2025-01-09T00:00:00"/>
        <d v="2024-05-17T00:00:00"/>
        <d v="2023-11-03T00:00:00"/>
        <d v="2023-12-01T00:00:00"/>
        <d v="2024-09-12T00:00:00"/>
        <d v="2024-03-11T00:00:00"/>
        <d v="2025-04-19T00:00:00"/>
        <d v="2023-07-31T00:00:00"/>
        <d v="2024-11-26T00:00:00"/>
        <d v="2025-04-02T00:00:00"/>
        <d v="2024-12-26T00:00:00"/>
        <d v="2025-04-07T00:00:00"/>
        <d v="2024-05-09T00:00:00"/>
        <d v="2023-10-17T00:00:00"/>
        <d v="2023-10-30T00:00:00"/>
        <d v="2023-03-16T00:00:00"/>
        <d v="2023-08-31T00:00:00"/>
        <d v="2023-12-30T00:00:00"/>
        <d v="2023-11-11T00:00:00"/>
        <d v="2024-12-14T00:00:00"/>
        <d v="2024-12-20T00:00:00"/>
        <d v="2024-10-18T00:00:00"/>
        <d v="2024-11-19T00:00:00"/>
        <d v="2025-06-05T00:00:00"/>
        <d v="2023-03-26T00:00:00"/>
        <d v="2024-10-02T00:00:00"/>
        <d v="2023-10-07T00:00:00"/>
        <d v="2025-09-16T00:00:00"/>
        <d v="2024-01-13T00:00:00"/>
        <d v="2023-07-15T00:00:00"/>
        <d v="2023-06-03T00:00:00"/>
        <d v="2023-02-21T00:00:00"/>
        <d v="2024-03-16T00:00:00"/>
        <d v="2023-07-09T00:00:00"/>
        <d v="2025-03-15T00:00:00"/>
        <d v="2025-05-17T00:00:00"/>
        <d v="2025-09-06T00:00:00"/>
        <d v="2025-02-03T00:00:00"/>
        <d v="2024-05-19T00:00:00"/>
        <d v="2025-09-27T00:00:00"/>
        <d v="2024-08-28T00:00:00"/>
        <d v="2023-11-10T00:00:00"/>
        <d v="2023-07-18T00:00:00"/>
        <d v="2023-03-29T00:00:00"/>
        <d v="2023-02-02T00:00:00"/>
        <d v="2025-09-05T00:00:00"/>
        <d v="2024-01-04T00:00:00"/>
        <d v="2024-04-18T00:00:00"/>
        <d v="2024-07-06T00:00:00"/>
        <d v="2023-04-08T00:00:00"/>
        <d v="2025-02-25T00:00:00"/>
        <d v="2024-07-04T00:00:00"/>
        <d v="2024-05-03T00:00:00"/>
        <d v="2024-05-05T00:00:00"/>
        <d v="2024-06-01T00:00:00"/>
        <d v="2025-08-27T00:00:00"/>
        <d v="2023-02-09T00:00:00"/>
        <d v="2023-06-27T00:00:00"/>
        <d v="2023-07-05T00:00:00"/>
        <d v="2025-09-07T00:00:00"/>
        <d v="2025-07-27T00:00:00"/>
        <d v="2023-04-04T00:00:00"/>
        <d v="2024-11-08T00:00:00"/>
        <d v="2024-10-09T00:00:00"/>
        <d v="2025-07-02T00:00:00"/>
        <d v="2024-07-30T00:00:00"/>
        <d v="2024-02-16T00:00:00"/>
        <d v="2025-07-15T00:00:00"/>
        <d v="2025-05-11T00:00:00"/>
        <d v="2025-06-28T00:00:00"/>
        <d v="2025-07-07T00:00:00"/>
        <d v="2025-07-08T00:00:00"/>
        <d v="2023-11-28T00:00:00"/>
        <d v="2023-02-16T00:00:00"/>
        <d v="2024-06-13T00:00:00"/>
        <d v="2024-11-10T00:00:00"/>
        <d v="2024-03-05T00:00:00"/>
        <d v="2023-03-09T00:00:00"/>
        <d v="2025-07-20T00:00:00"/>
        <d v="2024-10-03T00:00:00"/>
        <d v="2023-12-18T00:00:00"/>
        <d v="2023-12-21T00:00:00"/>
        <d v="2025-08-14T00:00:00"/>
        <d v="2023-05-19T00:00:00"/>
        <d v="2024-06-11T00:00:00"/>
        <d v="2023-02-01T00:00:00"/>
        <d v="2024-04-06T00:00:00"/>
        <d v="2023-12-05T00:00:00"/>
        <d v="2024-07-10T00:00:00"/>
        <d v="2024-12-17T00:00:00"/>
        <d v="2023-01-04T00:00:00"/>
        <d v="2023-12-26T00:00:00"/>
        <d v="2025-04-21T00:00:00"/>
        <d v="2023-10-25T00:00:00"/>
        <d v="2023-07-13T00:00:00"/>
        <d v="2025-07-25T00:00:00"/>
        <d v="2025-06-12T00:00:00"/>
        <d v="2024-09-28T00:00:00"/>
        <d v="2023-03-01T00:00:00"/>
        <d v="2024-03-19T00:00:00"/>
        <d v="2023-04-22T00:00:00"/>
        <d v="2023-06-19T00:00:00"/>
        <d v="2023-09-15T00:00:00"/>
        <d v="2025-06-08T00:00:00"/>
        <d v="2025-09-15T00:00:00"/>
        <d v="2023-07-25T00:00:00"/>
        <d v="2025-02-05T00:00:00"/>
        <d v="2024-08-26T00:00:00"/>
        <d v="2024-10-29T00:00:00"/>
        <d v="2024-06-18T00:00:00"/>
        <d v="2025-02-16T00:00:00"/>
        <d v="2025-08-02T00:00:00"/>
        <d v="2023-01-17T00:00:00"/>
        <d v="2025-03-22T00:00:00"/>
        <d v="2023-10-14T00:00:00"/>
        <d v="2023-02-08T00:00:00"/>
        <d v="2023-03-15T00:00:00"/>
        <d v="2023-02-03T00:00:00"/>
        <d v="2025-02-11T00:00:00"/>
        <d v="2024-04-17T00:00:00"/>
        <d v="2024-09-24T00:00:00"/>
        <d v="2025-04-09T00:00:00"/>
        <d v="2023-01-29T00:00:00"/>
        <d v="2025-07-26T00:00:00"/>
        <d v="2024-05-24T00:00:00"/>
        <d v="2024-09-23T00:00:00"/>
        <d v="2024-12-10T00:00:00"/>
        <d v="2024-08-07T00:00:00"/>
        <d v="2025-02-01T00:00:00"/>
        <d v="2024-04-08T00:00:00"/>
        <d v="2024-06-20T00:00:00"/>
        <d v="2025-05-29T00:00:00"/>
        <d v="2024-04-24T00:00:00"/>
        <d v="2024-04-27T00:00:00"/>
        <d v="2025-03-30T00:00:00"/>
        <d v="2025-04-30T00:00:00"/>
        <d v="2023-12-06T00:00:00"/>
        <d v="2024-03-18T00:00:00"/>
        <d v="2024-09-22T00:00:00"/>
        <d v="2024-05-14T00:00:00"/>
        <d v="2023-08-06T00:00:00"/>
        <d v="2024-11-13T00:00:00"/>
        <d v="2023-01-05T00:00:00"/>
        <d v="2025-03-01T00:00:00"/>
        <d v="2023-08-17T00:00:00"/>
        <d v="2024-08-12T00:00:00"/>
        <d v="2024-03-08T00:00:00"/>
        <d v="2023-10-24T00:00:00"/>
        <d v="2023-07-26T00:00:00"/>
        <d v="2025-06-02T00:00:00"/>
        <d v="2025-05-13T00:00:00"/>
        <d v="2024-04-01T00:00:00"/>
        <d v="2023-05-28T00:00:00"/>
        <d v="2023-04-06T00:00:00"/>
        <d v="2023-03-12T00:00:00"/>
        <d v="2025-03-23T00:00:00"/>
        <d v="2023-05-15T00:00:00"/>
        <d v="2025-03-02T00:00:00"/>
        <d v="2024-12-13T00:00:00"/>
        <d v="2024-08-09T00:00:00"/>
        <d v="2023-12-27T00:00:00"/>
        <d v="2024-01-08T00:00:00"/>
        <d v="2023-09-24T00:00:00"/>
        <d v="2024-08-17T00:00:00"/>
        <d v="2024-07-11T00:00:00"/>
        <d v="2024-10-28T00:00:00"/>
        <d v="2024-01-05T00:00:00"/>
        <d v="2025-05-03T00:00:00"/>
        <d v="2023-02-12T00:00:00"/>
        <d v="2023-07-16T00:00:00"/>
        <d v="2025-01-17T00:00:00"/>
        <d v="2024-05-21T00:00:00"/>
        <d v="2023-03-02T00:00:00"/>
        <d v="2023-10-15T00:00:00"/>
        <d v="2025-01-01T00:00:00"/>
        <d v="2023-05-24T00:00:00"/>
        <d v="2023-04-15T00:00:00"/>
        <d v="2023-01-14T00:00:00"/>
        <d v="2023-07-23T00:00:00"/>
        <d v="2024-12-04T00:00:00"/>
        <d v="2024-06-25T00:00:00"/>
        <d v="2025-07-23T00:00:00"/>
        <d v="2023-12-14T00:00:00"/>
        <d v="2024-03-27T00:00:00"/>
        <d v="2023-06-13T00:00:00"/>
        <d v="2024-04-20T00:00:00"/>
        <d v="2024-07-27T00:00:00"/>
        <d v="2023-01-31T00:00:00"/>
        <d v="2024-01-22T00:00:00"/>
        <d v="2023-08-10T00:00:00"/>
        <d v="2023-02-11T00:00:00"/>
        <d v="2025-07-22T00:00:00"/>
        <d v="2023-07-01T00:00:00"/>
        <d v="2024-03-30T00:00:00"/>
        <d v="2024-04-19T00:00:00"/>
        <d v="2025-04-01T00:00:00"/>
        <d v="2023-11-15T00:00:00"/>
        <d v="2024-12-11T00:00:00"/>
        <d v="2024-11-07T00:00:00"/>
        <d v="2023-07-19T00:00:00"/>
        <d v="2025-05-19T00:00:00"/>
        <d v="2024-02-26T00:00:00"/>
        <d v="2025-07-28T00:00:00"/>
        <d v="2024-05-27T00:00:00"/>
        <d v="2023-02-27T00:00:00"/>
        <d v="2025-07-14T00:00:00"/>
        <d v="2023-01-15T00:00:00"/>
        <d v="2023-11-12T00:00:00"/>
        <d v="2024-09-30T00:00:00"/>
        <d v="2024-11-23T00:00:00"/>
        <d v="2025-09-01T00:00:00"/>
        <d v="2024-01-24T00:00:00"/>
        <d v="2025-04-23T00:00:00"/>
        <d v="2024-08-10T00:00:00"/>
        <d v="2025-08-31T00:00:00"/>
        <d v="2024-03-23T00:00:00"/>
        <d v="2023-01-02T00:00:00"/>
        <d v="2024-11-15T00:00:00"/>
        <d v="2025-06-18T00:00:00"/>
        <d v="2025-09-13T00:00:00"/>
        <d v="2024-09-07T00:00:00"/>
        <d v="2023-05-08T00:00:00"/>
        <d v="2024-11-27T00:00:00"/>
        <d v="2024-06-19T00:00:00"/>
        <d v="2025-07-05T00:00:00"/>
        <d v="2024-07-24T00:00:00"/>
        <d v="2024-01-29T00:00:00"/>
        <d v="2024-10-06T00:00:00"/>
        <d v="2023-12-16T00:00:00"/>
        <d v="2025-03-05T00:00:00"/>
        <d v="2025-02-18T00:00:00"/>
        <d v="2024-01-07T00:00:00"/>
        <d v="2025-07-13T00:00:00"/>
        <d v="2025-09-21T00:00:00"/>
        <d v="2023-03-23T00:00:00"/>
        <d v="2025-04-11T00:00:00"/>
        <d v="2024-01-23T00:00:00"/>
        <d v="2023-02-25T00:00:00"/>
        <d v="2025-08-05T00:00:00"/>
        <d v="2023-03-21T00:00:00"/>
        <d v="2023-11-05T00:00:00"/>
        <d v="2024-05-07T00:00:00"/>
        <d v="2023-03-05T00:00:00"/>
        <d v="2025-01-19T00:00:00"/>
        <d v="2025-06-03T00:00:00"/>
        <d v="2024-12-09T00:00:00"/>
        <d v="2024-10-13T00:00:00"/>
        <d v="2024-11-05T00:00:00"/>
        <d v="2025-02-14T00:00:00"/>
        <d v="2024-12-12T00:00:00"/>
        <d v="2025-05-12T00:00:00"/>
        <d v="2025-01-23T00:00:00"/>
        <d v="2023-11-27T00:00:00"/>
        <d v="2023-08-13T00:00:00"/>
        <d v="2024-12-02T00:00:00"/>
        <d v="2023-10-28T00:00:00"/>
        <d v="2025-09-17T00:00:00"/>
        <d v="2025-07-31T00:00:00"/>
        <d v="2024-08-20T00:00:00"/>
        <d v="2024-09-09T00:00:00"/>
        <d v="2023-01-13T00:00:00"/>
        <d v="2023-01-10T00:00:00"/>
        <d v="2023-10-13T00:00:00"/>
        <d v="2025-08-03T00:00:00"/>
        <d v="2023-01-28T00:00:00"/>
        <d v="2023-12-19T00:00:00"/>
        <d v="2024-01-25T00:00:00"/>
        <d v="2024-02-07T00:00:00"/>
        <d v="2024-02-10T00:00:00"/>
        <d v="2023-03-07T00:00:00"/>
        <d v="2023-11-21T00:00:00"/>
        <d v="2025-01-21T00:00:00"/>
        <d v="2023-06-17T00:00:00"/>
        <d v="2023-11-20T00:00:00"/>
        <d v="2023-09-09T00:00:00"/>
        <d v="2023-09-06T00:00:00"/>
        <d v="2024-01-17T00:00:00"/>
        <d v="2023-09-27T00:00:00"/>
        <d v="2025-04-10T00:00:00"/>
        <d v="2024-08-15T00:00:00"/>
        <d v="2024-10-15T00:00:00"/>
        <d v="2025-04-25T00:00:00"/>
        <d v="2023-12-28T00:00:00"/>
        <d v="2025-06-04T00:00:00"/>
        <d v="2024-04-04T00:00:00"/>
        <d v="2025-02-06T00:00:00"/>
        <d v="2023-07-11T00:00:00"/>
        <d v="2024-12-25T00:00:00"/>
        <d v="2023-06-23T00:00:00"/>
        <d v="2023-12-09T00:00:00"/>
        <d v="2024-11-14T00:00:00"/>
        <d v="2023-10-04T00:00:00"/>
        <d v="2025-01-26T00:00:00"/>
        <d v="2025-09-26T00:00:00"/>
        <d v="2024-11-21T00:00:00"/>
        <d v="2025-03-16T00:00:00"/>
        <d v="2025-06-07T00:00:00"/>
        <d v="2025-02-27T00:00:00"/>
        <d v="2023-07-20T00:00:00"/>
        <d v="2024-06-04T00:00:00"/>
        <d v="2024-02-21T00:00:00"/>
        <d v="2023-06-26T00:00:00"/>
        <d v="2023-12-17T00:00:00"/>
        <d v="2025-04-06T00:00:00"/>
        <d v="2023-09-18T00:00:00"/>
        <d v="2025-09-10T00:00:00"/>
        <d v="2024-12-18T00:00:00"/>
        <d v="2023-02-28T00:00:00"/>
        <d v="2024-06-27T00:00:00"/>
        <d v="2023-06-25T00:00:00"/>
        <d v="2025-08-23T00:00:00"/>
        <d v="2025-03-06T00:00:00"/>
        <d v="2025-08-21T00:00:00"/>
        <d v="2025-01-11T00:00:00"/>
        <d v="2023-10-01T00:00:00"/>
        <d v="2024-07-09T00:00:00"/>
        <d v="2024-06-10T00:00:00"/>
        <d v="2023-09-17T00:00:00"/>
        <d v="2024-03-17T00:00:00"/>
        <d v="2023-12-04T00:00:00"/>
        <d v="2024-08-11T00:00:00"/>
        <d v="2024-10-16T00:00:00"/>
        <d v="2023-04-29T00:00:00"/>
        <d v="2024-12-30T00:00:00"/>
        <d v="2024-11-03T00:00:00"/>
        <d v="2024-05-15T00:00:00"/>
        <d v="2023-05-30T00:00:00"/>
        <d v="2023-11-02T00:00:00"/>
        <d v="2024-06-15T00:00:00"/>
        <d v="2024-05-18T00:00:00"/>
        <d v="2025-02-09T00:00:00"/>
        <d v="2024-09-27T00:00:00"/>
        <d v="2025-01-29T00:00:00"/>
        <d v="2023-09-03T00:00:00"/>
        <d v="2024-04-15T00:00:00"/>
        <d v="2023-06-29T00:00:00"/>
        <d v="2024-02-17T00:00:00"/>
        <d v="2025-05-28T00:00:00"/>
        <d v="2025-01-31T00:00:00"/>
        <d v="2023-07-22T00:00:00"/>
        <d v="2025-09-18T00:00:00"/>
        <d v="2023-02-05T00:00:00"/>
        <d v="2024-02-24T00:00:00"/>
        <d v="2024-06-08T00:00:00"/>
        <d v="2023-08-03T00:00:00"/>
        <d v="2024-02-25T00:00:00"/>
        <d v="2024-12-27T00:00:00"/>
        <d v="2025-06-25T00:00:00"/>
        <d v="2024-07-08T00:00:00"/>
        <d v="2024-10-19T00:00:00"/>
        <d v="2024-03-13T00:00:00"/>
        <d v="2024-03-28T00:00:00"/>
        <d v="2023-05-29T00:00:00"/>
        <d v="2023-03-27T00:00:00"/>
        <d v="2025-06-24T00:00:00"/>
        <d v="2025-01-14T00:00:00"/>
        <d v="2025-05-23T00:00:00"/>
        <d v="2024-01-27T00:00:00"/>
        <d v="2024-02-28T00:00:00"/>
        <d v="2024-11-02T00:00:00"/>
        <d v="2023-06-30T00:00:00"/>
        <d v="2024-04-23T00:00:00"/>
        <d v="2025-06-23T00:00:00"/>
        <d v="2024-02-18T00:00:00"/>
        <d v="2023-11-25T00:00:00"/>
        <d v="2023-04-18T00:00:00"/>
        <d v="2024-08-08T00:00:00"/>
        <d v="2023-09-10T00:00:00"/>
        <d v="2025-09-20T00:00:00"/>
        <d v="2023-06-11T00:00:00"/>
        <d v="2024-04-29T00:00:00"/>
        <d v="2024-01-16T00:00:00"/>
        <d v="2024-11-06T00:00:00"/>
        <d v="2025-08-25T00:00:00"/>
        <d v="2025-09-09T00:00:00"/>
        <d v="2024-06-28T00:00:00"/>
        <d v="2025-03-24T00:00:00"/>
        <d v="2023-05-06T00:00:00"/>
        <d v="2023-06-22T00:00:00"/>
        <d v="2023-04-28T00:00:00"/>
        <d v="2024-04-26T00:00:00"/>
        <d v="2024-04-13T00:00:00"/>
        <d v="2025-07-24T00:00:00"/>
        <d v="2025-05-07T00:00:00"/>
        <d v="2024-09-25T00:00:00"/>
        <d v="2024-08-18T00:00:00"/>
        <d v="2023-11-30T00:00:00"/>
        <d v="2024-05-16T00:00:00"/>
        <d v="2023-03-06T00:00:00"/>
        <d v="2025-02-28T00:00:00"/>
        <d v="2024-10-26T00:00:00"/>
        <d v="2023-12-20T00:00:00"/>
        <d v="2024-12-08T00:00:00"/>
        <d v="2025-05-09T00:00:00"/>
        <d v="2023-12-29T00:00:00"/>
        <d v="2024-12-03T00:00:00"/>
        <d v="2025-05-24T00:00:00"/>
        <d v="2024-02-29T00:00:00"/>
        <d v="2024-06-26T00:00:00"/>
        <d v="2024-07-20T00:00:00"/>
        <d v="2024-08-03T00:00:00"/>
        <d v="2024-04-10T00:00:00"/>
        <d v="2024-07-01T00:00:00"/>
        <d v="2024-07-23T00:00:00"/>
        <d v="2024-09-11T00:00:00"/>
        <d v="2025-04-03T00:00:00"/>
        <d v="2025-05-02T00:00:00"/>
        <d v="2023-04-02T00:00:00"/>
        <d v="2024-03-25T00:00:00"/>
        <d v="2025-04-13T00:00:00"/>
        <d v="2023-10-12T00:00:00"/>
        <d v="2023-11-07T00:00:00"/>
        <d v="2025-06-27T00:00:00"/>
        <d v="2024-08-29T00:00:00"/>
        <d v="2023-06-16T00:00:00"/>
        <d v="2024-10-20T00:00:00"/>
        <d v="2025-08-08T00:00:00"/>
        <d v="2023-06-07T00:00:00"/>
        <d v="2024-11-20T00:00:00"/>
        <d v="2025-09-23T00:00:00"/>
        <d v="2025-03-04T00:00:00"/>
        <d v="2024-01-03T00:00:00"/>
        <d v="2024-07-14T00:00:00"/>
        <d v="2025-04-22T00:00:00"/>
        <d v="2024-08-31T00:00:00"/>
        <d v="2025-05-05T00:00:00"/>
        <d v="2023-12-24T00:00:00"/>
        <d v="2025-06-20T00:00:00"/>
        <d v="2023-05-17T00:00:00"/>
        <d v="2025-04-15T00:00:00"/>
        <d v="2023-11-24T00:00:00"/>
        <d v="2025-09-11T00:00:00"/>
        <d v="2025-07-09T00:00:00"/>
        <d v="2023-04-03T00:00:00"/>
        <d v="2024-10-21T00:00:00"/>
        <d v="2023-11-14T00:00:00"/>
        <d v="2023-03-17T00:00:00"/>
        <d v="2024-01-30T00:00:00"/>
        <d v="2025-09-03T00:00:00"/>
        <d v="2024-02-02T00:00:00"/>
        <d v="2024-08-04T00:00:00"/>
        <d v="2025-06-11T00:00:00"/>
        <d v="2024-09-05T00:00:00"/>
        <d v="2024-08-25T00:00:00"/>
        <d v="2024-01-02T00:00:00"/>
        <d v="2024-09-16T00:00:00"/>
        <d v="2024-03-14T00:00:00"/>
        <d v="2025-06-13T00:00:00"/>
        <d v="2025-05-15T00:00:00"/>
        <d v="2023-05-18T00:00:00"/>
        <d v="2024-06-09T00:00:00"/>
        <d v="2023-06-02T00:00:00"/>
        <d v="2025-05-10T00:00:00"/>
        <d v="2023-04-10T00:00:00"/>
        <d v="2024-01-15T00:00:00"/>
        <d v="2023-04-26T00:00:00"/>
        <d v="2024-02-04T00:00:00"/>
        <d v="2023-01-22T00:00:00"/>
        <d v="2024-11-25T00:00:00"/>
        <d v="2024-10-11T00:00:00"/>
        <d v="2024-09-17T00:00:00"/>
        <d v="2023-02-22T00:00:00"/>
        <d v="2023-02-15T00:00:00"/>
        <d v="2023-04-27T00:00:00"/>
        <d v="2023-11-19T00:00:00"/>
        <d v="2023-04-19T00:00:00"/>
        <d v="2024-04-16T00:00:00"/>
        <d v="2023-04-24T00:00:00"/>
        <d v="2024-12-31T00:00:00"/>
        <d v="2024-08-16T00:00:00"/>
        <d v="2024-05-28T00:00:00"/>
        <d v="2024-02-22T00:00:00"/>
        <d v="2023-10-27T00:00:00"/>
        <d v="2024-07-02T00:00:00"/>
        <d v="2025-07-30T00:00:00"/>
        <d v="2024-09-06T00:00:00"/>
        <d v="2025-08-12T00:00:00"/>
        <d v="2023-08-09T00:00:00"/>
        <d v="2025-07-21T00:00:00"/>
        <d v="2024-01-10T00:00:00"/>
        <d v="2023-01-07T00:00:00"/>
        <d v="2024-06-05T00:00:00"/>
        <d v="2025-08-20T00:00:00"/>
        <d v="2024-02-08T00:00:00"/>
        <d v="2024-09-18T00:00:00"/>
        <d v="2023-07-29T00:00:00"/>
        <d v="2023-02-06T00:00:00"/>
        <d v="2024-03-22T00:00:00"/>
        <d v="2023-10-10T00:00:00"/>
        <d v="2025-07-01T00:00:00"/>
        <d v="2023-07-07T00:00:00"/>
        <d v="2023-01-18T00:00:00"/>
        <d v="2025-05-16T00:00:00"/>
        <d v="2023-11-06T00:00:00"/>
        <d v="2023-01-27T00:00:00"/>
        <d v="2023-06-15T00:00:00"/>
        <d v="2023-08-12T00:00:00"/>
        <d v="2025-02-22T00:00:00"/>
        <d v="2024-05-10T00:00:00"/>
        <d v="2023-05-20T00:00:00"/>
        <d v="2023-05-02T00:00:00"/>
        <d v="2025-04-24T00:00:00"/>
        <d v="2025-01-15T00:00:00"/>
        <d v="2023-04-12T00:00:00"/>
        <d v="2023-10-26T00:00:00"/>
        <d v="2025-03-27T00:00:00"/>
        <d v="2024-09-21T00:00:00"/>
        <d v="2025-05-22T00:00:00"/>
        <d v="2024-06-12T00:00:00"/>
        <d v="2024-02-09T00:00:00"/>
        <d v="2024-10-25T00:00:00"/>
        <d v="2023-10-06T00:00:00"/>
        <d v="2023-11-16T00:00:00"/>
        <d v="2025-03-14T00:00:00"/>
        <d v="2024-04-12T00:00:00"/>
        <d v="2025-05-20T00:00:00"/>
        <d v="2024-01-20T00:00:00"/>
        <d v="2025-02-23T00:00:00"/>
        <d v="2023-04-13T00:00:00"/>
        <d v="2024-03-03T00:00:00"/>
        <d v="2024-03-01T00:00:00"/>
        <d v="2023-06-01T00:00:00"/>
        <d v="2024-08-24T00:00:00"/>
        <d v="2025-07-16T00:00:00"/>
        <d v="2025-02-12T00:00:00"/>
        <d v="2024-10-01T00:00:00"/>
        <d v="2023-07-04T00:00:00"/>
        <d v="2024-05-22T00:00:00"/>
        <d v="2025-03-12T00:00:00"/>
        <d v="2024-05-12T00:00:00"/>
        <d v="2023-12-03T00:00:00"/>
        <d v="2024-04-11T00:00:00"/>
        <d v="2023-07-30T00:00:00"/>
        <d v="2023-03-22T00:00:00"/>
        <d v="2023-03-04T00:00:00"/>
        <d v="2025-09-24T00:00:00"/>
        <d v="2025-06-17T00:00:00"/>
        <d v="2024-08-30T00:00:00"/>
        <d v="2024-06-22T00:00:00"/>
        <d v="2024-04-05T00:00:00"/>
        <d v="2023-08-25T00:00:00"/>
        <d v="2025-03-10T00:00:00"/>
        <d v="2023-06-21T00:00:00"/>
        <d v="2023-12-31T00:00:00"/>
        <d v="2024-05-06T00:00:00"/>
        <d v="2024-07-28T00:00:00"/>
        <d v="2023-11-09T00:00:00"/>
        <d v="2023-11-08T00:00:00"/>
        <d v="2023-09-04T00:00:00"/>
        <d v="2024-04-28T00:00:00"/>
        <d v="2025-01-04T00:00:00"/>
        <d v="2023-12-25T00:00:00"/>
        <d v="2024-09-14T00:00:00"/>
        <d v="2024-02-23T00:00:00"/>
        <d v="2024-06-03T00:00:00"/>
        <d v="2023-10-02T00:00:00"/>
        <d v="2025-04-20T00:00:00"/>
        <d v="2023-01-06T00:00:00"/>
        <d v="2025-05-25T00:00:00"/>
        <d v="2023-08-02T00:00:00"/>
        <d v="2024-01-09T00:00:00"/>
        <d v="2025-03-18T00:00:00"/>
        <d v="2024-07-05T00:00:00"/>
        <d v="2023-09-20T00:00:00"/>
        <d v="2023-08-01T00:00:00"/>
        <d v="2025-01-07T00:00:00"/>
        <d v="2023-12-02T00:00:00"/>
        <d v="2024-05-08T00:00:00"/>
        <d v="2025-01-28T00:00:00"/>
        <d v="2023-11-18T00:00:00"/>
        <d v="2025-03-11T00:00:00"/>
        <d v="2023-04-23T00:00:00"/>
        <d v="2024-02-15T00:00:00"/>
        <d v="2023-10-19T00:00:00"/>
        <d v="2025-05-31T00:00:00"/>
        <d v="2023-09-02T00:00:00"/>
        <d v="2023-12-07T00:00:00"/>
        <d v="2025-08-30T00:00:00"/>
        <d v="2024-06-07T00:00:00"/>
        <d v="2023-07-12T00:00:00"/>
        <d v="2023-06-09T00:00:00"/>
        <d v="2023-08-27T00:00:00"/>
        <d v="2023-09-21T00:00:00"/>
        <d v="2024-06-24T00:00:00"/>
        <d v="2024-06-29T00:00:00"/>
        <d v="2025-02-21T00:00:00"/>
        <d v="2025-04-04T00:00:00"/>
        <d v="2024-09-15T00:00:00"/>
        <d v="2024-05-25T00:00:00"/>
        <d v="2025-08-15T00:00:00"/>
        <d v="2025-07-18T00:00:00"/>
        <d v="2024-06-23T00:00:00"/>
        <d v="2023-06-28T00:00:00"/>
        <d v="2025-01-03T00:00:00"/>
        <d v="2023-01-19T00:00:00"/>
      </sharedItems>
      <fieldGroup par="22"/>
    </cacheField>
    <cacheField name="Discharge_Date" numFmtId="166">
      <sharedItems containsSemiMixedTypes="0" containsNonDate="0" containsDate="1" containsString="0" minDate="2023-01-05T00:00:00" maxDate="2025-10-20T00:00:00"/>
    </cacheField>
    <cacheField name="Diagnosis" numFmtId="0">
      <sharedItems count="10">
        <s v="Hypertension"/>
        <s v="Fracture"/>
        <s v="Migraine"/>
        <s v="Heart Disease"/>
        <s v="Diabetes"/>
        <s v="Kidney Disease"/>
        <s v="Stroke"/>
        <s v="Asthma"/>
        <s v="COVID-19"/>
        <s v="Pneumonia"/>
      </sharedItems>
    </cacheField>
    <cacheField name="Department" numFmtId="0">
      <sharedItems count="7">
        <s v="Cardiology"/>
        <s v="Orthopedics"/>
        <s v="Neurology"/>
        <s v="Endocrinology"/>
        <s v="Nephrology"/>
        <s v="Pulmonology"/>
        <s v="General Medicine"/>
      </sharedItems>
    </cacheField>
    <cacheField name="Doctor" numFmtId="0">
      <sharedItems count="8">
        <s v="Dr Patel"/>
        <s v="Dr Singh"/>
        <s v="Dr Gupta"/>
        <s v="Dr Rao"/>
        <s v="Dr Sharma"/>
        <s v="Dr Verma"/>
        <s v="Dr Mehta"/>
        <s v="Dr Iyer"/>
      </sharedItems>
    </cacheField>
    <cacheField name="Treatment_Cost_USD" numFmtId="0">
      <sharedItems containsSemiMixedTypes="0" containsString="0" containsNumber="1" minValue="682.6" maxValue="27714.03" count="3499">
        <n v="4260.53"/>
        <n v="5691.41"/>
        <n v="5061.49"/>
        <n v="17385.64"/>
        <n v="3612.63"/>
        <n v="4769.8"/>
        <n v="21099.599999999999"/>
        <n v="5967.06"/>
        <n v="16916.37"/>
        <n v="2833.18"/>
        <n v="17354.47"/>
        <n v="3497.71"/>
        <n v="4110.2700000000004"/>
        <n v="23080.18"/>
        <n v="2879.88"/>
        <n v="8909.5499999999993"/>
        <n v="2202.61"/>
        <n v="8922"/>
        <n v="4928.59"/>
        <n v="4739.5600000000004"/>
        <n v="19010.03"/>
        <n v="11109.05"/>
        <n v="11765.09"/>
        <n v="4092.24"/>
        <n v="3181.76"/>
        <n v="4782.1499999999996"/>
        <n v="4568.43"/>
        <n v="10649.35"/>
        <n v="5573.81"/>
        <n v="19447.509999999998"/>
        <n v="2314.0300000000002"/>
        <n v="8338.6299999999992"/>
        <n v="3682.21"/>
        <n v="4473.0600000000004"/>
        <n v="2214.2600000000002"/>
        <n v="11241.51"/>
        <n v="3284.22"/>
        <n v="7398.49"/>
        <n v="6394.09"/>
        <n v="3878.2"/>
        <n v="10946.49"/>
        <n v="4485.72"/>
        <n v="3886.99"/>
        <n v="20063.18"/>
        <n v="11625.96"/>
        <n v="3878.08"/>
        <n v="3009.17"/>
        <n v="6937.68"/>
        <n v="8343.15"/>
        <n v="8303.06"/>
        <n v="3949.66"/>
        <n v="3071.42"/>
        <n v="4871.3999999999996"/>
        <n v="9193.16"/>
        <n v="3547.2"/>
        <n v="8402.4699999999993"/>
        <n v="5730.07"/>
        <n v="13455.83"/>
        <n v="6551.85"/>
        <n v="4780.08"/>
        <n v="4251.95"/>
        <n v="2673.09"/>
        <n v="6917.6"/>
        <n v="7977.84"/>
        <n v="4148"/>
        <n v="8343.42"/>
        <n v="10196.74"/>
        <n v="6035"/>
        <n v="4999.66"/>
        <n v="5533.16"/>
        <n v="23009.599999999999"/>
        <n v="11670.92"/>
        <n v="5683.05"/>
        <n v="3637.81"/>
        <n v="6221.04"/>
        <n v="9631.76"/>
        <n v="7525.35"/>
        <n v="5857.74"/>
        <n v="3457.54"/>
        <n v="2472.79"/>
        <n v="6688.57"/>
        <n v="5717.42"/>
        <n v="4983.3999999999996"/>
        <n v="6612.12"/>
        <n v="7526.88"/>
        <n v="5968.64"/>
        <n v="9319.5300000000007"/>
        <n v="9550.59"/>
        <n v="14737.52"/>
        <n v="6014.63"/>
        <n v="4319.8"/>
        <n v="6870.27"/>
        <n v="6885.55"/>
        <n v="11343.17"/>
        <n v="10815.73"/>
        <n v="9837.69"/>
        <n v="3706.85"/>
        <n v="9093"/>
        <n v="13390.6"/>
        <n v="6188.89"/>
        <n v="16831.490000000002"/>
        <n v="3768.02"/>
        <n v="4527.96"/>
        <n v="4409.34"/>
        <n v="1885.44"/>
        <n v="8216.8799999999992"/>
        <n v="7048.19"/>
        <n v="8751.8700000000008"/>
        <n v="3585.35"/>
        <n v="10419.26"/>
        <n v="6634.68"/>
        <n v="2588.29"/>
        <n v="5761.31"/>
        <n v="6826.31"/>
        <n v="8066.61"/>
        <n v="1543.59"/>
        <n v="3086.55"/>
        <n v="2702.74"/>
        <n v="14881.79"/>
        <n v="21761.56"/>
        <n v="2176.87"/>
        <n v="9521.0400000000009"/>
        <n v="12684.57"/>
        <n v="6339.13"/>
        <n v="10280.11"/>
        <n v="10478.32"/>
        <n v="7147.98"/>
        <n v="5383.34"/>
        <n v="2244.39"/>
        <n v="7715.71"/>
        <n v="3369.52"/>
        <n v="9970.39"/>
        <n v="4303.38"/>
        <n v="7806.7"/>
        <n v="6613.49"/>
        <n v="6915.04"/>
        <n v="4695.29"/>
        <n v="10250.780000000001"/>
        <n v="10136.790000000001"/>
        <n v="5325.26"/>
        <n v="9794.9500000000007"/>
        <n v="20464.099999999999"/>
        <n v="10987.18"/>
        <n v="10680.91"/>
        <n v="2030.27"/>
        <n v="7456.65"/>
        <n v="10549.89"/>
        <n v="22432.18"/>
        <n v="11447.86"/>
        <n v="15725.39"/>
        <n v="5278.34"/>
        <n v="11814.13"/>
        <n v="6558.07"/>
        <n v="9024.09"/>
        <n v="13249.36"/>
        <n v="12513.91"/>
        <n v="1057.42"/>
        <n v="12248.38"/>
        <n v="13034.23"/>
        <n v="14223.07"/>
        <n v="1959.37"/>
        <n v="3027.28"/>
        <n v="3084.06"/>
        <n v="4606.88"/>
        <n v="9901.42"/>
        <n v="2411.2399999999998"/>
        <n v="7338.7"/>
        <n v="16746.689999999999"/>
        <n v="16136.26"/>
        <n v="2959.73"/>
        <n v="6416.6"/>
        <n v="2830.87"/>
        <n v="6219.8"/>
        <n v="1398.16"/>
        <n v="5532.43"/>
        <n v="4259.41"/>
        <n v="7903.87"/>
        <n v="13219.08"/>
        <n v="9143.2999999999993"/>
        <n v="3192.82"/>
        <n v="9068.1200000000008"/>
        <n v="4569.51"/>
        <n v="6702.94"/>
        <n v="2030.77"/>
        <n v="23251.91"/>
        <n v="8213.1299999999992"/>
        <n v="5398.84"/>
        <n v="7237.58"/>
        <n v="6283.9"/>
        <n v="12888.16"/>
        <n v="3111.33"/>
        <n v="13822.56"/>
        <n v="3023.69"/>
        <n v="2494.91"/>
        <n v="7173.48"/>
        <n v="8774.2099999999991"/>
        <n v="1379.93"/>
        <n v="6493.9"/>
        <n v="4379.88"/>
        <n v="13098.48"/>
        <n v="13252.46"/>
        <n v="3707.23"/>
        <n v="8682.25"/>
        <n v="13788.95"/>
        <n v="1499.21"/>
        <n v="8884.17"/>
        <n v="2332.54"/>
        <n v="5835.18"/>
        <n v="8267.59"/>
        <n v="3739.16"/>
        <n v="24261.74"/>
        <n v="7292.93"/>
        <n v="4876.82"/>
        <n v="7902.68"/>
        <n v="2268.98"/>
        <n v="3301.31"/>
        <n v="9028.7999999999993"/>
        <n v="21985.84"/>
        <n v="6938.76"/>
        <n v="6570.42"/>
        <n v="14153.7"/>
        <n v="8325.44"/>
        <n v="8843.98"/>
        <n v="10239.19"/>
        <n v="9982.2199999999993"/>
        <n v="3937.84"/>
        <n v="3559.97"/>
        <n v="3634.76"/>
        <n v="3748.74"/>
        <n v="11048.14"/>
        <n v="3532.11"/>
        <n v="2883.71"/>
        <n v="3303.21"/>
        <n v="4264.9399999999996"/>
        <n v="11129.21"/>
        <n v="14543.09"/>
        <n v="13055.12"/>
        <n v="1014.53"/>
        <n v="4667.4799999999996"/>
        <n v="13844.27"/>
        <n v="10517.9"/>
        <n v="13073.05"/>
        <n v="5425.67"/>
        <n v="7355.19"/>
        <n v="16805.03"/>
        <n v="12399.41"/>
        <n v="9719.1299999999992"/>
        <n v="8577.11"/>
        <n v="4758.1000000000004"/>
        <n v="5535.23"/>
        <n v="3039.48"/>
        <n v="5312.95"/>
        <n v="13033.54"/>
        <n v="1868.35"/>
        <n v="10628.31"/>
        <n v="4692.1099999999997"/>
        <n v="7772.2"/>
        <n v="20106.25"/>
        <n v="9474.1200000000008"/>
        <n v="7054.87"/>
        <n v="1964.01"/>
        <n v="3207.76"/>
        <n v="6202.83"/>
        <n v="11683.78"/>
        <n v="11395.03"/>
        <n v="13098.45"/>
        <n v="11132.85"/>
        <n v="812.24"/>
        <n v="11342.64"/>
        <n v="4822.38"/>
        <n v="9063.43"/>
        <n v="2691.09"/>
        <n v="3515.59"/>
        <n v="9931.64"/>
        <n v="13113.69"/>
        <n v="7230.42"/>
        <n v="3097.64"/>
        <n v="19240.07"/>
        <n v="8033.15"/>
        <n v="11717.01"/>
        <n v="7073.48"/>
        <n v="2535.0500000000002"/>
        <n v="14708.3"/>
        <n v="9767.0400000000009"/>
        <n v="11581.73"/>
        <n v="10348.379999999999"/>
        <n v="4814.47"/>
        <n v="11040.69"/>
        <n v="6109.59"/>
        <n v="9403.61"/>
        <n v="2327.96"/>
        <n v="12477.03"/>
        <n v="10116.200000000001"/>
        <n v="9368.99"/>
        <n v="8743"/>
        <n v="5844.94"/>
        <n v="7587.93"/>
        <n v="3358.55"/>
        <n v="9165.2099999999991"/>
        <n v="7897.92"/>
        <n v="11820.76"/>
        <n v="15539.91"/>
        <n v="11372.99"/>
        <n v="3214.77"/>
        <n v="7121.56"/>
        <n v="3477.95"/>
        <n v="5300.94"/>
        <n v="12464.45"/>
        <n v="5270.61"/>
        <n v="4129.87"/>
        <n v="8422.61"/>
        <n v="5146.2700000000004"/>
        <n v="15858.99"/>
        <n v="11684.33"/>
        <n v="11514.92"/>
        <n v="10775.19"/>
        <n v="8629.49"/>
        <n v="3988.37"/>
        <n v="24911.69"/>
        <n v="11401.62"/>
        <n v="12893.48"/>
        <n v="7491.25"/>
        <n v="8534"/>
        <n v="8704.4699999999993"/>
        <n v="20712.52"/>
        <n v="2550.67"/>
        <n v="3935.2"/>
        <n v="4549.34"/>
        <n v="13527.26"/>
        <n v="18126.09"/>
        <n v="5735.99"/>
        <n v="3885.45"/>
        <n v="2709.35"/>
        <n v="11182.86"/>
        <n v="5132.95"/>
        <n v="9384.2000000000007"/>
        <n v="2340.9699999999998"/>
        <n v="3729.27"/>
        <n v="4262.8500000000004"/>
        <n v="11871.39"/>
        <n v="20749.29"/>
        <n v="7313.87"/>
        <n v="14392.23"/>
        <n v="12202.1"/>
        <n v="11611.59"/>
        <n v="13119.27"/>
        <n v="2431.92"/>
        <n v="18963.64"/>
        <n v="23923.3"/>
        <n v="11373.35"/>
        <n v="8330.7900000000009"/>
        <n v="11244.15"/>
        <n v="13388.64"/>
        <n v="12313.31"/>
        <n v="10327.24"/>
        <n v="10310.94"/>
        <n v="10701.9"/>
        <n v="9373.92"/>
        <n v="3411.39"/>
        <n v="14200.74"/>
        <n v="10745.4"/>
        <n v="7041.61"/>
        <n v="14312.75"/>
        <n v="4316.41"/>
        <n v="1607.51"/>
        <n v="3678.14"/>
        <n v="6204.64"/>
        <n v="26290.39"/>
        <n v="16632.45"/>
        <n v="8399.9"/>
        <n v="8736.9599999999991"/>
        <n v="7070.97"/>
        <n v="1881.7"/>
        <n v="11834.31"/>
        <n v="9218.02"/>
        <n v="23338.32"/>
        <n v="5591.47"/>
        <n v="11753.57"/>
        <n v="15738.78"/>
        <n v="24639.040000000001"/>
        <n v="4519.38"/>
        <n v="2206.2199999999998"/>
        <n v="2527.06"/>
        <n v="5630.33"/>
        <n v="13364.84"/>
        <n v="4223.76"/>
        <n v="2106.0300000000002"/>
        <n v="7669.2"/>
        <n v="4145.1000000000004"/>
        <n v="8146.05"/>
        <n v="6578.39"/>
        <n v="8773.31"/>
        <n v="7691.08"/>
        <n v="5605.45"/>
        <n v="10676.55"/>
        <n v="2933.63"/>
        <n v="2234.4299999999998"/>
        <n v="4446.04"/>
        <n v="9365.26"/>
        <n v="3760.94"/>
        <n v="3184.87"/>
        <n v="7419.68"/>
        <n v="5306.96"/>
        <n v="7521.12"/>
        <n v="25234.13"/>
        <n v="10192.799999999999"/>
        <n v="6605.59"/>
        <n v="8771.9500000000007"/>
        <n v="3235.71"/>
        <n v="5229.24"/>
        <n v="9397.2199999999993"/>
        <n v="7752.02"/>
        <n v="1016.03"/>
        <n v="7887.92"/>
        <n v="11318.41"/>
        <n v="8163.83"/>
        <n v="12704.59"/>
        <n v="12885.99"/>
        <n v="7995.96"/>
        <n v="15415.07"/>
        <n v="4638.74"/>
        <n v="10003"/>
        <n v="14746.05"/>
        <n v="6528.99"/>
        <n v="2619.9899999999998"/>
        <n v="8114.15"/>
        <n v="6237.6"/>
        <n v="8682.7099999999991"/>
        <n v="14857.71"/>
        <n v="7657.85"/>
        <n v="8366.44"/>
        <n v="6835.58"/>
        <n v="4301.3500000000004"/>
        <n v="1831.18"/>
        <n v="7447.37"/>
        <n v="4344.78"/>
        <n v="7187.53"/>
        <n v="18994.57"/>
        <n v="9705.3799999999992"/>
        <n v="4291.1000000000004"/>
        <n v="7837.71"/>
        <n v="4409.6499999999996"/>
        <n v="11918.75"/>
        <n v="6051.4"/>
        <n v="9423.33"/>
        <n v="10382.19"/>
        <n v="13265.45"/>
        <n v="13233.46"/>
        <n v="8466.82"/>
        <n v="17534.740000000002"/>
        <n v="1371.62"/>
        <n v="3925.76"/>
        <n v="5223.32"/>
        <n v="4014.23"/>
        <n v="4888.5"/>
        <n v="8835.43"/>
        <n v="19452.419999999998"/>
        <n v="11557.33"/>
        <n v="4492.79"/>
        <n v="3393.26"/>
        <n v="3730.14"/>
        <n v="3630.49"/>
        <n v="3667.24"/>
        <n v="9080.19"/>
        <n v="6601.34"/>
        <n v="23305.01"/>
        <n v="5256.91"/>
        <n v="8887.5"/>
        <n v="6775.34"/>
        <n v="9929.89"/>
        <n v="9077.42"/>
        <n v="4374.1899999999996"/>
        <n v="19475.55"/>
        <n v="14920.58"/>
        <n v="2404.66"/>
        <n v="12693.69"/>
        <n v="9089.5499999999993"/>
        <n v="12137.73"/>
        <n v="8888.01"/>
        <n v="6467.12"/>
        <n v="8866.43"/>
        <n v="14067.32"/>
        <n v="19799.97"/>
        <n v="3523.11"/>
        <n v="3849.12"/>
        <n v="8012.39"/>
        <n v="4657.96"/>
        <n v="16662.87"/>
        <n v="2286.9499999999998"/>
        <n v="11154.82"/>
        <n v="7148.5"/>
        <n v="7221.77"/>
        <n v="9919"/>
        <n v="14165.23"/>
        <n v="6288.89"/>
        <n v="23057"/>
        <n v="2217.96"/>
        <n v="9603.24"/>
        <n v="7876.78"/>
        <n v="1186.24"/>
        <n v="8069.17"/>
        <n v="15938.36"/>
        <n v="16883.7"/>
        <n v="4596.47"/>
        <n v="13816.18"/>
        <n v="13206.07"/>
        <n v="8331.75"/>
        <n v="4570.75"/>
        <n v="4502.5200000000004"/>
        <n v="2827.57"/>
        <n v="8735.39"/>
        <n v="9933.43"/>
        <n v="4437.8500000000004"/>
        <n v="9897.68"/>
        <n v="4533.43"/>
        <n v="3385.56"/>
        <n v="11037.22"/>
        <n v="5798.92"/>
        <n v="9249.1299999999992"/>
        <n v="8477.59"/>
        <n v="1752.83"/>
        <n v="1830.29"/>
        <n v="3267.82"/>
        <n v="4782.51"/>
        <n v="6185.94"/>
        <n v="6213.96"/>
        <n v="4286.3"/>
        <n v="22643.95"/>
        <n v="1564.24"/>
        <n v="6408.69"/>
        <n v="5337.05"/>
        <n v="7248.78"/>
        <n v="11240.78"/>
        <n v="2227.66"/>
        <n v="13486.53"/>
        <n v="6378.35"/>
        <n v="3320.67"/>
        <n v="5575"/>
        <n v="5083.96"/>
        <n v="3728.66"/>
        <n v="3650.93"/>
        <n v="4540.6000000000004"/>
        <n v="4805.8999999999996"/>
        <n v="1282.29"/>
        <n v="4105.8900000000003"/>
        <n v="4665.7700000000004"/>
        <n v="2371.12"/>
        <n v="3174.35"/>
        <n v="3180.42"/>
        <n v="8435"/>
        <n v="7137.27"/>
        <n v="7669.14"/>
        <n v="4528.7299999999996"/>
        <n v="13940.39"/>
        <n v="8648.11"/>
        <n v="18904.849999999999"/>
        <n v="5569.28"/>
        <n v="7054.28"/>
        <n v="13637.3"/>
        <n v="4978.32"/>
        <n v="4506.68"/>
        <n v="8554.26"/>
        <n v="10857.56"/>
        <n v="4588"/>
        <n v="3096.86"/>
        <n v="4200.3500000000004"/>
        <n v="3212.43"/>
        <n v="6774.97"/>
        <n v="11291.1"/>
        <n v="4995.97"/>
        <n v="4569.2299999999996"/>
        <n v="2019.34"/>
        <n v="5796.05"/>
        <n v="6307.13"/>
        <n v="4950.9799999999996"/>
        <n v="3649.37"/>
        <n v="7561.07"/>
        <n v="10542.54"/>
        <n v="6194.57"/>
        <n v="5224"/>
        <n v="2588.64"/>
        <n v="2597.38"/>
        <n v="6448.7"/>
        <n v="5339.86"/>
        <n v="10996.08"/>
        <n v="4877.0600000000004"/>
        <n v="7689.78"/>
        <n v="8169.86"/>
        <n v="5922.05"/>
        <n v="8730.19"/>
        <n v="5668.53"/>
        <n v="10652.74"/>
        <n v="5285.7"/>
        <n v="10309.39"/>
        <n v="3981.88"/>
        <n v="17222.900000000001"/>
        <n v="3699.97"/>
        <n v="3716.48"/>
        <n v="1596.97"/>
        <n v="7203.97"/>
        <n v="5332.06"/>
        <n v="8262.18"/>
        <n v="6454.05"/>
        <n v="5061.45"/>
        <n v="5301.62"/>
        <n v="9191.89"/>
        <n v="10911.85"/>
        <n v="9362.57"/>
        <n v="9501.4"/>
        <n v="11552.26"/>
        <n v="4832.2700000000004"/>
        <n v="9480.0499999999993"/>
        <n v="3516.16"/>
        <n v="6073.96"/>
        <n v="12568.56"/>
        <n v="2640.55"/>
        <n v="10075.31"/>
        <n v="4327.8"/>
        <n v="6583.88"/>
        <n v="11453.55"/>
        <n v="7257.89"/>
        <n v="4085.34"/>
        <n v="4969.33"/>
        <n v="5544.28"/>
        <n v="11398.65"/>
        <n v="5981.58"/>
        <n v="10609.55"/>
        <n v="7531.6"/>
        <n v="7981.57"/>
        <n v="4547.6499999999996"/>
        <n v="9172.4500000000007"/>
        <n v="9297.81"/>
        <n v="9696.02"/>
        <n v="1611"/>
        <n v="3333.52"/>
        <n v="4580.6099999999997"/>
        <n v="4157.01"/>
        <n v="5191.6000000000004"/>
        <n v="3509.9"/>
        <n v="4229.37"/>
        <n v="2894.27"/>
        <n v="5900.15"/>
        <n v="7725.99"/>
        <n v="1432.11"/>
        <n v="6123.45"/>
        <n v="4639.38"/>
        <n v="6362.21"/>
        <n v="6090.73"/>
        <n v="7161.62"/>
        <n v="21214.45"/>
        <n v="6214.96"/>
        <n v="1762.31"/>
        <n v="12614.71"/>
        <n v="10990.66"/>
        <n v="4160.42"/>
        <n v="5047.41"/>
        <n v="4727.1400000000003"/>
        <n v="9168.5"/>
        <n v="9758.5"/>
        <n v="10682.02"/>
        <n v="8336.19"/>
        <n v="5614.83"/>
        <n v="7266.49"/>
        <n v="3033.87"/>
        <n v="9294.11"/>
        <n v="9242.74"/>
        <n v="6854.42"/>
        <n v="9422.17"/>
        <n v="2599"/>
        <n v="5641.53"/>
        <n v="14630.96"/>
        <n v="4559.09"/>
        <n v="8800.4500000000007"/>
        <n v="10101.799999999999"/>
        <n v="4423.34"/>
        <n v="4923.41"/>
        <n v="3965.33"/>
        <n v="2703.81"/>
        <n v="11719.23"/>
        <n v="2482.83"/>
        <n v="1772.39"/>
        <n v="18232.14"/>
        <n v="11732.14"/>
        <n v="7526.83"/>
        <n v="2721.87"/>
        <n v="8042.07"/>
        <n v="16339.38"/>
        <n v="2825.6"/>
        <n v="7767.59"/>
        <n v="7002.5"/>
        <n v="15503.06"/>
        <n v="2770.28"/>
        <n v="4222.42"/>
        <n v="27714.03"/>
        <n v="1061.25"/>
        <n v="5405.42"/>
        <n v="5631.16"/>
        <n v="5483.11"/>
        <n v="11967.2"/>
        <n v="10385.35"/>
        <n v="8752.9"/>
        <n v="2847.46"/>
        <n v="3520.47"/>
        <n v="8416.7999999999993"/>
        <n v="4379.58"/>
        <n v="20462.22"/>
        <n v="8707.09"/>
        <n v="5578.88"/>
        <n v="1126.1400000000001"/>
        <n v="4604.3599999999997"/>
        <n v="15303.71"/>
        <n v="10067.35"/>
        <n v="5938.11"/>
        <n v="16772.82"/>
        <n v="2778.27"/>
        <n v="8248.67"/>
        <n v="5235.5200000000004"/>
        <n v="15181.12"/>
        <n v="12767.94"/>
        <n v="14207.81"/>
        <n v="8777.76"/>
        <n v="5272.96"/>
        <n v="4971.8999999999996"/>
        <n v="4060.33"/>
        <n v="853.28"/>
        <n v="3176.71"/>
        <n v="1688.27"/>
        <n v="5860.21"/>
        <n v="4874.72"/>
        <n v="6724.02"/>
        <n v="4388.24"/>
        <n v="11682.54"/>
        <n v="4950.1499999999996"/>
        <n v="5949.91"/>
        <n v="4010.39"/>
        <n v="3114.19"/>
        <n v="24403.45"/>
        <n v="7030.78"/>
        <n v="5595.74"/>
        <n v="5674.85"/>
        <n v="6279.06"/>
        <n v="4411.4799999999996"/>
        <n v="1778.51"/>
        <n v="11549.02"/>
        <n v="6038.78"/>
        <n v="8840.8799999999992"/>
        <n v="6509.05"/>
        <n v="14617.84"/>
        <n v="7956.01"/>
        <n v="3415.99"/>
        <n v="3951.34"/>
        <n v="8638.18"/>
        <n v="5950.2"/>
        <n v="23466.91"/>
        <n v="12503.91"/>
        <n v="7276.84"/>
        <n v="6891.88"/>
        <n v="5065.32"/>
        <n v="1318.29"/>
        <n v="4943.6899999999996"/>
        <n v="10426.68"/>
        <n v="3368.18"/>
        <n v="18455.02"/>
        <n v="2965.43"/>
        <n v="14180.95"/>
        <n v="11332.81"/>
        <n v="14471.03"/>
        <n v="19189.27"/>
        <n v="1401.99"/>
        <n v="5960.25"/>
        <n v="2461.52"/>
        <n v="2656.76"/>
        <n v="8420.14"/>
        <n v="8066.85"/>
        <n v="15553.42"/>
        <n v="9551.5300000000007"/>
        <n v="7122.52"/>
        <n v="7108.22"/>
        <n v="9289.76"/>
        <n v="8479.26"/>
        <n v="10134.09"/>
        <n v="8836.76"/>
        <n v="13078.19"/>
        <n v="6957.56"/>
        <n v="3160.05"/>
        <n v="2871.78"/>
        <n v="3867.79"/>
        <n v="11261.59"/>
        <n v="9065.57"/>
        <n v="8388.07"/>
        <n v="3335.04"/>
        <n v="3593.69"/>
        <n v="4284.87"/>
        <n v="6538.58"/>
        <n v="1110.56"/>
        <n v="4849.87"/>
        <n v="9900.59"/>
        <n v="10939.42"/>
        <n v="7277.59"/>
        <n v="8809.8700000000008"/>
        <n v="14074.79"/>
        <n v="8362.33"/>
        <n v="12935.72"/>
        <n v="5139.87"/>
        <n v="5092.2700000000004"/>
        <n v="5082.32"/>
        <n v="10955.85"/>
        <n v="10199.030000000001"/>
        <n v="17374.98"/>
        <n v="11083.13"/>
        <n v="21077.18"/>
        <n v="13046.58"/>
        <n v="17164.11"/>
        <n v="1741.91"/>
        <n v="10901.53"/>
        <n v="5860"/>
        <n v="4319.75"/>
        <n v="9071.09"/>
        <n v="9923.3700000000008"/>
        <n v="13721.08"/>
        <n v="17128.599999999999"/>
        <n v="1845.07"/>
        <n v="12192.49"/>
        <n v="4542.8999999999996"/>
        <n v="3693.99"/>
        <n v="18191"/>
        <n v="6068.49"/>
        <n v="21703.759999999998"/>
        <n v="13690.27"/>
        <n v="15629.59"/>
        <n v="16498.46"/>
        <n v="7717.88"/>
        <n v="8015.12"/>
        <n v="19367.47"/>
        <n v="13303.69"/>
        <n v="7688.58"/>
        <n v="9355.02"/>
        <n v="7992.88"/>
        <n v="19293.98"/>
        <n v="8593.61"/>
        <n v="2442.1"/>
        <n v="6031.29"/>
        <n v="9587.61"/>
        <n v="5742.17"/>
        <n v="12446.4"/>
        <n v="19529.89"/>
        <n v="22183.99"/>
        <n v="9747.59"/>
        <n v="8665.2000000000007"/>
        <n v="5679.53"/>
        <n v="12406.03"/>
        <n v="13715.88"/>
        <n v="10171.08"/>
        <n v="3876.76"/>
        <n v="10722.79"/>
        <n v="2096.04"/>
        <n v="11113.74"/>
        <n v="7014.94"/>
        <n v="2030.56"/>
        <n v="13938.09"/>
        <n v="4187.43"/>
        <n v="9349.69"/>
        <n v="5046.63"/>
        <n v="18287.11"/>
        <n v="11138.25"/>
        <n v="18801.009999999998"/>
        <n v="7909.88"/>
        <n v="9908.2000000000007"/>
        <n v="1087.33"/>
        <n v="6181.4"/>
        <n v="10546.46"/>
        <n v="5286.27"/>
        <n v="7504.34"/>
        <n v="7989.67"/>
        <n v="5128.3"/>
        <n v="3632.3"/>
        <n v="13977.69"/>
        <n v="17012.419999999998"/>
        <n v="4132.97"/>
        <n v="3000.63"/>
        <n v="12820.58"/>
        <n v="9410.6"/>
        <n v="3394.93"/>
        <n v="12763.13"/>
        <n v="7667.78"/>
        <n v="5625.26"/>
        <n v="4232.6899999999996"/>
        <n v="11891.82"/>
        <n v="12192.13"/>
        <n v="9039.0300000000007"/>
        <n v="7957.94"/>
        <n v="5485.02"/>
        <n v="4265.7299999999996"/>
        <n v="7018.45"/>
        <n v="3661.42"/>
        <n v="8239.0300000000007"/>
        <n v="3424.67"/>
        <n v="1989.68"/>
        <n v="6933.71"/>
        <n v="10342.73"/>
        <n v="9462.94"/>
        <n v="3940.76"/>
        <n v="7317.71"/>
        <n v="4899.8999999999996"/>
        <n v="8402.19"/>
        <n v="1901.45"/>
        <n v="9293.5400000000009"/>
        <n v="2453.69"/>
        <n v="1950.02"/>
        <n v="3927.82"/>
        <n v="12650.74"/>
        <n v="4944.58"/>
        <n v="12230.1"/>
        <n v="3698.18"/>
        <n v="9196.86"/>
        <n v="8017.9"/>
        <n v="3231.06"/>
        <n v="5055.54"/>
        <n v="5963.48"/>
        <n v="4034.31"/>
        <n v="19769.52"/>
        <n v="8259.73"/>
        <n v="15081.06"/>
        <n v="4472.63"/>
        <n v="4923.99"/>
        <n v="9188.42"/>
        <n v="14535.65"/>
        <n v="3927.08"/>
        <n v="13675.21"/>
        <n v="21945.759999999998"/>
        <n v="9896.23"/>
        <n v="10450.67"/>
        <n v="5755.05"/>
        <n v="3915.94"/>
        <n v="8970.86"/>
        <n v="2976.24"/>
        <n v="8659.07"/>
        <n v="10082.11"/>
        <n v="13640.83"/>
        <n v="12657.95"/>
        <n v="19459.91"/>
        <n v="4045.5"/>
        <n v="9753.9699999999993"/>
        <n v="2053.9299999999998"/>
        <n v="3823.51"/>
        <n v="6821.64"/>
        <n v="8600.27"/>
        <n v="5660.22"/>
        <n v="5639.21"/>
        <n v="4945.34"/>
        <n v="9564.84"/>
        <n v="7428.04"/>
        <n v="4350.1099999999997"/>
        <n v="9356.08"/>
        <n v="10853.9"/>
        <n v="15150.11"/>
        <n v="6143.12"/>
        <n v="702.45"/>
        <n v="9214.2900000000009"/>
        <n v="4574.33"/>
        <n v="16196.99"/>
        <n v="11050.78"/>
        <n v="10414.290000000001"/>
        <n v="12039.86"/>
        <n v="6875.61"/>
        <n v="9167.51"/>
        <n v="9859.42"/>
        <n v="4271.2299999999996"/>
        <n v="11543.92"/>
        <n v="2642.78"/>
        <n v="16208.05"/>
        <n v="5413.52"/>
        <n v="1347.48"/>
        <n v="3864.42"/>
        <n v="3311.54"/>
        <n v="3522.56"/>
        <n v="1869.39"/>
        <n v="16115.03"/>
        <n v="7009.98"/>
        <n v="6329.08"/>
        <n v="3237"/>
        <n v="17083.7"/>
        <n v="25810.49"/>
        <n v="9422.82"/>
        <n v="8680.15"/>
        <n v="14906.97"/>
        <n v="16749.7"/>
        <n v="3413.65"/>
        <n v="12437.21"/>
        <n v="2048.08"/>
        <n v="7555.67"/>
        <n v="6199.26"/>
        <n v="15499.63"/>
        <n v="14049.23"/>
        <n v="14498.53"/>
        <n v="9894.86"/>
        <n v="7269.68"/>
        <n v="7828.65"/>
        <n v="12900.24"/>
        <n v="10402.65"/>
        <n v="19224.330000000002"/>
        <n v="6624.88"/>
        <n v="10935.23"/>
        <n v="8167.84"/>
        <n v="21307.85"/>
        <n v="2234.29"/>
        <n v="3190.49"/>
        <n v="10721.62"/>
        <n v="23402.59"/>
        <n v="10797.48"/>
        <n v="10351.08"/>
        <n v="2103.86"/>
        <n v="6501.16"/>
        <n v="7852.23"/>
        <n v="5003.55"/>
        <n v="9953.23"/>
        <n v="3196.17"/>
        <n v="4764.04"/>
        <n v="5089.3599999999997"/>
        <n v="6829.34"/>
        <n v="5683.31"/>
        <n v="11878.75"/>
        <n v="5090.8"/>
        <n v="4646.37"/>
        <n v="6769.96"/>
        <n v="2956.61"/>
        <n v="7176.02"/>
        <n v="12175.21"/>
        <n v="3190.1"/>
        <n v="6502.07"/>
        <n v="3138.77"/>
        <n v="2472.34"/>
        <n v="5124.08"/>
        <n v="7685.84"/>
        <n v="3961.25"/>
        <n v="11414.25"/>
        <n v="9185.14"/>
        <n v="13846.83"/>
        <n v="6730.34"/>
        <n v="6651.25"/>
        <n v="1643.86"/>
        <n v="7057.76"/>
        <n v="8873.2199999999993"/>
        <n v="5197.55"/>
        <n v="20294.560000000001"/>
        <n v="6527.14"/>
        <n v="5898.35"/>
        <n v="5107.3599999999997"/>
        <n v="24461.95"/>
        <n v="6104.82"/>
        <n v="6623.41"/>
        <n v="7368.17"/>
        <n v="11760.85"/>
        <n v="4491.32"/>
        <n v="7225.18"/>
        <n v="6011.57"/>
        <n v="9857.2099999999991"/>
        <n v="7618.45"/>
        <n v="6877.97"/>
        <n v="9965.44"/>
        <n v="11645.73"/>
        <n v="8393.24"/>
        <n v="3035.14"/>
        <n v="2550.88"/>
        <n v="7547.57"/>
        <n v="14869.22"/>
        <n v="5301.48"/>
        <n v="4046.17"/>
        <n v="2421.86"/>
        <n v="5505.94"/>
        <n v="4714.13"/>
        <n v="8444.98"/>
        <n v="9715.35"/>
        <n v="10672.18"/>
        <n v="9153.64"/>
        <n v="1993.19"/>
        <n v="4696.3100000000004"/>
        <n v="4876.43"/>
        <n v="8861.06"/>
        <n v="2937"/>
        <n v="16850.21"/>
        <n v="11813.48"/>
        <n v="9378"/>
        <n v="8185.93"/>
        <n v="6334.55"/>
        <n v="8049.7"/>
        <n v="4103.51"/>
        <n v="3722.03"/>
        <n v="8080.24"/>
        <n v="2303.79"/>
        <n v="4249.1000000000004"/>
        <n v="3480.32"/>
        <n v="10916.65"/>
        <n v="11008.85"/>
        <n v="12093.66"/>
        <n v="10917.47"/>
        <n v="11300.59"/>
        <n v="9420.77"/>
        <n v="4929.09"/>
        <n v="6560.02"/>
        <n v="7992.53"/>
        <n v="7655.61"/>
        <n v="9393.3799999999992"/>
        <n v="5786.01"/>
        <n v="10233.23"/>
        <n v="3952.3"/>
        <n v="2966.2"/>
        <n v="10428.48"/>
        <n v="8879.58"/>
        <n v="6512.43"/>
        <n v="9786.11"/>
        <n v="9754.83"/>
        <n v="10605.38"/>
        <n v="4254.05"/>
        <n v="5295.38"/>
        <n v="7447.15"/>
        <n v="13707.77"/>
        <n v="6345.84"/>
        <n v="25823.360000000001"/>
        <n v="2379.84"/>
        <n v="4701.46"/>
        <n v="4931.17"/>
        <n v="3821.43"/>
        <n v="10349.99"/>
        <n v="5132.45"/>
        <n v="11707.3"/>
        <n v="10431.950000000001"/>
        <n v="1416.2"/>
        <n v="18979.63"/>
        <n v="6304.11"/>
        <n v="6449.15"/>
        <n v="8201.74"/>
        <n v="7811.78"/>
        <n v="5765.22"/>
        <n v="8271.6299999999992"/>
        <n v="15458.66"/>
        <n v="5412.34"/>
        <n v="5361.97"/>
        <n v="6450.56"/>
        <n v="10826.55"/>
        <n v="9398.48"/>
        <n v="10874.17"/>
        <n v="5358.47"/>
        <n v="3162.34"/>
        <n v="10321.030000000001"/>
        <n v="3637.99"/>
        <n v="1292.0999999999999"/>
        <n v="10878.82"/>
        <n v="7363.43"/>
        <n v="6111.06"/>
        <n v="7841.08"/>
        <n v="11719.49"/>
        <n v="7062.52"/>
        <n v="11618.47"/>
        <n v="6655.62"/>
        <n v="8199.8700000000008"/>
        <n v="16159.41"/>
        <n v="979.87"/>
        <n v="5331.11"/>
        <n v="8564.9599999999991"/>
        <n v="4811.76"/>
        <n v="8677.26"/>
        <n v="7030.16"/>
        <n v="3582.19"/>
        <n v="2955.99"/>
        <n v="7957.7"/>
        <n v="5371"/>
        <n v="8910.44"/>
        <n v="4045.58"/>
        <n v="2739.95"/>
        <n v="4882.55"/>
        <n v="4090.69"/>
        <n v="6097.63"/>
        <n v="3725.03"/>
        <n v="9985.2800000000007"/>
        <n v="5437.4"/>
        <n v="3846.52"/>
        <n v="10056.85"/>
        <n v="4919.22"/>
        <n v="17119.48"/>
        <n v="8254.39"/>
        <n v="11256.77"/>
        <n v="4496.7299999999996"/>
        <n v="5369.65"/>
        <n v="15099.42"/>
        <n v="2130.67"/>
        <n v="9794.7999999999993"/>
        <n v="7564.02"/>
        <n v="11542.04"/>
        <n v="13205.94"/>
        <n v="5144.71"/>
        <n v="5083.25"/>
        <n v="7432.27"/>
        <n v="10370.290000000001"/>
        <n v="8565.3700000000008"/>
        <n v="21067.17"/>
        <n v="10241.620000000001"/>
        <n v="14501.72"/>
        <n v="7719.33"/>
        <n v="1949.2"/>
        <n v="8542.1299999999992"/>
        <n v="6878.89"/>
        <n v="5414.7"/>
        <n v="3356.19"/>
        <n v="10972.99"/>
        <n v="4197.26"/>
        <n v="8119.55"/>
        <n v="20401.43"/>
        <n v="2427.4499999999998"/>
        <n v="11117.86"/>
        <n v="2884.82"/>
        <n v="1916.15"/>
        <n v="3469.19"/>
        <n v="14685.63"/>
        <n v="4505.32"/>
        <n v="1589.91"/>
        <n v="4277.04"/>
        <n v="7599.46"/>
        <n v="18274.32"/>
        <n v="11137.4"/>
        <n v="3017.49"/>
        <n v="2789.68"/>
        <n v="4943.22"/>
        <n v="7228.06"/>
        <n v="8379.11"/>
        <n v="1945.24"/>
        <n v="3204.13"/>
        <n v="1310.1300000000001"/>
        <n v="5188.95"/>
        <n v="15350.22"/>
        <n v="7580.58"/>
        <n v="13543.96"/>
        <n v="6241.26"/>
        <n v="6699.23"/>
        <n v="16178.42"/>
        <n v="17503.11"/>
        <n v="9430.23"/>
        <n v="12794.67"/>
        <n v="4804.3900000000003"/>
        <n v="2364.36"/>
        <n v="24949.68"/>
        <n v="8061.72"/>
        <n v="11447.94"/>
        <n v="12886.45"/>
        <n v="2221.87"/>
        <n v="4391.8999999999996"/>
        <n v="21600.6"/>
        <n v="6030.43"/>
        <n v="5299.41"/>
        <n v="4312.0600000000004"/>
        <n v="16754.41"/>
        <n v="13805.35"/>
        <n v="15290.2"/>
        <n v="12683.23"/>
        <n v="2147.92"/>
        <n v="941.84"/>
        <n v="3433.09"/>
        <n v="10661.12"/>
        <n v="9303.0300000000007"/>
        <n v="4993.17"/>
        <n v="2491.64"/>
        <n v="9834.06"/>
        <n v="5708.79"/>
        <n v="4900.5"/>
        <n v="3163.91"/>
        <n v="12081.69"/>
        <n v="7523.99"/>
        <n v="4839.99"/>
        <n v="5632.7"/>
        <n v="2957.53"/>
        <n v="7946.79"/>
        <n v="10949.11"/>
        <n v="3469.88"/>
        <n v="4356.75"/>
        <n v="14311.26"/>
        <n v="8560.26"/>
        <n v="10554.12"/>
        <n v="5980.47"/>
        <n v="7150.46"/>
        <n v="18049.48"/>
        <n v="4856.04"/>
        <n v="19157.310000000001"/>
        <n v="5468.28"/>
        <n v="3080.27"/>
        <n v="3790.91"/>
        <n v="17494.97"/>
        <n v="5752.98"/>
        <n v="14355.92"/>
        <n v="5164.3"/>
        <n v="4356.2700000000004"/>
        <n v="6480.72"/>
        <n v="3155.85"/>
        <n v="8216.66"/>
        <n v="12613.13"/>
        <n v="12337.08"/>
        <n v="16066.69"/>
        <n v="14170.17"/>
        <n v="5100.71"/>
        <n v="3310.41"/>
        <n v="12372.81"/>
        <n v="1195.93"/>
        <n v="10282.01"/>
        <n v="9362.01"/>
        <n v="7952.74"/>
        <n v="12275.43"/>
        <n v="6772.12"/>
        <n v="9137.09"/>
        <n v="2854.66"/>
        <n v="3729.12"/>
        <n v="1704.14"/>
        <n v="4479.3999999999996"/>
        <n v="10358.540000000001"/>
        <n v="6920.14"/>
        <n v="6632.17"/>
        <n v="10729.59"/>
        <n v="3726.14"/>
        <n v="2086.64"/>
        <n v="7562.25"/>
        <n v="2023.45"/>
        <n v="9875.66"/>
        <n v="19588.29"/>
        <n v="4680.95"/>
        <n v="6338.73"/>
        <n v="6644.85"/>
        <n v="2041.32"/>
        <n v="2785.35"/>
        <n v="11811.87"/>
        <n v="13376"/>
        <n v="2584.84"/>
        <n v="12804.72"/>
        <n v="12933.98"/>
        <n v="5789.46"/>
        <n v="15096.15"/>
        <n v="3882.23"/>
        <n v="6045.38"/>
        <n v="2690.77"/>
        <n v="7258.77"/>
        <n v="7206.69"/>
        <n v="1593"/>
        <n v="4505.41"/>
        <n v="4279.4799999999996"/>
        <n v="5404.2"/>
        <n v="5334.45"/>
        <n v="5337.35"/>
        <n v="19398.16"/>
        <n v="10175.1"/>
        <n v="12289.68"/>
        <n v="6396.64"/>
        <n v="1035.3900000000001"/>
        <n v="12881.15"/>
        <n v="4975.05"/>
        <n v="10792.75"/>
        <n v="5776.94"/>
        <n v="7082.49"/>
        <n v="14017.47"/>
        <n v="2996.12"/>
        <n v="9727.52"/>
        <n v="5210.1400000000003"/>
        <n v="2976.94"/>
        <n v="3433.23"/>
        <n v="4864.92"/>
        <n v="10754.11"/>
        <n v="10632.36"/>
        <n v="5848.94"/>
        <n v="1206.82"/>
        <n v="4984.07"/>
        <n v="9934.6"/>
        <n v="8359.84"/>
        <n v="8405.74"/>
        <n v="9506.68"/>
        <n v="3768.99"/>
        <n v="11723.91"/>
        <n v="5431.5"/>
        <n v="24460.6"/>
        <n v="11390.06"/>
        <n v="8686.19"/>
        <n v="3260.49"/>
        <n v="6362.81"/>
        <n v="3057.3"/>
        <n v="4112.3999999999996"/>
        <n v="1648.83"/>
        <n v="2375.02"/>
        <n v="3901.41"/>
        <n v="9396.57"/>
        <n v="1494.29"/>
        <n v="2052.0500000000002"/>
        <n v="8990.2099999999991"/>
        <n v="3078.26"/>
        <n v="10632.53"/>
        <n v="4085.78"/>
        <n v="1950.2"/>
        <n v="10733.72"/>
        <n v="8207.85"/>
        <n v="17453.740000000002"/>
        <n v="17199.740000000002"/>
        <n v="2048.06"/>
        <n v="1220.3"/>
        <n v="8559.25"/>
        <n v="3929.29"/>
        <n v="9822.14"/>
        <n v="11599.48"/>
        <n v="2837.81"/>
        <n v="3248.26"/>
        <n v="7517.45"/>
        <n v="3552.83"/>
        <n v="4129.13"/>
        <n v="8289.73"/>
        <n v="7997.83"/>
        <n v="9524.48"/>
        <n v="7481.32"/>
        <n v="8337.6299999999992"/>
        <n v="5255.09"/>
        <n v="6709.38"/>
        <n v="3632.75"/>
        <n v="4348.95"/>
        <n v="3924.8"/>
        <n v="3808.09"/>
        <n v="3561.07"/>
        <n v="2524.17"/>
        <n v="9905.41"/>
        <n v="2709.78"/>
        <n v="9789.0400000000009"/>
        <n v="7257.5"/>
        <n v="11587.47"/>
        <n v="4976.41"/>
        <n v="2340.0100000000002"/>
        <n v="10521.54"/>
        <n v="6850.39"/>
        <n v="6124.98"/>
        <n v="25699.73"/>
        <n v="2706.43"/>
        <n v="4211.21"/>
        <n v="6388.8"/>
        <n v="5507.28"/>
        <n v="13151.37"/>
        <n v="2135.42"/>
        <n v="2869.14"/>
        <n v="5632.81"/>
        <n v="6693.63"/>
        <n v="14286.31"/>
        <n v="14893.56"/>
        <n v="3965.62"/>
        <n v="12734.72"/>
        <n v="8081"/>
        <n v="6529.61"/>
        <n v="9205.9699999999993"/>
        <n v="4823.5"/>
        <n v="11233.12"/>
        <n v="17146.29"/>
        <n v="14051.34"/>
        <n v="23000.84"/>
        <n v="1001.6"/>
        <n v="10022.74"/>
        <n v="3624.75"/>
        <n v="5494.78"/>
        <n v="8711.1"/>
        <n v="2867.92"/>
        <n v="3309.36"/>
        <n v="5056.3599999999997"/>
        <n v="10829.74"/>
        <n v="1801.99"/>
        <n v="14268.48"/>
        <n v="4385.97"/>
        <n v="10056.82"/>
        <n v="8313.4"/>
        <n v="7545.23"/>
        <n v="6574.51"/>
        <n v="4829.37"/>
        <n v="13447.08"/>
        <n v="8807.74"/>
        <n v="5324.72"/>
        <n v="4565.6499999999996"/>
        <n v="10148.85"/>
        <n v="11922.52"/>
        <n v="7831.9"/>
        <n v="4588.62"/>
        <n v="11372.47"/>
        <n v="10388.77"/>
        <n v="11819.7"/>
        <n v="15662.33"/>
        <n v="12725.54"/>
        <n v="6983.47"/>
        <n v="5599.95"/>
        <n v="4130.47"/>
        <n v="8955.06"/>
        <n v="2251.42"/>
        <n v="9321.19"/>
        <n v="5355.49"/>
        <n v="11082.1"/>
        <n v="3783.49"/>
        <n v="2765.67"/>
        <n v="12782.89"/>
        <n v="8243.9599999999991"/>
        <n v="3524.79"/>
        <n v="4458.79"/>
        <n v="10296.41"/>
        <n v="2319.62"/>
        <n v="14136.45"/>
        <n v="11968.32"/>
        <n v="5381.81"/>
        <n v="7086.78"/>
        <n v="8421.9699999999993"/>
        <n v="9920.11"/>
        <n v="6535.88"/>
        <n v="9943.25"/>
        <n v="9333.3799999999992"/>
        <n v="12204.99"/>
        <n v="11018.85"/>
        <n v="4976.3500000000004"/>
        <n v="4473.18"/>
        <n v="16062.03"/>
        <n v="8126.41"/>
        <n v="11441.28"/>
        <n v="7453.88"/>
        <n v="4851.42"/>
        <n v="6109.07"/>
        <n v="7425.76"/>
        <n v="9361.2199999999993"/>
        <n v="6870.03"/>
        <n v="3085.96"/>
        <n v="12139.43"/>
        <n v="13337.1"/>
        <n v="2910.58"/>
        <n v="12644.14"/>
        <n v="7273.6"/>
        <n v="4568.96"/>
        <n v="11823.24"/>
        <n v="11454.33"/>
        <n v="3317.15"/>
        <n v="21520.51"/>
        <n v="12935.99"/>
        <n v="14070.99"/>
        <n v="5428.18"/>
        <n v="18987.169999999998"/>
        <n v="4928.1400000000003"/>
        <n v="2340.5100000000002"/>
        <n v="3650.5"/>
        <n v="2411.2600000000002"/>
        <n v="9099.91"/>
        <n v="7275.3"/>
        <n v="7898.88"/>
        <n v="13214.11"/>
        <n v="8934.23"/>
        <n v="8478.58"/>
        <n v="4866.83"/>
        <n v="9661.16"/>
        <n v="3956.22"/>
        <n v="11682.17"/>
        <n v="9051.24"/>
        <n v="17804.32"/>
        <n v="7305.37"/>
        <n v="5634.03"/>
        <n v="2634.82"/>
        <n v="15110.04"/>
        <n v="11671.77"/>
        <n v="11294.25"/>
        <n v="4766.8999999999996"/>
        <n v="9242.6"/>
        <n v="12134.97"/>
        <n v="3989.88"/>
        <n v="7539.46"/>
        <n v="18830.2"/>
        <n v="6258.56"/>
        <n v="9733.7999999999993"/>
        <n v="16598.990000000002"/>
        <n v="3895.39"/>
        <n v="11069.43"/>
        <n v="7212.98"/>
        <n v="9567.59"/>
        <n v="8548.11"/>
        <n v="2989.68"/>
        <n v="7839.19"/>
        <n v="13916.47"/>
        <n v="6854.1"/>
        <n v="9470.43"/>
        <n v="5854.05"/>
        <n v="2989.53"/>
        <n v="7248.91"/>
        <n v="6315.96"/>
        <n v="7741.16"/>
        <n v="3904.04"/>
        <n v="4852.74"/>
        <n v="14032.42"/>
        <n v="3917.41"/>
        <n v="4755.87"/>
        <n v="5489.54"/>
        <n v="14513.41"/>
        <n v="5082.13"/>
        <n v="13239.95"/>
        <n v="9696.85"/>
        <n v="5178.21"/>
        <n v="15732.91"/>
        <n v="7096.15"/>
        <n v="9683.2800000000007"/>
        <n v="3374.69"/>
        <n v="8748.35"/>
        <n v="10182.629999999999"/>
        <n v="8436.7800000000007"/>
        <n v="4116.62"/>
        <n v="11080.83"/>
        <n v="9062.11"/>
        <n v="6608.94"/>
        <n v="14099.8"/>
        <n v="11601.82"/>
        <n v="1386.2"/>
        <n v="13171.68"/>
        <n v="11068.84"/>
        <n v="4990.13"/>
        <n v="7088.03"/>
        <n v="2662.63"/>
        <n v="23659.87"/>
        <n v="2635.38"/>
        <n v="5540.66"/>
        <n v="7633.11"/>
        <n v="1088.18"/>
        <n v="10618"/>
        <n v="9644.66"/>
        <n v="3926.66"/>
        <n v="3428.37"/>
        <n v="10554.25"/>
        <n v="7030.83"/>
        <n v="5256.7"/>
        <n v="10702.92"/>
        <n v="6131.22"/>
        <n v="6977.54"/>
        <n v="4587.12"/>
        <n v="5844.39"/>
        <n v="3416.14"/>
        <n v="1690.24"/>
        <n v="3650.02"/>
        <n v="9544.84"/>
        <n v="5257.03"/>
        <n v="5392.18"/>
        <n v="6648.26"/>
        <n v="8835.9"/>
        <n v="5802.71"/>
        <n v="16098.4"/>
        <n v="9170.98"/>
        <n v="2749.45"/>
        <n v="2366.08"/>
        <n v="6226.95"/>
        <n v="7480.06"/>
        <n v="4448.76"/>
        <n v="24427.73"/>
        <n v="5202.82"/>
        <n v="2492.4899999999998"/>
        <n v="3235.19"/>
        <n v="2894.31"/>
        <n v="4648.57"/>
        <n v="9754.9500000000007"/>
        <n v="2313.63"/>
        <n v="3202.23"/>
        <n v="6972.97"/>
        <n v="17735.87"/>
        <n v="11246.63"/>
        <n v="3844.39"/>
        <n v="3696.7"/>
        <n v="2907.53"/>
        <n v="15850.5"/>
        <n v="6146.39"/>
        <n v="8707.92"/>
        <n v="13388.67"/>
        <n v="4126.42"/>
        <n v="3630.31"/>
        <n v="11415.15"/>
        <n v="1311.87"/>
        <n v="14907.06"/>
        <n v="8005.67"/>
        <n v="7334.71"/>
        <n v="11286.52"/>
        <n v="9122.68"/>
        <n v="4953.59"/>
        <n v="9180.18"/>
        <n v="5807.12"/>
        <n v="11669.72"/>
        <n v="10408.94"/>
        <n v="5717.98"/>
        <n v="5929.88"/>
        <n v="5659.75"/>
        <n v="13773.44"/>
        <n v="5688.34"/>
        <n v="11416.82"/>
        <n v="13627.87"/>
        <n v="1618.16"/>
        <n v="8940.32"/>
        <n v="13159.5"/>
        <n v="17535.84"/>
        <n v="13279.07"/>
        <n v="11592.58"/>
        <n v="14271.39"/>
        <n v="10088.43"/>
        <n v="8575.34"/>
        <n v="13122.03"/>
        <n v="3041.84"/>
        <n v="2628.68"/>
        <n v="4910.6000000000004"/>
        <n v="4964.32"/>
        <n v="13110.09"/>
        <n v="11205.57"/>
        <n v="8733.91"/>
        <n v="1688.31"/>
        <n v="4287.2"/>
        <n v="4779.22"/>
        <n v="5789.73"/>
        <n v="2526.5300000000002"/>
        <n v="968.12"/>
        <n v="5602.01"/>
        <n v="17085.39"/>
        <n v="4995.84"/>
        <n v="5755.26"/>
        <n v="10048.14"/>
        <n v="5255.07"/>
        <n v="7430.78"/>
        <n v="8978.81"/>
        <n v="17986.990000000002"/>
        <n v="7060.51"/>
        <n v="11903.01"/>
        <n v="14565.88"/>
        <n v="2977.57"/>
        <n v="4646.87"/>
        <n v="7545.79"/>
        <n v="12852.72"/>
        <n v="9000.0300000000007"/>
        <n v="11638.95"/>
        <n v="13210.25"/>
        <n v="11351.7"/>
        <n v="8339.14"/>
        <n v="9824.19"/>
        <n v="3372.59"/>
        <n v="8716.65"/>
        <n v="1666.55"/>
        <n v="11142.05"/>
        <n v="19460.78"/>
        <n v="6136"/>
        <n v="12517.92"/>
        <n v="4883.95"/>
        <n v="3207.03"/>
        <n v="4613.55"/>
        <n v="6650.13"/>
        <n v="2844.64"/>
        <n v="9365.7900000000009"/>
        <n v="3121.68"/>
        <n v="7134.4"/>
        <n v="5434.42"/>
        <n v="19958.89"/>
        <n v="8476.02"/>
        <n v="11152.6"/>
        <n v="3727.97"/>
        <n v="2388.0100000000002"/>
        <n v="3290.94"/>
        <n v="4202.68"/>
        <n v="4856.71"/>
        <n v="10955.71"/>
        <n v="7612.88"/>
        <n v="4874.38"/>
        <n v="1582.15"/>
        <n v="4623.63"/>
        <n v="13275.06"/>
        <n v="13412.79"/>
        <n v="7275.42"/>
        <n v="1692.45"/>
        <n v="23631.58"/>
        <n v="2396.8000000000002"/>
        <n v="11601.62"/>
        <n v="2807.51"/>
        <n v="5213.93"/>
        <n v="5447.14"/>
        <n v="5366.56"/>
        <n v="3319.57"/>
        <n v="12779.51"/>
        <n v="6404.56"/>
        <n v="3246.9"/>
        <n v="1547.82"/>
        <n v="1693.62"/>
        <n v="10287.58"/>
        <n v="13704.11"/>
        <n v="7044.12"/>
        <n v="6172.19"/>
        <n v="6568.63"/>
        <n v="3225.65"/>
        <n v="14832.16"/>
        <n v="6627.24"/>
        <n v="16011.93"/>
        <n v="11376.02"/>
        <n v="1111.6199999999999"/>
        <n v="3716.1"/>
        <n v="3662.61"/>
        <n v="2101.5300000000002"/>
        <n v="12393.96"/>
        <n v="5915.69"/>
        <n v="7769.4"/>
        <n v="10134.040000000001"/>
        <n v="7638.72"/>
        <n v="5605.22"/>
        <n v="10595.08"/>
        <n v="4754.76"/>
        <n v="9566.24"/>
        <n v="4129.7299999999996"/>
        <n v="5022.97"/>
        <n v="6499.09"/>
        <n v="11315.84"/>
        <n v="3182.48"/>
        <n v="3887.36"/>
        <n v="1746.95"/>
        <n v="4145.3500000000004"/>
        <n v="4188.9799999999996"/>
        <n v="12412.99"/>
        <n v="9166.52"/>
        <n v="14771.94"/>
        <n v="9574.77"/>
        <n v="15166.07"/>
        <n v="10661.05"/>
        <n v="3393.82"/>
        <n v="3697.56"/>
        <n v="13530.81"/>
        <n v="6612.9"/>
        <n v="4071.97"/>
        <n v="7414.7"/>
        <n v="9368.76"/>
        <n v="9530.5400000000009"/>
        <n v="11173.17"/>
        <n v="14908.53"/>
        <n v="15879.87"/>
        <n v="10138.700000000001"/>
        <n v="3098.98"/>
        <n v="9987.68"/>
        <n v="9169.15"/>
        <n v="9034"/>
        <n v="3208.1"/>
        <n v="915.98"/>
        <n v="4082.59"/>
        <n v="4997.88"/>
        <n v="8255.33"/>
        <n v="10729.91"/>
        <n v="4029.51"/>
        <n v="9240.92"/>
        <n v="22815.759999999998"/>
        <n v="7887.82"/>
        <n v="2505.7800000000002"/>
        <n v="15274.15"/>
        <n v="1890.61"/>
        <n v="13465.06"/>
        <n v="2338.66"/>
        <n v="5097.18"/>
        <n v="3272.15"/>
        <n v="7999.1"/>
        <n v="2137.38"/>
        <n v="18703"/>
        <n v="4862.16"/>
        <n v="9772.3700000000008"/>
        <n v="2857.36"/>
        <n v="1391.88"/>
        <n v="6051.36"/>
        <n v="10336.030000000001"/>
        <n v="9200.5"/>
        <n v="4279.2299999999996"/>
        <n v="3794.3"/>
        <n v="3988.85"/>
        <n v="21511.34"/>
        <n v="3192.3"/>
        <n v="19951.57"/>
        <n v="9573.31"/>
        <n v="8541.18"/>
        <n v="22000.39"/>
        <n v="11303.1"/>
        <n v="7093.08"/>
        <n v="8019.63"/>
        <n v="2122.8000000000002"/>
        <n v="10301.69"/>
        <n v="9904.7099999999991"/>
        <n v="4994.6899999999996"/>
        <n v="8470.35"/>
        <n v="4497.6499999999996"/>
        <n v="11421.46"/>
        <n v="11382.63"/>
        <n v="10836.47"/>
        <n v="8732.57"/>
        <n v="3630.93"/>
        <n v="7556.13"/>
        <n v="12904.29"/>
        <n v="14259.54"/>
        <n v="8613.9699999999993"/>
        <n v="7082.65"/>
        <n v="5854.03"/>
        <n v="5251.15"/>
        <n v="8001.76"/>
        <n v="6023.85"/>
        <n v="14505.56"/>
        <n v="3258.26"/>
        <n v="3664.32"/>
        <n v="9558.94"/>
        <n v="11673.47"/>
        <n v="1787.63"/>
        <n v="8653.09"/>
        <n v="24212.66"/>
        <n v="4465.1899999999996"/>
        <n v="10764.18"/>
        <n v="6979.54"/>
        <n v="3472.64"/>
        <n v="9313.4699999999993"/>
        <n v="9189.0499999999993"/>
        <n v="3561.67"/>
        <n v="7774.13"/>
        <n v="5427.88"/>
        <n v="1978.55"/>
        <n v="12964.46"/>
        <n v="5584.72"/>
        <n v="3420.28"/>
        <n v="12261.79"/>
        <n v="7595.98"/>
        <n v="1899.62"/>
        <n v="5395.27"/>
        <n v="7310.98"/>
        <n v="3739.86"/>
        <n v="7752.48"/>
        <n v="12442.14"/>
        <n v="8857.7000000000007"/>
        <n v="8159.6"/>
        <n v="4118.3900000000003"/>
        <n v="9180.84"/>
        <n v="23378.38"/>
        <n v="11904.17"/>
        <n v="5824.27"/>
        <n v="7381.71"/>
        <n v="11703.03"/>
        <n v="2046.47"/>
        <n v="9508.69"/>
        <n v="3000.23"/>
        <n v="3588.02"/>
        <n v="7765.13"/>
        <n v="4143.3"/>
        <n v="7074.54"/>
        <n v="7882.77"/>
        <n v="3977.17"/>
        <n v="12071.84"/>
        <n v="10565.04"/>
        <n v="12049.69"/>
        <n v="2673.43"/>
        <n v="9771.7999999999993"/>
        <n v="5930.66"/>
        <n v="12917.59"/>
        <n v="14580.95"/>
        <n v="3860.58"/>
        <n v="1389.97"/>
        <n v="9494.17"/>
        <n v="7140.16"/>
        <n v="16081.41"/>
        <n v="1006.01"/>
        <n v="4479.2"/>
        <n v="9732.01"/>
        <n v="14386.31"/>
        <n v="13241.65"/>
        <n v="6532.7"/>
        <n v="10824.46"/>
        <n v="2150.4"/>
        <n v="10173.25"/>
        <n v="9853.07"/>
        <n v="7809.3"/>
        <n v="10327.82"/>
        <n v="12937.29"/>
        <n v="7943.52"/>
        <n v="7719.02"/>
        <n v="9724.2099999999991"/>
        <n v="6644.64"/>
        <n v="4507.95"/>
        <n v="3673.18"/>
        <n v="16382.93"/>
        <n v="4633.9799999999996"/>
        <n v="9283.7000000000007"/>
        <n v="7340.68"/>
        <n v="9797.42"/>
        <n v="6085.05"/>
        <n v="8460.1"/>
        <n v="9531.3799999999992"/>
        <n v="6587.16"/>
        <n v="13235.7"/>
        <n v="12385.56"/>
        <n v="4851.1499999999996"/>
        <n v="5187.32"/>
        <n v="6075.43"/>
        <n v="7643.11"/>
        <n v="9807.7000000000007"/>
        <n v="4265.1400000000003"/>
        <n v="4708.8"/>
        <n v="6580.56"/>
        <n v="5441.77"/>
        <n v="15640.75"/>
        <n v="15187.46"/>
        <n v="6481.2"/>
        <n v="11528.23"/>
        <n v="22357.68"/>
        <n v="15035.07"/>
        <n v="10243.59"/>
        <n v="3705.96"/>
        <n v="6198.19"/>
        <n v="23323.41"/>
        <n v="2366.92"/>
        <n v="4883.8500000000004"/>
        <n v="8849.93"/>
        <n v="1359.98"/>
        <n v="3874.97"/>
        <n v="4425.1099999999997"/>
        <n v="12504.52"/>
        <n v="4311.3100000000004"/>
        <n v="15736.85"/>
        <n v="7762.36"/>
        <n v="4815.09"/>
        <n v="7484.61"/>
        <n v="4074.38"/>
        <n v="2889.64"/>
        <n v="11203.75"/>
        <n v="5066.7700000000004"/>
        <n v="3364.52"/>
        <n v="7155.58"/>
        <n v="9364.9699999999993"/>
        <n v="2788.73"/>
        <n v="16757.82"/>
        <n v="7414.75"/>
        <n v="2952.12"/>
        <n v="10881.66"/>
        <n v="8997.9699999999993"/>
        <n v="5073.18"/>
        <n v="1719.11"/>
        <n v="1944.48"/>
        <n v="9454.7000000000007"/>
        <n v="4019.65"/>
        <n v="10753.33"/>
        <n v="6146.83"/>
        <n v="6183.55"/>
        <n v="4048.28"/>
        <n v="4167.82"/>
        <n v="7191.63"/>
        <n v="2753.68"/>
        <n v="12249.29"/>
        <n v="4115.26"/>
        <n v="12389.54"/>
        <n v="12001.39"/>
        <n v="3816.28"/>
        <n v="10158.66"/>
        <n v="5502.51"/>
        <n v="13322.43"/>
        <n v="19286.490000000002"/>
        <n v="5700.62"/>
        <n v="5197.13"/>
        <n v="6334.83"/>
        <n v="1009.95"/>
        <n v="4927.34"/>
        <n v="8904.52"/>
        <n v="8562.9599999999991"/>
        <n v="10218.44"/>
        <n v="4450.55"/>
        <n v="3707.96"/>
        <n v="7136.89"/>
        <n v="10002.23"/>
        <n v="6339.97"/>
        <n v="6851.6"/>
        <n v="5528"/>
        <n v="9150.59"/>
        <n v="4670.62"/>
        <n v="13003.36"/>
        <n v="12596.45"/>
        <n v="8711.65"/>
        <n v="13992.08"/>
        <n v="15023.36"/>
        <n v="3078.02"/>
        <n v="5062.3999999999996"/>
        <n v="8998.83"/>
        <n v="14452.55"/>
        <n v="2724.96"/>
        <n v="9293.83"/>
        <n v="8527.1200000000008"/>
        <n v="2974.89"/>
        <n v="18874.13"/>
        <n v="15541.13"/>
        <n v="7843.99"/>
        <n v="14060.66"/>
        <n v="7543.3"/>
        <n v="9037.82"/>
        <n v="6309.19"/>
        <n v="2422.1"/>
        <n v="3195.23"/>
        <n v="9530.4599999999991"/>
        <n v="22872.91"/>
        <n v="11126.75"/>
        <n v="4097.3599999999997"/>
        <n v="3526.43"/>
        <n v="10048.719999999999"/>
        <n v="14957.54"/>
        <n v="6013.79"/>
        <n v="3189.9"/>
        <n v="8372.15"/>
        <n v="7253.71"/>
        <n v="5410.78"/>
        <n v="2898.97"/>
        <n v="26054.55"/>
        <n v="2683.78"/>
        <n v="2821.8"/>
        <n v="1102.1099999999999"/>
        <n v="10521.18"/>
        <n v="7800.62"/>
        <n v="3944.03"/>
        <n v="3998.24"/>
        <n v="6405.59"/>
        <n v="12325.61"/>
        <n v="9839.6200000000008"/>
        <n v="4058.62"/>
        <n v="2971.54"/>
        <n v="4502.37"/>
        <n v="10960.91"/>
        <n v="6204.76"/>
        <n v="5917.96"/>
        <n v="4294.99"/>
        <n v="11818.71"/>
        <n v="2274.5500000000002"/>
        <n v="9487.7099999999991"/>
        <n v="3660.26"/>
        <n v="14950.75"/>
        <n v="14917.66"/>
        <n v="11204.93"/>
        <n v="11986.84"/>
        <n v="12080.29"/>
        <n v="7001.59"/>
        <n v="2639.89"/>
        <n v="9070.7099999999991"/>
        <n v="3907.93"/>
        <n v="14265.91"/>
        <n v="3090.45"/>
        <n v="5090.4399999999996"/>
        <n v="9343.94"/>
        <n v="3365.52"/>
        <n v="2680.75"/>
        <n v="5115.76"/>
        <n v="8719.36"/>
        <n v="2908.35"/>
        <n v="4930.74"/>
        <n v="9092.73"/>
        <n v="7092.53"/>
        <n v="15722.85"/>
        <n v="3684.68"/>
        <n v="17356.97"/>
        <n v="7422.51"/>
        <n v="6993.24"/>
        <n v="3414.24"/>
        <n v="7181.28"/>
        <n v="5906.01"/>
        <n v="2827.4"/>
        <n v="10234.57"/>
        <n v="12178.22"/>
        <n v="8375.7999999999993"/>
        <n v="7400.43"/>
        <n v="3867.92"/>
        <n v="3316.64"/>
        <n v="22257.43"/>
        <n v="13700.63"/>
        <n v="6218.09"/>
        <n v="2493.7199999999998"/>
        <n v="9514.99"/>
        <n v="6477.75"/>
        <n v="5358.56"/>
        <n v="11097.39"/>
        <n v="11547.04"/>
        <n v="7729.11"/>
        <n v="9822.9599999999991"/>
        <n v="13586.29"/>
        <n v="15112.22"/>
        <n v="1814.88"/>
        <n v="4244.54"/>
        <n v="5837.89"/>
        <n v="5051.26"/>
        <n v="2890.16"/>
        <n v="3868.1"/>
        <n v="4203.58"/>
        <n v="11801.08"/>
        <n v="3740.67"/>
        <n v="6139.53"/>
        <n v="5201.07"/>
        <n v="3120.46"/>
        <n v="9261.75"/>
        <n v="13073.19"/>
        <n v="3631.69"/>
        <n v="1677.67"/>
        <n v="10130.27"/>
        <n v="13595.94"/>
        <n v="21502.59"/>
        <n v="7335.89"/>
        <n v="1954.98"/>
        <n v="9335.6299999999992"/>
        <n v="1366.24"/>
        <n v="7065.31"/>
        <n v="18130.89"/>
        <n v="3268.91"/>
        <n v="3282.31"/>
        <n v="14127.41"/>
        <n v="4017.72"/>
        <n v="4974.33"/>
        <n v="3219.22"/>
        <n v="18683.560000000001"/>
        <n v="19400.18"/>
        <n v="3502.38"/>
        <n v="8157.51"/>
        <n v="4411.8"/>
        <n v="11939.17"/>
        <n v="7578.4"/>
        <n v="6604.47"/>
        <n v="3748.22"/>
        <n v="4919.96"/>
        <n v="6551.62"/>
        <n v="7410.6"/>
        <n v="9867.51"/>
        <n v="3051.05"/>
        <n v="4466.51"/>
        <n v="4065.48"/>
        <n v="1914.51"/>
        <n v="13640.79"/>
        <n v="3955.42"/>
        <n v="10464.6"/>
        <n v="2678.32"/>
        <n v="5630.51"/>
        <n v="4051.6"/>
        <n v="7507.74"/>
        <n v="4428.08"/>
        <n v="9910.1200000000008"/>
        <n v="3044.05"/>
        <n v="10410.08"/>
        <n v="7636.67"/>
        <n v="12538.34"/>
        <n v="4625.24"/>
        <n v="3387.46"/>
        <n v="3014.3"/>
        <n v="9948.23"/>
        <n v="4905.9799999999996"/>
        <n v="13500.89"/>
        <n v="19924.73"/>
        <n v="3752.43"/>
        <n v="5902.52"/>
        <n v="3133.17"/>
        <n v="11046.35"/>
        <n v="5367.87"/>
        <n v="9616.59"/>
        <n v="15673.27"/>
        <n v="4719.09"/>
        <n v="2641.24"/>
        <n v="9041.3700000000008"/>
        <n v="13826.92"/>
        <n v="10582.27"/>
        <n v="3596.99"/>
        <n v="10474.299999999999"/>
        <n v="11177.16"/>
        <n v="19282.16"/>
        <n v="6872.41"/>
        <n v="3437.93"/>
        <n v="1865.55"/>
        <n v="8034.49"/>
        <n v="7601.77"/>
        <n v="23634.13"/>
        <n v="5942.83"/>
        <n v="9131.09"/>
        <n v="5668.27"/>
        <n v="3806.68"/>
        <n v="11338.24"/>
        <n v="3202.28"/>
        <n v="7285.65"/>
        <n v="3717.7"/>
        <n v="7862.61"/>
        <n v="7233.71"/>
        <n v="11193.89"/>
        <n v="6493.5"/>
        <n v="2393.65"/>
        <n v="7102.37"/>
        <n v="9158.08"/>
        <n v="16534.900000000001"/>
        <n v="4016.05"/>
        <n v="5766.8"/>
        <n v="10613.09"/>
        <n v="19206.29"/>
        <n v="10452.02"/>
        <n v="9587.26"/>
        <n v="1789.47"/>
        <n v="8702.7900000000009"/>
        <n v="6771.24"/>
        <n v="13201.29"/>
        <n v="12737"/>
        <n v="10425.83"/>
        <n v="8065.56"/>
        <n v="10556.15"/>
        <n v="3230.89"/>
        <n v="5647.02"/>
        <n v="1773.68"/>
        <n v="2867.6"/>
        <n v="1621.37"/>
        <n v="6556.82"/>
        <n v="20613.84"/>
        <n v="18628.21"/>
        <n v="5362.7"/>
        <n v="7868.55"/>
        <n v="9942"/>
        <n v="8788.4"/>
        <n v="5352.66"/>
        <n v="3215.09"/>
        <n v="1509.87"/>
        <n v="3036.7"/>
        <n v="7232.46"/>
        <n v="4571.53"/>
        <n v="5927.05"/>
        <n v="3738.84"/>
        <n v="5849.18"/>
        <n v="5926.17"/>
        <n v="13099.55"/>
        <n v="8664.6200000000008"/>
        <n v="5062.3500000000004"/>
        <n v="5571.57"/>
        <n v="6904.08"/>
        <n v="10834.7"/>
        <n v="5287.18"/>
        <n v="2319.5700000000002"/>
        <n v="11804.63"/>
        <n v="2630.02"/>
        <n v="17093.8"/>
        <n v="7007.28"/>
        <n v="2519.35"/>
        <n v="3875.34"/>
        <n v="16006.16"/>
        <n v="8148.22"/>
        <n v="5944.86"/>
        <n v="4517.74"/>
        <n v="5127.1400000000003"/>
        <n v="20586.52"/>
        <n v="1134.4100000000001"/>
        <n v="8160.41"/>
        <n v="3685.71"/>
        <n v="1647.91"/>
        <n v="25463.38"/>
        <n v="15310.54"/>
        <n v="16648.57"/>
        <n v="13046.96"/>
        <n v="4672.8999999999996"/>
        <n v="9343"/>
        <n v="7502.57"/>
        <n v="1677.54"/>
        <n v="6047.18"/>
        <n v="6316.5"/>
        <n v="7912.99"/>
        <n v="11619.33"/>
        <n v="3665.68"/>
        <n v="15759.65"/>
        <n v="7001.7"/>
        <n v="6239.61"/>
        <n v="10402.82"/>
        <n v="3211.65"/>
        <n v="3471.45"/>
        <n v="10870.16"/>
        <n v="2656.95"/>
        <n v="13803.51"/>
        <n v="11739.43"/>
        <n v="9803.0499999999993"/>
        <n v="6493.82"/>
        <n v="7965.76"/>
        <n v="5881.78"/>
        <n v="3339.69"/>
        <n v="8224.9599999999991"/>
        <n v="8724.2199999999993"/>
        <n v="16499.54"/>
        <n v="2242.83"/>
        <n v="11847.32"/>
        <n v="2507.92"/>
        <n v="6110.6"/>
        <n v="4072.47"/>
        <n v="1093.92"/>
        <n v="8825.25"/>
        <n v="6750.65"/>
        <n v="11625.35"/>
        <n v="3838.7"/>
        <n v="15417.6"/>
        <n v="6369.39"/>
        <n v="8115.01"/>
        <n v="2369.6799999999998"/>
        <n v="10014.219999999999"/>
        <n v="12100.85"/>
        <n v="10249.32"/>
        <n v="20448.12"/>
        <n v="11138.76"/>
        <n v="10349.58"/>
        <n v="7484.51"/>
        <n v="4354.33"/>
        <n v="2653.06"/>
        <n v="4262.01"/>
        <n v="3872.9"/>
        <n v="10410.02"/>
        <n v="7858.14"/>
        <n v="5141.5"/>
        <n v="5678.83"/>
        <n v="3374.37"/>
        <n v="12080.76"/>
        <n v="9850.9599999999991"/>
        <n v="11914.24"/>
        <n v="9066.31"/>
        <n v="3578.24"/>
        <n v="1832.9"/>
        <n v="4576.5200000000004"/>
        <n v="18550.47"/>
        <n v="2153.54"/>
        <n v="23591.599999999999"/>
        <n v="7459.27"/>
        <n v="6831.24"/>
        <n v="9867.9599999999991"/>
        <n v="9112.58"/>
        <n v="3854.16"/>
        <n v="10251.129999999999"/>
        <n v="11498.31"/>
        <n v="5095.13"/>
        <n v="2655.87"/>
        <n v="8205.85"/>
        <n v="11926.51"/>
        <n v="1527.62"/>
        <n v="11290.16"/>
        <n v="7525.86"/>
        <n v="15869.01"/>
        <n v="16121.62"/>
        <n v="14749.74"/>
        <n v="6770.45"/>
        <n v="8319.06"/>
        <n v="4873.2"/>
        <n v="5309.31"/>
        <n v="9500.59"/>
        <n v="10906.69"/>
        <n v="6551.68"/>
        <n v="3411.09"/>
        <n v="4353.91"/>
        <n v="19628.400000000001"/>
        <n v="15194.39"/>
        <n v="9931.39"/>
        <n v="6064.16"/>
        <n v="6720.61"/>
        <n v="4239.09"/>
        <n v="6545.03"/>
        <n v="13500.51"/>
        <n v="2960.12"/>
        <n v="6124.6"/>
        <n v="7836.22"/>
        <n v="2618.64"/>
        <n v="4109.6899999999996"/>
        <n v="3954.15"/>
        <n v="3418.94"/>
        <n v="14438.74"/>
        <n v="10416.969999999999"/>
        <n v="6080.63"/>
        <n v="11580.5"/>
        <n v="6620.68"/>
        <n v="15853.68"/>
        <n v="1893.08"/>
        <n v="1194.82"/>
        <n v="13306.15"/>
        <n v="13698.04"/>
        <n v="13116.41"/>
        <n v="7157.21"/>
        <n v="10573.23"/>
        <n v="4590.1400000000003"/>
        <n v="6083.8"/>
        <n v="2876.42"/>
        <n v="12134.92"/>
        <n v="3496.75"/>
        <n v="6866"/>
        <n v="5997.76"/>
        <n v="10045.06"/>
        <n v="7150.07"/>
        <n v="3944.12"/>
        <n v="2281.67"/>
        <n v="2893.82"/>
        <n v="8620.14"/>
        <n v="8384.89"/>
        <n v="25067.49"/>
        <n v="8391.5300000000007"/>
        <n v="3124.27"/>
        <n v="2185.2800000000002"/>
        <n v="5171.78"/>
        <n v="11157.16"/>
        <n v="8333.75"/>
        <n v="6435.93"/>
        <n v="4985.51"/>
        <n v="3742.79"/>
        <n v="4688.32"/>
        <n v="5647.25"/>
        <n v="7152.53"/>
        <n v="2209.2800000000002"/>
        <n v="5586.11"/>
        <n v="7145.9"/>
        <n v="10192.049999999999"/>
        <n v="5515.35"/>
        <n v="6136.48"/>
        <n v="17987.43"/>
        <n v="4635.25"/>
        <n v="10928.81"/>
        <n v="7045.47"/>
        <n v="4519.5600000000004"/>
        <n v="5495.75"/>
        <n v="1437.07"/>
        <n v="4317.8500000000004"/>
        <n v="18634.32"/>
        <n v="15316.56"/>
        <n v="7067.36"/>
        <n v="2158.09"/>
        <n v="2032.5"/>
        <n v="10918.12"/>
        <n v="5013.74"/>
        <n v="1668.76"/>
        <n v="13185.73"/>
        <n v="8231.83"/>
        <n v="10858.47"/>
        <n v="8583.42"/>
        <n v="5249.46"/>
        <n v="12293.34"/>
        <n v="7084.55"/>
        <n v="6553.66"/>
        <n v="1425.21"/>
        <n v="11810.55"/>
        <n v="8248.8700000000008"/>
        <n v="880.22"/>
        <n v="5210.6499999999996"/>
        <n v="7833.49"/>
        <n v="7726.66"/>
        <n v="3252.95"/>
        <n v="9067.0400000000009"/>
        <n v="1513.12"/>
        <n v="15968.7"/>
        <n v="5002.33"/>
        <n v="23821.5"/>
        <n v="9492.4599999999991"/>
        <n v="9986.44"/>
        <n v="8924.2999999999993"/>
        <n v="2871.59"/>
        <n v="4228.01"/>
        <n v="7902.47"/>
        <n v="7650.99"/>
        <n v="5501.01"/>
        <n v="9192.89"/>
        <n v="15599.6"/>
        <n v="5485.45"/>
        <n v="5071.3900000000003"/>
        <n v="23462.720000000001"/>
        <n v="2847.85"/>
        <n v="2605.13"/>
        <n v="8389.11"/>
        <n v="8891.15"/>
        <n v="1840.62"/>
        <n v="14701.79"/>
        <n v="3107.81"/>
        <n v="3194.39"/>
        <n v="2363.85"/>
        <n v="5057.33"/>
        <n v="7280.22"/>
        <n v="3582.03"/>
        <n v="6413.14"/>
        <n v="4317.99"/>
        <n v="10673.85"/>
        <n v="4340.93"/>
        <n v="25097.91"/>
        <n v="8079.51"/>
        <n v="5009.0200000000004"/>
        <n v="4100.8500000000004"/>
        <n v="3483.5"/>
        <n v="3986.26"/>
        <n v="3208.45"/>
        <n v="9560.9699999999993"/>
        <n v="8213.42"/>
        <n v="9086.01"/>
        <n v="16434.439999999999"/>
        <n v="1603.61"/>
        <n v="13514.66"/>
        <n v="2041.34"/>
        <n v="13900.01"/>
        <n v="7236.09"/>
        <n v="6137.15"/>
        <n v="6383.18"/>
        <n v="5638.24"/>
        <n v="13027.06"/>
        <n v="2680.16"/>
        <n v="13705.11"/>
        <n v="12161.14"/>
        <n v="4520.99"/>
        <n v="1600.15"/>
        <n v="4490.7700000000004"/>
        <n v="9876.33"/>
        <n v="6455"/>
        <n v="1218.68"/>
        <n v="12081.21"/>
        <n v="4310.3900000000003"/>
        <n v="4932.7700000000004"/>
        <n v="6668.06"/>
        <n v="8563.48"/>
        <n v="5370.32"/>
        <n v="5493.06"/>
        <n v="13158.02"/>
        <n v="2359.7199999999998"/>
        <n v="8420.6200000000008"/>
        <n v="4785.53"/>
        <n v="16257.26"/>
        <n v="14979.94"/>
        <n v="11412.5"/>
        <n v="18096.96"/>
        <n v="5848.98"/>
        <n v="5616.08"/>
        <n v="3721.54"/>
        <n v="9178.73"/>
        <n v="1274.6099999999999"/>
        <n v="12879.82"/>
        <n v="7763.2"/>
        <n v="6186.6"/>
        <n v="4316.2700000000004"/>
        <n v="3313.04"/>
        <n v="21070.75"/>
        <n v="10807"/>
        <n v="13206.45"/>
        <n v="10434.92"/>
        <n v="6508.72"/>
        <n v="4170.12"/>
        <n v="14501.99"/>
        <n v="4381.58"/>
        <n v="3723.66"/>
        <n v="7257.96"/>
        <n v="13363.94"/>
        <n v="12244.51"/>
        <n v="19816.57"/>
        <n v="13327.09"/>
        <n v="15199.08"/>
        <n v="10986.67"/>
        <n v="7474.42"/>
        <n v="5336.11"/>
        <n v="2620.98"/>
        <n v="11717.31"/>
        <n v="11382.41"/>
        <n v="3008.81"/>
        <n v="9418.92"/>
        <n v="1938.46"/>
        <n v="6865.17"/>
        <n v="8559.5400000000009"/>
        <n v="1307.4100000000001"/>
        <n v="10112.530000000001"/>
        <n v="3992.58"/>
        <n v="5855.51"/>
        <n v="5548.01"/>
        <n v="9240.9699999999993"/>
        <n v="11305.5"/>
        <n v="10385.66"/>
        <n v="8742.7000000000007"/>
        <n v="11599.69"/>
        <n v="12626.47"/>
        <n v="1952.89"/>
        <n v="8514.17"/>
        <n v="4629.1000000000004"/>
        <n v="8276.5300000000007"/>
        <n v="11314.63"/>
        <n v="1199.73"/>
        <n v="3828.24"/>
        <n v="12841.47"/>
        <n v="14291.25"/>
        <n v="6209.47"/>
        <n v="5533.42"/>
        <n v="2702.68"/>
        <n v="2352.73"/>
        <n v="12287.67"/>
        <n v="10531.28"/>
        <n v="8501.2900000000009"/>
        <n v="3854.43"/>
        <n v="5892.32"/>
        <n v="8403.48"/>
        <n v="7066.56"/>
        <n v="8538.7999999999993"/>
        <n v="6087.66"/>
        <n v="2706.88"/>
        <n v="4985.91"/>
        <n v="6428.71"/>
        <n v="7260.55"/>
        <n v="4526.22"/>
        <n v="1765.3"/>
        <n v="5580.7"/>
        <n v="8821.08"/>
        <n v="14429.64"/>
        <n v="9656.66"/>
        <n v="7810.75"/>
        <n v="6576.35"/>
        <n v="12282.18"/>
        <n v="846.03"/>
        <n v="682.6"/>
        <n v="13924.61"/>
        <n v="10541.04"/>
        <n v="7082.66"/>
        <n v="5072.6499999999996"/>
        <n v="14898.07"/>
        <n v="24196.94"/>
        <n v="2604.69"/>
        <n v="7895.77"/>
        <n v="6153.7"/>
        <n v="18287.13"/>
        <n v="12094.37"/>
        <n v="8163.11"/>
        <n v="3214.92"/>
        <n v="11654.9"/>
        <n v="9948.26"/>
        <n v="20112.22"/>
        <n v="2253.17"/>
        <n v="8343.4599999999991"/>
        <n v="13562.01"/>
        <n v="7425.41"/>
        <n v="7094.71"/>
        <n v="7521.56"/>
        <n v="1304.17"/>
        <n v="8262.44"/>
        <n v="5504.09"/>
        <n v="2666.91"/>
        <n v="9029.74"/>
        <n v="7204.54"/>
        <n v="4078.23"/>
        <n v="3694.85"/>
        <n v="15831.53"/>
        <n v="8675.2900000000009"/>
        <n v="7904.1"/>
        <n v="3606.51"/>
        <n v="9667.24"/>
        <n v="6564.59"/>
        <n v="26780.83"/>
        <n v="5016.17"/>
        <n v="9062.7199999999993"/>
        <n v="4477.8100000000004"/>
        <n v="3218.5"/>
        <n v="9362.84"/>
        <n v="16265.72"/>
        <n v="4396.7299999999996"/>
        <n v="6923.2"/>
        <n v="1993.28"/>
        <n v="10721.22"/>
        <n v="10683.44"/>
        <n v="2102.9899999999998"/>
        <n v="10823.75"/>
        <n v="4444.34"/>
        <n v="5467.09"/>
        <n v="3219.69"/>
        <n v="13741.55"/>
        <n v="5252.74"/>
        <n v="4679.1099999999997"/>
        <n v="12550.97"/>
        <n v="6277.88"/>
        <n v="8094.23"/>
        <n v="3915.31"/>
        <n v="9865.33"/>
        <n v="5080.09"/>
        <n v="3579.84"/>
        <n v="10002.18"/>
        <n v="5491.86"/>
        <n v="5634.55"/>
        <n v="1113.07"/>
        <n v="7369.63"/>
        <n v="12225.97"/>
        <n v="3171.28"/>
        <n v="3230.98"/>
        <n v="4064.16"/>
        <n v="12651.32"/>
        <n v="11365.83"/>
        <n v="6801.62"/>
        <n v="4193.87"/>
        <n v="5360.64"/>
        <n v="6083.44"/>
        <n v="7004.72"/>
        <n v="11792.34"/>
        <n v="22824.31"/>
        <n v="19398.38"/>
        <n v="7790.82"/>
        <n v="3260.59"/>
        <n v="16189.69"/>
        <n v="1675"/>
        <n v="4541.96"/>
        <n v="1829.3"/>
        <n v="1710.86"/>
        <n v="1446.94"/>
        <n v="3366.37"/>
        <n v="11247.35"/>
        <n v="6989.05"/>
        <n v="3750.77"/>
        <n v="5883.13"/>
        <n v="4278.79"/>
        <n v="10663.64"/>
        <n v="5484.06"/>
        <n v="7495.64"/>
        <n v="7111.17"/>
        <n v="3463.98"/>
        <n v="6386.81"/>
        <n v="3363.48"/>
        <n v="3587.95"/>
        <n v="5669.1"/>
        <n v="11980.29"/>
        <n v="21163.27"/>
        <n v="12216.06"/>
        <n v="9889.02"/>
        <n v="13843.21"/>
        <n v="5628.73"/>
        <n v="8678.48"/>
        <n v="8754.2999999999993"/>
        <n v="2295.5100000000002"/>
        <n v="13172.37"/>
        <n v="9498.93"/>
        <n v="3782.68"/>
        <n v="5229.83"/>
        <n v="9750.68"/>
        <n v="7300.7"/>
        <n v="6046.13"/>
        <n v="11601.52"/>
        <n v="12116.58"/>
        <n v="7607.64"/>
        <n v="11029.18"/>
        <n v="10002.66"/>
        <n v="6962.92"/>
        <n v="7525.05"/>
        <n v="3093.16"/>
        <n v="6090.57"/>
        <n v="10633.4"/>
        <n v="11700.01"/>
        <n v="3666.29"/>
        <n v="7830.49"/>
        <n v="8306.7800000000007"/>
        <n v="13754.69"/>
        <n v="2791.27"/>
        <n v="13858.47"/>
        <n v="13764.28"/>
        <n v="8964.06"/>
        <n v="9450.9699999999993"/>
        <n v="4981.42"/>
        <n v="4346"/>
        <n v="6936.26"/>
        <n v="6337.2"/>
        <n v="17340.86"/>
        <n v="5192.91"/>
        <n v="3927.31"/>
        <n v="1005.65"/>
        <n v="12084.65"/>
        <n v="8953.77"/>
        <n v="6623.17"/>
        <n v="3649.35"/>
        <n v="2867.42"/>
        <n v="6671.67"/>
        <n v="3712.38"/>
        <n v="4977.66"/>
        <n v="3686.9"/>
        <n v="2799.64"/>
        <n v="9954.08"/>
        <n v="13959.92"/>
        <n v="3407.34"/>
        <n v="2267.19"/>
        <n v="3642.23"/>
        <n v="2492.12"/>
        <n v="6102.44"/>
        <n v="5124.43"/>
        <n v="3401.56"/>
        <n v="8382.86"/>
        <n v="3457.59"/>
        <n v="4585.1400000000003"/>
        <n v="1265.55"/>
        <n v="2355.2800000000002"/>
        <n v="8464.19"/>
        <n v="10175.719999999999"/>
        <n v="7159.4"/>
        <n v="9972.31"/>
        <n v="5010.1099999999997"/>
        <n v="11133.71"/>
        <n v="11272.55"/>
        <n v="8408.09"/>
        <n v="10674.36"/>
        <n v="3654.06"/>
        <n v="6010.23"/>
        <n v="6751.23"/>
        <n v="15505.78"/>
        <n v="5499.99"/>
        <n v="1627.89"/>
        <n v="19393.18"/>
        <n v="8552.91"/>
        <n v="1994.61"/>
        <n v="3539.41"/>
        <n v="8039.28"/>
        <n v="4485.6000000000004"/>
        <n v="16521.7"/>
        <n v="8480.99"/>
        <n v="21760.880000000001"/>
        <n v="4073.43"/>
        <n v="13679.21"/>
        <n v="10172.43"/>
        <n v="5263.14"/>
        <n v="4552.41"/>
        <n v="1415.16"/>
        <n v="3582.25"/>
        <n v="13280.25"/>
        <n v="12666.72"/>
        <n v="6167.82"/>
        <n v="2699.79"/>
        <n v="9399.57"/>
        <n v="15720.87"/>
        <n v="14304.57"/>
        <n v="10896.82"/>
        <n v="8398.76"/>
        <n v="2676.9"/>
        <n v="3701.48"/>
        <n v="14961.87"/>
        <n v="5798.03"/>
        <n v="2119.3200000000002"/>
        <n v="12010.31"/>
        <n v="2706.7"/>
        <n v="2197.8000000000002"/>
        <n v="7369.17"/>
        <n v="2287.4499999999998"/>
        <n v="4591.46"/>
        <n v="5570.56"/>
        <n v="13809.28"/>
        <n v="25723.71"/>
        <n v="5805.53"/>
        <n v="12542.23"/>
        <n v="7865.49"/>
        <n v="2961.47"/>
        <n v="12676.22"/>
        <n v="6561.34"/>
        <n v="4180.0600000000004"/>
        <n v="2973.7"/>
        <n v="10812.46"/>
        <n v="5415.63"/>
        <n v="12694.26"/>
        <n v="4409.26"/>
        <n v="3785.89"/>
        <n v="3270.69"/>
        <n v="3243.44"/>
        <n v="1760.03"/>
        <n v="6799.4"/>
        <n v="5023.2"/>
        <n v="3093.77"/>
        <n v="12645.85"/>
        <n v="3137.52"/>
        <n v="7309.51"/>
        <n v="3701.96"/>
        <n v="3682.34"/>
        <n v="8677.48"/>
        <n v="6211.41"/>
        <n v="10612.82"/>
        <n v="5741.69"/>
        <n v="4261.12"/>
        <n v="8616.69"/>
        <n v="9737.64"/>
        <n v="10981.07"/>
        <n v="2672.79"/>
        <n v="4921.8999999999996"/>
        <n v="6738.17"/>
        <n v="2004.29"/>
        <n v="10995.77"/>
        <n v="2907.91"/>
        <n v="3017.18"/>
        <n v="13038.75"/>
        <n v="3499.42"/>
        <n v="5816.43"/>
        <n v="1099.4000000000001"/>
        <n v="2996.75"/>
        <n v="3175.53"/>
        <n v="9952.3700000000008"/>
        <n v="3008.45"/>
        <n v="8076.1"/>
        <n v="16023.22"/>
        <n v="11120.29"/>
        <n v="1728.18"/>
        <n v="4917.13"/>
        <n v="11064.81"/>
        <n v="7866.88"/>
        <n v="4012.81"/>
        <n v="13169.1"/>
        <n v="5680.29"/>
        <n v="8164.8"/>
        <n v="7694.54"/>
        <n v="4755.8999999999996"/>
        <n v="2247.09"/>
        <n v="13039.45"/>
        <n v="8866.58"/>
        <n v="4112.55"/>
        <n v="1527.5"/>
        <n v="6730.79"/>
        <n v="12329.21"/>
        <n v="5659.66"/>
        <n v="3790.68"/>
        <n v="4517.5600000000004"/>
        <n v="4404.9799999999996"/>
        <n v="7209.01"/>
        <n v="14552.6"/>
        <n v="12595.57"/>
        <n v="9097.81"/>
        <n v="2225.9899999999998"/>
        <n v="14892.31"/>
        <n v="25745.87"/>
        <n v="3676.61"/>
        <n v="2141.9299999999998"/>
        <n v="4860.97"/>
        <n v="8494.85"/>
        <n v="3546.44"/>
        <n v="5617.4"/>
        <n v="4057.16"/>
        <n v="3109.17"/>
        <n v="9503.16"/>
        <n v="15373.11"/>
        <n v="3790.67"/>
        <n v="3488.24"/>
        <n v="9671.7800000000007"/>
        <n v="6326.01"/>
        <n v="6234.8"/>
        <n v="13044.77"/>
        <n v="11666.75"/>
        <n v="4869.88"/>
        <n v="4493.7700000000004"/>
        <n v="10853.77"/>
        <n v="3995.95"/>
        <n v="1170.06"/>
        <n v="12496.34"/>
        <n v="9844.2099999999991"/>
        <n v="10594.26"/>
        <n v="12114.44"/>
        <n v="3377.4"/>
        <n v="9381.76"/>
        <n v="3656.46"/>
        <n v="19706.23"/>
        <n v="14659.11"/>
        <n v="11599.89"/>
        <n v="4723.3900000000003"/>
        <n v="1485.15"/>
        <n v="3781.88"/>
        <n v="7921.17"/>
        <n v="17002.57"/>
        <n v="13307"/>
        <n v="3194.46"/>
        <n v="7941.83"/>
        <n v="13265.21"/>
        <n v="1560.65"/>
        <n v="5470.17"/>
        <n v="2348.6999999999998"/>
        <n v="8102.4"/>
        <n v="10519.99"/>
        <n v="12668.75"/>
        <n v="10155.41"/>
        <n v="10203.34"/>
        <n v="2729.6"/>
        <n v="4345.54"/>
        <n v="12882.69"/>
        <n v="9099.52"/>
        <n v="2341.8000000000002"/>
        <n v="8492.64"/>
        <n v="9744.89"/>
        <n v="8932.7800000000007"/>
        <n v="8266.17"/>
        <n v="1974.56"/>
        <n v="12576.76"/>
        <n v="8610.06"/>
        <n v="2434.5100000000002"/>
        <n v="11323.93"/>
        <n v="3603.53"/>
        <n v="6346.29"/>
        <n v="9997.9699999999993"/>
        <n v="5794.18"/>
        <n v="3120.15"/>
        <n v="9330.7199999999993"/>
        <n v="9199.3700000000008"/>
        <n v="21732.99"/>
        <n v="1560.15"/>
        <n v="3230.53"/>
        <n v="14411.92"/>
        <n v="8872.5"/>
        <n v="4445.58"/>
        <n v="2465.13"/>
        <n v="5142.1000000000004"/>
        <n v="9230.68"/>
        <n v="5160.51"/>
        <n v="9280.08"/>
        <n v="3713.54"/>
        <n v="10169.35"/>
        <n v="8971.0300000000007"/>
        <n v="3214.03"/>
        <n v="2703.63"/>
        <n v="9040.73"/>
        <n v="3867.1"/>
        <n v="9110.5300000000007"/>
        <n v="6423.56"/>
        <n v="9215.44"/>
        <n v="10634.68"/>
        <n v="3957.05"/>
        <n v="4076.06"/>
        <n v="5460.47"/>
        <n v="20918.84"/>
        <n v="3550.94"/>
        <n v="13523.54"/>
        <n v="4149.8900000000003"/>
        <n v="4892.6099999999997"/>
        <n v="7092.94"/>
        <n v="8521.86"/>
        <n v="6781.15"/>
        <n v="7644.02"/>
        <n v="3671.5"/>
        <n v="10489.03"/>
        <n v="4435.59"/>
        <n v="1548.71"/>
        <n v="2692.45"/>
        <n v="7655.59"/>
        <n v="8245.65"/>
        <n v="10145.450000000001"/>
        <n v="5244.96"/>
        <n v="16414.310000000001"/>
        <n v="12148.52"/>
        <n v="10833.97"/>
        <n v="2131.2800000000002"/>
        <n v="8568.01"/>
        <n v="12507.21"/>
        <n v="9997.7900000000009"/>
        <n v="4679.6099999999997"/>
        <n v="11468.62"/>
        <n v="19026.900000000001"/>
        <n v="13905.64"/>
        <n v="7980.63"/>
        <n v="5225.1899999999996"/>
        <n v="10745.8"/>
        <n v="11797.86"/>
        <n v="5642.65"/>
        <n v="9019.9"/>
        <n v="5000.3900000000003"/>
        <n v="7655.12"/>
        <n v="11267.19"/>
        <n v="11215.51"/>
        <n v="11398.83"/>
        <n v="11200.23"/>
        <n v="14311.13"/>
        <n v="10514.93"/>
        <n v="11004.01"/>
        <n v="12129.72"/>
        <n v="16061.33"/>
        <n v="7997.97"/>
        <n v="5250.76"/>
        <n v="3322.78"/>
        <n v="7573.49"/>
        <n v="8019.87"/>
        <n v="1515.42"/>
        <n v="12031.74"/>
        <n v="9100.75"/>
        <n v="3390.69"/>
        <n v="9149.34"/>
        <n v="11632.13"/>
        <n v="19339.169999999998"/>
        <n v="6067.42"/>
        <n v="4284.17"/>
        <n v="2477.3000000000002"/>
        <n v="3504.95"/>
        <n v="5138.41"/>
        <n v="8305.56"/>
        <n v="5668.4"/>
        <n v="3076.52"/>
        <n v="3582.99"/>
        <n v="14461.12"/>
        <n v="10121.6"/>
        <n v="11155.17"/>
        <n v="9035.49"/>
        <n v="10036.69"/>
        <n v="12182.57"/>
        <n v="11852.94"/>
        <n v="13796.03"/>
        <n v="13504.98"/>
        <n v="2178.42"/>
        <n v="4774.6499999999996"/>
        <n v="12661.76"/>
        <n v="2732.73"/>
        <n v="5178.1000000000004"/>
        <n v="2014.71"/>
        <n v="13326.32"/>
        <n v="859.31"/>
        <n v="5796.41"/>
        <n v="10213.61"/>
        <n v="9970.17"/>
        <n v="2940.42"/>
        <n v="7697.35"/>
        <n v="9215.0300000000007"/>
        <n v="6146.27"/>
        <n v="13616.42"/>
        <n v="4397.1400000000003"/>
        <n v="9418.69"/>
        <n v="6229.88"/>
        <n v="21626.720000000001"/>
        <n v="10899.69"/>
        <n v="4729.84"/>
        <n v="4965.8"/>
        <n v="14655.41"/>
        <n v="8981.83"/>
        <n v="14679.54"/>
        <n v="2350.81"/>
        <n v="12625.14"/>
        <n v="4949.71"/>
        <n v="8376.75"/>
        <n v="2951.82"/>
        <n v="2763.73"/>
        <n v="7091.36"/>
        <n v="24607.01"/>
        <n v="7471.15"/>
        <n v="10312.44"/>
        <n v="4082.24"/>
        <n v="6924.35"/>
        <n v="5001.07"/>
        <n v="3170.79"/>
        <n v="4460.47"/>
        <n v="10281.11"/>
        <n v="14864.3"/>
        <n v="8585.6"/>
        <n v="6125.71"/>
        <n v="5866.13"/>
        <n v="2082.4899999999998"/>
        <n v="5568.64"/>
        <n v="2979.76"/>
        <n v="3790.8"/>
        <n v="2458.12"/>
        <n v="4886.49"/>
        <n v="16855.330000000002"/>
        <n v="14482.68"/>
        <n v="7886.38"/>
        <n v="1907.95"/>
        <n v="11441.64"/>
        <n v="18194.310000000001"/>
        <n v="4768.6400000000003"/>
        <n v="6932.91"/>
        <n v="5025.5600000000004"/>
        <n v="15616.37"/>
        <n v="4364.04"/>
        <n v="13033.17"/>
        <n v="12019.57"/>
        <n v="18714.64"/>
        <n v="4202.12"/>
        <n v="5129.07"/>
        <n v="10999.9"/>
        <n v="8606.59"/>
        <n v="2868.06"/>
        <n v="4885.58"/>
        <n v="4544.17"/>
        <n v="6294.39"/>
        <n v="7549.42"/>
        <n v="11257.34"/>
        <n v="17521.759999999998"/>
        <n v="8574.2099999999991"/>
        <n v="9148.18"/>
        <n v="5158.51"/>
        <n v="9000.2800000000007"/>
        <n v="9139.23"/>
        <n v="11459.11"/>
        <n v="1911.02"/>
        <n v="13049.28"/>
        <n v="1074.31"/>
        <n v="8698.2800000000007"/>
        <n v="5773.42"/>
        <n v="13932.64"/>
        <n v="2251.4699999999998"/>
        <n v="5695.66"/>
        <n v="1815.06"/>
        <n v="12204.51"/>
        <n v="4125.1400000000003"/>
        <n v="12145.6"/>
        <n v="7050.63"/>
        <n v="3495.51"/>
        <n v="11585.84"/>
        <n v="10062.209999999999"/>
        <n v="10618.6"/>
        <n v="22607.09"/>
        <n v="4713.3100000000004"/>
        <n v="6736.79"/>
        <n v="7782.24"/>
        <n v="8408.02"/>
        <n v="3304.35"/>
        <n v="3825"/>
        <n v="8269.1"/>
        <n v="10276.34"/>
        <n v="7274.93"/>
        <n v="6843.62"/>
        <n v="3217.68"/>
        <n v="2578.56"/>
        <n v="2331.4"/>
        <n v="12107.74"/>
        <n v="5002.43"/>
        <n v="4168.47"/>
        <n v="7163.54"/>
        <n v="16857.14"/>
        <n v="8560.74"/>
        <n v="13693.81"/>
        <n v="5132.26"/>
        <n v="7685.94"/>
        <n v="9106.2999999999993"/>
        <n v="5400.15"/>
        <n v="12870.38"/>
        <n v="9829.67"/>
        <n v="13797.7"/>
        <n v="8327.61"/>
        <n v="10139.6"/>
        <n v="9438.16"/>
        <n v="2997.1"/>
        <n v="13502.08"/>
        <n v="5263.67"/>
        <n v="12068.69"/>
        <n v="7587.67"/>
        <n v="6410.38"/>
        <n v="4213.3599999999997"/>
        <n v="17233.95"/>
        <n v="3920.61"/>
        <n v="5298.64"/>
        <n v="7783.65"/>
        <n v="13479.75"/>
        <n v="6160.64"/>
        <n v="9022.58"/>
        <n v="8308.15"/>
        <n v="10369.299999999999"/>
        <n v="12748.46"/>
        <n v="2915.54"/>
        <n v="6621.99"/>
        <n v="6873.4"/>
        <n v="4516.09"/>
        <n v="3497.04"/>
        <n v="3581.61"/>
        <n v="5550.56"/>
        <n v="15007.41"/>
        <n v="6590.98"/>
        <n v="9545.11"/>
        <n v="21026.959999999999"/>
        <n v="6291.14"/>
        <n v="1272.67"/>
        <n v="4586.3100000000004"/>
        <n v="6105.34"/>
        <n v="5066.3900000000003"/>
        <n v="3915.71"/>
        <n v="7435.06"/>
        <n v="2156.5"/>
        <n v="5615.89"/>
        <n v="2194.06"/>
        <n v="1756.27"/>
        <n v="2587.34"/>
        <n v="11685.42"/>
        <n v="2590.08"/>
        <n v="2793.78"/>
        <n v="4201.99"/>
        <n v="20286.03"/>
        <n v="13746.07"/>
        <n v="3635.56"/>
        <n v="5852.41"/>
        <n v="6164.94"/>
        <n v="9032.2900000000009"/>
        <n v="3988.16"/>
        <n v="5139.41"/>
        <n v="6272.28"/>
        <n v="14680.15"/>
        <n v="6823.73"/>
        <n v="3478"/>
        <n v="9280.6299999999992"/>
        <n v="3926.81"/>
        <n v="7730.05"/>
        <n v="6659.35"/>
        <n v="7435.28"/>
        <n v="3700.98"/>
        <n v="3385.51"/>
        <n v="7577.3"/>
        <n v="25497.7"/>
        <n v="9197.92"/>
        <n v="14424"/>
        <n v="7591.15"/>
        <n v="11979.86"/>
        <n v="12772.35"/>
        <n v="9540.89"/>
        <n v="3520.22"/>
        <n v="18984.2"/>
        <n v="6791.42"/>
        <n v="2912.6"/>
        <n v="1531.3"/>
        <n v="6150.43"/>
        <n v="2743.66"/>
        <n v="12650.73"/>
        <n v="9716.6"/>
        <n v="5270.98"/>
        <n v="3295.13"/>
        <n v="3060.58"/>
        <n v="9024.44"/>
        <n v="4649.07"/>
        <n v="16645.98"/>
        <n v="6120.88"/>
        <n v="8938.0499999999993"/>
        <n v="10675.57"/>
        <n v="6281.5"/>
        <n v="22093.17"/>
        <n v="6163.6"/>
        <n v="1052.67"/>
        <n v="6737.27"/>
        <n v="1348.72"/>
        <n v="2567.0700000000002"/>
        <n v="3584.09"/>
        <n v="5871.69"/>
        <n v="6909.07"/>
        <n v="10316.49"/>
        <n v="12206.04"/>
        <n v="13153.11"/>
        <n v="6339.62"/>
        <n v="2517.94"/>
        <n v="5585.19"/>
        <n v="11635.26"/>
        <n v="3075.19"/>
        <n v="19778.54"/>
        <n v="7854.04"/>
        <n v="4730.2"/>
        <n v="7822.35"/>
        <n v="4983.67"/>
        <n v="3904.29"/>
        <n v="6658.6"/>
        <n v="3302.41"/>
        <n v="15178.56"/>
        <n v="10923.32"/>
        <n v="4479.66"/>
        <n v="11174.62"/>
        <n v="2983.32"/>
        <n v="5092.99"/>
        <n v="2618.48"/>
        <n v="5062.7299999999996"/>
        <n v="4189.3100000000004"/>
        <n v="9084.48"/>
        <n v="1971.37"/>
        <n v="19901.87"/>
        <n v="4838.26"/>
        <n v="7056.24"/>
        <n v="7091.92"/>
        <n v="5025.51"/>
        <n v="4566.25"/>
        <n v="6326.07"/>
        <n v="5471.59"/>
        <n v="12894.33"/>
        <n v="7953.32"/>
        <n v="14399.07"/>
        <n v="2601.4699999999998"/>
        <n v="7013.41"/>
        <n v="2214.79"/>
        <n v="4630.74"/>
        <n v="11852.5"/>
        <n v="20517.689999999999"/>
        <n v="20539.61"/>
        <n v="2199.91"/>
        <n v="12573.77"/>
        <n v="12766.06"/>
        <n v="12100.71"/>
        <n v="2092.48"/>
        <n v="5900.86"/>
        <n v="14984.19"/>
        <n v="6916.51"/>
        <n v="2654.83"/>
        <n v="3283.29"/>
        <n v="14398.62"/>
        <n v="1657.09"/>
        <n v="1668.55"/>
        <n v="5861.47"/>
        <n v="13686.11"/>
        <n v="6821.25"/>
        <n v="12044.95"/>
        <n v="5966.46"/>
        <n v="11543.79"/>
        <n v="1620.39"/>
        <n v="4375.97"/>
        <n v="2871.76"/>
        <n v="7386.44"/>
        <n v="9346.7999999999993"/>
        <n v="8921.91"/>
        <n v="7548.16"/>
        <n v="2826.43"/>
        <n v="7847.21"/>
        <n v="8566.7000000000007"/>
        <n v="4368.25"/>
        <n v="14962.62"/>
        <n v="6113.77"/>
        <n v="3760.01"/>
        <n v="4019.77"/>
        <n v="7019.33"/>
        <n v="15154.67"/>
        <n v="4071.01"/>
        <n v="6208.08"/>
        <n v="11852.38"/>
        <n v="6439.77"/>
        <n v="2515.86"/>
        <n v="7544.12"/>
        <n v="18497.330000000002"/>
        <n v="12164.79"/>
        <n v="3209.24"/>
        <n v="9978.18"/>
        <n v="9662.11"/>
        <n v="26043.66"/>
        <n v="10796.66"/>
        <n v="10534.56"/>
        <n v="4514.45"/>
        <n v="9215.92"/>
        <n v="1856.76"/>
        <n v="4397.74"/>
        <n v="13035.03"/>
        <n v="7744.23"/>
        <n v="7681.54"/>
        <n v="6795.29"/>
        <n v="8412.1200000000008"/>
        <n v="9621.26"/>
        <n v="2559.91"/>
        <n v="6938.77"/>
        <n v="4163.53"/>
        <n v="9809.83"/>
        <n v="8735.26"/>
      </sharedItems>
    </cacheField>
    <cacheField name="Length_of_Stay" numFmtId="0">
      <sharedItems containsSemiMixedTypes="0" containsString="0" containsNumber="1" containsInteger="1" minValue="1" maxValue="30"/>
    </cacheField>
    <cacheField name="Insurance_Status" numFmtId="0">
      <sharedItems count="2">
        <s v="Not Insured"/>
        <s v="Insured"/>
      </sharedItems>
    </cacheField>
    <cacheField name="Outcome" numFmtId="0">
      <sharedItems/>
    </cacheField>
    <cacheField name="Admission_Type" numFmtId="0">
      <sharedItems count="3">
        <s v="Elective"/>
        <s v="Urgent"/>
        <s v="Emergency"/>
      </sharedItems>
    </cacheField>
    <cacheField name="Bed_Type" numFmtId="0">
      <sharedItems count="4">
        <s v="Semi-Private"/>
        <s v="General"/>
        <s v="ICU"/>
        <s v="Private"/>
      </sharedItems>
    </cacheField>
    <cacheField name="Payment_Method" numFmtId="0">
      <sharedItems/>
    </cacheField>
    <cacheField name="Lab_Tests_Count" numFmtId="0">
      <sharedItems containsSemiMixedTypes="0" containsString="0" containsNumber="1" containsInteger="1" minValue="1" maxValue="15"/>
    </cacheField>
    <cacheField name="Medication_Cost_USD" numFmtId="0">
      <sharedItems containsSemiMixedTypes="0" containsString="0" containsNumber="1" minValue="142.5" maxValue="9515.57" count="3485">
        <n v="1688.46"/>
        <n v="881.02"/>
        <n v="1607.29"/>
        <n v="3628.01"/>
        <n v="746.48"/>
        <n v="1161.42"/>
        <n v="4701.24"/>
        <n v="1873.44"/>
        <n v="4295.42"/>
        <n v="824.65"/>
        <n v="4829.25"/>
        <n v="984.95"/>
        <n v="1541.74"/>
        <n v="5808.67"/>
        <n v="726.06"/>
        <n v="2786.11"/>
        <n v="453.13"/>
        <n v="2667.42"/>
        <n v="813.57"/>
        <n v="1055.75"/>
        <n v="4420.1499999999996"/>
        <n v="3556.45"/>
        <n v="3646.76"/>
        <n v="1075.3599999999999"/>
        <n v="516.33000000000004"/>
        <n v="1606.86"/>
        <n v="881.51"/>
        <n v="1963.91"/>
        <n v="1179.71"/>
        <n v="4117.88"/>
        <n v="789.51"/>
        <n v="2142.63"/>
        <n v="1015.6"/>
        <n v="1703.94"/>
        <n v="459.44"/>
        <n v="3044.11"/>
        <n v="567.29999999999995"/>
        <n v="2781.18"/>
        <n v="1798.29"/>
        <n v="1248.1600000000001"/>
        <n v="2958.56"/>
        <n v="1444.06"/>
        <n v="660.41"/>
        <n v="3106.76"/>
        <n v="2436.4299999999998"/>
        <n v="630.51"/>
        <n v="1120.8800000000001"/>
        <n v="2111.7399999999998"/>
        <n v="2483.4499999999998"/>
        <n v="2320.88"/>
        <n v="764.1"/>
        <n v="1042.67"/>
        <n v="1335.87"/>
        <n v="2690.47"/>
        <n v="1015.94"/>
        <n v="1739.34"/>
        <n v="2159.69"/>
        <n v="3729.34"/>
        <n v="1995.47"/>
        <n v="897.2"/>
        <n v="810.32"/>
        <n v="934.2"/>
        <n v="1133.92"/>
        <n v="2601.0100000000002"/>
        <n v="1504.34"/>
        <n v="2175.9899999999998"/>
        <n v="2260.67"/>
        <n v="1393.92"/>
        <n v="1413.99"/>
        <n v="2084.7399999999998"/>
        <n v="7912.45"/>
        <n v="2574.85"/>
        <n v="1544.79"/>
        <n v="1219.32"/>
        <n v="2109.3000000000002"/>
        <n v="3469.55"/>
        <n v="2307.31"/>
        <n v="1445.03"/>
        <n v="1380.14"/>
        <n v="915.25"/>
        <n v="1893.67"/>
        <n v="2008.31"/>
        <n v="978.07"/>
        <n v="2065.15"/>
        <n v="2835.99"/>
        <n v="1399.25"/>
        <n v="1634.49"/>
        <n v="3359.75"/>
        <n v="4635.3"/>
        <n v="980.85"/>
        <n v="920.52"/>
        <n v="1047.3900000000001"/>
        <n v="2736.09"/>
        <n v="1853.02"/>
        <n v="2134.6799999999998"/>
        <n v="1659.54"/>
        <n v="739.37"/>
        <n v="2540.75"/>
        <n v="3658.14"/>
        <n v="1191.02"/>
        <n v="6304.6"/>
        <n v="975.97"/>
        <n v="1187.08"/>
        <n v="694.4"/>
        <n v="401.08"/>
        <n v="1813.87"/>
        <n v="2793.9"/>
        <n v="2863.39"/>
        <n v="822.84"/>
        <n v="3208.62"/>
        <n v="1639.84"/>
        <n v="765.52"/>
        <n v="1175.69"/>
        <n v="1136.04"/>
        <n v="2202.79"/>
        <n v="440.54"/>
        <n v="925.21"/>
        <n v="588.37"/>
        <n v="5743.23"/>
        <n v="4666.0600000000004"/>
        <n v="564.02"/>
        <n v="1712.44"/>
        <n v="2932.2"/>
        <n v="1860.06"/>
        <n v="3064.21"/>
        <n v="3425.33"/>
        <n v="2248.3200000000002"/>
        <n v="1570.5"/>
        <n v="833.94"/>
        <n v="1952.9"/>
        <n v="974.11"/>
        <n v="3409.72"/>
        <n v="1133.31"/>
        <n v="2297.71"/>
        <n v="1956.15"/>
        <n v="1186.4100000000001"/>
        <n v="1834.52"/>
        <n v="3069.37"/>
        <n v="3099.77"/>
        <n v="936.55"/>
        <n v="3270.4"/>
        <n v="5941.35"/>
        <n v="3611"/>
        <n v="1929.52"/>
        <n v="445.65"/>
        <n v="2564.4299999999998"/>
        <n v="1612.49"/>
        <n v="7148.37"/>
        <n v="3721.77"/>
        <n v="5567.33"/>
        <n v="1538.94"/>
        <n v="4346.72"/>
        <n v="2061.4499999999998"/>
        <n v="2848.94"/>
        <n v="4463.3999999999996"/>
        <n v="4980.3599999999997"/>
        <n v="383.49"/>
        <n v="4668.0200000000004"/>
        <n v="3102.86"/>
        <n v="2276.86"/>
        <n v="692.58"/>
        <n v="855.85"/>
        <n v="827.25"/>
        <n v="1230.71"/>
        <n v="3562.28"/>
        <n v="668"/>
        <n v="2602.8200000000002"/>
        <n v="2723.84"/>
        <n v="5672.02"/>
        <n v="637.4"/>
        <n v="1869.64"/>
        <n v="1078.32"/>
        <n v="939.6"/>
        <n v="303.5"/>
        <n v="1352.21"/>
        <n v="1235.1600000000001"/>
        <n v="2398.9499999999998"/>
        <n v="5114.66"/>
        <n v="2934.71"/>
        <n v="512.57000000000005"/>
        <n v="2092.46"/>
        <n v="753.29"/>
        <n v="2659.85"/>
        <n v="593.9"/>
        <n v="4622.1099999999997"/>
        <n v="2178.6"/>
        <n v="2050.63"/>
        <n v="1801.87"/>
        <n v="1069.78"/>
        <n v="4455.42"/>
        <n v="1090.79"/>
        <n v="3265.28"/>
        <n v="1134.06"/>
        <n v="912.53"/>
        <n v="1632.25"/>
        <n v="1501"/>
        <n v="329.09"/>
        <n v="1290.1300000000001"/>
        <n v="1229.02"/>
        <n v="4854.12"/>
        <n v="3745.73"/>
        <n v="677.44"/>
        <n v="2552.15"/>
        <n v="3735.81"/>
        <n v="307.39999999999998"/>
        <n v="1632.71"/>
        <n v="407.05"/>
        <n v="1766.38"/>
        <n v="2040.32"/>
        <n v="607.87"/>
        <n v="8366.68"/>
        <n v="2704.36"/>
        <n v="811.2"/>
        <n v="2586.7199999999998"/>
        <n v="879.7"/>
        <n v="988.37"/>
        <n v="2215.77"/>
        <n v="8555.9599999999991"/>
        <n v="2742.37"/>
        <n v="1438.82"/>
        <n v="5363.4"/>
        <n v="1405.37"/>
        <n v="1799.06"/>
        <n v="1559.66"/>
        <n v="3170.19"/>
        <n v="816.32"/>
        <n v="1202"/>
        <n v="1204.08"/>
        <n v="1181.45"/>
        <n v="1788.44"/>
        <n v="1156.94"/>
        <n v="1108.3599999999999"/>
        <n v="954.71"/>
        <n v="1394.9"/>
        <n v="4044.38"/>
        <n v="2614.02"/>
        <n v="5213.84"/>
        <n v="335.18"/>
        <n v="1392.05"/>
        <n v="4138.91"/>
        <n v="1637.85"/>
        <n v="3294.34"/>
        <n v="887.32"/>
        <n v="2288.04"/>
        <n v="5346.26"/>
        <n v="3029.79"/>
        <n v="2728.4"/>
        <n v="1782.06"/>
        <n v="1072.96"/>
        <n v="2065.08"/>
        <n v="548.03"/>
        <n v="1001.73"/>
        <n v="4950.5600000000004"/>
        <n v="426.23"/>
        <n v="1921.58"/>
        <n v="1723.28"/>
        <n v="2962.06"/>
        <n v="4053.63"/>
        <n v="2364.8000000000002"/>
        <n v="1636.58"/>
        <n v="718.85"/>
        <n v="959.16"/>
        <n v="1088.29"/>
        <n v="4328.6000000000004"/>
        <n v="1712.55"/>
        <n v="2679.31"/>
        <n v="2009.45"/>
        <n v="205.62"/>
        <n v="3905.95"/>
        <n v="1188.05"/>
        <n v="1740.05"/>
        <n v="841.66"/>
        <n v="925.6"/>
        <n v="1556.33"/>
        <n v="5047.54"/>
        <n v="2693.21"/>
        <n v="1234.77"/>
        <n v="7640.48"/>
        <n v="1457.69"/>
        <n v="3637.65"/>
        <n v="1834.5"/>
        <n v="853.06"/>
        <n v="4954.0600000000004"/>
        <n v="1494.06"/>
        <n v="3663.25"/>
        <n v="3800.67"/>
        <n v="1623.78"/>
        <n v="3582.63"/>
        <n v="989.07"/>
        <n v="1708.56"/>
        <n v="718.34"/>
        <n v="4237.17"/>
        <n v="3785.61"/>
        <n v="3323.58"/>
        <n v="2893.76"/>
        <n v="1942.62"/>
        <n v="1661.61"/>
        <n v="1033.1600000000001"/>
        <n v="1983.4"/>
        <n v="2538.1799999999998"/>
        <n v="3714.3"/>
        <n v="2566.56"/>
        <n v="2480.31"/>
        <n v="1252.5999999999999"/>
        <n v="1962.85"/>
        <n v="1242.96"/>
        <n v="1051.51"/>
        <n v="3957.37"/>
        <n v="1599.61"/>
        <n v="1354.72"/>
        <n v="1377.56"/>
        <n v="1608.67"/>
        <n v="3535.8"/>
        <n v="2323.8000000000002"/>
        <n v="2900.54"/>
        <n v="2815.8"/>
        <n v="3404.08"/>
        <n v="1292.21"/>
        <n v="7322.45"/>
        <n v="2045.72"/>
        <n v="2612.86"/>
        <n v="1644.65"/>
        <n v="1326.3"/>
        <n v="2169.13"/>
        <n v="4657.05"/>
        <n v="726.14"/>
        <n v="1435.5"/>
        <n v="1261.25"/>
        <n v="2777.2"/>
        <n v="2988.24"/>
        <n v="1616.42"/>
        <n v="1334.03"/>
        <n v="482.08"/>
        <n v="3729.63"/>
        <n v="1298.97"/>
        <n v="1469.7"/>
        <n v="880.28"/>
        <n v="1020.46"/>
        <n v="850.04"/>
        <n v="3148.35"/>
        <n v="7334.85"/>
        <n v="2427.2800000000002"/>
        <n v="3818.95"/>
        <n v="2699.15"/>
        <n v="3556.58"/>
        <n v="4771.12"/>
        <n v="933.73"/>
        <n v="3299.05"/>
        <n v="7470.19"/>
        <n v="3526.67"/>
        <n v="1450.71"/>
        <n v="1754.65"/>
        <n v="2038.02"/>
        <n v="2679.96"/>
        <n v="4099.7700000000004"/>
        <n v="3784.11"/>
        <n v="1656.07"/>
        <n v="1580.88"/>
        <n v="757.76"/>
        <n v="2590.09"/>
        <n v="3022.83"/>
        <n v="1481.31"/>
        <n v="2780.89"/>
        <n v="728.95"/>
        <n v="496.22"/>
        <n v="1424.69"/>
        <n v="2174.11"/>
        <n v="7615.92"/>
        <n v="5787.6"/>
        <n v="1945.82"/>
        <n v="1833.45"/>
        <n v="1818.46"/>
        <n v="415.43"/>
        <n v="3835.71"/>
        <n v="2198.4299999999998"/>
        <n v="5641.12"/>
        <n v="913.17"/>
        <n v="4272.75"/>
        <n v="5089.8"/>
        <n v="6793.72"/>
        <n v="811.11"/>
        <n v="834.94"/>
        <n v="869.21"/>
        <n v="2237.42"/>
        <n v="4256.16"/>
        <n v="1566.62"/>
        <n v="475.95"/>
        <n v="1964.2"/>
        <n v="1538.38"/>
        <n v="2884"/>
        <n v="1006.78"/>
        <n v="2905.67"/>
        <n v="2307.66"/>
        <n v="1805.28"/>
        <n v="4223.26"/>
        <n v="1019"/>
        <n v="387.01"/>
        <n v="1512.76"/>
        <n v="1538.17"/>
        <n v="1440.74"/>
        <n v="738.24"/>
        <n v="1767.61"/>
        <n v="1036.92"/>
        <n v="1580.02"/>
        <n v="4369.3500000000004"/>
        <n v="1674.2"/>
        <n v="1900.23"/>
        <n v="2277.69"/>
        <n v="947.95"/>
        <n v="1200.92"/>
        <n v="2729.21"/>
        <n v="2651.13"/>
        <n v="238.34"/>
        <n v="1826.38"/>
        <n v="2698.24"/>
        <n v="1833.71"/>
        <n v="4355.09"/>
        <n v="2402.81"/>
        <n v="2680.02"/>
        <n v="3134.23"/>
        <n v="1190.8900000000001"/>
        <n v="3181.9"/>
        <n v="2483.21"/>
        <n v="1125.74"/>
        <n v="713.22"/>
        <n v="2266.35"/>
        <n v="2014.49"/>
        <n v="2400.41"/>
        <n v="5753.14"/>
        <n v="1714.91"/>
        <n v="1859.18"/>
        <n v="1495.52"/>
        <n v="1666.24"/>
        <n v="714.41"/>
        <n v="1165.68"/>
        <n v="1606.87"/>
        <n v="2134.11"/>
        <n v="5668.5"/>
        <n v="2668.44"/>
        <n v="1024.78"/>
        <n v="1442.05"/>
        <n v="1700.24"/>
        <n v="2504.5300000000002"/>
        <n v="1864.04"/>
        <n v="3555.04"/>
        <n v="3881.43"/>
        <n v="2914.72"/>
        <n v="3723.44"/>
        <n v="2974.19"/>
        <n v="6629.65"/>
        <n v="219.6"/>
        <n v="1279.46"/>
        <n v="1260.72"/>
        <n v="840.91"/>
        <n v="1827.8"/>
        <n v="2522.4499999999998"/>
        <n v="6206.86"/>
        <n v="4112.75"/>
        <n v="707.58"/>
        <n v="593.87"/>
        <n v="1487.63"/>
        <n v="604.91"/>
        <n v="587.82000000000005"/>
        <n v="3470.35"/>
        <n v="1105.57"/>
        <n v="7287.62"/>
        <n v="1258.03"/>
        <n v="1643.53"/>
        <n v="1350.62"/>
        <n v="2804.28"/>
        <n v="2260.36"/>
        <n v="1228.54"/>
        <n v="5851.76"/>
        <n v="4576.12"/>
        <n v="626.15"/>
        <n v="4753.4399999999996"/>
        <n v="2958.62"/>
        <n v="3357.84"/>
        <n v="1516.82"/>
        <n v="2418.14"/>
        <n v="2263.73"/>
        <n v="4793.71"/>
        <n v="3316.6"/>
        <n v="888.5"/>
        <n v="1138.3800000000001"/>
        <n v="3041.97"/>
        <n v="1230.4100000000001"/>
        <n v="4487.3599999999997"/>
        <n v="765.33"/>
        <n v="3377.64"/>
        <n v="2471.75"/>
        <n v="2640.88"/>
        <n v="3867.73"/>
        <n v="4061.18"/>
        <n v="2166.7199999999998"/>
        <n v="3734.12"/>
        <n v="477.67"/>
        <n v="1760.01"/>
        <n v="1800.15"/>
        <n v="426.93"/>
        <n v="2929.05"/>
        <n v="5251.75"/>
        <n v="5203.8599999999997"/>
        <n v="1124.3599999999999"/>
        <n v="4818.79"/>
        <n v="4901.59"/>
        <n v="1421.24"/>
        <n v="1639.51"/>
        <n v="1706.57"/>
        <n v="1103.22"/>
        <n v="2372.0500000000002"/>
        <n v="3427.12"/>
        <n v="1272.08"/>
        <n v="3777.83"/>
        <n v="758.6"/>
        <n v="1344.11"/>
        <n v="3553.08"/>
        <n v="1160.49"/>
        <n v="3270.59"/>
        <n v="1611.79"/>
        <n v="282.74"/>
        <n v="661.1"/>
        <n v="1220.25"/>
        <n v="1197.68"/>
        <n v="2254.91"/>
        <n v="1370.78"/>
        <n v="844.55"/>
        <n v="6706.26"/>
        <n v="437.16"/>
        <n v="1907.16"/>
        <n v="2018.74"/>
        <n v="2724.51"/>
        <n v="4017.4"/>
        <n v="763.41"/>
        <n v="4555.97"/>
        <n v="1456.93"/>
        <n v="1316.38"/>
        <n v="1560.41"/>
        <n v="1270.17"/>
        <n v="851.84"/>
        <n v="1381.35"/>
        <n v="1711.94"/>
        <n v="1904.77"/>
        <n v="339.96"/>
        <n v="992"/>
        <n v="1179.56"/>
        <n v="531.57000000000005"/>
        <n v="581.17999999999995"/>
        <n v="504.99"/>
        <n v="1964.76"/>
        <n v="1762.21"/>
        <n v="3033.55"/>
        <n v="1505.74"/>
        <n v="4138.8500000000004"/>
        <n v="1744.03"/>
        <n v="7060.88"/>
        <n v="1512.7"/>
        <n v="2090.5700000000002"/>
        <n v="2102.2399999999998"/>
        <n v="1804.15"/>
        <n v="1618.53"/>
        <n v="2299.52"/>
        <n v="3853.58"/>
        <n v="1563.01"/>
        <n v="720.74"/>
        <n v="1179.8"/>
        <n v="1236.8"/>
        <n v="2132.9699999999998"/>
        <n v="2625.19"/>
        <n v="1991.44"/>
        <n v="882.63"/>
        <n v="459.22"/>
        <n v="1862.98"/>
        <n v="1007.75"/>
        <n v="1380.54"/>
        <n v="945.97"/>
        <n v="1192.9000000000001"/>
        <n v="3815.21"/>
        <n v="2426.66"/>
        <n v="1812.88"/>
        <n v="504.08"/>
        <n v="892.35"/>
        <n v="2181.12"/>
        <n v="1927.81"/>
        <n v="4374.88"/>
        <n v="967.43"/>
        <n v="2735.74"/>
        <n v="1709.07"/>
        <n v="2214.29"/>
        <n v="3178.18"/>
        <n v="1424.28"/>
        <n v="3096.22"/>
        <n v="959.87"/>
        <n v="2871.52"/>
        <n v="1301.58"/>
        <n v="4435.1400000000003"/>
        <n v="769.19"/>
        <n v="645.73"/>
        <n v="269.89999999999998"/>
        <n v="1294.24"/>
        <n v="1777.28"/>
        <n v="1598.14"/>
        <n v="2237.0500000000002"/>
        <n v="788.86"/>
        <n v="1868.65"/>
        <n v="3469.06"/>
        <n v="3256.32"/>
        <n v="3656.82"/>
        <n v="2459.71"/>
        <n v="2531.1999999999998"/>
        <n v="1310.54"/>
        <n v="2015.68"/>
        <n v="1310.5999999999999"/>
        <n v="1537.57"/>
        <n v="3476.65"/>
        <n v="396.19"/>
        <n v="4022.62"/>
        <n v="1341.52"/>
        <n v="2092.3000000000002"/>
        <n v="2900.05"/>
        <n v="1314.79"/>
        <n v="1512.6"/>
        <n v="1192.3599999999999"/>
        <n v="1958.38"/>
        <n v="2281.15"/>
        <n v="1698.49"/>
        <n v="3694.94"/>
        <n v="1196.1300000000001"/>
        <n v="3061.51"/>
        <n v="1313.27"/>
        <n v="1378.74"/>
        <n v="3525.74"/>
        <n v="3247.8"/>
        <n v="640.23"/>
        <n v="1283.0899999999999"/>
        <n v="759.26"/>
        <n v="976.35"/>
        <n v="914.69"/>
        <n v="1643.3"/>
        <n v="586.30999999999995"/>
        <n v="1495.44"/>
        <n v="2392.75"/>
        <n v="486.57"/>
        <n v="2397.06"/>
        <n v="720.89"/>
        <n v="2270.27"/>
        <n v="1255.48"/>
        <n v="1425.77"/>
        <n v="4125.41"/>
        <n v="1626.85"/>
        <n v="677"/>
        <n v="4143.29"/>
        <n v="3472"/>
        <n v="887.58"/>
        <n v="802.21"/>
        <n v="1538.04"/>
        <n v="1393.46"/>
        <n v="2215.7600000000002"/>
        <n v="3622.95"/>
        <n v="2487.33"/>
        <n v="1440.07"/>
        <n v="2360.0700000000002"/>
        <n v="1150.49"/>
        <n v="2567.61"/>
        <n v="3658.16"/>
        <n v="2316.23"/>
        <n v="2285.19"/>
        <n v="771.1"/>
        <n v="1683.69"/>
        <n v="4397.3599999999997"/>
        <n v="1120.99"/>
        <n v="2907.25"/>
        <n v="1545.19"/>
        <n v="905.29"/>
        <n v="1266.6400000000001"/>
        <n v="1367.04"/>
        <n v="640.91999999999996"/>
        <n v="3643.47"/>
        <n v="663"/>
        <n v="360.19"/>
        <n v="6460.62"/>
        <n v="2807.97"/>
        <n v="1794.58"/>
        <n v="890.12"/>
        <n v="1974.59"/>
        <n v="4029.26"/>
        <n v="1067.52"/>
        <n v="2596.3200000000002"/>
        <n v="1342.97"/>
        <n v="5909.4"/>
        <n v="1000.49"/>
        <n v="1257.8"/>
        <n v="6320.1"/>
        <n v="390.15"/>
        <n v="1739.45"/>
        <n v="1345.94"/>
        <n v="1275.95"/>
        <n v="2868.1"/>
        <n v="2869.92"/>
        <n v="2398.08"/>
        <n v="1031.68"/>
        <n v="702.62"/>
        <n v="1548.06"/>
        <n v="1336.15"/>
        <n v="6871.73"/>
        <n v="2482.5300000000002"/>
        <n v="1748.36"/>
        <n v="351.92"/>
        <n v="1334.65"/>
        <n v="3309.18"/>
        <n v="1931.01"/>
        <n v="1268.72"/>
        <n v="2641.88"/>
        <n v="600.47"/>
        <n v="2458.42"/>
        <n v="2061.1999999999998"/>
        <n v="6049.22"/>
        <n v="4078.99"/>
        <n v="5116.59"/>
        <n v="3155.78"/>
        <n v="1237.19"/>
        <n v="1284.5999999999999"/>
        <n v="844.25"/>
        <n v="190.2"/>
        <n v="915.86"/>
        <n v="572.48"/>
        <n v="1860.43"/>
        <n v="948.06"/>
        <n v="1781.07"/>
        <n v="1641.87"/>
        <n v="3163.71"/>
        <n v="1047.4000000000001"/>
        <n v="1662.27"/>
        <n v="1517.17"/>
        <n v="864.77"/>
        <n v="7825.53"/>
        <n v="2438.16"/>
        <n v="1599.21"/>
        <n v="1269.25"/>
        <n v="2464.63"/>
        <n v="1009.57"/>
        <n v="703.2"/>
        <n v="4050.62"/>
        <n v="1533.74"/>
        <n v="1341.92"/>
        <n v="1502.36"/>
        <n v="5636.52"/>
        <n v="3086.55"/>
        <n v="599.62"/>
        <n v="1308.07"/>
        <n v="3188.69"/>
        <n v="2068.7399999999998"/>
        <n v="8021.31"/>
        <n v="4322.28"/>
        <n v="1340.95"/>
        <n v="2137.34"/>
        <n v="1889.53"/>
        <n v="366.85"/>
        <n v="1584.22"/>
        <n v="2038.3"/>
        <n v="548.53"/>
        <n v="4535.95"/>
        <n v="753.44"/>
        <n v="4669.3900000000003"/>
        <n v="4223.12"/>
        <n v="5429.59"/>
        <n v="3183.74"/>
        <n v="369.77"/>
        <n v="1896.67"/>
        <n v="956.03"/>
        <n v="813.41"/>
        <n v="1467.79"/>
        <n v="4697.7299999999996"/>
        <n v="2716.77"/>
        <n v="1535.28"/>
        <n v="2598.6799999999998"/>
        <n v="3581.47"/>
        <n v="1835.99"/>
        <n v="3970.88"/>
        <n v="3445.87"/>
        <n v="3015.26"/>
        <n v="1616.34"/>
        <n v="747.4"/>
        <n v="796.06"/>
        <n v="1441.69"/>
        <n v="3921.02"/>
        <n v="1975.18"/>
        <n v="2549.75"/>
        <n v="659.64"/>
        <n v="1292.79"/>
        <n v="1475.67"/>
        <n v="988.9"/>
        <n v="174.03"/>
        <n v="1763.96"/>
        <n v="2926.53"/>
        <n v="2128.15"/>
        <n v="1462.87"/>
        <n v="1493.99"/>
        <n v="4138.09"/>
        <n v="1489.22"/>
        <n v="4911.5600000000004"/>
        <n v="821.5"/>
        <n v="1278.68"/>
        <n v="858.88"/>
        <n v="2979.49"/>
        <n v="2020.94"/>
        <n v="4355.0200000000004"/>
        <n v="2248.56"/>
        <n v="4189.29"/>
        <n v="3719.34"/>
        <n v="3881.63"/>
        <n v="361.68"/>
        <n v="4132.5"/>
        <n v="2230.5100000000002"/>
        <n v="1101.1099999999999"/>
        <n v="3555.14"/>
        <n v="2899.17"/>
        <n v="2536.2199999999998"/>
        <n v="6020.83"/>
        <n v="414.48"/>
        <n v="3163.62"/>
        <n v="1076.55"/>
        <n v="1383.96"/>
        <n v="7145.02"/>
        <n v="2188.54"/>
        <n v="6997.39"/>
        <n v="5254.64"/>
        <n v="4439.34"/>
        <n v="5535.18"/>
        <n v="1746.4"/>
        <n v="3182.64"/>
        <n v="3401.58"/>
        <n v="3876.27"/>
        <n v="2285.83"/>
        <n v="3721.42"/>
        <n v="1852.56"/>
        <n v="7509.03"/>
        <n v="1963.23"/>
        <n v="482.44"/>
        <n v="2198.0100000000002"/>
        <n v="3036.74"/>
        <n v="1130.71"/>
        <n v="2117.36"/>
        <n v="3212.83"/>
        <n v="6059.19"/>
        <n v="3095.69"/>
        <n v="1488.05"/>
        <n v="1874.39"/>
        <n v="3064.72"/>
        <n v="4792.8"/>
        <n v="1618.71"/>
        <n v="1469.39"/>
        <n v="2222.25"/>
        <n v="533.12"/>
        <n v="1963.34"/>
        <n v="1615.92"/>
        <n v="757.38"/>
        <n v="3032.89"/>
        <n v="703.43"/>
        <n v="2098.39"/>
        <n v="1208.8399999999999"/>
        <n v="4758.25"/>
        <n v="2910.94"/>
        <n v="7031.93"/>
        <n v="1504.49"/>
        <n v="1511.51"/>
        <n v="307.05"/>
        <n v="1297.05"/>
        <n v="4204.3"/>
        <n v="1792.21"/>
        <n v="2492.91"/>
        <n v="1544.97"/>
        <n v="1032.58"/>
        <n v="1302.44"/>
        <n v="2864.98"/>
        <n v="5929.88"/>
        <n v="1274.56"/>
        <n v="703.62"/>
        <n v="4469.18"/>
        <n v="2855"/>
        <n v="1049.55"/>
        <n v="3888.24"/>
        <n v="1377.25"/>
        <n v="2046.37"/>
        <n v="636.19000000000005"/>
        <n v="4480.53"/>
        <n v="2641.03"/>
        <n v="1526.97"/>
        <n v="1224.06"/>
        <n v="1684.15"/>
        <n v="1175.49"/>
        <n v="1323.15"/>
        <n v="964.89"/>
        <n v="2749.99"/>
        <n v="934.93"/>
        <n v="720.95"/>
        <n v="1159.03"/>
        <n v="2568.12"/>
        <n v="2469.89"/>
        <n v="1078"/>
        <n v="1369.42"/>
        <n v="1586.43"/>
        <n v="2514.91"/>
        <n v="721.44"/>
        <n v="2018.69"/>
        <n v="727.82"/>
        <n v="358.32"/>
        <n v="654.26"/>
        <n v="3568.25"/>
        <n v="1315.09"/>
        <n v="2108.1"/>
        <n v="1336.68"/>
        <n v="2566.8200000000002"/>
        <n v="2830.09"/>
        <n v="658.44"/>
        <n v="788.66"/>
        <n v="2349.7399999999998"/>
        <n v="729.33"/>
        <n v="7511.57"/>
        <n v="1465.36"/>
        <n v="3509.57"/>
        <n v="692.94"/>
        <n v="1807.04"/>
        <n v="3238.92"/>
        <n v="2706.36"/>
        <n v="1272"/>
        <n v="4448.5600000000004"/>
        <n v="7438.66"/>
        <n v="1786.08"/>
        <n v="3050.2"/>
        <n v="1175.42"/>
        <n v="732.31"/>
        <n v="1583.64"/>
        <n v="474.05"/>
        <n v="2263.06"/>
        <n v="2837.62"/>
        <n v="3805.48"/>
        <n v="4566.7299999999996"/>
        <n v="5925.05"/>
        <n v="1272.54"/>
        <n v="3202.92"/>
        <n v="442.54"/>
        <n v="900.41"/>
        <n v="1037.6099999999999"/>
        <n v="3025.79"/>
        <n v="974.34"/>
        <n v="1745.58"/>
        <n v="1067.69"/>
        <n v="2407.4699999999998"/>
        <n v="2034.17"/>
        <n v="1431.72"/>
        <n v="1421.11"/>
        <n v="2716.05"/>
        <n v="4823.38"/>
        <n v="2157.84"/>
        <n v="156.68"/>
        <n v="3577.3"/>
        <n v="1557.86"/>
        <n v="6075.96"/>
        <n v="3663.92"/>
        <n v="1926.94"/>
        <n v="2169.5500000000002"/>
        <n v="1952.28"/>
        <n v="3371.73"/>
        <n v="3190.37"/>
        <n v="1358.01"/>
        <n v="1950.12"/>
        <n v="512.6"/>
        <n v="864.31"/>
        <n v="3651.94"/>
        <n v="1359.1"/>
        <n v="385.08"/>
        <n v="1467.48"/>
        <n v="1138.95"/>
        <n v="1328.59"/>
        <n v="623.26"/>
        <n v="3193.9"/>
        <n v="1519.01"/>
        <n v="1791.29"/>
        <n v="876.44"/>
        <n v="5054.9799999999996"/>
        <n v="7903.1"/>
        <n v="2490.4"/>
        <n v="2022.3"/>
        <n v="5005.8100000000004"/>
        <n v="6213.13"/>
        <n v="688.58"/>
        <n v="3015.18"/>
        <n v="409.36"/>
        <n v="1582.7"/>
        <n v="2099.86"/>
        <n v="3485.82"/>
        <n v="3041.26"/>
        <n v="4474.7299999999996"/>
        <n v="2003.47"/>
        <n v="1443.78"/>
        <n v="1648.65"/>
        <n v="3021.31"/>
        <n v="2020.64"/>
        <n v="3834.91"/>
        <n v="2468.34"/>
        <n v="2134.66"/>
        <n v="2530.35"/>
        <n v="5999.98"/>
        <n v="596.22"/>
        <n v="511.14"/>
        <n v="3488.61"/>
        <n v="5650.24"/>
        <n v="3272.02"/>
        <n v="2270.2600000000002"/>
        <n v="664.86"/>
        <n v="1373.63"/>
        <n v="2091.52"/>
        <n v="1076.8499999999999"/>
        <n v="2336.59"/>
        <n v="807.65"/>
        <n v="1633.48"/>
        <n v="1812.36"/>
        <n v="1866.18"/>
        <n v="2268.21"/>
        <n v="2411.09"/>
        <n v="939.4"/>
        <n v="1812.49"/>
        <n v="1603.1"/>
        <n v="932.64"/>
        <n v="1331.37"/>
        <n v="4541.3100000000004"/>
        <n v="1181.47"/>
        <n v="1917.34"/>
        <n v="946.98"/>
        <n v="847.54"/>
        <n v="1565.95"/>
        <n v="2590.46"/>
        <n v="821.33"/>
        <n v="3980.45"/>
        <n v="3502.95"/>
        <n v="2225.9"/>
        <n v="1677.98"/>
        <n v="2629.3"/>
        <n v="350.3"/>
        <n v="1322.18"/>
        <n v="2869.37"/>
        <n v="861.77"/>
        <n v="7575.42"/>
        <n v="2142.58"/>
        <n v="936.58"/>
        <n v="789.21"/>
        <n v="7893.73"/>
        <n v="1081.8"/>
        <n v="1361.94"/>
        <n v="2725.02"/>
        <n v="4185"/>
        <n v="1208.8699999999999"/>
        <n v="1560.78"/>
        <n v="1319.1"/>
        <n v="1550.38"/>
        <n v="1582.47"/>
        <n v="2708.5"/>
        <n v="2280.2199999999998"/>
        <n v="4149.29"/>
        <n v="1703.12"/>
        <n v="972.85"/>
        <n v="495"/>
        <n v="2777.18"/>
        <n v="4389.28"/>
        <n v="1293.95"/>
        <n v="1029.98"/>
        <n v="822.91"/>
        <n v="1435.6"/>
        <n v="1668.85"/>
        <n v="2227.16"/>
        <n v="1681.51"/>
        <n v="1667.87"/>
        <n v="3626.19"/>
        <n v="638.58000000000004"/>
        <n v="1797.77"/>
        <n v="1227.06"/>
        <n v="1786.79"/>
        <n v="1147.5899999999999"/>
        <n v="4707.09"/>
        <n v="3199.3"/>
        <n v="3462.7"/>
        <n v="2392.85"/>
        <n v="1886.93"/>
        <n v="2005.4"/>
        <n v="1209.3"/>
        <n v="1198.48"/>
        <n v="1597.67"/>
        <n v="681.12"/>
        <n v="1069.4000000000001"/>
        <n v="1056.7"/>
        <n v="2959.58"/>
        <n v="1974.94"/>
        <n v="4753.2"/>
        <n v="1814.95"/>
        <n v="3289.24"/>
        <n v="2369.9699999999998"/>
        <n v="1897.14"/>
        <n v="1233.97"/>
        <n v="1732.89"/>
        <n v="2825.97"/>
        <n v="2626.14"/>
        <n v="2090.2199999999998"/>
        <n v="3476.47"/>
        <n v="1034.45"/>
        <n v="1169.97"/>
        <n v="1997.14"/>
        <n v="2378.46"/>
        <n v="1728.47"/>
        <n v="3635.27"/>
        <n v="2965.29"/>
        <n v="1927.65"/>
        <n v="934.88"/>
        <n v="1455.89"/>
        <n v="2897.5"/>
        <n v="5235.28"/>
        <n v="2357.0700000000002"/>
        <n v="6890.71"/>
        <n v="605.49"/>
        <n v="991.9"/>
        <n v="1085.95"/>
        <n v="955.25"/>
        <n v="3952.05"/>
        <n v="1213.71"/>
        <n v="3170.54"/>
        <n v="2057.83"/>
        <n v="405.67"/>
        <n v="4706.8900000000003"/>
        <n v="1447.8"/>
        <n v="1866.57"/>
        <n v="1978.07"/>
        <n v="1693.84"/>
        <n v="1638.18"/>
        <n v="1836.52"/>
        <n v="5754.66"/>
        <n v="944.66"/>
        <n v="1881.1"/>
        <n v="1779.59"/>
        <n v="3885.11"/>
        <n v="3323.95"/>
        <n v="4094.1"/>
        <n v="2053.12"/>
        <n v="591.12"/>
        <n v="3965.93"/>
        <n v="864.89"/>
        <n v="401.31"/>
        <n v="3023"/>
        <n v="2257.92"/>
        <n v="1733.61"/>
        <n v="1631.03"/>
        <n v="2952.5"/>
        <n v="1162.5899999999999"/>
        <n v="3927.3"/>
        <n v="2295.69"/>
        <n v="2758.55"/>
        <n v="3634.77"/>
        <n v="359.35"/>
        <n v="2070.83"/>
        <n v="2811.22"/>
        <n v="1770.11"/>
        <n v="3148.1"/>
        <n v="2240.7600000000002"/>
        <n v="773.08"/>
        <n v="710.75"/>
        <n v="2840.32"/>
        <n v="1533.32"/>
        <n v="2202.86"/>
        <n v="1049.03"/>
        <n v="772.05"/>
        <n v="892.3"/>
        <n v="875.63"/>
        <n v="1158.67"/>
        <n v="765"/>
        <n v="1874.48"/>
        <n v="886.7"/>
        <n v="1438.26"/>
        <n v="3020.52"/>
        <n v="1028.1300000000001"/>
        <n v="2730.16"/>
        <n v="2986.79"/>
        <n v="1869.93"/>
        <n v="1043.8499999999999"/>
        <n v="1748.34"/>
        <n v="5975.83"/>
        <n v="761.36"/>
        <n v="2811.19"/>
        <n v="2939.14"/>
        <n v="2837.59"/>
        <n v="3237.34"/>
        <n v="1272.8900000000001"/>
        <n v="1401.75"/>
        <n v="2247.11"/>
        <n v="1601.37"/>
        <n v="1369.55"/>
        <n v="7196.12"/>
        <n v="2472.46"/>
        <n v="3036.66"/>
        <n v="1256.42"/>
        <n v="748.75"/>
        <n v="2588.65"/>
        <n v="1228.93"/>
        <n v="1494.01"/>
        <n v="1246.3499999999999"/>
        <n v="2950.35"/>
        <n v="1051.32"/>
        <n v="1871.22"/>
        <n v="5362.54"/>
        <n v="419.88"/>
        <n v="3130.44"/>
        <n v="999.12"/>
        <n v="450.96"/>
        <n v="1262.94"/>
        <n v="5408.19"/>
        <n v="1246.47"/>
        <n v="451.02"/>
        <n v="675.77"/>
        <n v="1491.32"/>
        <n v="7068.72"/>
        <n v="2970.91"/>
        <n v="1151.26"/>
        <n v="597.16999999999996"/>
        <n v="1626.58"/>
        <n v="2386.19"/>
        <n v="3165.89"/>
        <n v="689.57"/>
        <n v="1258.8"/>
        <n v="408.13"/>
        <n v="1751.63"/>
        <n v="5216.8999999999996"/>
        <n v="1241.0899999999999"/>
        <n v="2355.09"/>
        <n v="2060.3000000000002"/>
        <n v="1632.72"/>
        <n v="2629.79"/>
        <n v="6809.72"/>
        <n v="3233.2"/>
        <n v="4201.55"/>
        <n v="766.68"/>
        <n v="929.56"/>
        <n v="4052.94"/>
        <n v="1638.84"/>
        <n v="3581.86"/>
        <n v="5052.75"/>
        <n v="394.53"/>
        <n v="957.18"/>
        <n v="5910.75"/>
        <n v="2023.43"/>
        <n v="1942.14"/>
        <n v="1075.0899999999999"/>
        <n v="4750.26"/>
        <n v="4572.91"/>
        <n v="5631.7"/>
        <n v="3402.66"/>
        <n v="612.47"/>
        <n v="273.26"/>
        <n v="1020.91"/>
        <n v="2786.45"/>
        <n v="1412.04"/>
        <n v="905.05"/>
        <n v="644.71"/>
        <n v="3282.13"/>
        <n v="1957.83"/>
        <n v="1558.29"/>
        <n v="591.55999999999995"/>
        <n v="3232.37"/>
        <n v="2966.78"/>
        <n v="1259.92"/>
        <n v="1851.32"/>
        <n v="589.05999999999995"/>
        <n v="1303.6300000000001"/>
        <n v="3145.1"/>
        <n v="582.41"/>
        <n v="1048.6199999999999"/>
        <n v="3431.15"/>
        <n v="1496.21"/>
        <n v="2460.25"/>
        <n v="947.07"/>
        <n v="1629.82"/>
        <n v="5424.64"/>
        <n v="1580.13"/>
        <n v="7395.51"/>
        <n v="1553.41"/>
        <n v="1221.25"/>
        <n v="902.34"/>
        <n v="5559.17"/>
        <n v="1873.12"/>
        <n v="5712.41"/>
        <n v="1117.96"/>
        <n v="1408.47"/>
        <n v="2513.67"/>
        <n v="616.92999999999995"/>
        <n v="1762.2"/>
        <n v="4225.04"/>
        <n v="2798.93"/>
        <n v="4611.72"/>
        <n v="2343.08"/>
        <n v="1642.03"/>
        <n v="670.89"/>
        <n v="2263.4899999999998"/>
        <n v="453.41"/>
        <n v="4018.18"/>
        <n v="1579.18"/>
        <n v="1358.39"/>
        <n v="2229.6999999999998"/>
        <n v="1902.39"/>
        <n v="3062.41"/>
        <n v="553.04999999999995"/>
        <n v="680.57"/>
        <n v="331.92"/>
        <n v="1692.59"/>
        <n v="3348.29"/>
        <n v="1642.91"/>
        <n v="1583.58"/>
        <n v="3876.48"/>
        <n v="1373.76"/>
        <n v="814.01"/>
        <n v="2577.71"/>
        <n v="630.71"/>
        <n v="2921.53"/>
        <n v="3574.66"/>
        <n v="774.73"/>
        <n v="1009.46"/>
        <n v="2107.0100000000002"/>
        <n v="576.55999999999995"/>
        <n v="646.22"/>
        <n v="2835.26"/>
        <n v="3814.1"/>
        <n v="950"/>
        <n v="4358.13"/>
        <n v="3479.16"/>
        <n v="1098.08"/>
        <n v="3761.54"/>
        <n v="1000.01"/>
        <n v="2122.56"/>
        <n v="972.32"/>
        <n v="1105.1199999999999"/>
        <n v="1438.87"/>
        <n v="485.45"/>
        <n v="749.78"/>
        <n v="766.7"/>
        <n v="1178.47"/>
        <n v="808.55"/>
        <n v="1248.1199999999999"/>
        <n v="7186.28"/>
        <n v="3727.41"/>
        <n v="2029.33"/>
        <n v="1512.17"/>
        <n v="355.49"/>
        <n v="2804.57"/>
        <n v="1114.28"/>
        <n v="3243.51"/>
        <n v="1841.75"/>
        <n v="1897.95"/>
        <n v="4899.1899999999996"/>
        <n v="652.94000000000005"/>
        <n v="1672.74"/>
        <n v="1283.6199999999999"/>
        <n v="639.74"/>
        <n v="1152.77"/>
        <n v="1131.5999999999999"/>
        <n v="4007.78"/>
        <n v="3002.65"/>
        <n v="1273.5"/>
        <n v="244.32"/>
        <n v="1735.23"/>
        <n v="3845.36"/>
        <n v="2810.55"/>
        <n v="2772.35"/>
        <n v="2601.31"/>
        <n v="1096.8599999999999"/>
        <n v="2566.7399999999998"/>
        <n v="1917.66"/>
        <n v="7883.51"/>
        <n v="3172.7"/>
        <n v="1379.19"/>
        <n v="1748.54"/>
        <n v="558.49"/>
        <n v="1467.71"/>
        <n v="644.51"/>
        <n v="586.91"/>
        <n v="774.25"/>
        <n v="2620.89"/>
        <n v="308.74"/>
        <n v="438.91"/>
        <n v="3456.01"/>
        <n v="1079.69"/>
        <n v="3961.04"/>
        <n v="1513.2"/>
        <n v="773.65"/>
        <n v="2500.34"/>
        <n v="2393.23"/>
        <n v="3219.96"/>
        <n v="3513.36"/>
        <n v="542.58000000000004"/>
        <n v="341.15"/>
        <n v="1362.08"/>
        <n v="1160.44"/>
        <n v="3339.75"/>
        <n v="2746.66"/>
        <n v="458.07"/>
        <n v="1003.5"/>
        <n v="2891.01"/>
        <n v="994.19"/>
        <n v="728.09"/>
        <n v="1840.84"/>
        <n v="2002.69"/>
        <n v="1532.14"/>
        <n v="2220.98"/>
        <n v="2193.4899999999998"/>
        <n v="1182.02"/>
        <n v="2378.81"/>
        <n v="1104.52"/>
        <n v="1117.06"/>
        <n v="1468.44"/>
        <n v="1196.32"/>
        <n v="1253.48"/>
        <n v="968.84"/>
        <n v="2311.73"/>
        <n v="1003.77"/>
        <n v="2930.54"/>
        <n v="2073.08"/>
        <n v="2846.65"/>
        <n v="1573.8"/>
        <n v="433.12"/>
        <n v="3002"/>
        <n v="1263.97"/>
        <n v="1688.76"/>
        <n v="5337.13"/>
        <n v="543.72"/>
        <n v="1005.81"/>
        <n v="2189.29"/>
        <n v="1352.01"/>
        <n v="3488.21"/>
        <n v="398.14"/>
        <n v="834.45"/>
        <n v="1244.93"/>
        <n v="1285.27"/>
        <n v="3770.94"/>
        <n v="3080.19"/>
        <n v="964.65"/>
        <n v="3947.65"/>
        <n v="2181.7399999999998"/>
        <n v="1821.82"/>
        <n v="2850.32"/>
        <n v="1863.85"/>
        <n v="3580.68"/>
        <n v="2770.56"/>
        <n v="3999.14"/>
        <n v="3990.87"/>
        <n v="298.11"/>
        <n v="2187.5300000000002"/>
        <n v="1160.68"/>
        <n v="1295.22"/>
        <n v="2063.4499999999998"/>
        <n v="527.02"/>
        <n v="655.27"/>
        <n v="1524.75"/>
        <n v="2493.5500000000002"/>
        <n v="457.65"/>
        <n v="2199.48"/>
        <n v="682.9"/>
        <n v="3595.57"/>
        <n v="1519.47"/>
        <n v="2131.0100000000002"/>
        <n v="1021.1"/>
        <n v="1143.4000000000001"/>
        <n v="4920.22"/>
        <n v="1769.27"/>
        <n v="1815.5"/>
        <n v="981.29"/>
        <n v="3572.86"/>
        <n v="1948.05"/>
        <n v="2578.9699999999998"/>
        <n v="1760.67"/>
        <n v="3351.15"/>
        <n v="3807.05"/>
        <n v="2210.58"/>
        <n v="4765.5200000000004"/>
        <n v="3936.37"/>
        <n v="1922.39"/>
        <n v="1209.4000000000001"/>
        <n v="837.53"/>
        <n v="3574.13"/>
        <n v="826.09"/>
        <n v="2579.6"/>
        <n v="1753.59"/>
        <n v="4093.76"/>
        <n v="928.28"/>
        <n v="652.54999999999995"/>
        <n v="4698.08"/>
        <n v="1537.16"/>
        <n v="852.52"/>
        <n v="1172.6099999999999"/>
        <n v="1820.21"/>
        <n v="818.69"/>
        <n v="4951.32"/>
        <n v="2107.39"/>
        <n v="836.54"/>
        <n v="2631.58"/>
        <n v="1700.95"/>
        <n v="2535.14"/>
        <n v="2264.83"/>
        <n v="1897.05"/>
        <n v="2626.52"/>
        <n v="4554.1400000000003"/>
        <n v="2822.68"/>
        <n v="1710.7"/>
        <n v="1621.83"/>
        <n v="6197.09"/>
        <n v="2734.13"/>
        <n v="3358.87"/>
        <n v="2744.47"/>
        <n v="1408.06"/>
        <n v="1907.77"/>
        <n v="1129.26"/>
        <n v="1795.95"/>
        <n v="1233.93"/>
        <n v="1039.01"/>
        <n v="2127.31"/>
        <n v="3415.82"/>
        <n v="486.13"/>
        <n v="4438.63"/>
        <n v="1848.98"/>
        <n v="764.2"/>
        <n v="4338.5600000000004"/>
        <n v="3491.11"/>
        <n v="523.98"/>
        <n v="5872.4"/>
        <n v="2924.47"/>
        <n v="5012.6400000000003"/>
        <n v="1728.01"/>
        <n v="6980.06"/>
        <n v="1684.29"/>
        <n v="788.34"/>
        <n v="1219.6099999999999"/>
        <n v="518.21"/>
        <n v="3042.81"/>
        <n v="1950.48"/>
        <n v="1699.24"/>
        <n v="3648.85"/>
        <n v="3555.55"/>
        <n v="2116.6"/>
        <n v="1398.28"/>
        <n v="1851.37"/>
        <n v="1263.6300000000001"/>
        <n v="4487.87"/>
        <n v="2707.06"/>
        <n v="6914.44"/>
        <n v="1849.03"/>
        <n v="2233.6999999999998"/>
        <n v="962.88"/>
        <n v="3832.41"/>
        <n v="3201.88"/>
        <n v="4090.94"/>
        <n v="1091.23"/>
        <n v="3291.65"/>
        <n v="3637.43"/>
        <n v="643.52"/>
        <n v="2579.3000000000002"/>
        <n v="5212.67"/>
        <n v="1680.85"/>
        <n v="3862.66"/>
        <n v="5529.97"/>
        <n v="1043.02"/>
        <n v="3463.27"/>
        <n v="1841.9"/>
        <n v="1548.07"/>
        <n v="1930.92"/>
        <n v="632.63"/>
        <n v="2043.66"/>
        <n v="5557.61"/>
        <n v="1499.62"/>
        <n v="1967.89"/>
        <n v="834.99"/>
        <n v="1564.32"/>
        <n v="1672.12"/>
        <n v="2515.91"/>
        <n v="698.52"/>
        <n v="1144.6400000000001"/>
        <n v="2145.39"/>
        <n v="1234.31"/>
        <n v="826.39"/>
        <n v="834.21"/>
        <n v="4075.53"/>
        <n v="1487.95"/>
        <n v="5087.43"/>
        <n v="3176.72"/>
        <n v="1009.39"/>
        <n v="4782.01"/>
        <n v="2335.92"/>
        <n v="3173.87"/>
        <n v="751.06"/>
        <n v="3359.2"/>
        <n v="4048.73"/>
        <n v="2729.39"/>
        <n v="859.62"/>
        <n v="3566.94"/>
        <n v="2787.57"/>
        <n v="2021.47"/>
        <n v="5046.97"/>
        <n v="2878.16"/>
        <n v="242.07"/>
        <n v="3440.86"/>
        <n v="2875.18"/>
        <n v="1687.14"/>
        <n v="1375.43"/>
        <n v="437.52"/>
        <n v="5375.53"/>
        <n v="992.89"/>
        <n v="1878.31"/>
        <n v="1428.67"/>
        <n v="196.94"/>
        <n v="3454.9"/>
        <n v="3588.65"/>
        <n v="1020.64"/>
        <n v="1045.94"/>
        <n v="3798.04"/>
        <n v="1424.46"/>
        <n v="1914.14"/>
        <n v="3565.82"/>
        <n v="1152"/>
        <n v="2579.83"/>
        <n v="1260.99"/>
        <n v="2166.7600000000002"/>
        <n v="541.51"/>
        <n v="618.77"/>
        <n v="817.35"/>
        <n v="2988.02"/>
        <n v="1500.64"/>
        <n v="1374.71"/>
        <n v="2502.8000000000002"/>
        <n v="3054.06"/>
        <n v="1201.8800000000001"/>
        <n v="5136.9799999999996"/>
        <n v="1922.64"/>
        <n v="501.42"/>
        <n v="449.55"/>
        <n v="2109.7600000000002"/>
        <n v="914.42"/>
        <n v="6557.57"/>
        <n v="1329.64"/>
        <n v="839.83"/>
        <n v="1242"/>
        <n v="998.38"/>
        <n v="777.16"/>
        <n v="1573"/>
        <n v="447.37"/>
        <n v="544.54"/>
        <n v="1210.4000000000001"/>
        <n v="5242.79"/>
        <n v="1948.87"/>
        <n v="734.33"/>
        <n v="1020.76"/>
        <n v="918.68"/>
        <n v="3465.12"/>
        <n v="928.74"/>
        <n v="1490.97"/>
        <n v="4427.07"/>
        <n v="1313.62"/>
        <n v="807.07"/>
        <n v="2595.4299999999998"/>
        <n v="254.37"/>
        <n v="5058.8100000000004"/>
        <n v="2905.42"/>
        <n v="2391.46"/>
        <n v="3581.97"/>
        <n v="1837.14"/>
        <n v="1828.35"/>
        <n v="2459.77"/>
        <n v="1101.08"/>
        <n v="2874.51"/>
        <n v="2459.04"/>
        <n v="876.98"/>
        <n v="1923.84"/>
        <n v="2011.09"/>
        <n v="3325.2"/>
        <n v="2104.9899999999998"/>
        <n v="2355.52"/>
        <n v="2811.55"/>
        <n v="262.16000000000003"/>
        <n v="2661.81"/>
        <n v="3328.03"/>
        <n v="5173.92"/>
        <n v="5156.91"/>
        <n v="2828.15"/>
        <n v="3606.37"/>
        <n v="2612.06"/>
        <n v="2778.18"/>
        <n v="4635.7700000000004"/>
        <n v="478.54"/>
        <n v="537.6"/>
        <n v="796.7"/>
        <n v="925.29"/>
        <n v="3192.48"/>
        <n v="3497.14"/>
        <n v="2832.44"/>
        <n v="584.89"/>
        <n v="714.15"/>
        <n v="1725.6"/>
        <n v="2167.17"/>
        <n v="386.39"/>
        <n v="202.15"/>
        <n v="1379.06"/>
        <n v="5422.56"/>
        <n v="1042.9000000000001"/>
        <n v="1775.76"/>
        <n v="3017.54"/>
        <n v="1781.51"/>
        <n v="1194.3499999999999"/>
        <n v="2578.69"/>
        <n v="3669.86"/>
        <n v="2548.09"/>
        <n v="4707.42"/>
        <n v="2244.81"/>
        <n v="512.65"/>
        <n v="1053.3900000000001"/>
        <n v="2259.6"/>
        <n v="3546.09"/>
        <n v="1995.35"/>
        <n v="2867.19"/>
        <n v="3178.39"/>
        <n v="4310.07"/>
        <n v="1511.45"/>
        <n v="1815.86"/>
        <n v="859.36"/>
        <n v="2161.5"/>
        <n v="365.43"/>
        <n v="2345.94"/>
        <n v="7231.19"/>
        <n v="2205.0700000000002"/>
        <n v="3975.15"/>
        <n v="1496.09"/>
        <n v="1166.8399999999999"/>
        <n v="1365.66"/>
        <n v="2176.2800000000002"/>
        <n v="860.57"/>
        <n v="2188.0300000000002"/>
        <n v="821.53"/>
        <n v="2194.29"/>
        <n v="1300.96"/>
        <n v="5950.02"/>
        <n v="3319.13"/>
        <n v="3373.4"/>
        <n v="870.85"/>
        <n v="765.46"/>
        <n v="864.06"/>
        <n v="1196.8900000000001"/>
        <n v="940.72"/>
        <n v="2320.85"/>
        <n v="1567.06"/>
        <n v="1292.6099999999999"/>
        <n v="509.43"/>
        <n v="1646.46"/>
        <n v="3872.85"/>
        <n v="2571.29"/>
        <n v="1871.46"/>
        <n v="469.95"/>
        <n v="7598.85"/>
        <n v="922.8"/>
        <n v="2200.58"/>
        <n v="790.08"/>
        <n v="1516.45"/>
        <n v="1494.4"/>
        <n v="1212.57"/>
        <n v="844.24"/>
        <n v="3532.24"/>
        <n v="1765.29"/>
        <n v="623.6"/>
        <n v="396.76"/>
        <n v="327.23"/>
        <n v="3998.57"/>
        <n v="3949.94"/>
        <n v="2630.45"/>
        <n v="2381.69"/>
        <n v="1853.29"/>
        <n v="860.41"/>
        <n v="2836.88"/>
        <n v="1921.48"/>
        <n v="3582.93"/>
        <n v="3237.8"/>
        <n v="316.38"/>
        <n v="1081.44"/>
        <n v="853.69"/>
        <n v="549.71"/>
        <n v="3989.98"/>
        <n v="1535.79"/>
        <n v="2635.1"/>
        <n v="3176.13"/>
        <n v="3003.21"/>
        <n v="1594.09"/>
        <n v="2084.63"/>
        <n v="1336.06"/>
        <n v="3738.2"/>
        <n v="744.97"/>
        <n v="1909.13"/>
        <n v="1494.75"/>
        <n v="4315.45"/>
        <n v="1102.1099999999999"/>
        <n v="850.19"/>
        <n v="677.99"/>
        <n v="876.25"/>
        <n v="1607.38"/>
        <n v="3174.72"/>
        <n v="3601.33"/>
        <n v="5054.51"/>
        <n v="2816.83"/>
        <n v="3959.68"/>
        <n v="1768.33"/>
        <n v="896.53"/>
        <n v="1396.68"/>
        <n v="2892.48"/>
        <n v="1553.83"/>
        <n v="754.15"/>
        <n v="2562.36"/>
        <n v="2333.4899999999998"/>
        <n v="3176.08"/>
        <n v="2134"/>
        <n v="2393.54"/>
        <n v="6165.66"/>
        <n v="3345.1"/>
        <n v="514.04999999999995"/>
        <n v="2895.79"/>
        <n v="2090.4"/>
        <n v="1531.92"/>
        <n v="1186.73"/>
        <n v="188.93"/>
        <n v="956.8"/>
        <n v="942.74"/>
        <n v="1845.01"/>
        <n v="2596.35"/>
        <n v="1284.8"/>
        <n v="3360.84"/>
        <n v="6003.65"/>
        <n v="1971.09"/>
        <n v="923.93"/>
        <n v="2604.5"/>
        <n v="612.73"/>
        <n v="3997.77"/>
        <n v="451.36"/>
        <n v="1428.21"/>
        <n v="997.03"/>
        <n v="1289.29"/>
        <n v="820.46"/>
        <n v="4876.38"/>
        <n v="1042.01"/>
        <n v="3678.2"/>
        <n v="577.41"/>
        <n v="234.54"/>
        <n v="1407.01"/>
        <n v="3358.22"/>
        <n v="1429.99"/>
        <n v="1523.25"/>
        <n v="696.1"/>
        <n v="1181.9000000000001"/>
        <n v="6893.54"/>
        <n v="782.06"/>
        <n v="7749.42"/>
        <n v="1652.12"/>
        <n v="2862.46"/>
        <n v="4274.53"/>
        <n v="3901.05"/>
        <n v="2191.37"/>
        <n v="1545.4"/>
        <n v="738.09"/>
        <n v="3955.91"/>
        <n v="1498.59"/>
        <n v="1660.53"/>
        <n v="2254.0100000000002"/>
        <n v="1251.3"/>
        <n v="4214.6099999999997"/>
        <n v="2981.62"/>
        <n v="3237.26"/>
        <n v="2394.35"/>
        <n v="1426.83"/>
        <n v="1295.3699999999999"/>
        <n v="4295.0600000000004"/>
        <n v="3039.36"/>
        <n v="2405.0300000000002"/>
        <n v="2043.56"/>
        <n v="1398.41"/>
        <n v="1068.25"/>
        <n v="2006.73"/>
        <n v="2268.41"/>
        <n v="3667.85"/>
        <n v="1115.6600000000001"/>
        <n v="1446.02"/>
        <n v="3594.91"/>
        <n v="3221.14"/>
        <n v="395.88"/>
        <n v="2529.42"/>
        <n v="6442.94"/>
        <n v="909.18"/>
        <n v="3065.02"/>
        <n v="1824.59"/>
        <n v="889.41"/>
        <n v="3390.85"/>
        <n v="1868.56"/>
        <n v="599.08000000000004"/>
        <n v="1996.22"/>
        <n v="1524.63"/>
        <n v="742.26"/>
        <n v="3062.66"/>
        <n v="1954.19"/>
        <n v="851.7"/>
        <n v="3292.43"/>
        <n v="2820.96"/>
        <n v="304.55"/>
        <n v="1597.34"/>
        <n v="1369.35"/>
        <n v="1446.94"/>
        <n v="1612.78"/>
        <n v="3307.87"/>
        <n v="1495.55"/>
        <n v="2697.12"/>
        <n v="1435.51"/>
        <n v="2154.6799999999998"/>
        <n v="4431.6000000000004"/>
        <n v="2427.69"/>
        <n v="1724.36"/>
        <n v="1229.8"/>
        <n v="4314.54"/>
        <n v="605.66999999999996"/>
        <n v="1638.6"/>
        <n v="586.79"/>
        <n v="1356.75"/>
        <n v="3055.6"/>
        <n v="1049.72"/>
        <n v="2000.45"/>
        <n v="2341.4899999999998"/>
        <n v="1154.94"/>
        <n v="2651"/>
        <n v="3792.38"/>
        <n v="3209.77"/>
        <n v="911.93"/>
        <n v="2444.66"/>
        <n v="1902.28"/>
        <n v="4898.45"/>
        <n v="4851.71"/>
        <n v="738.41"/>
        <n v="343.19"/>
        <n v="2611.14"/>
        <n v="2057.39"/>
        <n v="5385.47"/>
        <n v="245.21"/>
        <n v="1032.8800000000001"/>
        <n v="3206.92"/>
        <n v="4662.1899999999996"/>
        <n v="2752.92"/>
        <n v="1480.59"/>
        <n v="2830.85"/>
        <n v="797.21"/>
        <n v="2989.17"/>
        <n v="1805.27"/>
        <n v="2733.31"/>
        <n v="3121.92"/>
        <n v="2259.17"/>
        <n v="2108.5100000000002"/>
        <n v="2672.23"/>
        <n v="2047.78"/>
        <n v="715.7"/>
        <n v="1011.76"/>
        <n v="5209.91"/>
        <n v="884.72"/>
        <n v="3207.26"/>
        <n v="1131.8800000000001"/>
        <n v="1937.58"/>
        <n v="2298.27"/>
        <n v="1955.53"/>
        <n v="2367.46"/>
        <n v="2025.03"/>
        <n v="5194.0600000000004"/>
        <n v="3630.04"/>
        <n v="1891.99"/>
        <n v="1237.1199999999999"/>
        <n v="1094.27"/>
        <n v="1952.16"/>
        <n v="3716.31"/>
        <n v="1368.91"/>
        <n v="1882.8"/>
        <n v="2190.73"/>
        <n v="1707.43"/>
        <n v="3697.89"/>
        <n v="5743.76"/>
        <n v="2525.5700000000002"/>
        <n v="1766.95"/>
        <n v="6072.03"/>
        <n v="5113.9399999999996"/>
        <n v="2792.15"/>
        <n v="797.32"/>
        <n v="1160.54"/>
        <n v="6197.07"/>
        <n v="762.93"/>
        <n v="734.36"/>
        <n v="1446.62"/>
        <n v="421.06"/>
        <n v="861.34"/>
        <n v="1127.28"/>
        <n v="3924.91"/>
        <n v="1594.21"/>
        <n v="2792.13"/>
        <n v="3063.67"/>
        <n v="1613.25"/>
        <n v="1982.46"/>
        <n v="1477.58"/>
        <n v="932.59"/>
        <n v="2035.04"/>
        <n v="1271.54"/>
        <n v="721.06"/>
        <n v="1244.71"/>
        <n v="3592.05"/>
        <n v="634.32000000000005"/>
        <n v="2733.63"/>
        <n v="1937.66"/>
        <n v="971.92"/>
        <n v="3654.58"/>
        <n v="1545.65"/>
        <n v="1054.19"/>
        <n v="531.38"/>
        <n v="554.37"/>
        <n v="1718.9"/>
        <n v="1228.31"/>
        <n v="1646.78"/>
        <n v="1973.08"/>
        <n v="1347.79"/>
        <n v="1423.13"/>
        <n v="1137.8599999999999"/>
        <n v="2718.96"/>
        <n v="676.66"/>
        <n v="2994.17"/>
        <n v="618.83000000000004"/>
        <n v="3285.31"/>
        <n v="2682.42"/>
        <n v="920.32"/>
        <n v="2210.67"/>
        <n v="1842.4"/>
        <n v="2042.8"/>
        <n v="4093.33"/>
        <n v="994.2"/>
        <n v="1768.76"/>
        <n v="1003.21"/>
        <n v="236.84"/>
        <n v="1846.93"/>
        <n v="3074.31"/>
        <n v="1665.27"/>
        <n v="3186.44"/>
        <n v="1377.29"/>
        <n v="781.45"/>
        <n v="2133.69"/>
        <n v="3016.93"/>
        <n v="1392.26"/>
        <n v="1395.28"/>
        <n v="2050.1799999999998"/>
        <n v="3528.56"/>
        <n v="1842.95"/>
        <n v="3010.5"/>
        <n v="2129.17"/>
        <n v="1891.2"/>
        <n v="3662.68"/>
        <n v="4036.1"/>
        <n v="829.64"/>
        <n v="1676.24"/>
        <n v="3344.74"/>
        <n v="4103.1899999999996"/>
        <n v="892.6"/>
        <n v="3038.52"/>
        <n v="2586.85"/>
        <n v="818.9"/>
        <n v="3257.69"/>
        <n v="2843.99"/>
        <n v="2110.62"/>
        <n v="4948.5"/>
        <n v="1213.5"/>
        <n v="2981.13"/>
        <n v="1901.7"/>
        <n v="923"/>
        <n v="623.48"/>
        <n v="2598.0300000000002"/>
        <n v="3810.84"/>
        <n v="2643.18"/>
        <n v="1125.95"/>
        <n v="1333.05"/>
        <n v="3661.54"/>
        <n v="3611.65"/>
        <n v="1001.89"/>
        <n v="884.49"/>
        <n v="1886.85"/>
        <n v="2103.94"/>
        <n v="941.51"/>
        <n v="816.24"/>
        <n v="5368.57"/>
        <n v="836.55"/>
        <n v="489.87"/>
        <n v="268.99"/>
        <n v="3145.28"/>
        <n v="1696.13"/>
        <n v="719.46"/>
        <n v="750.73"/>
        <n v="1821.5"/>
        <n v="3123.24"/>
        <n v="2771.93"/>
        <n v="1506.72"/>
        <n v="781.84"/>
        <n v="821.61"/>
        <n v="2644.03"/>
        <n v="1858.73"/>
        <n v="1929.34"/>
        <n v="1280.98"/>
        <n v="4323.38"/>
        <n v="341.47"/>
        <n v="3195.77"/>
        <n v="1440.82"/>
        <n v="4664.0200000000004"/>
        <n v="3520.37"/>
        <n v="3742.87"/>
        <n v="2705.4"/>
        <n v="4170.83"/>
        <n v="1749.86"/>
        <n v="522.08000000000004"/>
        <n v="2495.6799999999998"/>
        <n v="988.07"/>
        <n v="2891.3"/>
        <n v="957.17"/>
        <n v="1013.46"/>
        <n v="1454.25"/>
        <n v="1093.3599999999999"/>
        <n v="801.19"/>
        <n v="3183.62"/>
        <n v="608.66999999999996"/>
        <n v="988.5"/>
        <n v="2001.85"/>
        <n v="2613.39"/>
        <n v="3662.77"/>
        <n v="949.17"/>
        <n v="3452.82"/>
        <n v="2896.99"/>
        <n v="2720.15"/>
        <n v="1286.83"/>
        <n v="2040.75"/>
        <n v="1743.11"/>
        <n v="510.53"/>
        <n v="1859.71"/>
        <n v="4012.98"/>
        <n v="3138.13"/>
        <n v="1869.39"/>
        <n v="1156.48"/>
        <n v="1281.1099999999999"/>
        <n v="4217.05"/>
        <n v="4436.05"/>
        <n v="1195.57"/>
        <n v="611.54999999999995"/>
        <n v="1943.56"/>
        <n v="1315.75"/>
        <n v="1095.73"/>
        <n v="1716.97"/>
        <n v="2313.7600000000002"/>
        <n v="1768.83"/>
        <n v="3080.26"/>
        <n v="4843.59"/>
        <n v="3562.63"/>
        <n v="716.15"/>
        <n v="716.93"/>
        <n v="1463.13"/>
        <n v="1212.98"/>
        <n v="1126.6500000000001"/>
        <n v="1201.22"/>
        <n v="1511.61"/>
        <n v="2285.48"/>
        <n v="1079.23"/>
        <n v="1904.8"/>
        <n v="1135.5999999999999"/>
        <n v="802.48"/>
        <n v="3673.01"/>
        <n v="2360.5100000000002"/>
        <n v="649.52"/>
        <n v="563.23"/>
        <n v="2100.8200000000002"/>
        <n v="5299.48"/>
        <n v="4530.1499999999996"/>
        <n v="1166.04"/>
        <n v="543.41999999999996"/>
        <n v="1845.83"/>
        <n v="436.45"/>
        <n v="1554.26"/>
        <n v="6056.2"/>
        <n v="550.67999999999995"/>
        <n v="1164.43"/>
        <n v="2671.98"/>
        <n v="1432.52"/>
        <n v="1729.65"/>
        <n v="696.83"/>
        <n v="5382.85"/>
        <n v="4362.46"/>
        <n v="881.67"/>
        <n v="2422.54"/>
        <n v="964.39"/>
        <n v="3746.46"/>
        <n v="1274.23"/>
        <n v="1180.01"/>
        <n v="1395.9"/>
        <n v="1542.36"/>
        <n v="1688.74"/>
        <n v="1540.74"/>
        <n v="3749.4"/>
        <n v="917.88"/>
        <n v="907.46"/>
        <n v="842.1"/>
        <n v="529.80999999999995"/>
        <n v="2928.78"/>
        <n v="1298.0899999999999"/>
        <n v="3220.13"/>
        <n v="527"/>
        <n v="1433.74"/>
        <n v="1240.45"/>
        <n v="2012.24"/>
        <n v="1674.68"/>
        <n v="3580.57"/>
        <n v="773.62"/>
        <n v="2809.49"/>
        <n v="1303.56"/>
        <n v="2995.69"/>
        <n v="1165.69"/>
        <n v="894.95"/>
        <n v="965.71"/>
        <n v="1975.17"/>
        <n v="1147.3499999999999"/>
        <n v="7923.18"/>
        <n v="779.08"/>
        <n v="1108.25"/>
        <n v="863.58"/>
        <n v="3354.6"/>
        <n v="1732.87"/>
        <n v="2879.05"/>
        <n v="2774.17"/>
        <n v="1496.75"/>
        <n v="997.3"/>
        <n v="2532.65"/>
        <n v="4558.3999999999996"/>
        <n v="3489.42"/>
        <n v="1116.78"/>
        <n v="1761.35"/>
        <n v="1972.39"/>
        <n v="4260.46"/>
        <n v="2666.81"/>
        <n v="1371.14"/>
        <n v="545.46"/>
        <n v="1942.6"/>
        <n v="3015.09"/>
        <n v="7321.92"/>
        <n v="2168.9299999999998"/>
        <n v="3555.31"/>
        <n v="2079.2199999999998"/>
        <n v="1052.96"/>
        <n v="4478.46"/>
        <n v="1234.1500000000001"/>
        <n v="2815.39"/>
        <n v="1163.49"/>
        <n v="1660.69"/>
        <n v="1923.6"/>
        <n v="2478.14"/>
        <n v="1089.67"/>
        <n v="891.05"/>
        <n v="2711.98"/>
        <n v="1855.69"/>
        <n v="6388.09"/>
        <n v="1105.93"/>
        <n v="2301.65"/>
        <n v="2125.19"/>
        <n v="5359.76"/>
        <n v="3586.24"/>
        <n v="2379.75"/>
        <n v="275.12"/>
        <n v="2234.9699999999998"/>
        <n v="2112.98"/>
        <n v="3885.5"/>
        <n v="3430.42"/>
        <n v="1703.76"/>
        <n v="1311.68"/>
        <n v="2656.43"/>
        <n v="517.05999999999995"/>
        <n v="2076.58"/>
        <n v="459.99"/>
        <n v="690.45"/>
        <n v="443.29"/>
        <n v="1089.3399999999999"/>
        <n v="7265.66"/>
        <n v="3878.91"/>
        <n v="1065.72"/>
        <n v="1301.5999999999999"/>
        <n v="2034.79"/>
        <n v="2224.46"/>
        <n v="1701.49"/>
        <n v="605.09"/>
        <n v="290.55"/>
        <n v="1008.31"/>
        <n v="2453.7199999999998"/>
        <n v="712.31"/>
        <n v="1336.64"/>
        <n v="1489.89"/>
        <n v="1665.98"/>
        <n v="1434.57"/>
        <n v="3926.35"/>
        <n v="3011.77"/>
        <n v="1579.63"/>
        <n v="1533.98"/>
        <n v="2296.34"/>
        <n v="3435.32"/>
        <n v="948.07"/>
        <n v="410.69"/>
        <n v="2058.77"/>
        <n v="545.01"/>
        <n v="4564.74"/>
        <n v="1855.11"/>
        <n v="826.57"/>
        <n v="952.41"/>
        <n v="2510.06"/>
        <n v="2298.1999999999998"/>
        <n v="2349.85"/>
        <n v="1200.5999999999999"/>
        <n v="1062.5999999999999"/>
        <n v="7144.12"/>
        <n v="307.61"/>
        <n v="1744.4"/>
        <n v="1337.81"/>
        <n v="422.96"/>
        <n v="6561.94"/>
        <n v="4278.58"/>
        <n v="2589.15"/>
        <n v="2176.0100000000002"/>
        <n v="718.2"/>
        <n v="2877.42"/>
        <n v="2607.98"/>
        <n v="505.63"/>
        <n v="1012.58"/>
        <n v="1142.56"/>
        <n v="2480.92"/>
        <n v="4321.0200000000004"/>
        <n v="1330.02"/>
        <n v="5557.04"/>
        <n v="1395.02"/>
        <n v="2447.17"/>
        <n v="3721.65"/>
        <n v="627.49"/>
        <n v="635.82000000000005"/>
        <n v="3099.32"/>
        <n v="718.31"/>
        <n v="3627.18"/>
        <n v="4290"/>
        <n v="2360.4499999999998"/>
        <n v="2001.19"/>
        <n v="2297.33"/>
        <n v="1059.6500000000001"/>
        <n v="1061.02"/>
        <n v="2598.38"/>
        <n v="2480.5700000000002"/>
        <n v="5010.97"/>
        <n v="782.92"/>
        <n v="4671.17"/>
        <n v="574.78"/>
        <n v="989.19"/>
        <n v="990.16"/>
        <n v="326.48"/>
        <n v="3249.43"/>
        <n v="4348.6899999999996"/>
        <n v="918.2"/>
        <n v="4344.26"/>
        <n v="1443.17"/>
        <n v="2470.79"/>
        <n v="360.78"/>
        <n v="3967.56"/>
        <n v="4001.85"/>
        <n v="3827.12"/>
        <n v="5334.99"/>
        <n v="2356.64"/>
        <n v="1729.63"/>
        <n v="1612.65"/>
        <n v="1233.5"/>
        <n v="676.69"/>
        <n v="853.31"/>
        <n v="1190.01"/>
        <n v="3123.06"/>
        <n v="3066.39"/>
        <n v="1440.86"/>
        <n v="1466.95"/>
        <n v="1171.24"/>
        <n v="1903.27"/>
        <n v="2753.77"/>
        <n v="3669.07"/>
        <n v="2626.97"/>
        <n v="1142.98"/>
        <n v="563.70000000000005"/>
        <n v="1367.57"/>
        <n v="4436.91"/>
        <n v="856.08"/>
        <n v="3834.38"/>
        <n v="2692.47"/>
        <n v="1676.27"/>
        <n v="2720.84"/>
        <n v="2928.55"/>
        <n v="661.75"/>
        <n v="2598.1"/>
        <n v="2388.9299999999998"/>
        <n v="963.74"/>
        <n v="423.36"/>
        <n v="2056.8000000000002"/>
        <n v="3421.29"/>
        <n v="440.23"/>
        <n v="3313.15"/>
        <n v="1631.6"/>
        <n v="3587.28"/>
        <n v="5977.4"/>
        <n v="5346.55"/>
        <n v="1258.1400000000001"/>
        <n v="1972.18"/>
        <n v="902.52"/>
        <n v="1984.04"/>
        <n v="2288.98"/>
        <n v="3261.23"/>
        <n v="1376.02"/>
        <n v="1033.76"/>
        <n v="810.08"/>
        <n v="4165.76"/>
        <n v="5206.95"/>
        <n v="1570.99"/>
        <n v="2104.42"/>
        <n v="2184.0500000000002"/>
        <n v="942.24"/>
        <n v="1383.84"/>
        <n v="2268.79"/>
        <n v="1063.6600000000001"/>
        <n v="1956.28"/>
        <n v="2609.2800000000002"/>
        <n v="833.4"/>
        <n v="658.35"/>
        <n v="975.88"/>
        <n v="1122.29"/>
        <n v="4675.88"/>
        <n v="2586.5"/>
        <n v="1918.47"/>
        <n v="2510.61"/>
        <n v="1085.06"/>
        <n v="4449.68"/>
        <n v="737.44"/>
        <n v="404.31"/>
        <n v="2398.4299999999998"/>
        <n v="3637.02"/>
        <n v="3051.24"/>
        <n v="1214.27"/>
        <n v="2530.21"/>
        <n v="1277.68"/>
        <n v="1391.38"/>
        <n v="622.47"/>
        <n v="3561.67"/>
        <n v="1308.0999999999999"/>
        <n v="1923.11"/>
        <n v="2274.27"/>
        <n v="3079.57"/>
        <n v="2826.05"/>
        <n v="1179.28"/>
        <n v="395.41"/>
        <n v="1068.23"/>
        <n v="3170.72"/>
        <n v="1733.06"/>
        <n v="9322.66"/>
        <n v="1713.78"/>
        <n v="986.17"/>
        <n v="353.32"/>
        <n v="1234.42"/>
        <n v="2242.6"/>
        <n v="3257.63"/>
        <n v="1503.27"/>
        <n v="1867.12"/>
        <n v="709.77"/>
        <n v="1705.03"/>
        <n v="922.01"/>
        <n v="2032.02"/>
        <n v="349.95"/>
        <n v="1301.5"/>
        <n v="2027.47"/>
        <n v="2931.94"/>
        <n v="1416.66"/>
        <n v="2152.54"/>
        <n v="4165.8"/>
        <n v="1847.27"/>
        <n v="3067.26"/>
        <n v="2352.75"/>
        <n v="1713.81"/>
        <n v="1641.91"/>
        <n v="482.59"/>
        <n v="1022.84"/>
        <n v="6442.63"/>
        <n v="4026.48"/>
        <n v="1712.69"/>
        <n v="518.33000000000004"/>
        <n v="331.13"/>
        <n v="2776.44"/>
        <n v="1787.31"/>
        <n v="532.28"/>
        <n v="5110.75"/>
        <n v="1959.72"/>
        <n v="3289.77"/>
        <n v="2715.58"/>
        <n v="1194.48"/>
        <n v="2745.83"/>
        <n v="2650.81"/>
        <n v="1613.71"/>
        <n v="462.83"/>
        <n v="3287.81"/>
        <n v="3159.38"/>
        <n v="203.1"/>
        <n v="1807.22"/>
        <n v="2523.25"/>
        <n v="2729.68"/>
        <n v="724.3"/>
        <n v="1445.1"/>
        <n v="402.22"/>
        <n v="3024.05"/>
        <n v="987.36"/>
        <n v="7246.26"/>
        <n v="3107.91"/>
        <n v="2934.15"/>
        <n v="3544.59"/>
        <n v="1052.94"/>
        <n v="1583.34"/>
        <n v="2487.46"/>
        <n v="1465.39"/>
        <n v="1078.8399999999999"/>
        <n v="2566.33"/>
        <n v="3760.78"/>
        <n v="1996.16"/>
        <n v="902.82"/>
        <n v="5842.99"/>
        <n v="952.04"/>
        <n v="673.75"/>
        <n v="2917.72"/>
        <n v="2007"/>
        <n v="625.21"/>
        <n v="3548.5"/>
        <n v="1227.83"/>
        <n v="598.20000000000005"/>
        <n v="746.07"/>
        <n v="1716.6"/>
        <n v="1755.97"/>
        <n v="844.48"/>
        <n v="2334.3000000000002"/>
        <n v="1060.96"/>
        <n v="2888.08"/>
        <n v="734.94"/>
        <n v="6173.34"/>
        <n v="2312.3000000000002"/>
        <n v="1025.76"/>
        <n v="1405.16"/>
        <n v="1065.75"/>
        <n v="1163.5899999999999"/>
        <n v="947.54"/>
        <n v="2421.5"/>
        <n v="2125.3000000000002"/>
        <n v="3093.22"/>
        <n v="3530.7"/>
        <n v="551.97"/>
        <n v="4782.67"/>
        <n v="338.13"/>
        <n v="4762.4799999999996"/>
        <n v="1479.46"/>
        <n v="1930.99"/>
        <n v="1302.3900000000001"/>
        <n v="967.72"/>
        <n v="2580.96"/>
        <n v="410.12"/>
        <n v="4752.32"/>
        <n v="2983.78"/>
        <n v="1793.87"/>
        <n v="513.9"/>
        <n v="861.17"/>
        <n v="2392.31"/>
        <n v="2124.39"/>
        <n v="441.3"/>
        <n v="3589.72"/>
        <n v="1106.07"/>
        <n v="1021.2"/>
        <n v="1898.54"/>
        <n v="1484.47"/>
        <n v="879.64"/>
        <n v="2039.32"/>
        <n v="2109.1799999999998"/>
        <n v="439.7"/>
        <n v="3016.14"/>
        <n v="1628.62"/>
        <n v="2999.79"/>
        <n v="5802.52"/>
        <n v="2555.56"/>
        <n v="5644.32"/>
        <n v="1440.64"/>
        <n v="1466.91"/>
        <n v="1028.3699999999999"/>
        <n v="1937.49"/>
        <n v="508.08"/>
        <n v="4712.97"/>
        <n v="1932.87"/>
        <n v="1525.19"/>
        <n v="1506.69"/>
        <n v="512.59"/>
        <n v="7545.7"/>
        <n v="4202.09"/>
        <n v="4931.3900000000003"/>
        <n v="3517.46"/>
        <n v="1789.73"/>
        <n v="971.02"/>
        <n v="4661.87"/>
        <n v="1453.68"/>
        <n v="1177.3499999999999"/>
        <n v="2678.22"/>
        <n v="4623.34"/>
        <n v="2396.27"/>
        <n v="3598.36"/>
        <n v="4619.72"/>
        <n v="2848.57"/>
        <n v="3077.52"/>
        <n v="2259.77"/>
        <n v="1674.15"/>
        <n v="812.64"/>
        <n v="4365.63"/>
        <n v="2673.68"/>
        <n v="1140.24"/>
        <n v="2922.31"/>
        <n v="741.58"/>
        <n v="1759.88"/>
        <n v="1632.81"/>
        <n v="305.64999999999998"/>
        <n v="2694"/>
        <n v="778.59"/>
        <n v="952.11"/>
        <n v="1061.8"/>
        <n v="2244.5300000000002"/>
        <n v="4059.09"/>
        <n v="2229.9"/>
        <n v="3034.08"/>
        <n v="1757.78"/>
        <n v="3280.19"/>
        <n v="713.37"/>
        <n v="3357.57"/>
        <n v="1839.41"/>
        <n v="3589.59"/>
        <n v="249.04"/>
        <n v="616.87"/>
        <n v="3237.08"/>
        <n v="2315.35"/>
        <n v="1885.18"/>
        <n v="954.09"/>
        <n v="600.42999999999995"/>
        <n v="591.04999999999995"/>
        <n v="4527.1499999999996"/>
        <n v="3116.91"/>
        <n v="1389.95"/>
        <n v="2270.2199999999998"/>
        <n v="2770.49"/>
        <n v="1575.72"/>
        <n v="1863.96"/>
        <n v="2153.75"/>
        <n v="821.07"/>
        <n v="1747.6"/>
        <n v="1424.31"/>
        <n v="2803.98"/>
        <n v="1020.85"/>
        <n v="424.94"/>
        <n v="2016.42"/>
        <n v="2447.62"/>
        <n v="3621.21"/>
        <n v="1652.66"/>
        <n v="2770.93"/>
        <n v="1602.67"/>
        <n v="4764.0200000000004"/>
        <n v="279.77999999999997"/>
        <n v="217.56"/>
        <n v="3609.26"/>
        <n v="2479.12"/>
        <n v="1645.95"/>
        <n v="1955.18"/>
        <n v="2896.78"/>
        <n v="9262.19"/>
        <n v="834.71"/>
        <n v="1843.21"/>
        <n v="2181.84"/>
        <n v="5829.02"/>
        <n v="4406.24"/>
        <n v="1682.75"/>
        <n v="624.45000000000005"/>
        <n v="2922.16"/>
        <n v="1683.08"/>
        <n v="5913.52"/>
        <n v="562.87"/>
        <n v="3323.73"/>
        <n v="3472.76"/>
        <n v="2729.7"/>
        <n v="1252.47"/>
        <n v="1914.46"/>
        <n v="232.29"/>
        <n v="2805.86"/>
        <n v="1078.46"/>
        <n v="482.46"/>
        <n v="2510.88"/>
        <n v="2725.54"/>
        <n v="715.96"/>
        <n v="773.52"/>
        <n v="2853.38"/>
        <n v="2900.95"/>
        <n v="1897.59"/>
        <n v="1421.51"/>
        <n v="3251.43"/>
        <n v="1545.59"/>
        <n v="9496.06"/>
        <n v="1247.3699999999999"/>
        <n v="2321.52"/>
        <n v="877.63"/>
        <n v="637.16999999999996"/>
        <n v="3508.78"/>
        <n v="6348.75"/>
        <n v="1436.77"/>
        <n v="2004.76"/>
        <n v="622.03"/>
        <n v="1709.89"/>
        <n v="3506.57"/>
        <n v="728.26"/>
        <n v="3809.07"/>
        <n v="969.47"/>
        <n v="780.52"/>
        <n v="4193.6000000000004"/>
        <n v="1252.56"/>
        <n v="760.42"/>
        <n v="4644.21"/>
        <n v="2190.2800000000002"/>
        <n v="1681.92"/>
        <n v="701.59"/>
        <n v="1565.66"/>
        <n v="1909.97"/>
        <n v="748.63"/>
        <n v="3764.97"/>
        <n v="1130.55"/>
        <n v="2033.36"/>
        <n v="365.14"/>
        <n v="1357.94"/>
        <n v="3380.27"/>
        <n v="1057.94"/>
        <n v="718.33"/>
        <n v="867.26"/>
        <n v="2648.26"/>
        <n v="3725.42"/>
        <n v="1653.96"/>
        <n v="1832.34"/>
        <n v="1137.3699999999999"/>
        <n v="1189.1600000000001"/>
        <n v="1770.41"/>
        <n v="4935.58"/>
        <n v="4555.51"/>
        <n v="2899.31"/>
        <n v="852.36"/>
        <n v="4497.57"/>
        <n v="386.63"/>
        <n v="952.35"/>
        <n v="716.32"/>
        <n v="440.76"/>
        <n v="455.68"/>
        <n v="1279.5999999999999"/>
        <n v="3576.02"/>
        <n v="1467.61"/>
        <n v="803.12"/>
        <n v="2313.4699999999998"/>
        <n v="1638.94"/>
        <n v="3041.01"/>
        <n v="1252.42"/>
        <n v="2043.09"/>
        <n v="2154.84"/>
        <n v="1144.1099999999999"/>
        <n v="1053.67"/>
        <n v="1021.65"/>
        <n v="1218.25"/>
        <n v="1069.1099999999999"/>
        <n v="2002.46"/>
        <n v="8294.31"/>
        <n v="2314.61"/>
        <n v="2162.59"/>
        <n v="3496.33"/>
        <n v="1847.14"/>
        <n v="1651.43"/>
        <n v="3400.94"/>
        <n v="791.01"/>
        <n v="4673.04"/>
        <n v="2492.75"/>
        <n v="1166.24"/>
        <n v="1244.8399999999999"/>
        <n v="2139.58"/>
        <n v="1495.87"/>
        <n v="2343.5500000000002"/>
        <n v="2409.66"/>
        <n v="2909.79"/>
        <n v="2654.4"/>
        <n v="3662.92"/>
        <n v="3922.66"/>
        <n v="1821.91"/>
        <n v="1592.74"/>
        <n v="926.83"/>
        <n v="2254.4499999999998"/>
        <n v="3786.35"/>
        <n v="4050.87"/>
        <n v="607.07000000000005"/>
        <n v="1525.08"/>
        <n v="2995.29"/>
        <n v="3934.14"/>
        <n v="1078.0999999999999"/>
        <n v="2960.33"/>
        <n v="3592.78"/>
        <n v="1734.08"/>
        <n v="2387.3000000000002"/>
        <n v="1790.82"/>
        <n v="1323.3"/>
        <n v="1203.8399999999999"/>
        <n v="1329.95"/>
        <n v="4499.18"/>
        <n v="1490.7"/>
        <n v="948.51"/>
        <n v="286.08"/>
        <n v="2130.0300000000002"/>
        <n v="1352.64"/>
        <n v="1085.72"/>
        <n v="876.69"/>
        <n v="962.74"/>
        <n v="1207.67"/>
        <n v="557.79"/>
        <n v="1902.32"/>
        <n v="1345.15"/>
        <n v="1109.44"/>
        <n v="2135.5300000000002"/>
        <n v="3744.56"/>
        <n v="780.68"/>
        <n v="603.48"/>
        <n v="1159.98"/>
        <n v="424.12"/>
        <n v="1416.03"/>
        <n v="1493.37"/>
        <n v="783.79"/>
        <n v="2168.9"/>
        <n v="740.46"/>
        <n v="1044.8699999999999"/>
        <n v="468.68"/>
        <n v="579.4"/>
        <n v="1554.28"/>
        <n v="2752.2"/>
        <n v="2850.72"/>
        <n v="2775.93"/>
        <n v="818.07"/>
        <n v="3881.44"/>
        <n v="1824.49"/>
        <n v="2856.27"/>
        <n v="3191"/>
        <n v="777.08"/>
        <n v="1801.07"/>
        <n v="2661.59"/>
        <n v="4221.1499999999996"/>
        <n v="1517"/>
        <n v="514.69000000000005"/>
        <n v="7426.15"/>
        <n v="1981.74"/>
        <n v="456.38"/>
        <n v="749.94"/>
        <n v="1657.51"/>
        <n v="1139.6400000000001"/>
        <n v="3771.7"/>
        <n v="1321.99"/>
        <n v="8414.74"/>
        <n v="1471.62"/>
        <n v="4051.54"/>
        <n v="1654.22"/>
        <n v="1341.46"/>
        <n v="1773.43"/>
        <n v="314.98"/>
        <n v="1158.69"/>
        <n v="4568.08"/>
        <n v="2787.68"/>
        <n v="1960.94"/>
        <n v="489.27"/>
        <n v="2829.3"/>
        <n v="4388.83"/>
        <n v="3888.01"/>
        <n v="2321.9499999999998"/>
        <n v="2990.73"/>
        <n v="1011.65"/>
        <n v="1096.52"/>
        <n v="3216.59"/>
        <n v="997.79"/>
        <n v="594.82000000000005"/>
        <n v="2010.49"/>
        <n v="718.51"/>
        <n v="745.36"/>
        <n v="2688.92"/>
        <n v="581.48"/>
        <n v="1048.8399999999999"/>
        <n v="2088.02"/>
        <n v="3869.93"/>
        <n v="4802.3100000000004"/>
        <n v="1980.91"/>
        <n v="2682.2"/>
        <n v="2554.48"/>
        <n v="796.93"/>
        <n v="4627.0200000000004"/>
        <n v="1155.6400000000001"/>
        <n v="664.21"/>
        <n v="634.79"/>
        <n v="4112.43"/>
        <n v="1786.62"/>
        <n v="4064.72"/>
        <n v="1114.0899999999999"/>
        <n v="1257.6400000000001"/>
        <n v="706.2"/>
        <n v="1013.19"/>
        <n v="448.74"/>
        <n v="1583.36"/>
        <n v="1250.01"/>
        <n v="518.54"/>
        <n v="3704.55"/>
        <n v="976.53"/>
        <n v="1508.73"/>
        <n v="816.45"/>
        <n v="1385.63"/>
        <n v="1838.21"/>
        <n v="1298.8900000000001"/>
        <n v="3393.06"/>
        <n v="2006.93"/>
        <n v="1188.46"/>
        <n v="1821.68"/>
        <n v="1796.8"/>
        <n v="2070.46"/>
        <n v="751.16"/>
        <n v="1548.65"/>
        <n v="2221.5"/>
        <n v="563"/>
        <n v="2350.64"/>
        <n v="463.62"/>
        <n v="978.62"/>
        <n v="3088.97"/>
        <n v="1152.29"/>
        <n v="1356.26"/>
        <n v="243.71"/>
        <n v="1022.03"/>
        <n v="1142.17"/>
        <n v="3584.04"/>
        <n v="982.63"/>
        <n v="3015.52"/>
        <n v="2410.2600000000002"/>
        <n v="3269.23"/>
        <n v="508.72"/>
        <n v="1055.9000000000001"/>
        <n v="3093.46"/>
        <n v="1420.17"/>
        <n v="1068.3900000000001"/>
        <n v="2298.8000000000002"/>
        <n v="1477.8"/>
        <n v="1643.65"/>
        <n v="1752.21"/>
        <n v="1742.66"/>
        <n v="888.54"/>
        <n v="3354.97"/>
        <n v="2682.5"/>
        <n v="1496.17"/>
        <n v="539.35"/>
        <n v="2294.61"/>
        <n v="2051.64"/>
        <n v="1989.88"/>
        <n v="992.5"/>
        <n v="1251.83"/>
        <n v="1388.76"/>
        <n v="1262.76"/>
        <n v="2802.4"/>
        <n v="4788.78"/>
        <n v="2143.9699999999998"/>
        <n v="564.80999999999995"/>
        <n v="4210.7"/>
        <n v="4062.46"/>
        <n v="1284.52"/>
        <n v="338.36"/>
        <n v="1437.6"/>
        <n v="3055.32"/>
        <n v="680.3"/>
        <n v="1259.97"/>
        <n v="1440.8"/>
        <n v="504.28"/>
        <n v="2583.09"/>
        <n v="5499.08"/>
        <n v="661.64"/>
        <n v="3727.81"/>
        <n v="1497.19"/>
        <n v="1050.19"/>
        <n v="5071.3"/>
        <n v="2489.7199999999998"/>
        <n v="1478.72"/>
        <n v="1186.93"/>
        <n v="2716.1"/>
        <n v="1465.54"/>
        <n v="321.73"/>
        <n v="2011.08"/>
        <n v="2688.25"/>
        <n v="1681.67"/>
        <n v="4723.72"/>
        <n v="813.34"/>
        <n v="2418.3000000000002"/>
        <n v="991.48"/>
        <n v="3509.44"/>
        <n v="4407.51"/>
        <n v="4384.99"/>
        <n v="1347.95"/>
        <n v="245.48"/>
        <n v="605.16999999999996"/>
        <n v="2667.58"/>
        <n v="3978.85"/>
        <n v="3670.88"/>
        <n v="1011.41"/>
        <n v="3113.71"/>
        <n v="5045.88"/>
        <n v="302.16000000000003"/>
        <n v="1642.22"/>
        <n v="877.28"/>
        <n v="2282.4"/>
        <n v="3360.26"/>
        <n v="3266.42"/>
        <n v="3566.51"/>
        <n v="3971.96"/>
        <n v="1086.25"/>
        <n v="1135.5899999999999"/>
        <n v="3821.22"/>
        <n v="2100.5"/>
        <n v="784.83"/>
        <n v="2886.86"/>
        <n v="1521.69"/>
        <n v="3228.25"/>
        <n v="2551.96"/>
        <n v="715.48"/>
        <n v="3248.87"/>
        <n v="2300.16"/>
        <n v="932.7"/>
        <n v="4505.57"/>
        <n v="549.15"/>
        <n v="2407.87"/>
        <n v="3997.73"/>
        <n v="1876.76"/>
        <n v="881.99"/>
        <n v="3299.86"/>
        <n v="3038.35"/>
        <n v="4169.5"/>
        <n v="279.19"/>
        <n v="1231.08"/>
        <n v="2335.02"/>
        <n v="3380.57"/>
        <n v="1235.3900000000001"/>
        <n v="642.91"/>
        <n v="1614.9"/>
        <n v="2013.76"/>
        <n v="1259.53"/>
        <n v="1847.23"/>
        <n v="1130.19"/>
        <n v="3244.14"/>
        <n v="2812.38"/>
        <n v="811"/>
        <n v="501.11"/>
        <n v="2095.98"/>
        <n v="1498.33"/>
        <n v="2028.73"/>
        <n v="988.49"/>
        <n v="1452.67"/>
        <n v="3101.56"/>
        <n v="1580.3"/>
        <n v="1531.29"/>
        <n v="985.59"/>
        <n v="4439.76"/>
        <n v="961.49"/>
        <n v="2887.77"/>
        <n v="1095.5899999999999"/>
        <n v="1653.5"/>
        <n v="1753.95"/>
        <n v="1601.24"/>
        <n v="1267.43"/>
        <n v="1395.3"/>
        <n v="683.86"/>
        <n v="2197.52"/>
        <n v="1670.53"/>
        <n v="504.32"/>
        <n v="986.34"/>
        <n v="2669.4"/>
        <n v="1284.56"/>
        <n v="1590.39"/>
        <n v="1489.72"/>
        <n v="6456.85"/>
        <n v="4473.53"/>
        <n v="2092.04"/>
        <n v="478.76"/>
        <n v="1563.61"/>
        <n v="4272.3"/>
        <n v="3538.12"/>
        <n v="849.71"/>
        <n v="2545.61"/>
        <n v="6530.56"/>
        <n v="3486.06"/>
        <n v="3147.56"/>
        <n v="2076.65"/>
        <n v="3825.74"/>
        <n v="3958.17"/>
        <n v="1337.1"/>
        <n v="2334.34"/>
        <n v="1013.87"/>
        <n v="2086.87"/>
        <n v="3231.51"/>
        <n v="1924.59"/>
        <n v="4438.51"/>
        <n v="4384.24"/>
        <n v="2557.5"/>
        <n v="3185.56"/>
        <n v="3694.53"/>
        <n v="3716.33"/>
        <n v="5534.23"/>
        <n v="1269.3699999999999"/>
        <n v="1428.48"/>
        <n v="577.94000000000005"/>
        <n v="1224.21"/>
        <n v="1365.33"/>
        <n v="595.53"/>
        <n v="2936.59"/>
        <n v="3492.8"/>
        <n v="598.88"/>
        <n v="3132.18"/>
        <n v="3553.88"/>
        <n v="4491.3999999999996"/>
        <n v="1291.33"/>
        <n v="888.64"/>
        <n v="914.27"/>
        <n v="1738.96"/>
        <n v="3195.15"/>
        <n v="1401.93"/>
        <n v="1129.0899999999999"/>
        <n v="749.04"/>
        <n v="5515.92"/>
        <n v="2997.2"/>
        <n v="3888.32"/>
        <n v="3595.68"/>
        <n v="2642.66"/>
        <n v="2837"/>
        <n v="4034.83"/>
        <n v="3533.28"/>
        <n v="3919.18"/>
        <n v="844.41"/>
        <n v="1790.45"/>
        <n v="1978.01"/>
        <n v="856.24"/>
        <n v="2030.13"/>
        <n v="797.71"/>
        <n v="4172.07"/>
        <n v="142.5"/>
        <n v="1283.78"/>
        <n v="2322.33"/>
        <n v="2648.07"/>
        <n v="784.3"/>
        <n v="1258.22"/>
        <n v="2832.41"/>
        <n v="1036.0999999999999"/>
        <n v="4345.21"/>
        <n v="1304"/>
        <n v="2273"/>
        <n v="2378.56"/>
        <n v="3985.13"/>
        <n v="3706.25"/>
        <n v="1822.54"/>
        <n v="1213.72"/>
        <n v="3569.41"/>
        <n v="2888.37"/>
        <n v="3908"/>
        <n v="425.4"/>
        <n v="3875.32"/>
        <n v="1904.04"/>
        <n v="2108.44"/>
        <n v="476.83"/>
        <n v="528.4"/>
        <n v="1090.27"/>
        <n v="9515.57"/>
        <n v="2326.7199999999998"/>
        <n v="3500.29"/>
        <n v="1219.2"/>
        <n v="2161.31"/>
        <n v="805.25"/>
        <n v="663.74"/>
        <n v="1019.49"/>
        <n v="1732"/>
        <n v="2423.36"/>
        <n v="1948.41"/>
        <n v="1175.5899999999999"/>
        <n v="2278.16"/>
        <n v="442.8"/>
        <n v="1477.38"/>
        <n v="690.54"/>
        <n v="1333.83"/>
        <n v="818.52"/>
        <n v="979.41"/>
        <n v="4012.52"/>
        <n v="2536.25"/>
        <n v="2692.68"/>
        <n v="493.49"/>
        <n v="3855.65"/>
        <n v="4039.81"/>
        <n v="1133.6500000000001"/>
        <n v="1953.47"/>
        <n v="953.27"/>
        <n v="3040.72"/>
        <n v="1671.76"/>
        <n v="3046.16"/>
        <n v="3164.97"/>
        <n v="3886.33"/>
        <n v="1578.8"/>
        <n v="906.49"/>
        <n v="3713.68"/>
        <n v="2602.4"/>
        <n v="959.08"/>
        <n v="1038.4000000000001"/>
        <n v="1268.0999999999999"/>
        <n v="1989.25"/>
        <n v="2277.5100000000002"/>
        <n v="1696.02"/>
        <n v="5367.72"/>
        <n v="2390.87"/>
        <n v="2903.25"/>
        <n v="1638.43"/>
        <n v="3457.58"/>
        <n v="1708.1"/>
        <n v="3647.94"/>
        <n v="668.94"/>
        <n v="4224.92"/>
        <n v="422.21"/>
        <n v="2911.13"/>
        <n v="1896.26"/>
        <n v="3229.42"/>
        <n v="348.07"/>
        <n v="1593"/>
        <n v="430.33"/>
        <n v="2601.38"/>
        <n v="1202.01"/>
        <n v="3171.98"/>
        <n v="1251.4100000000001"/>
        <n v="1357.36"/>
        <n v="4542.91"/>
        <n v="1592.28"/>
        <n v="2346.17"/>
        <n v="8427.8799999999992"/>
        <n v="1092.77"/>
        <n v="2012.43"/>
        <n v="1868.73"/>
        <n v="2171.71"/>
        <n v="1080.05"/>
        <n v="1358.3"/>
        <n v="2994.74"/>
        <n v="2248.88"/>
        <n v="2283.2399999999998"/>
        <n v="2424.94"/>
        <n v="1233.8"/>
        <n v="724.94"/>
        <n v="814.73"/>
        <n v="2262.21"/>
        <n v="1332.89"/>
        <n v="1421.58"/>
        <n v="2728.71"/>
        <n v="3976.77"/>
        <n v="1955.49"/>
        <n v="3664.52"/>
        <n v="1306.8"/>
        <n v="1903.52"/>
        <n v="1454.49"/>
        <n v="2143.2199999999998"/>
        <n v="3471.26"/>
        <n v="1672.31"/>
        <n v="3438.45"/>
        <n v="2474.87"/>
        <n v="1979.08"/>
        <n v="2749.54"/>
        <n v="581.5"/>
        <n v="5067.58"/>
        <n v="1975.86"/>
        <n v="3649.14"/>
        <n v="2787.4"/>
        <n v="2197.0300000000002"/>
        <n v="1026.18"/>
        <n v="5555.45"/>
        <n v="1229.18"/>
        <n v="832.27"/>
        <n v="1377.04"/>
        <n v="5364.52"/>
        <n v="2165.92"/>
        <n v="3140.24"/>
        <n v="3154.15"/>
        <n v="3846.38"/>
        <n v="3309.61"/>
        <n v="743.07"/>
        <n v="2148.31"/>
        <n v="1226.93"/>
        <n v="1119.4100000000001"/>
        <n v="726.35"/>
        <n v="991.29"/>
        <n v="1088.25"/>
        <n v="5240.59"/>
        <n v="2376.9299999999998"/>
        <n v="1814.29"/>
        <n v="8119.89"/>
        <n v="1986.58"/>
        <n v="482.84"/>
        <n v="1193.4100000000001"/>
        <n v="939.21"/>
        <n v="1323.11"/>
        <n v="953.5"/>
        <n v="1773.51"/>
        <n v="364.6"/>
        <n v="1846.31"/>
        <n v="635.48"/>
        <n v="634.28"/>
        <n v="637.5"/>
        <n v="3375.82"/>
        <n v="443.26"/>
        <n v="897.3"/>
        <n v="872.01"/>
        <n v="4228.8100000000004"/>
        <n v="4981"/>
        <n v="1357.67"/>
        <n v="1001.9"/>
        <n v="1781.87"/>
        <n v="3353.35"/>
        <n v="734.26"/>
        <n v="1035.22"/>
        <n v="1415.35"/>
        <n v="3334.62"/>
        <n v="2510.92"/>
        <n v="1346.32"/>
        <n v="2411.61"/>
        <n v="804.09"/>
        <n v="1943.91"/>
        <n v="1324.6"/>
        <n v="2777.05"/>
        <n v="702.09"/>
        <n v="1128.79"/>
        <n v="2262.79"/>
        <n v="6141.25"/>
        <n v="3353.14"/>
        <n v="4874.3999999999996"/>
        <n v="1646.93"/>
        <n v="2488.89"/>
        <n v="4237.28"/>
        <n v="1925.54"/>
        <n v="710.63"/>
        <n v="5037.78"/>
        <n v="1446.34"/>
        <n v="620.83000000000004"/>
        <n v="504.1"/>
        <n v="1943.87"/>
        <n v="444.56"/>
        <n v="4487.0200000000004"/>
        <n v="2394.34"/>
        <n v="1360.94"/>
        <n v="1246.51"/>
        <n v="1104.53"/>
        <n v="1626.73"/>
        <n v="1328.24"/>
        <n v="3350.29"/>
        <n v="941.9"/>
        <n v="3013.53"/>
        <n v="2794.74"/>
        <n v="2105.54"/>
        <n v="7556.01"/>
        <n v="2036.95"/>
        <n v="161.07"/>
        <n v="2098.7600000000002"/>
        <n v="405.3"/>
        <n v="1026.56"/>
        <n v="878.35"/>
        <n v="1277.83"/>
        <n v="1107.5"/>
        <n v="3639"/>
        <n v="2703.64"/>
        <n v="3007.66"/>
        <n v="1085.6300000000001"/>
        <n v="545.96"/>
        <n v="1534.41"/>
        <n v="3165.36"/>
        <n v="818.19"/>
        <n v="7156.82"/>
        <n v="3060.71"/>
        <n v="1269.0999999999999"/>
        <n v="2972.17"/>
        <n v="1396.91"/>
        <n v="830.79"/>
        <n v="1410.21"/>
        <n v="533.35"/>
        <n v="2908.56"/>
        <n v="2452.0700000000002"/>
        <n v="1224.1400000000001"/>
        <n v="4312.42"/>
        <n v="614.57000000000005"/>
        <n v="1195.5"/>
        <n v="481.16"/>
        <n v="1353.24"/>
        <n v="693.58"/>
        <n v="1690.32"/>
        <n v="689.42"/>
        <n v="3239.06"/>
        <n v="905.8"/>
        <n v="1753.33"/>
        <n v="2584.4299999999998"/>
        <n v="1328.08"/>
        <n v="1548.5"/>
        <n v="2087.42"/>
        <n v="1723.5"/>
        <n v="2317.89"/>
        <n v="3138.4"/>
        <n v="5379.63"/>
        <n v="459.33"/>
        <n v="1505.51"/>
        <n v="682.7"/>
        <n v="793.38"/>
        <n v="2888.24"/>
        <n v="7648.95"/>
        <n v="6111.39"/>
        <n v="706.26"/>
        <n v="4103.95"/>
        <n v="3747.77"/>
        <n v="4776.37"/>
        <n v="744.68"/>
        <n v="1292.77"/>
        <n v="2578.66"/>
        <n v="1684.63"/>
        <n v="663.3"/>
        <n v="492.85"/>
        <n v="3755.37"/>
        <n v="251.01"/>
        <n v="422.85"/>
        <n v="2333.17"/>
        <n v="2659.06"/>
        <n v="1808.89"/>
        <n v="1900.2"/>
        <n v="1627.95"/>
        <n v="2361.16"/>
        <n v="346.95"/>
        <n v="1163.0899999999999"/>
        <n v="573.66999999999996"/>
        <n v="1164.22"/>
        <n v="1504.16"/>
        <n v="3304.17"/>
        <n v="1938.14"/>
        <n v="844.81"/>
        <n v="2917.32"/>
        <n v="1396.73"/>
        <n v="1285.3900000000001"/>
        <n v="3376.32"/>
        <n v="938.24"/>
        <n v="761.78"/>
        <n v="933.8"/>
        <n v="1191.93"/>
        <n v="2848.14"/>
        <n v="723.29"/>
        <n v="1706.15"/>
        <n v="3353.08"/>
        <n v="1583.17"/>
        <n v="845.36"/>
        <n v="1975.35"/>
        <n v="3672.81"/>
        <n v="1911.92"/>
        <n v="562.05999999999995"/>
        <n v="2094.5100000000002"/>
        <n v="1537.92"/>
        <n v="4562.05"/>
        <n v="2680.36"/>
        <n v="2836.68"/>
        <n v="736.27"/>
        <n v="1591.98"/>
        <n v="739.35"/>
        <n v="849.76"/>
        <n v="2258.41"/>
        <n v="2514.0100000000002"/>
        <n v="1332.36"/>
        <n v="1550.78"/>
        <n v="2099.91"/>
        <n v="3823.36"/>
        <n v="817.28"/>
        <n v="2542.29"/>
        <n v="1591.37"/>
        <n v="3381.43"/>
        <n v="2411.2199999999998"/>
      </sharedItems>
    </cacheField>
    <cacheField name="Follow_Up_Required" numFmtId="0">
      <sharedItems/>
    </cacheField>
    <cacheField name="Readmission_Within_30_Days" numFmtId="0">
      <sharedItems count="2">
        <s v="No"/>
        <s v="Yes"/>
      </sharedItems>
    </cacheField>
    <cacheField name="Months (Admission_Date)" numFmtId="0" databaseField="0">
      <fieldGroup base="4">
        <rangePr groupBy="months" startDate="2023-01-01T00:00:00" endDate="2025-09-28T00:00:00"/>
        <groupItems count="14">
          <s v="&lt;01-01-2023"/>
          <s v="Jan"/>
          <s v="Feb"/>
          <s v="Mar"/>
          <s v="Apr"/>
          <s v="May"/>
          <s v="Jun"/>
          <s v="Jul"/>
          <s v="Aug"/>
          <s v="Sep"/>
          <s v="Oct"/>
          <s v="Nov"/>
          <s v="Dec"/>
          <s v="&gt;28-09-2025"/>
        </groupItems>
      </fieldGroup>
    </cacheField>
    <cacheField name="Quarters (Admission_Date)" numFmtId="0" databaseField="0">
      <fieldGroup base="4">
        <rangePr groupBy="quarters" startDate="2023-01-01T00:00:00" endDate="2025-09-28T00:00:00"/>
        <groupItems count="6">
          <s v="&lt;01-01-2023"/>
          <s v="Qtr1"/>
          <s v="Qtr2"/>
          <s v="Qtr3"/>
          <s v="Qtr4"/>
          <s v="&gt;28-09-2025"/>
        </groupItems>
      </fieldGroup>
    </cacheField>
    <cacheField name="Years (Admission_Date)" numFmtId="0" databaseField="0">
      <fieldGroup base="4">
        <rangePr groupBy="years" startDate="2023-01-01T00:00:00" endDate="2025-09-28T00:00:00"/>
        <groupItems count="5">
          <s v="&lt;01-01-2023"/>
          <s v="2023"/>
          <s v="2024"/>
          <s v="2025"/>
          <s v="&gt;28-09-2025"/>
        </groupItems>
      </fieldGroup>
    </cacheField>
  </cacheFields>
  <extLst>
    <ext xmlns:x14="http://schemas.microsoft.com/office/spreadsheetml/2009/9/main" uri="{725AE2AE-9491-48be-B2B4-4EB974FC3084}">
      <x14:pivotCacheDefinition pivotCacheId="525698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x v="0"/>
    <d v="2025-04-03T00:00:00"/>
    <x v="0"/>
    <x v="0"/>
    <x v="0"/>
    <x v="0"/>
    <n v="5"/>
    <x v="0"/>
    <s v="Recovered"/>
    <x v="0"/>
    <x v="0"/>
    <s v="Card"/>
    <n v="6"/>
    <x v="0"/>
    <s v="No"/>
    <x v="0"/>
  </r>
  <r>
    <x v="1"/>
    <x v="1"/>
    <x v="1"/>
    <x v="1"/>
    <x v="1"/>
    <d v="2023-05-25T00:00:00"/>
    <x v="1"/>
    <x v="1"/>
    <x v="1"/>
    <x v="1"/>
    <n v="14"/>
    <x v="1"/>
    <s v="Recovered"/>
    <x v="0"/>
    <x v="1"/>
    <s v="Insurance"/>
    <n v="12"/>
    <x v="1"/>
    <s v="Yes"/>
    <x v="0"/>
  </r>
  <r>
    <x v="2"/>
    <x v="2"/>
    <x v="1"/>
    <x v="1"/>
    <x v="2"/>
    <d v="2024-03-27T00:00:00"/>
    <x v="2"/>
    <x v="2"/>
    <x v="2"/>
    <x v="2"/>
    <n v="12"/>
    <x v="1"/>
    <s v="Recovered"/>
    <x v="1"/>
    <x v="1"/>
    <s v="Cash"/>
    <n v="7"/>
    <x v="2"/>
    <s v="Yes"/>
    <x v="0"/>
  </r>
  <r>
    <x v="3"/>
    <x v="3"/>
    <x v="0"/>
    <x v="2"/>
    <x v="3"/>
    <d v="2023-12-15T00:00:00"/>
    <x v="3"/>
    <x v="0"/>
    <x v="2"/>
    <x v="3"/>
    <n v="22"/>
    <x v="0"/>
    <s v="Recovered"/>
    <x v="0"/>
    <x v="2"/>
    <s v="UPI"/>
    <n v="12"/>
    <x v="3"/>
    <s v="Yes"/>
    <x v="0"/>
  </r>
  <r>
    <x v="4"/>
    <x v="4"/>
    <x v="1"/>
    <x v="2"/>
    <x v="4"/>
    <d v="2025-08-27T00:00:00"/>
    <x v="4"/>
    <x v="3"/>
    <x v="3"/>
    <x v="4"/>
    <n v="10"/>
    <x v="0"/>
    <s v="Recovered"/>
    <x v="2"/>
    <x v="3"/>
    <s v="Cash"/>
    <n v="4"/>
    <x v="4"/>
    <s v="Yes"/>
    <x v="0"/>
  </r>
  <r>
    <x v="5"/>
    <x v="5"/>
    <x v="1"/>
    <x v="2"/>
    <x v="5"/>
    <d v="2023-08-10T00:00:00"/>
    <x v="1"/>
    <x v="1"/>
    <x v="4"/>
    <x v="5"/>
    <n v="3"/>
    <x v="0"/>
    <s v="Under Observation"/>
    <x v="0"/>
    <x v="3"/>
    <s v="Cash"/>
    <n v="13"/>
    <x v="5"/>
    <s v="No"/>
    <x v="0"/>
  </r>
  <r>
    <x v="6"/>
    <x v="6"/>
    <x v="1"/>
    <x v="3"/>
    <x v="6"/>
    <d v="2024-04-01T00:00:00"/>
    <x v="5"/>
    <x v="4"/>
    <x v="2"/>
    <x v="6"/>
    <n v="23"/>
    <x v="1"/>
    <s v="Recovered"/>
    <x v="1"/>
    <x v="2"/>
    <s v="Cash"/>
    <n v="10"/>
    <x v="6"/>
    <s v="No"/>
    <x v="0"/>
  </r>
  <r>
    <x v="7"/>
    <x v="7"/>
    <x v="0"/>
    <x v="2"/>
    <x v="7"/>
    <d v="2025-04-19T00:00:00"/>
    <x v="1"/>
    <x v="1"/>
    <x v="2"/>
    <x v="7"/>
    <n v="19"/>
    <x v="0"/>
    <s v="Recovered"/>
    <x v="2"/>
    <x v="3"/>
    <s v="UPI"/>
    <n v="10"/>
    <x v="7"/>
    <s v="No"/>
    <x v="0"/>
  </r>
  <r>
    <x v="8"/>
    <x v="8"/>
    <x v="1"/>
    <x v="4"/>
    <x v="8"/>
    <d v="2023-03-18T00:00:00"/>
    <x v="6"/>
    <x v="2"/>
    <x v="2"/>
    <x v="8"/>
    <n v="26"/>
    <x v="0"/>
    <s v="Recovered"/>
    <x v="0"/>
    <x v="2"/>
    <s v="UPI"/>
    <n v="13"/>
    <x v="8"/>
    <s v="Yes"/>
    <x v="0"/>
  </r>
  <r>
    <x v="9"/>
    <x v="9"/>
    <x v="1"/>
    <x v="4"/>
    <x v="9"/>
    <d v="2025-04-17T00:00:00"/>
    <x v="1"/>
    <x v="1"/>
    <x v="1"/>
    <x v="9"/>
    <n v="3"/>
    <x v="1"/>
    <s v="Recovered"/>
    <x v="1"/>
    <x v="0"/>
    <s v="Card"/>
    <n v="7"/>
    <x v="9"/>
    <s v="No"/>
    <x v="0"/>
  </r>
  <r>
    <x v="10"/>
    <x v="10"/>
    <x v="1"/>
    <x v="5"/>
    <x v="10"/>
    <d v="2023-10-25T00:00:00"/>
    <x v="7"/>
    <x v="5"/>
    <x v="3"/>
    <x v="10"/>
    <n v="29"/>
    <x v="1"/>
    <s v="Recovered"/>
    <x v="1"/>
    <x v="2"/>
    <s v="UPI"/>
    <n v="3"/>
    <x v="10"/>
    <s v="Yes"/>
    <x v="0"/>
  </r>
  <r>
    <x v="11"/>
    <x v="11"/>
    <x v="0"/>
    <x v="2"/>
    <x v="11"/>
    <d v="2025-02-25T00:00:00"/>
    <x v="8"/>
    <x v="6"/>
    <x v="2"/>
    <x v="11"/>
    <n v="6"/>
    <x v="1"/>
    <s v="Deceased"/>
    <x v="2"/>
    <x v="1"/>
    <s v="Cash"/>
    <n v="2"/>
    <x v="11"/>
    <s v="Yes"/>
    <x v="1"/>
  </r>
  <r>
    <x v="12"/>
    <x v="12"/>
    <x v="1"/>
    <x v="2"/>
    <x v="12"/>
    <d v="2023-10-17T00:00:00"/>
    <x v="7"/>
    <x v="5"/>
    <x v="2"/>
    <x v="12"/>
    <n v="19"/>
    <x v="1"/>
    <s v="Recovered"/>
    <x v="2"/>
    <x v="0"/>
    <s v="Cash"/>
    <n v="5"/>
    <x v="12"/>
    <s v="No"/>
    <x v="0"/>
  </r>
  <r>
    <x v="13"/>
    <x v="13"/>
    <x v="0"/>
    <x v="6"/>
    <x v="13"/>
    <d v="2023-05-05T00:00:00"/>
    <x v="8"/>
    <x v="6"/>
    <x v="3"/>
    <x v="13"/>
    <n v="30"/>
    <x v="1"/>
    <s v="Recovered"/>
    <x v="2"/>
    <x v="2"/>
    <s v="Card"/>
    <n v="12"/>
    <x v="13"/>
    <s v="Yes"/>
    <x v="0"/>
  </r>
  <r>
    <x v="14"/>
    <x v="2"/>
    <x v="0"/>
    <x v="0"/>
    <x v="14"/>
    <d v="2023-11-01T00:00:00"/>
    <x v="7"/>
    <x v="5"/>
    <x v="5"/>
    <x v="14"/>
    <n v="14"/>
    <x v="0"/>
    <s v="Recovered"/>
    <x v="0"/>
    <x v="0"/>
    <s v="Insurance"/>
    <n v="8"/>
    <x v="14"/>
    <s v="Yes"/>
    <x v="0"/>
  </r>
  <r>
    <x v="15"/>
    <x v="14"/>
    <x v="0"/>
    <x v="1"/>
    <x v="15"/>
    <d v="2024-01-19T00:00:00"/>
    <x v="6"/>
    <x v="2"/>
    <x v="6"/>
    <x v="15"/>
    <n v="13"/>
    <x v="0"/>
    <s v="Recovered"/>
    <x v="2"/>
    <x v="0"/>
    <s v="UPI"/>
    <n v="11"/>
    <x v="15"/>
    <s v="Yes"/>
    <x v="0"/>
  </r>
  <r>
    <x v="16"/>
    <x v="11"/>
    <x v="1"/>
    <x v="0"/>
    <x v="16"/>
    <d v="2024-10-03T00:00:00"/>
    <x v="4"/>
    <x v="3"/>
    <x v="6"/>
    <x v="16"/>
    <n v="7"/>
    <x v="0"/>
    <s v="Recovered"/>
    <x v="1"/>
    <x v="0"/>
    <s v="Card"/>
    <n v="1"/>
    <x v="16"/>
    <s v="No"/>
    <x v="0"/>
  </r>
  <r>
    <x v="17"/>
    <x v="15"/>
    <x v="1"/>
    <x v="5"/>
    <x v="17"/>
    <d v="2023-10-12T00:00:00"/>
    <x v="2"/>
    <x v="2"/>
    <x v="1"/>
    <x v="17"/>
    <n v="7"/>
    <x v="1"/>
    <s v="Recovered"/>
    <x v="0"/>
    <x v="2"/>
    <s v="UPI"/>
    <n v="3"/>
    <x v="17"/>
    <s v="No"/>
    <x v="0"/>
  </r>
  <r>
    <x v="18"/>
    <x v="16"/>
    <x v="0"/>
    <x v="2"/>
    <x v="18"/>
    <d v="2025-08-20T00:00:00"/>
    <x v="4"/>
    <x v="3"/>
    <x v="4"/>
    <x v="18"/>
    <n v="9"/>
    <x v="1"/>
    <s v="Recovered"/>
    <x v="0"/>
    <x v="3"/>
    <s v="Cash"/>
    <n v="13"/>
    <x v="18"/>
    <s v="Yes"/>
    <x v="0"/>
  </r>
  <r>
    <x v="19"/>
    <x v="17"/>
    <x v="1"/>
    <x v="0"/>
    <x v="19"/>
    <d v="2025-09-14T00:00:00"/>
    <x v="8"/>
    <x v="6"/>
    <x v="0"/>
    <x v="19"/>
    <n v="12"/>
    <x v="1"/>
    <s v="Recovered"/>
    <x v="0"/>
    <x v="3"/>
    <s v="Card"/>
    <n v="10"/>
    <x v="19"/>
    <s v="No"/>
    <x v="0"/>
  </r>
  <r>
    <x v="20"/>
    <x v="16"/>
    <x v="1"/>
    <x v="7"/>
    <x v="20"/>
    <d v="2024-12-17T00:00:00"/>
    <x v="4"/>
    <x v="3"/>
    <x v="5"/>
    <x v="20"/>
    <n v="17"/>
    <x v="0"/>
    <s v="Recovered"/>
    <x v="0"/>
    <x v="2"/>
    <s v="Card"/>
    <n v="4"/>
    <x v="20"/>
    <s v="Yes"/>
    <x v="0"/>
  </r>
  <r>
    <x v="21"/>
    <x v="18"/>
    <x v="1"/>
    <x v="4"/>
    <x v="21"/>
    <d v="2024-09-10T00:00:00"/>
    <x v="6"/>
    <x v="2"/>
    <x v="7"/>
    <x v="21"/>
    <n v="19"/>
    <x v="1"/>
    <s v="Recovered"/>
    <x v="0"/>
    <x v="1"/>
    <s v="UPI"/>
    <n v="4"/>
    <x v="21"/>
    <s v="No"/>
    <x v="0"/>
  </r>
  <r>
    <x v="22"/>
    <x v="19"/>
    <x v="1"/>
    <x v="6"/>
    <x v="22"/>
    <d v="2024-02-03T00:00:00"/>
    <x v="9"/>
    <x v="5"/>
    <x v="7"/>
    <x v="22"/>
    <n v="16"/>
    <x v="1"/>
    <s v="Recovered"/>
    <x v="0"/>
    <x v="3"/>
    <s v="Insurance"/>
    <n v="7"/>
    <x v="22"/>
    <s v="Yes"/>
    <x v="0"/>
  </r>
  <r>
    <x v="23"/>
    <x v="3"/>
    <x v="1"/>
    <x v="4"/>
    <x v="23"/>
    <d v="2024-02-26T00:00:00"/>
    <x v="7"/>
    <x v="5"/>
    <x v="2"/>
    <x v="23"/>
    <n v="6"/>
    <x v="0"/>
    <s v="Recovered"/>
    <x v="2"/>
    <x v="1"/>
    <s v="Cash"/>
    <n v="2"/>
    <x v="23"/>
    <s v="No"/>
    <x v="1"/>
  </r>
  <r>
    <x v="24"/>
    <x v="20"/>
    <x v="1"/>
    <x v="2"/>
    <x v="24"/>
    <d v="2023-05-30T00:00:00"/>
    <x v="3"/>
    <x v="0"/>
    <x v="1"/>
    <x v="24"/>
    <n v="8"/>
    <x v="1"/>
    <s v="Recovered"/>
    <x v="0"/>
    <x v="1"/>
    <s v="UPI"/>
    <n v="1"/>
    <x v="24"/>
    <s v="Yes"/>
    <x v="0"/>
  </r>
  <r>
    <x v="25"/>
    <x v="21"/>
    <x v="0"/>
    <x v="3"/>
    <x v="25"/>
    <d v="2024-09-29T00:00:00"/>
    <x v="2"/>
    <x v="2"/>
    <x v="7"/>
    <x v="25"/>
    <n v="9"/>
    <x v="1"/>
    <s v="Recovered"/>
    <x v="2"/>
    <x v="0"/>
    <s v="Cash"/>
    <n v="13"/>
    <x v="25"/>
    <s v="Yes"/>
    <x v="0"/>
  </r>
  <r>
    <x v="26"/>
    <x v="22"/>
    <x v="1"/>
    <x v="0"/>
    <x v="26"/>
    <d v="2023-10-07T00:00:00"/>
    <x v="6"/>
    <x v="2"/>
    <x v="1"/>
    <x v="26"/>
    <n v="8"/>
    <x v="0"/>
    <s v="Recovered"/>
    <x v="0"/>
    <x v="0"/>
    <s v="UPI"/>
    <n v="2"/>
    <x v="26"/>
    <s v="Yes"/>
    <x v="0"/>
  </r>
  <r>
    <x v="27"/>
    <x v="23"/>
    <x v="1"/>
    <x v="0"/>
    <x v="27"/>
    <d v="2023-06-23T00:00:00"/>
    <x v="6"/>
    <x v="2"/>
    <x v="6"/>
    <x v="27"/>
    <n v="17"/>
    <x v="0"/>
    <s v="Recovered"/>
    <x v="1"/>
    <x v="1"/>
    <s v="Cash"/>
    <n v="6"/>
    <x v="27"/>
    <s v="Yes"/>
    <x v="0"/>
  </r>
  <r>
    <x v="28"/>
    <x v="24"/>
    <x v="0"/>
    <x v="0"/>
    <x v="28"/>
    <d v="2025-08-17T00:00:00"/>
    <x v="5"/>
    <x v="4"/>
    <x v="6"/>
    <x v="28"/>
    <n v="10"/>
    <x v="1"/>
    <s v="Recovered"/>
    <x v="1"/>
    <x v="3"/>
    <s v="Insurance"/>
    <n v="10"/>
    <x v="28"/>
    <s v="No"/>
    <x v="0"/>
  </r>
  <r>
    <x v="29"/>
    <x v="9"/>
    <x v="0"/>
    <x v="4"/>
    <x v="29"/>
    <d v="2023-04-12T00:00:00"/>
    <x v="7"/>
    <x v="5"/>
    <x v="5"/>
    <x v="29"/>
    <n v="25"/>
    <x v="0"/>
    <s v="Referred"/>
    <x v="1"/>
    <x v="2"/>
    <s v="Cash"/>
    <n v="9"/>
    <x v="29"/>
    <s v="No"/>
    <x v="1"/>
  </r>
  <r>
    <x v="30"/>
    <x v="25"/>
    <x v="1"/>
    <x v="3"/>
    <x v="30"/>
    <d v="2024-12-25T00:00:00"/>
    <x v="5"/>
    <x v="4"/>
    <x v="6"/>
    <x v="30"/>
    <n v="3"/>
    <x v="0"/>
    <s v="Recovered"/>
    <x v="1"/>
    <x v="0"/>
    <s v="Card"/>
    <n v="5"/>
    <x v="30"/>
    <s v="Yes"/>
    <x v="1"/>
  </r>
  <r>
    <x v="31"/>
    <x v="14"/>
    <x v="0"/>
    <x v="4"/>
    <x v="31"/>
    <d v="2024-09-20T00:00:00"/>
    <x v="7"/>
    <x v="5"/>
    <x v="5"/>
    <x v="31"/>
    <n v="10"/>
    <x v="0"/>
    <s v="Under Observation"/>
    <x v="1"/>
    <x v="3"/>
    <s v="Cash"/>
    <n v="13"/>
    <x v="31"/>
    <s v="Yes"/>
    <x v="0"/>
  </r>
  <r>
    <x v="32"/>
    <x v="9"/>
    <x v="1"/>
    <x v="2"/>
    <x v="32"/>
    <d v="2023-03-13T00:00:00"/>
    <x v="6"/>
    <x v="2"/>
    <x v="2"/>
    <x v="32"/>
    <n v="2"/>
    <x v="0"/>
    <s v="Recovered"/>
    <x v="2"/>
    <x v="0"/>
    <s v="Insurance"/>
    <n v="4"/>
    <x v="32"/>
    <s v="Yes"/>
    <x v="0"/>
  </r>
  <r>
    <x v="33"/>
    <x v="26"/>
    <x v="0"/>
    <x v="1"/>
    <x v="33"/>
    <d v="2025-08-31T00:00:00"/>
    <x v="5"/>
    <x v="4"/>
    <x v="2"/>
    <x v="33"/>
    <n v="7"/>
    <x v="1"/>
    <s v="Recovered"/>
    <x v="1"/>
    <x v="1"/>
    <s v="UPI"/>
    <n v="15"/>
    <x v="33"/>
    <s v="No"/>
    <x v="0"/>
  </r>
  <r>
    <x v="34"/>
    <x v="27"/>
    <x v="0"/>
    <x v="6"/>
    <x v="34"/>
    <d v="2024-02-12T00:00:00"/>
    <x v="0"/>
    <x v="0"/>
    <x v="7"/>
    <x v="34"/>
    <n v="9"/>
    <x v="0"/>
    <s v="Recovered"/>
    <x v="0"/>
    <x v="3"/>
    <s v="UPI"/>
    <n v="7"/>
    <x v="34"/>
    <s v="Yes"/>
    <x v="0"/>
  </r>
  <r>
    <x v="35"/>
    <x v="28"/>
    <x v="0"/>
    <x v="5"/>
    <x v="35"/>
    <d v="2025-02-12T00:00:00"/>
    <x v="1"/>
    <x v="1"/>
    <x v="0"/>
    <x v="35"/>
    <n v="8"/>
    <x v="1"/>
    <s v="Recovered"/>
    <x v="2"/>
    <x v="2"/>
    <s v="UPI"/>
    <n v="7"/>
    <x v="35"/>
    <s v="No"/>
    <x v="1"/>
  </r>
  <r>
    <x v="36"/>
    <x v="29"/>
    <x v="1"/>
    <x v="1"/>
    <x v="36"/>
    <d v="2023-04-05T00:00:00"/>
    <x v="1"/>
    <x v="1"/>
    <x v="6"/>
    <x v="36"/>
    <n v="5"/>
    <x v="0"/>
    <s v="Recovered"/>
    <x v="2"/>
    <x v="3"/>
    <s v="Insurance"/>
    <n v="10"/>
    <x v="36"/>
    <s v="Yes"/>
    <x v="0"/>
  </r>
  <r>
    <x v="37"/>
    <x v="30"/>
    <x v="0"/>
    <x v="7"/>
    <x v="37"/>
    <d v="2024-08-08T00:00:00"/>
    <x v="1"/>
    <x v="1"/>
    <x v="7"/>
    <x v="37"/>
    <n v="13"/>
    <x v="1"/>
    <s v="Recovered"/>
    <x v="0"/>
    <x v="3"/>
    <s v="Cash"/>
    <n v="13"/>
    <x v="37"/>
    <s v="Yes"/>
    <x v="0"/>
  </r>
  <r>
    <x v="38"/>
    <x v="5"/>
    <x v="0"/>
    <x v="4"/>
    <x v="38"/>
    <d v="2025-06-21T00:00:00"/>
    <x v="2"/>
    <x v="2"/>
    <x v="2"/>
    <x v="38"/>
    <n v="12"/>
    <x v="0"/>
    <s v="Under Observation"/>
    <x v="1"/>
    <x v="0"/>
    <s v="Insurance"/>
    <n v="5"/>
    <x v="38"/>
    <s v="No"/>
    <x v="0"/>
  </r>
  <r>
    <x v="39"/>
    <x v="31"/>
    <x v="1"/>
    <x v="4"/>
    <x v="39"/>
    <d v="2025-03-06T00:00:00"/>
    <x v="6"/>
    <x v="2"/>
    <x v="2"/>
    <x v="39"/>
    <n v="3"/>
    <x v="0"/>
    <s v="Recovered"/>
    <x v="0"/>
    <x v="1"/>
    <s v="Insurance"/>
    <n v="8"/>
    <x v="39"/>
    <s v="Yes"/>
    <x v="0"/>
  </r>
  <r>
    <x v="40"/>
    <x v="32"/>
    <x v="0"/>
    <x v="5"/>
    <x v="40"/>
    <d v="2023-12-11T00:00:00"/>
    <x v="8"/>
    <x v="6"/>
    <x v="0"/>
    <x v="40"/>
    <n v="15"/>
    <x v="1"/>
    <s v="Deceased"/>
    <x v="2"/>
    <x v="0"/>
    <s v="UPI"/>
    <n v="13"/>
    <x v="40"/>
    <s v="Yes"/>
    <x v="0"/>
  </r>
  <r>
    <x v="41"/>
    <x v="8"/>
    <x v="0"/>
    <x v="5"/>
    <x v="41"/>
    <d v="2023-08-22T00:00:00"/>
    <x v="4"/>
    <x v="3"/>
    <x v="6"/>
    <x v="41"/>
    <n v="3"/>
    <x v="0"/>
    <s v="Recovered"/>
    <x v="2"/>
    <x v="1"/>
    <s v="Card"/>
    <n v="14"/>
    <x v="41"/>
    <s v="No"/>
    <x v="0"/>
  </r>
  <r>
    <x v="42"/>
    <x v="30"/>
    <x v="0"/>
    <x v="2"/>
    <x v="10"/>
    <d v="2023-10-07T00:00:00"/>
    <x v="4"/>
    <x v="3"/>
    <x v="6"/>
    <x v="42"/>
    <n v="11"/>
    <x v="1"/>
    <s v="Recovered"/>
    <x v="0"/>
    <x v="3"/>
    <s v="Insurance"/>
    <n v="4"/>
    <x v="42"/>
    <s v="Yes"/>
    <x v="0"/>
  </r>
  <r>
    <x v="43"/>
    <x v="33"/>
    <x v="1"/>
    <x v="3"/>
    <x v="42"/>
    <d v="2023-06-24T00:00:00"/>
    <x v="3"/>
    <x v="0"/>
    <x v="2"/>
    <x v="43"/>
    <n v="24"/>
    <x v="1"/>
    <s v="Recovered"/>
    <x v="2"/>
    <x v="2"/>
    <s v="UPI"/>
    <n v="8"/>
    <x v="43"/>
    <s v="No"/>
    <x v="0"/>
  </r>
  <r>
    <x v="44"/>
    <x v="18"/>
    <x v="1"/>
    <x v="4"/>
    <x v="43"/>
    <d v="2024-01-19T00:00:00"/>
    <x v="3"/>
    <x v="0"/>
    <x v="1"/>
    <x v="44"/>
    <n v="18"/>
    <x v="0"/>
    <s v="Recovered"/>
    <x v="1"/>
    <x v="0"/>
    <s v="UPI"/>
    <n v="6"/>
    <x v="44"/>
    <s v="Yes"/>
    <x v="0"/>
  </r>
  <r>
    <x v="45"/>
    <x v="34"/>
    <x v="0"/>
    <x v="2"/>
    <x v="44"/>
    <d v="2023-05-30T00:00:00"/>
    <x v="4"/>
    <x v="3"/>
    <x v="6"/>
    <x v="45"/>
    <n v="5"/>
    <x v="1"/>
    <s v="Recovered"/>
    <x v="0"/>
    <x v="1"/>
    <s v="Insurance"/>
    <n v="12"/>
    <x v="45"/>
    <s v="No"/>
    <x v="0"/>
  </r>
  <r>
    <x v="46"/>
    <x v="31"/>
    <x v="0"/>
    <x v="4"/>
    <x v="26"/>
    <d v="2023-10-04T00:00:00"/>
    <x v="2"/>
    <x v="2"/>
    <x v="2"/>
    <x v="46"/>
    <n v="5"/>
    <x v="0"/>
    <s v="Recovered"/>
    <x v="2"/>
    <x v="1"/>
    <s v="UPI"/>
    <n v="7"/>
    <x v="46"/>
    <s v="Yes"/>
    <x v="0"/>
  </r>
  <r>
    <x v="47"/>
    <x v="25"/>
    <x v="0"/>
    <x v="1"/>
    <x v="45"/>
    <d v="2023-01-26T00:00:00"/>
    <x v="7"/>
    <x v="5"/>
    <x v="6"/>
    <x v="47"/>
    <n v="14"/>
    <x v="1"/>
    <s v="Recovered"/>
    <x v="0"/>
    <x v="3"/>
    <s v="Card"/>
    <n v="8"/>
    <x v="47"/>
    <s v="Yes"/>
    <x v="0"/>
  </r>
  <r>
    <x v="48"/>
    <x v="35"/>
    <x v="0"/>
    <x v="5"/>
    <x v="46"/>
    <d v="2025-01-31T00:00:00"/>
    <x v="7"/>
    <x v="5"/>
    <x v="6"/>
    <x v="48"/>
    <n v="11"/>
    <x v="0"/>
    <s v="Recovered"/>
    <x v="1"/>
    <x v="2"/>
    <s v="Insurance"/>
    <n v="3"/>
    <x v="48"/>
    <s v="No"/>
    <x v="0"/>
  </r>
  <r>
    <x v="49"/>
    <x v="36"/>
    <x v="1"/>
    <x v="5"/>
    <x v="47"/>
    <d v="2023-07-04T00:00:00"/>
    <x v="9"/>
    <x v="5"/>
    <x v="4"/>
    <x v="49"/>
    <n v="16"/>
    <x v="0"/>
    <s v="Recovered"/>
    <x v="1"/>
    <x v="2"/>
    <s v="UPI"/>
    <n v="14"/>
    <x v="49"/>
    <s v="Yes"/>
    <x v="0"/>
  </r>
  <r>
    <x v="50"/>
    <x v="37"/>
    <x v="0"/>
    <x v="0"/>
    <x v="48"/>
    <d v="2025-08-28T00:00:00"/>
    <x v="0"/>
    <x v="0"/>
    <x v="5"/>
    <x v="50"/>
    <n v="9"/>
    <x v="1"/>
    <s v="Recovered"/>
    <x v="2"/>
    <x v="1"/>
    <s v="Insurance"/>
    <n v="6"/>
    <x v="50"/>
    <s v="Yes"/>
    <x v="0"/>
  </r>
  <r>
    <x v="51"/>
    <x v="32"/>
    <x v="0"/>
    <x v="3"/>
    <x v="49"/>
    <d v="2025-06-20T00:00:00"/>
    <x v="6"/>
    <x v="2"/>
    <x v="2"/>
    <x v="51"/>
    <n v="10"/>
    <x v="0"/>
    <s v="Recovered"/>
    <x v="1"/>
    <x v="3"/>
    <s v="Cash"/>
    <n v="9"/>
    <x v="51"/>
    <s v="No"/>
    <x v="0"/>
  </r>
  <r>
    <x v="52"/>
    <x v="18"/>
    <x v="0"/>
    <x v="2"/>
    <x v="50"/>
    <d v="2023-12-22T00:00:00"/>
    <x v="4"/>
    <x v="3"/>
    <x v="7"/>
    <x v="52"/>
    <n v="7"/>
    <x v="0"/>
    <s v="Recovered"/>
    <x v="0"/>
    <x v="0"/>
    <s v="Cash"/>
    <n v="9"/>
    <x v="52"/>
    <s v="No"/>
    <x v="0"/>
  </r>
  <r>
    <x v="53"/>
    <x v="32"/>
    <x v="1"/>
    <x v="0"/>
    <x v="51"/>
    <d v="2024-02-27T00:00:00"/>
    <x v="1"/>
    <x v="1"/>
    <x v="6"/>
    <x v="53"/>
    <n v="15"/>
    <x v="1"/>
    <s v="Referred"/>
    <x v="2"/>
    <x v="3"/>
    <s v="UPI"/>
    <n v="6"/>
    <x v="53"/>
    <s v="Yes"/>
    <x v="0"/>
  </r>
  <r>
    <x v="54"/>
    <x v="15"/>
    <x v="1"/>
    <x v="3"/>
    <x v="52"/>
    <d v="2024-08-10T00:00:00"/>
    <x v="4"/>
    <x v="3"/>
    <x v="7"/>
    <x v="54"/>
    <n v="8"/>
    <x v="0"/>
    <s v="Referred"/>
    <x v="2"/>
    <x v="0"/>
    <s v="UPI"/>
    <n v="10"/>
    <x v="54"/>
    <s v="No"/>
    <x v="0"/>
  </r>
  <r>
    <x v="55"/>
    <x v="38"/>
    <x v="1"/>
    <x v="5"/>
    <x v="53"/>
    <d v="2024-04-06T00:00:00"/>
    <x v="0"/>
    <x v="0"/>
    <x v="4"/>
    <x v="55"/>
    <n v="16"/>
    <x v="1"/>
    <s v="Recovered"/>
    <x v="1"/>
    <x v="3"/>
    <s v="Cash"/>
    <n v="4"/>
    <x v="55"/>
    <s v="Yes"/>
    <x v="0"/>
  </r>
  <r>
    <x v="56"/>
    <x v="28"/>
    <x v="1"/>
    <x v="4"/>
    <x v="54"/>
    <d v="2024-04-15T00:00:00"/>
    <x v="9"/>
    <x v="5"/>
    <x v="5"/>
    <x v="56"/>
    <n v="13"/>
    <x v="0"/>
    <s v="Under Observation"/>
    <x v="0"/>
    <x v="0"/>
    <s v="Insurance"/>
    <n v="1"/>
    <x v="56"/>
    <s v="Yes"/>
    <x v="0"/>
  </r>
  <r>
    <x v="57"/>
    <x v="30"/>
    <x v="1"/>
    <x v="3"/>
    <x v="55"/>
    <d v="2025-08-25T00:00:00"/>
    <x v="8"/>
    <x v="6"/>
    <x v="4"/>
    <x v="57"/>
    <n v="19"/>
    <x v="0"/>
    <s v="Recovered"/>
    <x v="1"/>
    <x v="0"/>
    <s v="Cash"/>
    <n v="1"/>
    <x v="57"/>
    <s v="No"/>
    <x v="1"/>
  </r>
  <r>
    <x v="58"/>
    <x v="13"/>
    <x v="0"/>
    <x v="7"/>
    <x v="56"/>
    <d v="2025-01-31T00:00:00"/>
    <x v="5"/>
    <x v="4"/>
    <x v="3"/>
    <x v="58"/>
    <n v="19"/>
    <x v="0"/>
    <s v="Referred"/>
    <x v="2"/>
    <x v="3"/>
    <s v="Cash"/>
    <n v="8"/>
    <x v="58"/>
    <s v="No"/>
    <x v="1"/>
  </r>
  <r>
    <x v="59"/>
    <x v="24"/>
    <x v="0"/>
    <x v="0"/>
    <x v="57"/>
    <d v="2023-06-21T00:00:00"/>
    <x v="7"/>
    <x v="5"/>
    <x v="1"/>
    <x v="59"/>
    <n v="11"/>
    <x v="0"/>
    <s v="Recovered"/>
    <x v="1"/>
    <x v="1"/>
    <s v="Card"/>
    <n v="5"/>
    <x v="59"/>
    <s v="No"/>
    <x v="0"/>
  </r>
  <r>
    <x v="60"/>
    <x v="39"/>
    <x v="0"/>
    <x v="2"/>
    <x v="58"/>
    <d v="2025-05-31T00:00:00"/>
    <x v="4"/>
    <x v="3"/>
    <x v="6"/>
    <x v="60"/>
    <n v="10"/>
    <x v="1"/>
    <s v="Recovered"/>
    <x v="0"/>
    <x v="3"/>
    <s v="Cash"/>
    <n v="14"/>
    <x v="60"/>
    <s v="Yes"/>
    <x v="0"/>
  </r>
  <r>
    <x v="61"/>
    <x v="40"/>
    <x v="1"/>
    <x v="1"/>
    <x v="59"/>
    <d v="2024-09-09T00:00:00"/>
    <x v="6"/>
    <x v="2"/>
    <x v="5"/>
    <x v="61"/>
    <n v="6"/>
    <x v="0"/>
    <s v="Recovered"/>
    <x v="2"/>
    <x v="1"/>
    <s v="UPI"/>
    <n v="3"/>
    <x v="61"/>
    <s v="No"/>
    <x v="0"/>
  </r>
  <r>
    <x v="62"/>
    <x v="28"/>
    <x v="1"/>
    <x v="0"/>
    <x v="60"/>
    <d v="2024-03-12T00:00:00"/>
    <x v="6"/>
    <x v="2"/>
    <x v="4"/>
    <x v="62"/>
    <n v="14"/>
    <x v="0"/>
    <s v="Referred"/>
    <x v="1"/>
    <x v="3"/>
    <s v="Insurance"/>
    <n v="9"/>
    <x v="62"/>
    <s v="No"/>
    <x v="0"/>
  </r>
  <r>
    <x v="63"/>
    <x v="39"/>
    <x v="0"/>
    <x v="7"/>
    <x v="61"/>
    <d v="2025-01-05T00:00:00"/>
    <x v="6"/>
    <x v="2"/>
    <x v="0"/>
    <x v="63"/>
    <n v="13"/>
    <x v="0"/>
    <s v="Recovered"/>
    <x v="0"/>
    <x v="3"/>
    <s v="Cash"/>
    <n v="8"/>
    <x v="63"/>
    <s v="Yes"/>
    <x v="0"/>
  </r>
  <r>
    <x v="64"/>
    <x v="41"/>
    <x v="1"/>
    <x v="2"/>
    <x v="62"/>
    <d v="2025-03-26T00:00:00"/>
    <x v="1"/>
    <x v="1"/>
    <x v="4"/>
    <x v="64"/>
    <n v="17"/>
    <x v="0"/>
    <s v="Referred"/>
    <x v="0"/>
    <x v="1"/>
    <s v="Cash"/>
    <n v="7"/>
    <x v="64"/>
    <s v="Yes"/>
    <x v="0"/>
  </r>
  <r>
    <x v="65"/>
    <x v="42"/>
    <x v="1"/>
    <x v="3"/>
    <x v="52"/>
    <d v="2024-08-13T00:00:00"/>
    <x v="3"/>
    <x v="0"/>
    <x v="2"/>
    <x v="65"/>
    <n v="11"/>
    <x v="0"/>
    <s v="Referred"/>
    <x v="0"/>
    <x v="1"/>
    <s v="Card"/>
    <n v="11"/>
    <x v="65"/>
    <s v="No"/>
    <x v="0"/>
  </r>
  <r>
    <x v="66"/>
    <x v="0"/>
    <x v="0"/>
    <x v="1"/>
    <x v="63"/>
    <d v="2024-09-16T00:00:00"/>
    <x v="4"/>
    <x v="3"/>
    <x v="6"/>
    <x v="66"/>
    <n v="14"/>
    <x v="1"/>
    <s v="Under Observation"/>
    <x v="2"/>
    <x v="0"/>
    <s v="Card"/>
    <n v="10"/>
    <x v="66"/>
    <s v="Yes"/>
    <x v="0"/>
  </r>
  <r>
    <x v="67"/>
    <x v="43"/>
    <x v="0"/>
    <x v="6"/>
    <x v="64"/>
    <d v="2023-09-20T00:00:00"/>
    <x v="0"/>
    <x v="0"/>
    <x v="0"/>
    <x v="67"/>
    <n v="8"/>
    <x v="0"/>
    <s v="Recovered"/>
    <x v="0"/>
    <x v="0"/>
    <s v="Cash"/>
    <n v="13"/>
    <x v="67"/>
    <s v="Yes"/>
    <x v="0"/>
  </r>
  <r>
    <x v="68"/>
    <x v="20"/>
    <x v="0"/>
    <x v="0"/>
    <x v="65"/>
    <d v="2023-06-17T00:00:00"/>
    <x v="9"/>
    <x v="5"/>
    <x v="7"/>
    <x v="68"/>
    <n v="9"/>
    <x v="1"/>
    <s v="Referred"/>
    <x v="0"/>
    <x v="0"/>
    <s v="Card"/>
    <n v="2"/>
    <x v="68"/>
    <s v="Yes"/>
    <x v="0"/>
  </r>
  <r>
    <x v="69"/>
    <x v="44"/>
    <x v="0"/>
    <x v="6"/>
    <x v="66"/>
    <d v="2023-10-22T00:00:00"/>
    <x v="1"/>
    <x v="1"/>
    <x v="0"/>
    <x v="69"/>
    <n v="19"/>
    <x v="0"/>
    <s v="Recovered"/>
    <x v="1"/>
    <x v="0"/>
    <s v="Cash"/>
    <n v="15"/>
    <x v="69"/>
    <s v="No"/>
    <x v="1"/>
  </r>
  <r>
    <x v="70"/>
    <x v="22"/>
    <x v="1"/>
    <x v="3"/>
    <x v="25"/>
    <d v="2024-10-18T00:00:00"/>
    <x v="5"/>
    <x v="4"/>
    <x v="2"/>
    <x v="70"/>
    <n v="28"/>
    <x v="1"/>
    <s v="Recovered"/>
    <x v="0"/>
    <x v="2"/>
    <s v="Insurance"/>
    <n v="4"/>
    <x v="70"/>
    <s v="Yes"/>
    <x v="0"/>
  </r>
  <r>
    <x v="71"/>
    <x v="32"/>
    <x v="1"/>
    <x v="6"/>
    <x v="67"/>
    <d v="2023-02-03T00:00:00"/>
    <x v="4"/>
    <x v="3"/>
    <x v="4"/>
    <x v="71"/>
    <n v="9"/>
    <x v="1"/>
    <s v="Recovered"/>
    <x v="1"/>
    <x v="2"/>
    <s v="Insurance"/>
    <n v="7"/>
    <x v="71"/>
    <s v="No"/>
    <x v="0"/>
  </r>
  <r>
    <x v="72"/>
    <x v="43"/>
    <x v="0"/>
    <x v="6"/>
    <x v="68"/>
    <d v="2024-07-22T00:00:00"/>
    <x v="5"/>
    <x v="4"/>
    <x v="7"/>
    <x v="72"/>
    <n v="9"/>
    <x v="1"/>
    <s v="Recovered"/>
    <x v="0"/>
    <x v="3"/>
    <s v="Cash"/>
    <n v="6"/>
    <x v="72"/>
    <s v="No"/>
    <x v="1"/>
  </r>
  <r>
    <x v="73"/>
    <x v="45"/>
    <x v="1"/>
    <x v="7"/>
    <x v="69"/>
    <d v="2023-05-14T00:00:00"/>
    <x v="4"/>
    <x v="3"/>
    <x v="5"/>
    <x v="73"/>
    <n v="1"/>
    <x v="0"/>
    <s v="Referred"/>
    <x v="1"/>
    <x v="3"/>
    <s v="Insurance"/>
    <n v="8"/>
    <x v="73"/>
    <s v="Yes"/>
    <x v="0"/>
  </r>
  <r>
    <x v="74"/>
    <x v="46"/>
    <x v="0"/>
    <x v="3"/>
    <x v="70"/>
    <d v="2024-04-22T00:00:00"/>
    <x v="8"/>
    <x v="6"/>
    <x v="4"/>
    <x v="74"/>
    <n v="13"/>
    <x v="1"/>
    <s v="Recovered"/>
    <x v="1"/>
    <x v="3"/>
    <s v="UPI"/>
    <n v="7"/>
    <x v="74"/>
    <s v="Yes"/>
    <x v="0"/>
  </r>
  <r>
    <x v="75"/>
    <x v="28"/>
    <x v="0"/>
    <x v="0"/>
    <x v="71"/>
    <d v="2023-04-27T00:00:00"/>
    <x v="1"/>
    <x v="1"/>
    <x v="2"/>
    <x v="75"/>
    <n v="10"/>
    <x v="0"/>
    <s v="Recovered"/>
    <x v="0"/>
    <x v="2"/>
    <s v="UPI"/>
    <n v="15"/>
    <x v="75"/>
    <s v="No"/>
    <x v="0"/>
  </r>
  <r>
    <x v="76"/>
    <x v="17"/>
    <x v="1"/>
    <x v="7"/>
    <x v="72"/>
    <d v="2025-03-31T00:00:00"/>
    <x v="6"/>
    <x v="2"/>
    <x v="0"/>
    <x v="76"/>
    <n v="10"/>
    <x v="0"/>
    <s v="Recovered"/>
    <x v="0"/>
    <x v="1"/>
    <s v="UPI"/>
    <n v="12"/>
    <x v="76"/>
    <s v="Yes"/>
    <x v="1"/>
  </r>
  <r>
    <x v="77"/>
    <x v="29"/>
    <x v="1"/>
    <x v="0"/>
    <x v="73"/>
    <d v="2024-11-08T00:00:00"/>
    <x v="9"/>
    <x v="5"/>
    <x v="5"/>
    <x v="77"/>
    <n v="16"/>
    <x v="1"/>
    <s v="Recovered"/>
    <x v="0"/>
    <x v="3"/>
    <s v="Insurance"/>
    <n v="11"/>
    <x v="77"/>
    <s v="Yes"/>
    <x v="0"/>
  </r>
  <r>
    <x v="78"/>
    <x v="47"/>
    <x v="0"/>
    <x v="3"/>
    <x v="74"/>
    <d v="2023-08-05T00:00:00"/>
    <x v="7"/>
    <x v="5"/>
    <x v="0"/>
    <x v="78"/>
    <n v="1"/>
    <x v="1"/>
    <s v="Recovered"/>
    <x v="1"/>
    <x v="1"/>
    <s v="Cash"/>
    <n v="10"/>
    <x v="78"/>
    <s v="No"/>
    <x v="0"/>
  </r>
  <r>
    <x v="79"/>
    <x v="27"/>
    <x v="1"/>
    <x v="5"/>
    <x v="75"/>
    <d v="2025-04-17T00:00:00"/>
    <x v="8"/>
    <x v="6"/>
    <x v="5"/>
    <x v="79"/>
    <n v="5"/>
    <x v="1"/>
    <s v="Recovered"/>
    <x v="2"/>
    <x v="0"/>
    <s v="UPI"/>
    <n v="7"/>
    <x v="79"/>
    <s v="No"/>
    <x v="0"/>
  </r>
  <r>
    <x v="80"/>
    <x v="48"/>
    <x v="0"/>
    <x v="4"/>
    <x v="76"/>
    <d v="2023-01-14T00:00:00"/>
    <x v="1"/>
    <x v="1"/>
    <x v="7"/>
    <x v="80"/>
    <n v="11"/>
    <x v="1"/>
    <s v="Recovered"/>
    <x v="1"/>
    <x v="1"/>
    <s v="UPI"/>
    <n v="15"/>
    <x v="80"/>
    <s v="No"/>
    <x v="0"/>
  </r>
  <r>
    <x v="81"/>
    <x v="37"/>
    <x v="1"/>
    <x v="3"/>
    <x v="77"/>
    <d v="2023-04-24T00:00:00"/>
    <x v="0"/>
    <x v="0"/>
    <x v="1"/>
    <x v="81"/>
    <n v="15"/>
    <x v="1"/>
    <s v="Recovered"/>
    <x v="1"/>
    <x v="0"/>
    <s v="Insurance"/>
    <n v="3"/>
    <x v="81"/>
    <s v="No"/>
    <x v="0"/>
  </r>
  <r>
    <x v="82"/>
    <x v="31"/>
    <x v="1"/>
    <x v="5"/>
    <x v="78"/>
    <d v="2025-03-05T00:00:00"/>
    <x v="6"/>
    <x v="2"/>
    <x v="3"/>
    <x v="82"/>
    <n v="13"/>
    <x v="1"/>
    <s v="Recovered"/>
    <x v="2"/>
    <x v="3"/>
    <s v="Cash"/>
    <n v="4"/>
    <x v="82"/>
    <s v="No"/>
    <x v="0"/>
  </r>
  <r>
    <x v="83"/>
    <x v="49"/>
    <x v="0"/>
    <x v="7"/>
    <x v="79"/>
    <d v="2023-05-07T00:00:00"/>
    <x v="6"/>
    <x v="2"/>
    <x v="6"/>
    <x v="83"/>
    <n v="12"/>
    <x v="0"/>
    <s v="Recovered"/>
    <x v="1"/>
    <x v="3"/>
    <s v="Card"/>
    <n v="15"/>
    <x v="83"/>
    <s v="No"/>
    <x v="0"/>
  </r>
  <r>
    <x v="84"/>
    <x v="50"/>
    <x v="1"/>
    <x v="6"/>
    <x v="80"/>
    <d v="2025-02-06T00:00:00"/>
    <x v="3"/>
    <x v="0"/>
    <x v="6"/>
    <x v="84"/>
    <n v="15"/>
    <x v="0"/>
    <s v="Recovered"/>
    <x v="2"/>
    <x v="1"/>
    <s v="Insurance"/>
    <n v="2"/>
    <x v="84"/>
    <s v="No"/>
    <x v="0"/>
  </r>
  <r>
    <x v="85"/>
    <x v="51"/>
    <x v="1"/>
    <x v="5"/>
    <x v="81"/>
    <d v="2023-11-16T00:00:00"/>
    <x v="0"/>
    <x v="0"/>
    <x v="6"/>
    <x v="85"/>
    <n v="16"/>
    <x v="1"/>
    <s v="Recovered"/>
    <x v="0"/>
    <x v="3"/>
    <s v="UPI"/>
    <n v="11"/>
    <x v="85"/>
    <s v="Yes"/>
    <x v="0"/>
  </r>
  <r>
    <x v="86"/>
    <x v="52"/>
    <x v="0"/>
    <x v="1"/>
    <x v="82"/>
    <d v="2025-10-10T00:00:00"/>
    <x v="7"/>
    <x v="5"/>
    <x v="0"/>
    <x v="86"/>
    <n v="18"/>
    <x v="0"/>
    <s v="Under Observation"/>
    <x v="0"/>
    <x v="3"/>
    <s v="Cash"/>
    <n v="11"/>
    <x v="86"/>
    <s v="No"/>
    <x v="0"/>
  </r>
  <r>
    <x v="87"/>
    <x v="26"/>
    <x v="1"/>
    <x v="0"/>
    <x v="83"/>
    <d v="2023-04-04T00:00:00"/>
    <x v="8"/>
    <x v="6"/>
    <x v="2"/>
    <x v="87"/>
    <n v="11"/>
    <x v="1"/>
    <s v="Under Observation"/>
    <x v="1"/>
    <x v="0"/>
    <s v="Card"/>
    <n v="6"/>
    <x v="87"/>
    <s v="No"/>
    <x v="0"/>
  </r>
  <r>
    <x v="88"/>
    <x v="39"/>
    <x v="1"/>
    <x v="1"/>
    <x v="84"/>
    <d v="2024-02-03T00:00:00"/>
    <x v="8"/>
    <x v="6"/>
    <x v="1"/>
    <x v="88"/>
    <n v="20"/>
    <x v="0"/>
    <s v="Under Observation"/>
    <x v="2"/>
    <x v="0"/>
    <s v="UPI"/>
    <n v="11"/>
    <x v="88"/>
    <s v="No"/>
    <x v="0"/>
  </r>
  <r>
    <x v="89"/>
    <x v="37"/>
    <x v="1"/>
    <x v="4"/>
    <x v="85"/>
    <d v="2023-11-23T00:00:00"/>
    <x v="4"/>
    <x v="3"/>
    <x v="4"/>
    <x v="89"/>
    <n v="10"/>
    <x v="0"/>
    <s v="Recovered"/>
    <x v="1"/>
    <x v="1"/>
    <s v="Insurance"/>
    <n v="12"/>
    <x v="89"/>
    <s v="Yes"/>
    <x v="0"/>
  </r>
  <r>
    <x v="90"/>
    <x v="19"/>
    <x v="1"/>
    <x v="2"/>
    <x v="86"/>
    <d v="2025-02-13T00:00:00"/>
    <x v="9"/>
    <x v="5"/>
    <x v="6"/>
    <x v="90"/>
    <n v="3"/>
    <x v="1"/>
    <s v="Recovered"/>
    <x v="2"/>
    <x v="3"/>
    <s v="UPI"/>
    <n v="13"/>
    <x v="90"/>
    <s v="No"/>
    <x v="0"/>
  </r>
  <r>
    <x v="91"/>
    <x v="18"/>
    <x v="1"/>
    <x v="7"/>
    <x v="87"/>
    <d v="2023-11-12T00:00:00"/>
    <x v="4"/>
    <x v="3"/>
    <x v="5"/>
    <x v="91"/>
    <n v="14"/>
    <x v="1"/>
    <s v="Recovered"/>
    <x v="1"/>
    <x v="0"/>
    <s v="Card"/>
    <n v="10"/>
    <x v="91"/>
    <s v="No"/>
    <x v="0"/>
  </r>
  <r>
    <x v="92"/>
    <x v="52"/>
    <x v="1"/>
    <x v="4"/>
    <x v="88"/>
    <d v="2023-02-10T00:00:00"/>
    <x v="6"/>
    <x v="2"/>
    <x v="6"/>
    <x v="92"/>
    <n v="11"/>
    <x v="1"/>
    <s v="Recovered"/>
    <x v="1"/>
    <x v="0"/>
    <s v="UPI"/>
    <n v="14"/>
    <x v="92"/>
    <s v="No"/>
    <x v="1"/>
  </r>
  <r>
    <x v="93"/>
    <x v="35"/>
    <x v="0"/>
    <x v="6"/>
    <x v="59"/>
    <d v="2024-09-17T00:00:00"/>
    <x v="3"/>
    <x v="0"/>
    <x v="7"/>
    <x v="93"/>
    <n v="14"/>
    <x v="0"/>
    <s v="Recovered"/>
    <x v="1"/>
    <x v="1"/>
    <s v="Insurance"/>
    <n v="2"/>
    <x v="93"/>
    <s v="No"/>
    <x v="0"/>
  </r>
  <r>
    <x v="94"/>
    <x v="21"/>
    <x v="0"/>
    <x v="7"/>
    <x v="89"/>
    <d v="2025-07-03T00:00:00"/>
    <x v="1"/>
    <x v="1"/>
    <x v="0"/>
    <x v="94"/>
    <n v="18"/>
    <x v="0"/>
    <s v="Recovered"/>
    <x v="0"/>
    <x v="0"/>
    <s v="Card"/>
    <n v="8"/>
    <x v="94"/>
    <s v="No"/>
    <x v="0"/>
  </r>
  <r>
    <x v="95"/>
    <x v="29"/>
    <x v="1"/>
    <x v="6"/>
    <x v="90"/>
    <d v="2024-07-27T00:00:00"/>
    <x v="5"/>
    <x v="4"/>
    <x v="7"/>
    <x v="95"/>
    <n v="15"/>
    <x v="0"/>
    <s v="Recovered"/>
    <x v="1"/>
    <x v="2"/>
    <s v="Card"/>
    <n v="7"/>
    <x v="95"/>
    <s v="Yes"/>
    <x v="0"/>
  </r>
  <r>
    <x v="96"/>
    <x v="13"/>
    <x v="1"/>
    <x v="1"/>
    <x v="91"/>
    <d v="2025-06-26T00:00:00"/>
    <x v="8"/>
    <x v="6"/>
    <x v="7"/>
    <x v="96"/>
    <n v="5"/>
    <x v="0"/>
    <s v="Recovered"/>
    <x v="2"/>
    <x v="1"/>
    <s v="Card"/>
    <n v="8"/>
    <x v="96"/>
    <s v="No"/>
    <x v="0"/>
  </r>
  <r>
    <x v="97"/>
    <x v="53"/>
    <x v="1"/>
    <x v="4"/>
    <x v="92"/>
    <d v="2024-12-01T00:00:00"/>
    <x v="7"/>
    <x v="5"/>
    <x v="3"/>
    <x v="97"/>
    <n v="20"/>
    <x v="1"/>
    <s v="Recovered"/>
    <x v="2"/>
    <x v="3"/>
    <s v="Card"/>
    <n v="9"/>
    <x v="97"/>
    <s v="No"/>
    <x v="1"/>
  </r>
  <r>
    <x v="98"/>
    <x v="54"/>
    <x v="1"/>
    <x v="6"/>
    <x v="93"/>
    <d v="2025-08-11T00:00:00"/>
    <x v="5"/>
    <x v="4"/>
    <x v="4"/>
    <x v="98"/>
    <n v="10"/>
    <x v="0"/>
    <s v="Recovered"/>
    <x v="0"/>
    <x v="2"/>
    <s v="Insurance"/>
    <n v="7"/>
    <x v="98"/>
    <s v="Yes"/>
    <x v="0"/>
  </r>
  <r>
    <x v="99"/>
    <x v="27"/>
    <x v="1"/>
    <x v="6"/>
    <x v="94"/>
    <d v="2023-01-24T00:00:00"/>
    <x v="9"/>
    <x v="5"/>
    <x v="3"/>
    <x v="99"/>
    <n v="15"/>
    <x v="1"/>
    <s v="Recovered"/>
    <x v="0"/>
    <x v="0"/>
    <s v="Cash"/>
    <n v="1"/>
    <x v="99"/>
    <s v="Yes"/>
    <x v="0"/>
  </r>
  <r>
    <x v="100"/>
    <x v="17"/>
    <x v="0"/>
    <x v="6"/>
    <x v="95"/>
    <d v="2024-04-16T00:00:00"/>
    <x v="8"/>
    <x v="6"/>
    <x v="4"/>
    <x v="100"/>
    <n v="16"/>
    <x v="0"/>
    <s v="Referred"/>
    <x v="1"/>
    <x v="2"/>
    <s v="UPI"/>
    <n v="9"/>
    <x v="100"/>
    <s v="No"/>
    <x v="0"/>
  </r>
  <r>
    <x v="101"/>
    <x v="7"/>
    <x v="0"/>
    <x v="3"/>
    <x v="96"/>
    <d v="2024-04-12T00:00:00"/>
    <x v="1"/>
    <x v="1"/>
    <x v="6"/>
    <x v="101"/>
    <n v="5"/>
    <x v="0"/>
    <s v="Recovered"/>
    <x v="1"/>
    <x v="0"/>
    <s v="Cash"/>
    <n v="11"/>
    <x v="101"/>
    <s v="Yes"/>
    <x v="0"/>
  </r>
  <r>
    <x v="102"/>
    <x v="55"/>
    <x v="1"/>
    <x v="4"/>
    <x v="97"/>
    <d v="2024-08-03T00:00:00"/>
    <x v="1"/>
    <x v="1"/>
    <x v="3"/>
    <x v="102"/>
    <n v="9"/>
    <x v="0"/>
    <s v="Recovered"/>
    <x v="2"/>
    <x v="1"/>
    <s v="Insurance"/>
    <n v="4"/>
    <x v="102"/>
    <s v="Yes"/>
    <x v="0"/>
  </r>
  <r>
    <x v="103"/>
    <x v="42"/>
    <x v="0"/>
    <x v="1"/>
    <x v="98"/>
    <d v="2023-05-20T00:00:00"/>
    <x v="0"/>
    <x v="0"/>
    <x v="1"/>
    <x v="103"/>
    <n v="8"/>
    <x v="1"/>
    <s v="Recovered"/>
    <x v="0"/>
    <x v="1"/>
    <s v="Cash"/>
    <n v="5"/>
    <x v="103"/>
    <s v="No"/>
    <x v="0"/>
  </r>
  <r>
    <x v="104"/>
    <x v="56"/>
    <x v="0"/>
    <x v="6"/>
    <x v="17"/>
    <d v="2023-10-07T00:00:00"/>
    <x v="2"/>
    <x v="2"/>
    <x v="5"/>
    <x v="104"/>
    <n v="2"/>
    <x v="1"/>
    <s v="Recovered"/>
    <x v="0"/>
    <x v="1"/>
    <s v="UPI"/>
    <n v="9"/>
    <x v="104"/>
    <s v="Yes"/>
    <x v="0"/>
  </r>
  <r>
    <x v="105"/>
    <x v="13"/>
    <x v="0"/>
    <x v="2"/>
    <x v="99"/>
    <d v="2023-12-23T00:00:00"/>
    <x v="7"/>
    <x v="5"/>
    <x v="4"/>
    <x v="105"/>
    <n v="11"/>
    <x v="1"/>
    <s v="Recovered"/>
    <x v="1"/>
    <x v="1"/>
    <s v="Cash"/>
    <n v="11"/>
    <x v="105"/>
    <s v="Yes"/>
    <x v="0"/>
  </r>
  <r>
    <x v="106"/>
    <x v="57"/>
    <x v="0"/>
    <x v="6"/>
    <x v="100"/>
    <d v="2024-11-28T00:00:00"/>
    <x v="8"/>
    <x v="6"/>
    <x v="6"/>
    <x v="106"/>
    <n v="4"/>
    <x v="1"/>
    <s v="Recovered"/>
    <x v="0"/>
    <x v="2"/>
    <s v="UPI"/>
    <n v="3"/>
    <x v="106"/>
    <s v="Yes"/>
    <x v="0"/>
  </r>
  <r>
    <x v="107"/>
    <x v="51"/>
    <x v="0"/>
    <x v="4"/>
    <x v="101"/>
    <d v="2025-06-10T00:00:00"/>
    <x v="9"/>
    <x v="5"/>
    <x v="7"/>
    <x v="107"/>
    <n v="15"/>
    <x v="0"/>
    <s v="Recovered"/>
    <x v="1"/>
    <x v="0"/>
    <s v="Cash"/>
    <n v="9"/>
    <x v="107"/>
    <s v="No"/>
    <x v="0"/>
  </r>
  <r>
    <x v="108"/>
    <x v="45"/>
    <x v="1"/>
    <x v="3"/>
    <x v="42"/>
    <d v="2023-06-04T00:00:00"/>
    <x v="5"/>
    <x v="4"/>
    <x v="4"/>
    <x v="108"/>
    <n v="4"/>
    <x v="0"/>
    <s v="Deceased"/>
    <x v="0"/>
    <x v="3"/>
    <s v="UPI"/>
    <n v="1"/>
    <x v="108"/>
    <s v="No"/>
    <x v="0"/>
  </r>
  <r>
    <x v="109"/>
    <x v="11"/>
    <x v="0"/>
    <x v="1"/>
    <x v="102"/>
    <d v="2023-08-04T00:00:00"/>
    <x v="3"/>
    <x v="0"/>
    <x v="7"/>
    <x v="109"/>
    <n v="11"/>
    <x v="0"/>
    <s v="Recovered"/>
    <x v="2"/>
    <x v="3"/>
    <s v="UPI"/>
    <n v="12"/>
    <x v="109"/>
    <s v="Yes"/>
    <x v="0"/>
  </r>
  <r>
    <x v="110"/>
    <x v="34"/>
    <x v="1"/>
    <x v="1"/>
    <x v="103"/>
    <d v="2024-04-02T00:00:00"/>
    <x v="3"/>
    <x v="0"/>
    <x v="2"/>
    <x v="110"/>
    <n v="9"/>
    <x v="0"/>
    <s v="Recovered"/>
    <x v="2"/>
    <x v="1"/>
    <s v="Cash"/>
    <n v="9"/>
    <x v="110"/>
    <s v="Yes"/>
    <x v="0"/>
  </r>
  <r>
    <x v="111"/>
    <x v="31"/>
    <x v="0"/>
    <x v="0"/>
    <x v="104"/>
    <d v="2023-01-27T00:00:00"/>
    <x v="4"/>
    <x v="3"/>
    <x v="3"/>
    <x v="111"/>
    <n v="1"/>
    <x v="1"/>
    <s v="Recovered"/>
    <x v="0"/>
    <x v="0"/>
    <s v="Insurance"/>
    <n v="3"/>
    <x v="111"/>
    <s v="Yes"/>
    <x v="0"/>
  </r>
  <r>
    <x v="112"/>
    <x v="20"/>
    <x v="1"/>
    <x v="5"/>
    <x v="105"/>
    <d v="2024-10-28T00:00:00"/>
    <x v="1"/>
    <x v="1"/>
    <x v="3"/>
    <x v="112"/>
    <n v="14"/>
    <x v="1"/>
    <s v="Recovered"/>
    <x v="2"/>
    <x v="1"/>
    <s v="Cash"/>
    <n v="14"/>
    <x v="112"/>
    <s v="No"/>
    <x v="0"/>
  </r>
  <r>
    <x v="113"/>
    <x v="51"/>
    <x v="0"/>
    <x v="5"/>
    <x v="76"/>
    <d v="2023-01-16T00:00:00"/>
    <x v="4"/>
    <x v="3"/>
    <x v="7"/>
    <x v="113"/>
    <n v="13"/>
    <x v="0"/>
    <s v="Recovered"/>
    <x v="1"/>
    <x v="3"/>
    <s v="UPI"/>
    <n v="4"/>
    <x v="113"/>
    <s v="Yes"/>
    <x v="0"/>
  </r>
  <r>
    <x v="114"/>
    <x v="45"/>
    <x v="1"/>
    <x v="2"/>
    <x v="10"/>
    <d v="2023-10-16T00:00:00"/>
    <x v="9"/>
    <x v="5"/>
    <x v="5"/>
    <x v="114"/>
    <n v="20"/>
    <x v="0"/>
    <s v="Recovered"/>
    <x v="1"/>
    <x v="3"/>
    <s v="Insurance"/>
    <n v="11"/>
    <x v="114"/>
    <s v="Yes"/>
    <x v="0"/>
  </r>
  <r>
    <x v="115"/>
    <x v="1"/>
    <x v="1"/>
    <x v="1"/>
    <x v="106"/>
    <d v="2025-05-07T00:00:00"/>
    <x v="9"/>
    <x v="5"/>
    <x v="0"/>
    <x v="115"/>
    <n v="1"/>
    <x v="0"/>
    <s v="Recovered"/>
    <x v="2"/>
    <x v="1"/>
    <s v="UPI"/>
    <n v="12"/>
    <x v="115"/>
    <s v="No"/>
    <x v="0"/>
  </r>
  <r>
    <x v="116"/>
    <x v="5"/>
    <x v="0"/>
    <x v="1"/>
    <x v="107"/>
    <d v="2024-11-13T00:00:00"/>
    <x v="4"/>
    <x v="3"/>
    <x v="2"/>
    <x v="116"/>
    <n v="1"/>
    <x v="1"/>
    <s v="Recovered"/>
    <x v="0"/>
    <x v="0"/>
    <s v="UPI"/>
    <n v="7"/>
    <x v="116"/>
    <s v="No"/>
    <x v="0"/>
  </r>
  <r>
    <x v="117"/>
    <x v="36"/>
    <x v="0"/>
    <x v="4"/>
    <x v="108"/>
    <d v="2023-04-13T00:00:00"/>
    <x v="2"/>
    <x v="2"/>
    <x v="7"/>
    <x v="117"/>
    <n v="2"/>
    <x v="1"/>
    <s v="Recovered"/>
    <x v="0"/>
    <x v="0"/>
    <s v="Card"/>
    <n v="6"/>
    <x v="117"/>
    <s v="Yes"/>
    <x v="1"/>
  </r>
  <r>
    <x v="118"/>
    <x v="24"/>
    <x v="1"/>
    <x v="5"/>
    <x v="109"/>
    <d v="2023-03-02T00:00:00"/>
    <x v="7"/>
    <x v="5"/>
    <x v="5"/>
    <x v="118"/>
    <n v="23"/>
    <x v="1"/>
    <s v="Under Observation"/>
    <x v="0"/>
    <x v="2"/>
    <s v="Insurance"/>
    <n v="5"/>
    <x v="118"/>
    <s v="No"/>
    <x v="0"/>
  </r>
  <r>
    <x v="119"/>
    <x v="27"/>
    <x v="0"/>
    <x v="4"/>
    <x v="34"/>
    <d v="2024-03-01T00:00:00"/>
    <x v="3"/>
    <x v="0"/>
    <x v="6"/>
    <x v="119"/>
    <n v="27"/>
    <x v="0"/>
    <s v="Recovered"/>
    <x v="0"/>
    <x v="2"/>
    <s v="Insurance"/>
    <n v="6"/>
    <x v="119"/>
    <s v="No"/>
    <x v="0"/>
  </r>
  <r>
    <x v="120"/>
    <x v="22"/>
    <x v="1"/>
    <x v="5"/>
    <x v="110"/>
    <d v="2024-11-24T00:00:00"/>
    <x v="1"/>
    <x v="1"/>
    <x v="1"/>
    <x v="120"/>
    <n v="6"/>
    <x v="1"/>
    <s v="Recovered"/>
    <x v="2"/>
    <x v="0"/>
    <s v="Cash"/>
    <n v="9"/>
    <x v="120"/>
    <s v="No"/>
    <x v="0"/>
  </r>
  <r>
    <x v="121"/>
    <x v="58"/>
    <x v="0"/>
    <x v="2"/>
    <x v="111"/>
    <d v="2023-05-03T00:00:00"/>
    <x v="0"/>
    <x v="0"/>
    <x v="5"/>
    <x v="121"/>
    <n v="19"/>
    <x v="0"/>
    <s v="Recovered"/>
    <x v="2"/>
    <x v="0"/>
    <s v="UPI"/>
    <n v="1"/>
    <x v="121"/>
    <s v="Yes"/>
    <x v="1"/>
  </r>
  <r>
    <x v="122"/>
    <x v="1"/>
    <x v="0"/>
    <x v="5"/>
    <x v="112"/>
    <d v="2025-02-18T00:00:00"/>
    <x v="0"/>
    <x v="0"/>
    <x v="0"/>
    <x v="122"/>
    <n v="16"/>
    <x v="1"/>
    <s v="Recovered"/>
    <x v="2"/>
    <x v="2"/>
    <s v="UPI"/>
    <n v="6"/>
    <x v="122"/>
    <s v="Yes"/>
    <x v="1"/>
  </r>
  <r>
    <x v="123"/>
    <x v="14"/>
    <x v="1"/>
    <x v="4"/>
    <x v="113"/>
    <d v="2025-08-19T00:00:00"/>
    <x v="3"/>
    <x v="0"/>
    <x v="3"/>
    <x v="123"/>
    <n v="10"/>
    <x v="1"/>
    <s v="Recovered"/>
    <x v="0"/>
    <x v="3"/>
    <s v="UPI"/>
    <n v="1"/>
    <x v="123"/>
    <s v="No"/>
    <x v="0"/>
  </r>
  <r>
    <x v="124"/>
    <x v="14"/>
    <x v="0"/>
    <x v="7"/>
    <x v="114"/>
    <d v="2023-08-22T00:00:00"/>
    <x v="6"/>
    <x v="2"/>
    <x v="6"/>
    <x v="124"/>
    <n v="17"/>
    <x v="0"/>
    <s v="Recovered"/>
    <x v="1"/>
    <x v="1"/>
    <s v="UPI"/>
    <n v="3"/>
    <x v="124"/>
    <s v="Yes"/>
    <x v="0"/>
  </r>
  <r>
    <x v="125"/>
    <x v="13"/>
    <x v="1"/>
    <x v="1"/>
    <x v="115"/>
    <d v="2023-06-24T00:00:00"/>
    <x v="0"/>
    <x v="0"/>
    <x v="3"/>
    <x v="125"/>
    <n v="12"/>
    <x v="0"/>
    <s v="Recovered"/>
    <x v="1"/>
    <x v="3"/>
    <s v="Cash"/>
    <n v="4"/>
    <x v="125"/>
    <s v="Yes"/>
    <x v="0"/>
  </r>
  <r>
    <x v="126"/>
    <x v="5"/>
    <x v="1"/>
    <x v="0"/>
    <x v="116"/>
    <d v="2023-03-18T00:00:00"/>
    <x v="6"/>
    <x v="2"/>
    <x v="6"/>
    <x v="126"/>
    <n v="5"/>
    <x v="0"/>
    <s v="Recovered"/>
    <x v="0"/>
    <x v="2"/>
    <s v="Cash"/>
    <n v="8"/>
    <x v="126"/>
    <s v="No"/>
    <x v="0"/>
  </r>
  <r>
    <x v="127"/>
    <x v="19"/>
    <x v="1"/>
    <x v="0"/>
    <x v="117"/>
    <d v="2023-01-20T00:00:00"/>
    <x v="2"/>
    <x v="2"/>
    <x v="6"/>
    <x v="127"/>
    <n v="19"/>
    <x v="0"/>
    <s v="Recovered"/>
    <x v="0"/>
    <x v="3"/>
    <s v="UPI"/>
    <n v="1"/>
    <x v="127"/>
    <s v="No"/>
    <x v="0"/>
  </r>
  <r>
    <x v="128"/>
    <x v="8"/>
    <x v="0"/>
    <x v="6"/>
    <x v="118"/>
    <d v="2025-03-28T00:00:00"/>
    <x v="2"/>
    <x v="2"/>
    <x v="7"/>
    <x v="128"/>
    <n v="2"/>
    <x v="0"/>
    <s v="Under Observation"/>
    <x v="0"/>
    <x v="1"/>
    <s v="Insurance"/>
    <n v="7"/>
    <x v="128"/>
    <s v="No"/>
    <x v="0"/>
  </r>
  <r>
    <x v="129"/>
    <x v="59"/>
    <x v="0"/>
    <x v="4"/>
    <x v="119"/>
    <d v="2025-01-22T00:00:00"/>
    <x v="9"/>
    <x v="5"/>
    <x v="1"/>
    <x v="129"/>
    <n v="12"/>
    <x v="0"/>
    <s v="Recovered"/>
    <x v="0"/>
    <x v="1"/>
    <s v="Cash"/>
    <n v="2"/>
    <x v="129"/>
    <s v="No"/>
    <x v="0"/>
  </r>
  <r>
    <x v="130"/>
    <x v="29"/>
    <x v="0"/>
    <x v="5"/>
    <x v="120"/>
    <d v="2025-08-26T00:00:00"/>
    <x v="0"/>
    <x v="0"/>
    <x v="3"/>
    <x v="130"/>
    <n v="4"/>
    <x v="0"/>
    <s v="Under Observation"/>
    <x v="2"/>
    <x v="1"/>
    <s v="Insurance"/>
    <n v="12"/>
    <x v="130"/>
    <s v="No"/>
    <x v="1"/>
  </r>
  <r>
    <x v="131"/>
    <x v="26"/>
    <x v="1"/>
    <x v="2"/>
    <x v="121"/>
    <d v="2023-05-22T00:00:00"/>
    <x v="7"/>
    <x v="5"/>
    <x v="6"/>
    <x v="131"/>
    <n v="15"/>
    <x v="1"/>
    <s v="Recovered"/>
    <x v="0"/>
    <x v="1"/>
    <s v="Cash"/>
    <n v="6"/>
    <x v="131"/>
    <s v="Yes"/>
    <x v="1"/>
  </r>
  <r>
    <x v="132"/>
    <x v="0"/>
    <x v="0"/>
    <x v="0"/>
    <x v="122"/>
    <d v="2025-09-14T00:00:00"/>
    <x v="8"/>
    <x v="6"/>
    <x v="0"/>
    <x v="132"/>
    <n v="6"/>
    <x v="0"/>
    <s v="Recovered"/>
    <x v="2"/>
    <x v="1"/>
    <s v="Insurance"/>
    <n v="7"/>
    <x v="132"/>
    <s v="Yes"/>
    <x v="0"/>
  </r>
  <r>
    <x v="133"/>
    <x v="0"/>
    <x v="0"/>
    <x v="1"/>
    <x v="123"/>
    <d v="2024-10-03T00:00:00"/>
    <x v="5"/>
    <x v="4"/>
    <x v="1"/>
    <x v="133"/>
    <n v="14"/>
    <x v="0"/>
    <s v="Deceased"/>
    <x v="1"/>
    <x v="3"/>
    <s v="Card"/>
    <n v="13"/>
    <x v="133"/>
    <s v="No"/>
    <x v="0"/>
  </r>
  <r>
    <x v="134"/>
    <x v="60"/>
    <x v="1"/>
    <x v="7"/>
    <x v="47"/>
    <d v="2023-06-30T00:00:00"/>
    <x v="5"/>
    <x v="4"/>
    <x v="6"/>
    <x v="134"/>
    <n v="12"/>
    <x v="0"/>
    <s v="Recovered"/>
    <x v="1"/>
    <x v="1"/>
    <s v="Cash"/>
    <n v="14"/>
    <x v="134"/>
    <s v="Yes"/>
    <x v="0"/>
  </r>
  <r>
    <x v="135"/>
    <x v="61"/>
    <x v="1"/>
    <x v="5"/>
    <x v="124"/>
    <d v="2025-08-07T00:00:00"/>
    <x v="7"/>
    <x v="5"/>
    <x v="1"/>
    <x v="135"/>
    <n v="3"/>
    <x v="1"/>
    <s v="Recovered"/>
    <x v="0"/>
    <x v="2"/>
    <s v="Insurance"/>
    <n v="14"/>
    <x v="135"/>
    <s v="No"/>
    <x v="0"/>
  </r>
  <r>
    <x v="136"/>
    <x v="29"/>
    <x v="1"/>
    <x v="5"/>
    <x v="125"/>
    <d v="2023-04-24T00:00:00"/>
    <x v="2"/>
    <x v="2"/>
    <x v="3"/>
    <x v="136"/>
    <n v="8"/>
    <x v="0"/>
    <s v="Recovered"/>
    <x v="1"/>
    <x v="0"/>
    <s v="UPI"/>
    <n v="7"/>
    <x v="136"/>
    <s v="No"/>
    <x v="0"/>
  </r>
  <r>
    <x v="137"/>
    <x v="36"/>
    <x v="1"/>
    <x v="4"/>
    <x v="126"/>
    <d v="2025-05-15T00:00:00"/>
    <x v="2"/>
    <x v="2"/>
    <x v="0"/>
    <x v="137"/>
    <n v="11"/>
    <x v="0"/>
    <s v="Recovered"/>
    <x v="1"/>
    <x v="2"/>
    <s v="Insurance"/>
    <n v="5"/>
    <x v="137"/>
    <s v="Yes"/>
    <x v="1"/>
  </r>
  <r>
    <x v="138"/>
    <x v="31"/>
    <x v="0"/>
    <x v="3"/>
    <x v="127"/>
    <d v="2023-10-18T00:00:00"/>
    <x v="5"/>
    <x v="4"/>
    <x v="4"/>
    <x v="138"/>
    <n v="10"/>
    <x v="0"/>
    <s v="Recovered"/>
    <x v="1"/>
    <x v="2"/>
    <s v="UPI"/>
    <n v="5"/>
    <x v="138"/>
    <s v="No"/>
    <x v="0"/>
  </r>
  <r>
    <x v="139"/>
    <x v="62"/>
    <x v="1"/>
    <x v="1"/>
    <x v="128"/>
    <d v="2025-08-28T00:00:00"/>
    <x v="7"/>
    <x v="5"/>
    <x v="1"/>
    <x v="139"/>
    <n v="12"/>
    <x v="0"/>
    <s v="Recovered"/>
    <x v="1"/>
    <x v="3"/>
    <s v="UPI"/>
    <n v="13"/>
    <x v="139"/>
    <s v="Yes"/>
    <x v="0"/>
  </r>
  <r>
    <x v="140"/>
    <x v="31"/>
    <x v="0"/>
    <x v="6"/>
    <x v="129"/>
    <d v="2023-06-28T00:00:00"/>
    <x v="6"/>
    <x v="2"/>
    <x v="6"/>
    <x v="140"/>
    <n v="14"/>
    <x v="0"/>
    <s v="Recovered"/>
    <x v="0"/>
    <x v="0"/>
    <s v="Cash"/>
    <n v="9"/>
    <x v="140"/>
    <s v="No"/>
    <x v="1"/>
  </r>
  <r>
    <x v="141"/>
    <x v="15"/>
    <x v="0"/>
    <x v="0"/>
    <x v="130"/>
    <d v="2023-11-16T00:00:00"/>
    <x v="2"/>
    <x v="2"/>
    <x v="3"/>
    <x v="141"/>
    <n v="27"/>
    <x v="1"/>
    <s v="Recovered"/>
    <x v="0"/>
    <x v="2"/>
    <s v="Card"/>
    <n v="4"/>
    <x v="141"/>
    <s v="Yes"/>
    <x v="0"/>
  </r>
  <r>
    <x v="142"/>
    <x v="48"/>
    <x v="1"/>
    <x v="3"/>
    <x v="131"/>
    <d v="2023-09-06T00:00:00"/>
    <x v="9"/>
    <x v="5"/>
    <x v="4"/>
    <x v="142"/>
    <n v="15"/>
    <x v="1"/>
    <s v="Recovered"/>
    <x v="0"/>
    <x v="3"/>
    <s v="Insurance"/>
    <n v="10"/>
    <x v="142"/>
    <s v="Yes"/>
    <x v="0"/>
  </r>
  <r>
    <x v="143"/>
    <x v="6"/>
    <x v="1"/>
    <x v="7"/>
    <x v="132"/>
    <d v="2024-12-19T00:00:00"/>
    <x v="2"/>
    <x v="2"/>
    <x v="7"/>
    <x v="143"/>
    <n v="13"/>
    <x v="1"/>
    <s v="Recovered"/>
    <x v="1"/>
    <x v="3"/>
    <s v="Insurance"/>
    <n v="13"/>
    <x v="143"/>
    <s v="Yes"/>
    <x v="0"/>
  </r>
  <r>
    <x v="144"/>
    <x v="43"/>
    <x v="0"/>
    <x v="1"/>
    <x v="133"/>
    <d v="2023-03-11T00:00:00"/>
    <x v="4"/>
    <x v="3"/>
    <x v="2"/>
    <x v="144"/>
    <n v="8"/>
    <x v="0"/>
    <s v="Under Observation"/>
    <x v="0"/>
    <x v="3"/>
    <s v="Card"/>
    <n v="6"/>
    <x v="144"/>
    <s v="No"/>
    <x v="0"/>
  </r>
  <r>
    <x v="145"/>
    <x v="63"/>
    <x v="1"/>
    <x v="2"/>
    <x v="109"/>
    <d v="2023-02-23T00:00:00"/>
    <x v="8"/>
    <x v="6"/>
    <x v="1"/>
    <x v="145"/>
    <n v="16"/>
    <x v="0"/>
    <s v="Recovered"/>
    <x v="2"/>
    <x v="1"/>
    <s v="Card"/>
    <n v="10"/>
    <x v="145"/>
    <s v="No"/>
    <x v="0"/>
  </r>
  <r>
    <x v="146"/>
    <x v="47"/>
    <x v="0"/>
    <x v="0"/>
    <x v="119"/>
    <d v="2025-02-02T00:00:00"/>
    <x v="9"/>
    <x v="5"/>
    <x v="1"/>
    <x v="146"/>
    <n v="23"/>
    <x v="0"/>
    <s v="Recovered"/>
    <x v="1"/>
    <x v="2"/>
    <s v="Card"/>
    <n v="13"/>
    <x v="146"/>
    <s v="Yes"/>
    <x v="0"/>
  </r>
  <r>
    <x v="147"/>
    <x v="36"/>
    <x v="0"/>
    <x v="6"/>
    <x v="134"/>
    <d v="2024-11-27T00:00:00"/>
    <x v="5"/>
    <x v="4"/>
    <x v="4"/>
    <x v="147"/>
    <n v="28"/>
    <x v="0"/>
    <s v="Recovered"/>
    <x v="1"/>
    <x v="2"/>
    <s v="UPI"/>
    <n v="11"/>
    <x v="147"/>
    <s v="No"/>
    <x v="0"/>
  </r>
  <r>
    <x v="148"/>
    <x v="53"/>
    <x v="0"/>
    <x v="1"/>
    <x v="135"/>
    <d v="2024-10-25T00:00:00"/>
    <x v="8"/>
    <x v="6"/>
    <x v="3"/>
    <x v="148"/>
    <n v="18"/>
    <x v="0"/>
    <s v="Recovered"/>
    <x v="2"/>
    <x v="3"/>
    <s v="Insurance"/>
    <n v="9"/>
    <x v="148"/>
    <s v="No"/>
    <x v="0"/>
  </r>
  <r>
    <x v="149"/>
    <x v="9"/>
    <x v="0"/>
    <x v="2"/>
    <x v="136"/>
    <d v="2024-05-22T00:00:00"/>
    <x v="2"/>
    <x v="2"/>
    <x v="6"/>
    <x v="149"/>
    <n v="20"/>
    <x v="1"/>
    <s v="Recovered"/>
    <x v="1"/>
    <x v="3"/>
    <s v="Insurance"/>
    <n v="1"/>
    <x v="149"/>
    <s v="Yes"/>
    <x v="1"/>
  </r>
  <r>
    <x v="150"/>
    <x v="9"/>
    <x v="0"/>
    <x v="4"/>
    <x v="137"/>
    <d v="2024-06-06T00:00:00"/>
    <x v="7"/>
    <x v="5"/>
    <x v="2"/>
    <x v="150"/>
    <n v="17"/>
    <x v="1"/>
    <s v="Under Observation"/>
    <x v="0"/>
    <x v="1"/>
    <s v="Card"/>
    <n v="6"/>
    <x v="150"/>
    <s v="Yes"/>
    <x v="1"/>
  </r>
  <r>
    <x v="151"/>
    <x v="3"/>
    <x v="0"/>
    <x v="4"/>
    <x v="138"/>
    <d v="2025-01-06T00:00:00"/>
    <x v="0"/>
    <x v="0"/>
    <x v="7"/>
    <x v="151"/>
    <n v="8"/>
    <x v="0"/>
    <s v="Recovered"/>
    <x v="1"/>
    <x v="2"/>
    <s v="UPI"/>
    <n v="1"/>
    <x v="151"/>
    <s v="No"/>
    <x v="0"/>
  </r>
  <r>
    <x v="152"/>
    <x v="64"/>
    <x v="1"/>
    <x v="0"/>
    <x v="139"/>
    <d v="2023-10-11T00:00:00"/>
    <x v="0"/>
    <x v="0"/>
    <x v="0"/>
    <x v="152"/>
    <n v="16"/>
    <x v="1"/>
    <s v="Recovered"/>
    <x v="0"/>
    <x v="3"/>
    <s v="UPI"/>
    <n v="11"/>
    <x v="152"/>
    <s v="Yes"/>
    <x v="0"/>
  </r>
  <r>
    <x v="153"/>
    <x v="62"/>
    <x v="1"/>
    <x v="0"/>
    <x v="140"/>
    <d v="2025-03-29T00:00:00"/>
    <x v="7"/>
    <x v="5"/>
    <x v="2"/>
    <x v="153"/>
    <n v="12"/>
    <x v="0"/>
    <s v="Recovered"/>
    <x v="1"/>
    <x v="1"/>
    <s v="Insurance"/>
    <n v="12"/>
    <x v="153"/>
    <s v="Yes"/>
    <x v="0"/>
  </r>
  <r>
    <x v="154"/>
    <x v="35"/>
    <x v="1"/>
    <x v="7"/>
    <x v="141"/>
    <d v="2023-08-28T00:00:00"/>
    <x v="3"/>
    <x v="0"/>
    <x v="2"/>
    <x v="154"/>
    <n v="20"/>
    <x v="0"/>
    <s v="Recovered"/>
    <x v="0"/>
    <x v="3"/>
    <s v="Card"/>
    <n v="11"/>
    <x v="154"/>
    <s v="No"/>
    <x v="0"/>
  </r>
  <r>
    <x v="155"/>
    <x v="11"/>
    <x v="1"/>
    <x v="4"/>
    <x v="142"/>
    <d v="2025-07-20T00:00:00"/>
    <x v="4"/>
    <x v="3"/>
    <x v="3"/>
    <x v="155"/>
    <n v="9"/>
    <x v="1"/>
    <s v="Recovered"/>
    <x v="2"/>
    <x v="2"/>
    <s v="Card"/>
    <n v="10"/>
    <x v="155"/>
    <s v="Yes"/>
    <x v="0"/>
  </r>
  <r>
    <x v="156"/>
    <x v="20"/>
    <x v="0"/>
    <x v="5"/>
    <x v="50"/>
    <d v="2023-12-18T00:00:00"/>
    <x v="5"/>
    <x v="4"/>
    <x v="5"/>
    <x v="156"/>
    <n v="3"/>
    <x v="1"/>
    <s v="Recovered"/>
    <x v="1"/>
    <x v="0"/>
    <s v="Card"/>
    <n v="3"/>
    <x v="156"/>
    <s v="No"/>
    <x v="0"/>
  </r>
  <r>
    <x v="157"/>
    <x v="40"/>
    <x v="0"/>
    <x v="3"/>
    <x v="143"/>
    <d v="2024-12-09T00:00:00"/>
    <x v="6"/>
    <x v="2"/>
    <x v="7"/>
    <x v="157"/>
    <n v="10"/>
    <x v="0"/>
    <s v="Recovered"/>
    <x v="0"/>
    <x v="2"/>
    <s v="UPI"/>
    <n v="6"/>
    <x v="157"/>
    <s v="No"/>
    <x v="0"/>
  </r>
  <r>
    <x v="158"/>
    <x v="49"/>
    <x v="0"/>
    <x v="3"/>
    <x v="144"/>
    <d v="2025-10-04T00:00:00"/>
    <x v="6"/>
    <x v="2"/>
    <x v="4"/>
    <x v="158"/>
    <n v="20"/>
    <x v="1"/>
    <s v="Recovered"/>
    <x v="0"/>
    <x v="2"/>
    <s v="UPI"/>
    <n v="6"/>
    <x v="158"/>
    <s v="No"/>
    <x v="0"/>
  </r>
  <r>
    <x v="159"/>
    <x v="55"/>
    <x v="0"/>
    <x v="4"/>
    <x v="145"/>
    <d v="2023-07-18T00:00:00"/>
    <x v="1"/>
    <x v="1"/>
    <x v="5"/>
    <x v="159"/>
    <n v="15"/>
    <x v="0"/>
    <s v="Recovered"/>
    <x v="1"/>
    <x v="2"/>
    <s v="Insurance"/>
    <n v="1"/>
    <x v="159"/>
    <s v="Yes"/>
    <x v="0"/>
  </r>
  <r>
    <x v="160"/>
    <x v="2"/>
    <x v="1"/>
    <x v="1"/>
    <x v="146"/>
    <d v="2023-10-29T00:00:00"/>
    <x v="0"/>
    <x v="0"/>
    <x v="6"/>
    <x v="160"/>
    <n v="7"/>
    <x v="0"/>
    <s v="Recovered"/>
    <x v="0"/>
    <x v="0"/>
    <s v="UPI"/>
    <n v="10"/>
    <x v="160"/>
    <s v="No"/>
    <x v="0"/>
  </r>
  <r>
    <x v="161"/>
    <x v="39"/>
    <x v="1"/>
    <x v="4"/>
    <x v="147"/>
    <d v="2024-09-18T00:00:00"/>
    <x v="5"/>
    <x v="4"/>
    <x v="0"/>
    <x v="161"/>
    <n v="14"/>
    <x v="1"/>
    <s v="Recovered"/>
    <x v="0"/>
    <x v="3"/>
    <s v="UPI"/>
    <n v="12"/>
    <x v="161"/>
    <s v="No"/>
    <x v="0"/>
  </r>
  <r>
    <x v="162"/>
    <x v="58"/>
    <x v="1"/>
    <x v="5"/>
    <x v="148"/>
    <d v="2025-07-06T00:00:00"/>
    <x v="5"/>
    <x v="4"/>
    <x v="4"/>
    <x v="162"/>
    <n v="2"/>
    <x v="0"/>
    <s v="Recovered"/>
    <x v="2"/>
    <x v="3"/>
    <s v="UPI"/>
    <n v="1"/>
    <x v="162"/>
    <s v="Yes"/>
    <x v="0"/>
  </r>
  <r>
    <x v="163"/>
    <x v="12"/>
    <x v="0"/>
    <x v="7"/>
    <x v="149"/>
    <d v="2024-04-27T00:00:00"/>
    <x v="3"/>
    <x v="0"/>
    <x v="3"/>
    <x v="163"/>
    <n v="6"/>
    <x v="1"/>
    <s v="Under Observation"/>
    <x v="2"/>
    <x v="1"/>
    <s v="UPI"/>
    <n v="6"/>
    <x v="163"/>
    <s v="Yes"/>
    <x v="1"/>
  </r>
  <r>
    <x v="164"/>
    <x v="31"/>
    <x v="0"/>
    <x v="0"/>
    <x v="150"/>
    <d v="2023-02-24T00:00:00"/>
    <x v="0"/>
    <x v="0"/>
    <x v="5"/>
    <x v="164"/>
    <n v="14"/>
    <x v="1"/>
    <s v="Recovered"/>
    <x v="1"/>
    <x v="2"/>
    <s v="Cash"/>
    <n v="5"/>
    <x v="164"/>
    <s v="No"/>
    <x v="1"/>
  </r>
  <r>
    <x v="165"/>
    <x v="55"/>
    <x v="1"/>
    <x v="0"/>
    <x v="119"/>
    <d v="2025-01-14T00:00:00"/>
    <x v="7"/>
    <x v="5"/>
    <x v="5"/>
    <x v="165"/>
    <n v="4"/>
    <x v="0"/>
    <s v="Recovered"/>
    <x v="2"/>
    <x v="1"/>
    <s v="Card"/>
    <n v="15"/>
    <x v="165"/>
    <s v="Yes"/>
    <x v="1"/>
  </r>
  <r>
    <x v="166"/>
    <x v="24"/>
    <x v="0"/>
    <x v="0"/>
    <x v="151"/>
    <d v="2025-02-01T00:00:00"/>
    <x v="5"/>
    <x v="4"/>
    <x v="1"/>
    <x v="166"/>
    <n v="8"/>
    <x v="1"/>
    <s v="Referred"/>
    <x v="0"/>
    <x v="1"/>
    <s v="Cash"/>
    <n v="6"/>
    <x v="166"/>
    <s v="Yes"/>
    <x v="0"/>
  </r>
  <r>
    <x v="167"/>
    <x v="49"/>
    <x v="1"/>
    <x v="4"/>
    <x v="126"/>
    <d v="2025-05-23T00:00:00"/>
    <x v="7"/>
    <x v="5"/>
    <x v="2"/>
    <x v="167"/>
    <n v="19"/>
    <x v="0"/>
    <s v="Recovered"/>
    <x v="2"/>
    <x v="2"/>
    <s v="Card"/>
    <n v="14"/>
    <x v="167"/>
    <s v="No"/>
    <x v="0"/>
  </r>
  <r>
    <x v="168"/>
    <x v="65"/>
    <x v="1"/>
    <x v="4"/>
    <x v="152"/>
    <d v="2025-06-18T00:00:00"/>
    <x v="3"/>
    <x v="0"/>
    <x v="4"/>
    <x v="168"/>
    <n v="17"/>
    <x v="0"/>
    <s v="Under Observation"/>
    <x v="2"/>
    <x v="2"/>
    <s v="Card"/>
    <n v="3"/>
    <x v="168"/>
    <s v="No"/>
    <x v="1"/>
  </r>
  <r>
    <x v="169"/>
    <x v="66"/>
    <x v="1"/>
    <x v="7"/>
    <x v="15"/>
    <d v="2024-01-10T00:00:00"/>
    <x v="4"/>
    <x v="3"/>
    <x v="1"/>
    <x v="169"/>
    <n v="4"/>
    <x v="1"/>
    <s v="Recovered"/>
    <x v="0"/>
    <x v="0"/>
    <s v="Insurance"/>
    <n v="4"/>
    <x v="169"/>
    <s v="No"/>
    <x v="0"/>
  </r>
  <r>
    <x v="170"/>
    <x v="16"/>
    <x v="0"/>
    <x v="1"/>
    <x v="153"/>
    <d v="2025-07-14T00:00:00"/>
    <x v="1"/>
    <x v="1"/>
    <x v="3"/>
    <x v="170"/>
    <n v="11"/>
    <x v="0"/>
    <s v="Recovered"/>
    <x v="1"/>
    <x v="1"/>
    <s v="Card"/>
    <n v="14"/>
    <x v="170"/>
    <s v="Yes"/>
    <x v="0"/>
  </r>
  <r>
    <x v="171"/>
    <x v="5"/>
    <x v="1"/>
    <x v="3"/>
    <x v="154"/>
    <d v="2025-01-25T00:00:00"/>
    <x v="0"/>
    <x v="0"/>
    <x v="2"/>
    <x v="171"/>
    <n v="7"/>
    <x v="0"/>
    <s v="Recovered"/>
    <x v="1"/>
    <x v="3"/>
    <s v="UPI"/>
    <n v="4"/>
    <x v="171"/>
    <s v="No"/>
    <x v="0"/>
  </r>
  <r>
    <x v="172"/>
    <x v="45"/>
    <x v="0"/>
    <x v="6"/>
    <x v="155"/>
    <d v="2024-03-12T00:00:00"/>
    <x v="0"/>
    <x v="0"/>
    <x v="5"/>
    <x v="172"/>
    <n v="8"/>
    <x v="1"/>
    <s v="Recovered"/>
    <x v="0"/>
    <x v="0"/>
    <s v="UPI"/>
    <n v="11"/>
    <x v="172"/>
    <s v="No"/>
    <x v="0"/>
  </r>
  <r>
    <x v="173"/>
    <x v="38"/>
    <x v="0"/>
    <x v="5"/>
    <x v="156"/>
    <d v="2024-07-30T00:00:00"/>
    <x v="6"/>
    <x v="2"/>
    <x v="3"/>
    <x v="173"/>
    <n v="1"/>
    <x v="0"/>
    <s v="Recovered"/>
    <x v="1"/>
    <x v="1"/>
    <s v="Cash"/>
    <n v="11"/>
    <x v="173"/>
    <s v="No"/>
    <x v="0"/>
  </r>
  <r>
    <x v="174"/>
    <x v="67"/>
    <x v="1"/>
    <x v="3"/>
    <x v="157"/>
    <d v="2024-12-23T00:00:00"/>
    <x v="1"/>
    <x v="1"/>
    <x v="4"/>
    <x v="174"/>
    <n v="18"/>
    <x v="1"/>
    <s v="Recovered"/>
    <x v="1"/>
    <x v="3"/>
    <s v="Cash"/>
    <n v="6"/>
    <x v="174"/>
    <s v="No"/>
    <x v="1"/>
  </r>
  <r>
    <x v="175"/>
    <x v="28"/>
    <x v="1"/>
    <x v="1"/>
    <x v="158"/>
    <d v="2023-06-07T00:00:00"/>
    <x v="1"/>
    <x v="1"/>
    <x v="5"/>
    <x v="175"/>
    <n v="2"/>
    <x v="1"/>
    <s v="Recovered"/>
    <x v="1"/>
    <x v="0"/>
    <s v="Card"/>
    <n v="13"/>
    <x v="175"/>
    <s v="No"/>
    <x v="0"/>
  </r>
  <r>
    <x v="176"/>
    <x v="48"/>
    <x v="0"/>
    <x v="3"/>
    <x v="159"/>
    <d v="2023-07-11T00:00:00"/>
    <x v="3"/>
    <x v="0"/>
    <x v="5"/>
    <x v="176"/>
    <n v="3"/>
    <x v="1"/>
    <s v="Under Observation"/>
    <x v="1"/>
    <x v="2"/>
    <s v="Insurance"/>
    <n v="1"/>
    <x v="176"/>
    <s v="No"/>
    <x v="0"/>
  </r>
  <r>
    <x v="177"/>
    <x v="47"/>
    <x v="0"/>
    <x v="3"/>
    <x v="160"/>
    <d v="2023-04-14T00:00:00"/>
    <x v="2"/>
    <x v="2"/>
    <x v="7"/>
    <x v="177"/>
    <n v="17"/>
    <x v="1"/>
    <s v="Recovered"/>
    <x v="1"/>
    <x v="3"/>
    <s v="Card"/>
    <n v="2"/>
    <x v="177"/>
    <s v="Yes"/>
    <x v="0"/>
  </r>
  <r>
    <x v="178"/>
    <x v="65"/>
    <x v="1"/>
    <x v="5"/>
    <x v="161"/>
    <d v="2024-06-28T00:00:00"/>
    <x v="9"/>
    <x v="5"/>
    <x v="2"/>
    <x v="178"/>
    <n v="12"/>
    <x v="0"/>
    <s v="Deceased"/>
    <x v="2"/>
    <x v="0"/>
    <s v="UPI"/>
    <n v="10"/>
    <x v="178"/>
    <s v="No"/>
    <x v="0"/>
  </r>
  <r>
    <x v="179"/>
    <x v="28"/>
    <x v="0"/>
    <x v="4"/>
    <x v="162"/>
    <d v="2024-06-04T00:00:00"/>
    <x v="9"/>
    <x v="5"/>
    <x v="3"/>
    <x v="179"/>
    <n v="5"/>
    <x v="1"/>
    <s v="Recovered"/>
    <x v="2"/>
    <x v="1"/>
    <s v="Card"/>
    <n v="1"/>
    <x v="179"/>
    <s v="No"/>
    <x v="0"/>
  </r>
  <r>
    <x v="180"/>
    <x v="19"/>
    <x v="0"/>
    <x v="1"/>
    <x v="163"/>
    <d v="2025-05-29T00:00:00"/>
    <x v="5"/>
    <x v="4"/>
    <x v="4"/>
    <x v="180"/>
    <n v="11"/>
    <x v="0"/>
    <s v="Recovered"/>
    <x v="1"/>
    <x v="2"/>
    <s v="Insurance"/>
    <n v="14"/>
    <x v="180"/>
    <s v="No"/>
    <x v="0"/>
  </r>
  <r>
    <x v="181"/>
    <x v="33"/>
    <x v="0"/>
    <x v="3"/>
    <x v="164"/>
    <d v="2025-08-31T00:00:00"/>
    <x v="0"/>
    <x v="0"/>
    <x v="5"/>
    <x v="181"/>
    <n v="18"/>
    <x v="0"/>
    <s v="Recovered"/>
    <x v="0"/>
    <x v="3"/>
    <s v="Insurance"/>
    <n v="1"/>
    <x v="181"/>
    <s v="No"/>
    <x v="0"/>
  </r>
  <r>
    <x v="182"/>
    <x v="12"/>
    <x v="1"/>
    <x v="4"/>
    <x v="165"/>
    <d v="2023-04-07T00:00:00"/>
    <x v="6"/>
    <x v="2"/>
    <x v="1"/>
    <x v="182"/>
    <n v="13"/>
    <x v="1"/>
    <s v="Recovered"/>
    <x v="2"/>
    <x v="3"/>
    <s v="Insurance"/>
    <n v="1"/>
    <x v="182"/>
    <s v="Yes"/>
    <x v="0"/>
  </r>
  <r>
    <x v="183"/>
    <x v="0"/>
    <x v="1"/>
    <x v="1"/>
    <x v="166"/>
    <d v="2024-01-20T00:00:00"/>
    <x v="8"/>
    <x v="6"/>
    <x v="7"/>
    <x v="183"/>
    <n v="1"/>
    <x v="1"/>
    <s v="Recovered"/>
    <x v="2"/>
    <x v="0"/>
    <s v="Card"/>
    <n v="10"/>
    <x v="183"/>
    <s v="Yes"/>
    <x v="0"/>
  </r>
  <r>
    <x v="184"/>
    <x v="22"/>
    <x v="1"/>
    <x v="2"/>
    <x v="167"/>
    <d v="2023-04-15T00:00:00"/>
    <x v="8"/>
    <x v="6"/>
    <x v="7"/>
    <x v="184"/>
    <n v="26"/>
    <x v="0"/>
    <s v="Recovered"/>
    <x v="0"/>
    <x v="2"/>
    <s v="Card"/>
    <n v="14"/>
    <x v="184"/>
    <s v="Yes"/>
    <x v="0"/>
  </r>
  <r>
    <x v="185"/>
    <x v="27"/>
    <x v="1"/>
    <x v="7"/>
    <x v="168"/>
    <d v="2023-02-05T00:00:00"/>
    <x v="2"/>
    <x v="2"/>
    <x v="1"/>
    <x v="185"/>
    <n v="20"/>
    <x v="1"/>
    <s v="Under Observation"/>
    <x v="0"/>
    <x v="0"/>
    <s v="Cash"/>
    <n v="7"/>
    <x v="185"/>
    <s v="Yes"/>
    <x v="0"/>
  </r>
  <r>
    <x v="186"/>
    <x v="68"/>
    <x v="0"/>
    <x v="4"/>
    <x v="169"/>
    <d v="2025-06-24T00:00:00"/>
    <x v="5"/>
    <x v="4"/>
    <x v="1"/>
    <x v="186"/>
    <n v="18"/>
    <x v="0"/>
    <s v="Recovered"/>
    <x v="2"/>
    <x v="0"/>
    <s v="UPI"/>
    <n v="14"/>
    <x v="186"/>
    <s v="Yes"/>
    <x v="0"/>
  </r>
  <r>
    <x v="187"/>
    <x v="62"/>
    <x v="0"/>
    <x v="1"/>
    <x v="170"/>
    <d v="2023-02-21T00:00:00"/>
    <x v="7"/>
    <x v="5"/>
    <x v="1"/>
    <x v="187"/>
    <n v="17"/>
    <x v="1"/>
    <s v="Recovered"/>
    <x v="2"/>
    <x v="0"/>
    <s v="Cash"/>
    <n v="3"/>
    <x v="187"/>
    <s v="Yes"/>
    <x v="0"/>
  </r>
  <r>
    <x v="188"/>
    <x v="3"/>
    <x v="1"/>
    <x v="3"/>
    <x v="171"/>
    <d v="2023-06-06T00:00:00"/>
    <x v="3"/>
    <x v="0"/>
    <x v="1"/>
    <x v="188"/>
    <n v="16"/>
    <x v="0"/>
    <s v="Deceased"/>
    <x v="1"/>
    <x v="1"/>
    <s v="Card"/>
    <n v="4"/>
    <x v="188"/>
    <s v="No"/>
    <x v="1"/>
  </r>
  <r>
    <x v="189"/>
    <x v="3"/>
    <x v="0"/>
    <x v="0"/>
    <x v="172"/>
    <d v="2023-07-21T00:00:00"/>
    <x v="0"/>
    <x v="0"/>
    <x v="3"/>
    <x v="189"/>
    <n v="19"/>
    <x v="1"/>
    <s v="Recovered"/>
    <x v="1"/>
    <x v="1"/>
    <s v="Cash"/>
    <n v="8"/>
    <x v="189"/>
    <s v="Yes"/>
    <x v="0"/>
  </r>
  <r>
    <x v="190"/>
    <x v="53"/>
    <x v="1"/>
    <x v="6"/>
    <x v="173"/>
    <d v="2025-08-21T00:00:00"/>
    <x v="4"/>
    <x v="3"/>
    <x v="6"/>
    <x v="190"/>
    <n v="3"/>
    <x v="1"/>
    <s v="Recovered"/>
    <x v="0"/>
    <x v="1"/>
    <s v="Cash"/>
    <n v="5"/>
    <x v="190"/>
    <s v="Yes"/>
    <x v="0"/>
  </r>
  <r>
    <x v="191"/>
    <x v="14"/>
    <x v="1"/>
    <x v="2"/>
    <x v="174"/>
    <d v="2023-03-15T00:00:00"/>
    <x v="2"/>
    <x v="2"/>
    <x v="7"/>
    <x v="191"/>
    <n v="19"/>
    <x v="1"/>
    <s v="Recovered"/>
    <x v="1"/>
    <x v="1"/>
    <s v="Card"/>
    <n v="7"/>
    <x v="191"/>
    <s v="Yes"/>
    <x v="0"/>
  </r>
  <r>
    <x v="192"/>
    <x v="60"/>
    <x v="0"/>
    <x v="2"/>
    <x v="175"/>
    <d v="2024-10-11T00:00:00"/>
    <x v="9"/>
    <x v="5"/>
    <x v="6"/>
    <x v="192"/>
    <n v="1"/>
    <x v="1"/>
    <s v="Recovered"/>
    <x v="0"/>
    <x v="1"/>
    <s v="UPI"/>
    <n v="6"/>
    <x v="192"/>
    <s v="No"/>
    <x v="1"/>
  </r>
  <r>
    <x v="193"/>
    <x v="5"/>
    <x v="0"/>
    <x v="3"/>
    <x v="176"/>
    <d v="2023-11-20T00:00:00"/>
    <x v="0"/>
    <x v="0"/>
    <x v="0"/>
    <x v="193"/>
    <n v="3"/>
    <x v="1"/>
    <s v="Recovered"/>
    <x v="1"/>
    <x v="1"/>
    <s v="Cash"/>
    <n v="1"/>
    <x v="193"/>
    <s v="Yes"/>
    <x v="0"/>
  </r>
  <r>
    <x v="194"/>
    <x v="50"/>
    <x v="1"/>
    <x v="3"/>
    <x v="177"/>
    <d v="2025-03-25T00:00:00"/>
    <x v="4"/>
    <x v="3"/>
    <x v="6"/>
    <x v="194"/>
    <n v="12"/>
    <x v="0"/>
    <s v="Referred"/>
    <x v="1"/>
    <x v="0"/>
    <s v="Card"/>
    <n v="10"/>
    <x v="194"/>
    <s v="Yes"/>
    <x v="0"/>
  </r>
  <r>
    <x v="195"/>
    <x v="57"/>
    <x v="1"/>
    <x v="0"/>
    <x v="178"/>
    <d v="2023-10-02T00:00:00"/>
    <x v="7"/>
    <x v="5"/>
    <x v="1"/>
    <x v="195"/>
    <n v="13"/>
    <x v="0"/>
    <s v="Recovered"/>
    <x v="0"/>
    <x v="3"/>
    <s v="Cash"/>
    <n v="15"/>
    <x v="195"/>
    <s v="No"/>
    <x v="0"/>
  </r>
  <r>
    <x v="196"/>
    <x v="13"/>
    <x v="1"/>
    <x v="6"/>
    <x v="179"/>
    <d v="2024-11-05T00:00:00"/>
    <x v="8"/>
    <x v="6"/>
    <x v="4"/>
    <x v="196"/>
    <n v="4"/>
    <x v="0"/>
    <s v="Recovered"/>
    <x v="2"/>
    <x v="3"/>
    <s v="Cash"/>
    <n v="12"/>
    <x v="196"/>
    <s v="No"/>
    <x v="0"/>
  </r>
  <r>
    <x v="197"/>
    <x v="69"/>
    <x v="0"/>
    <x v="5"/>
    <x v="157"/>
    <d v="2024-12-19T00:00:00"/>
    <x v="8"/>
    <x v="6"/>
    <x v="0"/>
    <x v="197"/>
    <n v="14"/>
    <x v="0"/>
    <s v="Recovered"/>
    <x v="0"/>
    <x v="1"/>
    <s v="Card"/>
    <n v="15"/>
    <x v="197"/>
    <s v="No"/>
    <x v="0"/>
  </r>
  <r>
    <x v="198"/>
    <x v="70"/>
    <x v="0"/>
    <x v="5"/>
    <x v="180"/>
    <d v="2025-05-04T00:00:00"/>
    <x v="2"/>
    <x v="2"/>
    <x v="7"/>
    <x v="198"/>
    <n v="7"/>
    <x v="1"/>
    <s v="Recovered"/>
    <x v="1"/>
    <x v="1"/>
    <s v="Card"/>
    <n v="12"/>
    <x v="198"/>
    <s v="No"/>
    <x v="1"/>
  </r>
  <r>
    <x v="199"/>
    <x v="65"/>
    <x v="0"/>
    <x v="0"/>
    <x v="124"/>
    <d v="2025-08-17T00:00:00"/>
    <x v="9"/>
    <x v="5"/>
    <x v="4"/>
    <x v="199"/>
    <n v="13"/>
    <x v="1"/>
    <s v="Recovered"/>
    <x v="0"/>
    <x v="2"/>
    <s v="Card"/>
    <n v="7"/>
    <x v="199"/>
    <s v="Yes"/>
    <x v="0"/>
  </r>
  <r>
    <x v="200"/>
    <x v="51"/>
    <x v="0"/>
    <x v="7"/>
    <x v="83"/>
    <d v="2023-04-12T00:00:00"/>
    <x v="6"/>
    <x v="2"/>
    <x v="2"/>
    <x v="200"/>
    <n v="19"/>
    <x v="1"/>
    <s v="Recovered"/>
    <x v="0"/>
    <x v="3"/>
    <s v="Cash"/>
    <n v="10"/>
    <x v="200"/>
    <s v="No"/>
    <x v="0"/>
  </r>
  <r>
    <x v="201"/>
    <x v="49"/>
    <x v="0"/>
    <x v="5"/>
    <x v="81"/>
    <d v="2023-11-06T00:00:00"/>
    <x v="0"/>
    <x v="0"/>
    <x v="0"/>
    <x v="201"/>
    <n v="6"/>
    <x v="0"/>
    <s v="Recovered"/>
    <x v="1"/>
    <x v="3"/>
    <s v="UPI"/>
    <n v="13"/>
    <x v="201"/>
    <s v="No"/>
    <x v="0"/>
  </r>
  <r>
    <x v="202"/>
    <x v="27"/>
    <x v="0"/>
    <x v="0"/>
    <x v="117"/>
    <d v="2023-01-08T00:00:00"/>
    <x v="7"/>
    <x v="5"/>
    <x v="4"/>
    <x v="202"/>
    <n v="7"/>
    <x v="1"/>
    <s v="Recovered"/>
    <x v="0"/>
    <x v="2"/>
    <s v="Cash"/>
    <n v="12"/>
    <x v="202"/>
    <s v="No"/>
    <x v="0"/>
  </r>
  <r>
    <x v="203"/>
    <x v="0"/>
    <x v="1"/>
    <x v="6"/>
    <x v="181"/>
    <d v="2023-07-30T00:00:00"/>
    <x v="7"/>
    <x v="5"/>
    <x v="5"/>
    <x v="203"/>
    <n v="24"/>
    <x v="0"/>
    <s v="Recovered"/>
    <x v="0"/>
    <x v="2"/>
    <s v="Cash"/>
    <n v="9"/>
    <x v="203"/>
    <s v="No"/>
    <x v="1"/>
  </r>
  <r>
    <x v="204"/>
    <x v="18"/>
    <x v="1"/>
    <x v="6"/>
    <x v="178"/>
    <d v="2023-09-23T00:00:00"/>
    <x v="6"/>
    <x v="2"/>
    <x v="0"/>
    <x v="204"/>
    <n v="4"/>
    <x v="1"/>
    <s v="Recovered"/>
    <x v="1"/>
    <x v="0"/>
    <s v="Card"/>
    <n v="7"/>
    <x v="204"/>
    <s v="No"/>
    <x v="0"/>
  </r>
  <r>
    <x v="205"/>
    <x v="2"/>
    <x v="0"/>
    <x v="7"/>
    <x v="182"/>
    <d v="2023-08-05T00:00:00"/>
    <x v="5"/>
    <x v="4"/>
    <x v="5"/>
    <x v="205"/>
    <n v="15"/>
    <x v="1"/>
    <s v="Recovered"/>
    <x v="0"/>
    <x v="0"/>
    <s v="UPI"/>
    <n v="15"/>
    <x v="205"/>
    <s v="Yes"/>
    <x v="0"/>
  </r>
  <r>
    <x v="206"/>
    <x v="39"/>
    <x v="0"/>
    <x v="4"/>
    <x v="183"/>
    <d v="2023-02-25T00:00:00"/>
    <x v="9"/>
    <x v="5"/>
    <x v="1"/>
    <x v="206"/>
    <n v="2"/>
    <x v="0"/>
    <s v="Recovered"/>
    <x v="1"/>
    <x v="0"/>
    <s v="UPI"/>
    <n v="7"/>
    <x v="206"/>
    <s v="Yes"/>
    <x v="0"/>
  </r>
  <r>
    <x v="207"/>
    <x v="33"/>
    <x v="1"/>
    <x v="3"/>
    <x v="184"/>
    <d v="2024-03-16T00:00:00"/>
    <x v="5"/>
    <x v="4"/>
    <x v="1"/>
    <x v="207"/>
    <n v="6"/>
    <x v="1"/>
    <s v="Under Observation"/>
    <x v="2"/>
    <x v="1"/>
    <s v="Cash"/>
    <n v="4"/>
    <x v="207"/>
    <s v="Yes"/>
    <x v="0"/>
  </r>
  <r>
    <x v="208"/>
    <x v="57"/>
    <x v="1"/>
    <x v="2"/>
    <x v="185"/>
    <d v="2024-02-21T00:00:00"/>
    <x v="0"/>
    <x v="0"/>
    <x v="5"/>
    <x v="208"/>
    <n v="15"/>
    <x v="1"/>
    <s v="Recovered"/>
    <x v="0"/>
    <x v="2"/>
    <s v="Insurance"/>
    <n v="13"/>
    <x v="208"/>
    <s v="Yes"/>
    <x v="0"/>
  </r>
  <r>
    <x v="209"/>
    <x v="31"/>
    <x v="0"/>
    <x v="5"/>
    <x v="186"/>
    <d v="2023-03-19T00:00:00"/>
    <x v="6"/>
    <x v="2"/>
    <x v="2"/>
    <x v="209"/>
    <n v="5"/>
    <x v="1"/>
    <s v="Recovered"/>
    <x v="0"/>
    <x v="0"/>
    <s v="Card"/>
    <n v="12"/>
    <x v="209"/>
    <s v="No"/>
    <x v="1"/>
  </r>
  <r>
    <x v="210"/>
    <x v="29"/>
    <x v="1"/>
    <x v="7"/>
    <x v="98"/>
    <d v="2023-06-11T00:00:00"/>
    <x v="3"/>
    <x v="0"/>
    <x v="4"/>
    <x v="210"/>
    <n v="30"/>
    <x v="1"/>
    <s v="Recovered"/>
    <x v="2"/>
    <x v="2"/>
    <s v="Cash"/>
    <n v="3"/>
    <x v="210"/>
    <s v="Yes"/>
    <x v="0"/>
  </r>
  <r>
    <x v="211"/>
    <x v="54"/>
    <x v="1"/>
    <x v="1"/>
    <x v="187"/>
    <d v="2023-08-08T00:00:00"/>
    <x v="4"/>
    <x v="3"/>
    <x v="5"/>
    <x v="211"/>
    <n v="12"/>
    <x v="0"/>
    <s v="Recovered"/>
    <x v="2"/>
    <x v="3"/>
    <s v="Insurance"/>
    <n v="12"/>
    <x v="211"/>
    <s v="No"/>
    <x v="0"/>
  </r>
  <r>
    <x v="212"/>
    <x v="55"/>
    <x v="0"/>
    <x v="7"/>
    <x v="188"/>
    <d v="2025-07-09T00:00:00"/>
    <x v="1"/>
    <x v="1"/>
    <x v="4"/>
    <x v="212"/>
    <n v="10"/>
    <x v="1"/>
    <s v="Recovered"/>
    <x v="0"/>
    <x v="3"/>
    <s v="Card"/>
    <n v="12"/>
    <x v="212"/>
    <s v="Yes"/>
    <x v="1"/>
  </r>
  <r>
    <x v="213"/>
    <x v="44"/>
    <x v="1"/>
    <x v="1"/>
    <x v="189"/>
    <d v="2024-05-20T00:00:00"/>
    <x v="3"/>
    <x v="0"/>
    <x v="5"/>
    <x v="213"/>
    <n v="19"/>
    <x v="1"/>
    <s v="Under Observation"/>
    <x v="1"/>
    <x v="0"/>
    <s v="Card"/>
    <n v="9"/>
    <x v="213"/>
    <s v="Yes"/>
    <x v="0"/>
  </r>
  <r>
    <x v="214"/>
    <x v="60"/>
    <x v="1"/>
    <x v="7"/>
    <x v="98"/>
    <d v="2023-05-16T00:00:00"/>
    <x v="1"/>
    <x v="1"/>
    <x v="1"/>
    <x v="214"/>
    <n v="4"/>
    <x v="0"/>
    <s v="Recovered"/>
    <x v="1"/>
    <x v="0"/>
    <s v="Insurance"/>
    <n v="12"/>
    <x v="214"/>
    <s v="No"/>
    <x v="0"/>
  </r>
  <r>
    <x v="215"/>
    <x v="70"/>
    <x v="0"/>
    <x v="2"/>
    <x v="190"/>
    <d v="2025-05-02T00:00:00"/>
    <x v="3"/>
    <x v="0"/>
    <x v="2"/>
    <x v="215"/>
    <n v="1"/>
    <x v="0"/>
    <s v="Recovered"/>
    <x v="2"/>
    <x v="3"/>
    <s v="Insurance"/>
    <n v="9"/>
    <x v="215"/>
    <s v="No"/>
    <x v="0"/>
  </r>
  <r>
    <x v="216"/>
    <x v="22"/>
    <x v="1"/>
    <x v="6"/>
    <x v="191"/>
    <d v="2023-04-22T00:00:00"/>
    <x v="1"/>
    <x v="1"/>
    <x v="5"/>
    <x v="216"/>
    <n v="15"/>
    <x v="1"/>
    <s v="Recovered"/>
    <x v="2"/>
    <x v="0"/>
    <s v="Cash"/>
    <n v="4"/>
    <x v="216"/>
    <s v="Yes"/>
    <x v="0"/>
  </r>
  <r>
    <x v="217"/>
    <x v="7"/>
    <x v="1"/>
    <x v="7"/>
    <x v="192"/>
    <d v="2024-09-03T00:00:00"/>
    <x v="0"/>
    <x v="0"/>
    <x v="3"/>
    <x v="217"/>
    <n v="28"/>
    <x v="1"/>
    <s v="Under Observation"/>
    <x v="1"/>
    <x v="2"/>
    <s v="Cash"/>
    <n v="15"/>
    <x v="217"/>
    <s v="No"/>
    <x v="0"/>
  </r>
  <r>
    <x v="218"/>
    <x v="24"/>
    <x v="0"/>
    <x v="3"/>
    <x v="193"/>
    <d v="2024-06-27T00:00:00"/>
    <x v="1"/>
    <x v="1"/>
    <x v="7"/>
    <x v="218"/>
    <n v="13"/>
    <x v="1"/>
    <s v="Under Observation"/>
    <x v="0"/>
    <x v="1"/>
    <s v="Card"/>
    <n v="10"/>
    <x v="218"/>
    <s v="No"/>
    <x v="0"/>
  </r>
  <r>
    <x v="219"/>
    <x v="33"/>
    <x v="0"/>
    <x v="6"/>
    <x v="194"/>
    <d v="2025-04-05T00:00:00"/>
    <x v="6"/>
    <x v="2"/>
    <x v="6"/>
    <x v="219"/>
    <n v="8"/>
    <x v="1"/>
    <s v="Recovered"/>
    <x v="2"/>
    <x v="1"/>
    <s v="Card"/>
    <n v="2"/>
    <x v="219"/>
    <s v="No"/>
    <x v="0"/>
  </r>
  <r>
    <x v="220"/>
    <x v="16"/>
    <x v="1"/>
    <x v="7"/>
    <x v="195"/>
    <d v="2023-03-02T00:00:00"/>
    <x v="2"/>
    <x v="2"/>
    <x v="1"/>
    <x v="220"/>
    <n v="13"/>
    <x v="1"/>
    <s v="Under Observation"/>
    <x v="1"/>
    <x v="2"/>
    <s v="Insurance"/>
    <n v="14"/>
    <x v="220"/>
    <s v="No"/>
    <x v="0"/>
  </r>
  <r>
    <x v="221"/>
    <x v="43"/>
    <x v="1"/>
    <x v="3"/>
    <x v="196"/>
    <d v="2024-11-16T00:00:00"/>
    <x v="2"/>
    <x v="2"/>
    <x v="5"/>
    <x v="221"/>
    <n v="20"/>
    <x v="0"/>
    <s v="Recovered"/>
    <x v="1"/>
    <x v="3"/>
    <s v="Cash"/>
    <n v="5"/>
    <x v="221"/>
    <s v="Yes"/>
    <x v="1"/>
  </r>
  <r>
    <x v="222"/>
    <x v="28"/>
    <x v="1"/>
    <x v="2"/>
    <x v="9"/>
    <d v="2025-04-28T00:00:00"/>
    <x v="0"/>
    <x v="0"/>
    <x v="1"/>
    <x v="222"/>
    <n v="14"/>
    <x v="0"/>
    <s v="Under Observation"/>
    <x v="0"/>
    <x v="1"/>
    <s v="UPI"/>
    <n v="5"/>
    <x v="222"/>
    <s v="No"/>
    <x v="0"/>
  </r>
  <r>
    <x v="223"/>
    <x v="22"/>
    <x v="0"/>
    <x v="6"/>
    <x v="197"/>
    <d v="2024-07-15T00:00:00"/>
    <x v="4"/>
    <x v="3"/>
    <x v="1"/>
    <x v="223"/>
    <n v="12"/>
    <x v="0"/>
    <s v="Recovered"/>
    <x v="1"/>
    <x v="1"/>
    <s v="Card"/>
    <n v="3"/>
    <x v="223"/>
    <s v="No"/>
    <x v="1"/>
  </r>
  <r>
    <x v="224"/>
    <x v="22"/>
    <x v="1"/>
    <x v="2"/>
    <x v="198"/>
    <d v="2023-10-01T00:00:00"/>
    <x v="1"/>
    <x v="1"/>
    <x v="1"/>
    <x v="224"/>
    <n v="18"/>
    <x v="1"/>
    <s v="Recovered"/>
    <x v="2"/>
    <x v="0"/>
    <s v="Card"/>
    <n v="15"/>
    <x v="224"/>
    <s v="Yes"/>
    <x v="0"/>
  </r>
  <r>
    <x v="225"/>
    <x v="35"/>
    <x v="1"/>
    <x v="1"/>
    <x v="199"/>
    <d v="2025-07-09T00:00:00"/>
    <x v="6"/>
    <x v="2"/>
    <x v="6"/>
    <x v="225"/>
    <n v="3"/>
    <x v="1"/>
    <s v="Under Observation"/>
    <x v="2"/>
    <x v="3"/>
    <s v="Insurance"/>
    <n v="12"/>
    <x v="225"/>
    <s v="No"/>
    <x v="0"/>
  </r>
  <r>
    <x v="226"/>
    <x v="69"/>
    <x v="1"/>
    <x v="6"/>
    <x v="200"/>
    <d v="2025-04-23T00:00:00"/>
    <x v="4"/>
    <x v="3"/>
    <x v="3"/>
    <x v="226"/>
    <n v="7"/>
    <x v="1"/>
    <s v="Recovered"/>
    <x v="2"/>
    <x v="0"/>
    <s v="Card"/>
    <n v="10"/>
    <x v="226"/>
    <s v="No"/>
    <x v="0"/>
  </r>
  <r>
    <x v="227"/>
    <x v="65"/>
    <x v="1"/>
    <x v="4"/>
    <x v="201"/>
    <d v="2024-09-01T00:00:00"/>
    <x v="7"/>
    <x v="5"/>
    <x v="0"/>
    <x v="227"/>
    <n v="11"/>
    <x v="1"/>
    <s v="Recovered"/>
    <x v="0"/>
    <x v="0"/>
    <s v="UPI"/>
    <n v="2"/>
    <x v="227"/>
    <s v="Yes"/>
    <x v="0"/>
  </r>
  <r>
    <x v="228"/>
    <x v="51"/>
    <x v="0"/>
    <x v="3"/>
    <x v="202"/>
    <d v="2025-01-07T00:00:00"/>
    <x v="8"/>
    <x v="6"/>
    <x v="4"/>
    <x v="228"/>
    <n v="2"/>
    <x v="1"/>
    <s v="Under Observation"/>
    <x v="0"/>
    <x v="0"/>
    <s v="Cash"/>
    <n v="7"/>
    <x v="228"/>
    <s v="Yes"/>
    <x v="0"/>
  </r>
  <r>
    <x v="229"/>
    <x v="8"/>
    <x v="0"/>
    <x v="2"/>
    <x v="203"/>
    <d v="2024-01-31T00:00:00"/>
    <x v="1"/>
    <x v="1"/>
    <x v="3"/>
    <x v="229"/>
    <n v="19"/>
    <x v="1"/>
    <s v="Recovered"/>
    <x v="0"/>
    <x v="2"/>
    <s v="Cash"/>
    <n v="14"/>
    <x v="229"/>
    <s v="Yes"/>
    <x v="0"/>
  </r>
  <r>
    <x v="230"/>
    <x v="39"/>
    <x v="0"/>
    <x v="4"/>
    <x v="204"/>
    <d v="2023-08-12T00:00:00"/>
    <x v="6"/>
    <x v="2"/>
    <x v="2"/>
    <x v="230"/>
    <n v="1"/>
    <x v="1"/>
    <s v="Recovered"/>
    <x v="2"/>
    <x v="1"/>
    <s v="UPI"/>
    <n v="14"/>
    <x v="230"/>
    <s v="No"/>
    <x v="0"/>
  </r>
  <r>
    <x v="231"/>
    <x v="55"/>
    <x v="1"/>
    <x v="5"/>
    <x v="205"/>
    <d v="2025-05-08T00:00:00"/>
    <x v="6"/>
    <x v="2"/>
    <x v="4"/>
    <x v="231"/>
    <n v="10"/>
    <x v="1"/>
    <s v="Under Observation"/>
    <x v="2"/>
    <x v="3"/>
    <s v="Card"/>
    <n v="7"/>
    <x v="231"/>
    <s v="No"/>
    <x v="0"/>
  </r>
  <r>
    <x v="232"/>
    <x v="41"/>
    <x v="1"/>
    <x v="7"/>
    <x v="206"/>
    <d v="2023-08-24T00:00:00"/>
    <x v="7"/>
    <x v="5"/>
    <x v="6"/>
    <x v="232"/>
    <n v="1"/>
    <x v="1"/>
    <s v="Recovered"/>
    <x v="2"/>
    <x v="1"/>
    <s v="Card"/>
    <n v="5"/>
    <x v="232"/>
    <s v="No"/>
    <x v="0"/>
  </r>
  <r>
    <x v="233"/>
    <x v="43"/>
    <x v="1"/>
    <x v="3"/>
    <x v="44"/>
    <d v="2023-06-03T00:00:00"/>
    <x v="7"/>
    <x v="5"/>
    <x v="5"/>
    <x v="233"/>
    <n v="9"/>
    <x v="0"/>
    <s v="Recovered"/>
    <x v="0"/>
    <x v="3"/>
    <s v="Card"/>
    <n v="2"/>
    <x v="233"/>
    <s v="Yes"/>
    <x v="0"/>
  </r>
  <r>
    <x v="234"/>
    <x v="53"/>
    <x v="1"/>
    <x v="3"/>
    <x v="207"/>
    <d v="2023-08-22T00:00:00"/>
    <x v="4"/>
    <x v="3"/>
    <x v="4"/>
    <x v="234"/>
    <n v="25"/>
    <x v="0"/>
    <s v="Recovered"/>
    <x v="0"/>
    <x v="2"/>
    <s v="UPI"/>
    <n v="3"/>
    <x v="234"/>
    <s v="No"/>
    <x v="0"/>
  </r>
  <r>
    <x v="235"/>
    <x v="1"/>
    <x v="1"/>
    <x v="7"/>
    <x v="94"/>
    <d v="2023-01-23T00:00:00"/>
    <x v="1"/>
    <x v="1"/>
    <x v="4"/>
    <x v="235"/>
    <n v="14"/>
    <x v="0"/>
    <s v="Referred"/>
    <x v="2"/>
    <x v="2"/>
    <s v="Cash"/>
    <n v="6"/>
    <x v="235"/>
    <s v="No"/>
    <x v="0"/>
  </r>
  <r>
    <x v="236"/>
    <x v="20"/>
    <x v="1"/>
    <x v="0"/>
    <x v="208"/>
    <d v="2023-02-28T00:00:00"/>
    <x v="0"/>
    <x v="0"/>
    <x v="7"/>
    <x v="236"/>
    <n v="14"/>
    <x v="0"/>
    <s v="Recovered"/>
    <x v="0"/>
    <x v="2"/>
    <s v="Cash"/>
    <n v="5"/>
    <x v="236"/>
    <s v="No"/>
    <x v="1"/>
  </r>
  <r>
    <x v="237"/>
    <x v="12"/>
    <x v="1"/>
    <x v="7"/>
    <x v="209"/>
    <d v="2024-10-05T00:00:00"/>
    <x v="5"/>
    <x v="4"/>
    <x v="6"/>
    <x v="237"/>
    <n v="1"/>
    <x v="0"/>
    <s v="Recovered"/>
    <x v="2"/>
    <x v="1"/>
    <s v="UPI"/>
    <n v="3"/>
    <x v="237"/>
    <s v="Yes"/>
    <x v="0"/>
  </r>
  <r>
    <x v="238"/>
    <x v="8"/>
    <x v="1"/>
    <x v="1"/>
    <x v="210"/>
    <d v="2023-12-16T00:00:00"/>
    <x v="8"/>
    <x v="6"/>
    <x v="3"/>
    <x v="238"/>
    <n v="6"/>
    <x v="1"/>
    <s v="Recovered"/>
    <x v="0"/>
    <x v="0"/>
    <s v="Cash"/>
    <n v="3"/>
    <x v="238"/>
    <s v="Yes"/>
    <x v="1"/>
  </r>
  <r>
    <x v="239"/>
    <x v="71"/>
    <x v="1"/>
    <x v="4"/>
    <x v="211"/>
    <d v="2024-07-18T00:00:00"/>
    <x v="7"/>
    <x v="5"/>
    <x v="2"/>
    <x v="239"/>
    <n v="11"/>
    <x v="0"/>
    <s v="Recovered"/>
    <x v="1"/>
    <x v="2"/>
    <s v="Card"/>
    <n v="7"/>
    <x v="239"/>
    <s v="Yes"/>
    <x v="1"/>
  </r>
  <r>
    <x v="240"/>
    <x v="35"/>
    <x v="0"/>
    <x v="2"/>
    <x v="170"/>
    <d v="2023-02-21T00:00:00"/>
    <x v="1"/>
    <x v="1"/>
    <x v="2"/>
    <x v="240"/>
    <n v="17"/>
    <x v="1"/>
    <s v="Under Observation"/>
    <x v="2"/>
    <x v="3"/>
    <s v="Card"/>
    <n v="7"/>
    <x v="240"/>
    <s v="Yes"/>
    <x v="0"/>
  </r>
  <r>
    <x v="241"/>
    <x v="22"/>
    <x v="1"/>
    <x v="2"/>
    <x v="212"/>
    <d v="2025-01-04T00:00:00"/>
    <x v="1"/>
    <x v="1"/>
    <x v="3"/>
    <x v="241"/>
    <n v="11"/>
    <x v="0"/>
    <s v="Recovered"/>
    <x v="0"/>
    <x v="2"/>
    <s v="Insurance"/>
    <n v="9"/>
    <x v="241"/>
    <s v="Yes"/>
    <x v="0"/>
  </r>
  <r>
    <x v="242"/>
    <x v="53"/>
    <x v="0"/>
    <x v="1"/>
    <x v="213"/>
    <d v="2023-09-08T00:00:00"/>
    <x v="2"/>
    <x v="2"/>
    <x v="5"/>
    <x v="242"/>
    <n v="11"/>
    <x v="0"/>
    <s v="Referred"/>
    <x v="2"/>
    <x v="1"/>
    <s v="UPI"/>
    <n v="1"/>
    <x v="242"/>
    <s v="No"/>
    <x v="0"/>
  </r>
  <r>
    <x v="243"/>
    <x v="9"/>
    <x v="1"/>
    <x v="5"/>
    <x v="214"/>
    <d v="2024-08-08T00:00:00"/>
    <x v="4"/>
    <x v="3"/>
    <x v="5"/>
    <x v="243"/>
    <n v="18"/>
    <x v="0"/>
    <s v="Under Observation"/>
    <x v="2"/>
    <x v="1"/>
    <s v="Insurance"/>
    <n v="5"/>
    <x v="243"/>
    <s v="Yes"/>
    <x v="0"/>
  </r>
  <r>
    <x v="244"/>
    <x v="60"/>
    <x v="0"/>
    <x v="5"/>
    <x v="215"/>
    <d v="2023-09-15T00:00:00"/>
    <x v="5"/>
    <x v="4"/>
    <x v="6"/>
    <x v="244"/>
    <n v="17"/>
    <x v="1"/>
    <s v="Recovered"/>
    <x v="0"/>
    <x v="2"/>
    <s v="UPI"/>
    <n v="3"/>
    <x v="244"/>
    <s v="No"/>
    <x v="0"/>
  </r>
  <r>
    <x v="245"/>
    <x v="17"/>
    <x v="0"/>
    <x v="7"/>
    <x v="216"/>
    <d v="2024-11-03T00:00:00"/>
    <x v="7"/>
    <x v="5"/>
    <x v="2"/>
    <x v="245"/>
    <n v="12"/>
    <x v="1"/>
    <s v="Recovered"/>
    <x v="1"/>
    <x v="2"/>
    <s v="UPI"/>
    <n v="14"/>
    <x v="245"/>
    <s v="Yes"/>
    <x v="1"/>
  </r>
  <r>
    <x v="246"/>
    <x v="70"/>
    <x v="1"/>
    <x v="0"/>
    <x v="217"/>
    <d v="2024-05-15T00:00:00"/>
    <x v="0"/>
    <x v="0"/>
    <x v="6"/>
    <x v="246"/>
    <n v="23"/>
    <x v="0"/>
    <s v="Referred"/>
    <x v="0"/>
    <x v="2"/>
    <s v="Card"/>
    <n v="10"/>
    <x v="246"/>
    <s v="No"/>
    <x v="0"/>
  </r>
  <r>
    <x v="247"/>
    <x v="6"/>
    <x v="1"/>
    <x v="3"/>
    <x v="6"/>
    <d v="2024-03-22T00:00:00"/>
    <x v="0"/>
    <x v="0"/>
    <x v="2"/>
    <x v="247"/>
    <n v="13"/>
    <x v="1"/>
    <s v="Referred"/>
    <x v="1"/>
    <x v="2"/>
    <s v="Insurance"/>
    <n v="6"/>
    <x v="247"/>
    <s v="No"/>
    <x v="0"/>
  </r>
  <r>
    <x v="248"/>
    <x v="32"/>
    <x v="1"/>
    <x v="5"/>
    <x v="218"/>
    <d v="2023-09-16T00:00:00"/>
    <x v="2"/>
    <x v="2"/>
    <x v="5"/>
    <x v="248"/>
    <n v="17"/>
    <x v="0"/>
    <s v="Recovered"/>
    <x v="1"/>
    <x v="3"/>
    <s v="Insurance"/>
    <n v="4"/>
    <x v="248"/>
    <s v="No"/>
    <x v="0"/>
  </r>
  <r>
    <x v="249"/>
    <x v="67"/>
    <x v="1"/>
    <x v="6"/>
    <x v="219"/>
    <d v="2024-11-25T00:00:00"/>
    <x v="6"/>
    <x v="2"/>
    <x v="3"/>
    <x v="249"/>
    <n v="8"/>
    <x v="1"/>
    <s v="Deceased"/>
    <x v="0"/>
    <x v="3"/>
    <s v="Insurance"/>
    <n v="7"/>
    <x v="249"/>
    <s v="Yes"/>
    <x v="0"/>
  </r>
  <r>
    <x v="250"/>
    <x v="29"/>
    <x v="0"/>
    <x v="1"/>
    <x v="220"/>
    <d v="2023-04-26T00:00:00"/>
    <x v="6"/>
    <x v="2"/>
    <x v="3"/>
    <x v="250"/>
    <n v="5"/>
    <x v="1"/>
    <s v="Recovered"/>
    <x v="2"/>
    <x v="0"/>
    <s v="UPI"/>
    <n v="7"/>
    <x v="250"/>
    <s v="No"/>
    <x v="0"/>
  </r>
  <r>
    <x v="251"/>
    <x v="29"/>
    <x v="1"/>
    <x v="5"/>
    <x v="221"/>
    <d v="2023-09-13T00:00:00"/>
    <x v="1"/>
    <x v="1"/>
    <x v="4"/>
    <x v="251"/>
    <n v="6"/>
    <x v="0"/>
    <s v="Recovered"/>
    <x v="2"/>
    <x v="3"/>
    <s v="UPI"/>
    <n v="6"/>
    <x v="251"/>
    <s v="Yes"/>
    <x v="0"/>
  </r>
  <r>
    <x v="252"/>
    <x v="20"/>
    <x v="0"/>
    <x v="1"/>
    <x v="222"/>
    <d v="2025-01-25T00:00:00"/>
    <x v="2"/>
    <x v="2"/>
    <x v="7"/>
    <x v="252"/>
    <n v="9"/>
    <x v="0"/>
    <s v="Recovered"/>
    <x v="2"/>
    <x v="2"/>
    <s v="Cash"/>
    <n v="8"/>
    <x v="252"/>
    <s v="No"/>
    <x v="0"/>
  </r>
  <r>
    <x v="253"/>
    <x v="39"/>
    <x v="1"/>
    <x v="1"/>
    <x v="223"/>
    <d v="2025-01-16T00:00:00"/>
    <x v="6"/>
    <x v="2"/>
    <x v="6"/>
    <x v="253"/>
    <n v="3"/>
    <x v="1"/>
    <s v="Recovered"/>
    <x v="0"/>
    <x v="0"/>
    <s v="Card"/>
    <n v="11"/>
    <x v="253"/>
    <s v="No"/>
    <x v="0"/>
  </r>
  <r>
    <x v="254"/>
    <x v="9"/>
    <x v="1"/>
    <x v="7"/>
    <x v="150"/>
    <d v="2023-02-27T00:00:00"/>
    <x v="4"/>
    <x v="3"/>
    <x v="6"/>
    <x v="254"/>
    <n v="17"/>
    <x v="0"/>
    <s v="Recovered"/>
    <x v="2"/>
    <x v="3"/>
    <s v="Insurance"/>
    <n v="14"/>
    <x v="254"/>
    <s v="No"/>
    <x v="0"/>
  </r>
  <r>
    <x v="255"/>
    <x v="0"/>
    <x v="0"/>
    <x v="7"/>
    <x v="224"/>
    <d v="2023-10-12T00:00:00"/>
    <x v="3"/>
    <x v="0"/>
    <x v="0"/>
    <x v="255"/>
    <n v="3"/>
    <x v="1"/>
    <s v="Recovered"/>
    <x v="0"/>
    <x v="3"/>
    <s v="Cash"/>
    <n v="11"/>
    <x v="255"/>
    <s v="No"/>
    <x v="0"/>
  </r>
  <r>
    <x v="256"/>
    <x v="57"/>
    <x v="0"/>
    <x v="6"/>
    <x v="225"/>
    <d v="2025-01-04T00:00:00"/>
    <x v="0"/>
    <x v="0"/>
    <x v="6"/>
    <x v="256"/>
    <n v="19"/>
    <x v="1"/>
    <s v="Recovered"/>
    <x v="0"/>
    <x v="0"/>
    <s v="Insurance"/>
    <n v="12"/>
    <x v="256"/>
    <s v="Yes"/>
    <x v="0"/>
  </r>
  <r>
    <x v="257"/>
    <x v="0"/>
    <x v="0"/>
    <x v="4"/>
    <x v="226"/>
    <d v="2023-11-29T00:00:00"/>
    <x v="7"/>
    <x v="5"/>
    <x v="6"/>
    <x v="257"/>
    <n v="25"/>
    <x v="1"/>
    <s v="Recovered"/>
    <x v="2"/>
    <x v="2"/>
    <s v="Cash"/>
    <n v="11"/>
    <x v="257"/>
    <s v="No"/>
    <x v="1"/>
  </r>
  <r>
    <x v="258"/>
    <x v="17"/>
    <x v="1"/>
    <x v="5"/>
    <x v="227"/>
    <d v="2024-09-24T00:00:00"/>
    <x v="4"/>
    <x v="3"/>
    <x v="1"/>
    <x v="258"/>
    <n v="16"/>
    <x v="1"/>
    <s v="Recovered"/>
    <x v="1"/>
    <x v="3"/>
    <s v="Cash"/>
    <n v="12"/>
    <x v="258"/>
    <s v="Yes"/>
    <x v="0"/>
  </r>
  <r>
    <x v="259"/>
    <x v="14"/>
    <x v="0"/>
    <x v="7"/>
    <x v="228"/>
    <d v="2024-06-04T00:00:00"/>
    <x v="0"/>
    <x v="0"/>
    <x v="3"/>
    <x v="259"/>
    <n v="12"/>
    <x v="0"/>
    <s v="Recovered"/>
    <x v="2"/>
    <x v="3"/>
    <s v="Card"/>
    <n v="1"/>
    <x v="259"/>
    <s v="Yes"/>
    <x v="0"/>
  </r>
  <r>
    <x v="260"/>
    <x v="12"/>
    <x v="0"/>
    <x v="3"/>
    <x v="229"/>
    <d v="2024-07-19T00:00:00"/>
    <x v="1"/>
    <x v="1"/>
    <x v="0"/>
    <x v="260"/>
    <n v="4"/>
    <x v="0"/>
    <s v="Recovered"/>
    <x v="1"/>
    <x v="0"/>
    <s v="Insurance"/>
    <n v="8"/>
    <x v="260"/>
    <s v="Yes"/>
    <x v="0"/>
  </r>
  <r>
    <x v="261"/>
    <x v="19"/>
    <x v="0"/>
    <x v="6"/>
    <x v="230"/>
    <d v="2024-12-01T00:00:00"/>
    <x v="1"/>
    <x v="1"/>
    <x v="7"/>
    <x v="261"/>
    <n v="3"/>
    <x v="0"/>
    <s v="Recovered"/>
    <x v="2"/>
    <x v="3"/>
    <s v="Cash"/>
    <n v="2"/>
    <x v="261"/>
    <s v="Yes"/>
    <x v="0"/>
  </r>
  <r>
    <x v="262"/>
    <x v="54"/>
    <x v="1"/>
    <x v="6"/>
    <x v="231"/>
    <d v="2025-04-04T00:00:00"/>
    <x v="6"/>
    <x v="2"/>
    <x v="2"/>
    <x v="262"/>
    <n v="15"/>
    <x v="0"/>
    <s v="Recovered"/>
    <x v="2"/>
    <x v="0"/>
    <s v="UPI"/>
    <n v="11"/>
    <x v="262"/>
    <s v="Yes"/>
    <x v="0"/>
  </r>
  <r>
    <x v="263"/>
    <x v="29"/>
    <x v="1"/>
    <x v="2"/>
    <x v="232"/>
    <d v="2023-10-16T00:00:00"/>
    <x v="6"/>
    <x v="2"/>
    <x v="2"/>
    <x v="263"/>
    <n v="16"/>
    <x v="1"/>
    <s v="Recovered"/>
    <x v="0"/>
    <x v="0"/>
    <s v="Cash"/>
    <n v="8"/>
    <x v="263"/>
    <s v="No"/>
    <x v="0"/>
  </r>
  <r>
    <x v="264"/>
    <x v="23"/>
    <x v="0"/>
    <x v="4"/>
    <x v="233"/>
    <d v="2025-01-09T00:00:00"/>
    <x v="5"/>
    <x v="4"/>
    <x v="7"/>
    <x v="264"/>
    <n v="7"/>
    <x v="0"/>
    <s v="Under Observation"/>
    <x v="0"/>
    <x v="2"/>
    <s v="Card"/>
    <n v="10"/>
    <x v="264"/>
    <s v="Yes"/>
    <x v="0"/>
  </r>
  <r>
    <x v="265"/>
    <x v="38"/>
    <x v="0"/>
    <x v="3"/>
    <x v="234"/>
    <d v="2025-08-02T00:00:00"/>
    <x v="4"/>
    <x v="3"/>
    <x v="4"/>
    <x v="265"/>
    <n v="14"/>
    <x v="0"/>
    <s v="Recovered"/>
    <x v="1"/>
    <x v="2"/>
    <s v="UPI"/>
    <n v="3"/>
    <x v="265"/>
    <s v="No"/>
    <x v="0"/>
  </r>
  <r>
    <x v="266"/>
    <x v="48"/>
    <x v="1"/>
    <x v="2"/>
    <x v="235"/>
    <d v="2023-07-27T00:00:00"/>
    <x v="9"/>
    <x v="5"/>
    <x v="1"/>
    <x v="266"/>
    <n v="17"/>
    <x v="0"/>
    <s v="Recovered"/>
    <x v="2"/>
    <x v="1"/>
    <s v="Insurance"/>
    <n v="13"/>
    <x v="266"/>
    <s v="Yes"/>
    <x v="0"/>
  </r>
  <r>
    <x v="267"/>
    <x v="53"/>
    <x v="0"/>
    <x v="7"/>
    <x v="174"/>
    <d v="2023-02-25T00:00:00"/>
    <x v="6"/>
    <x v="2"/>
    <x v="7"/>
    <x v="267"/>
    <n v="1"/>
    <x v="1"/>
    <s v="Referred"/>
    <x v="1"/>
    <x v="0"/>
    <s v="Insurance"/>
    <n v="7"/>
    <x v="267"/>
    <s v="Yes"/>
    <x v="0"/>
  </r>
  <r>
    <x v="268"/>
    <x v="23"/>
    <x v="1"/>
    <x v="4"/>
    <x v="236"/>
    <d v="2025-07-07T00:00:00"/>
    <x v="3"/>
    <x v="0"/>
    <x v="0"/>
    <x v="268"/>
    <n v="11"/>
    <x v="0"/>
    <s v="Recovered"/>
    <x v="0"/>
    <x v="2"/>
    <s v="Insurance"/>
    <n v="4"/>
    <x v="268"/>
    <s v="Yes"/>
    <x v="0"/>
  </r>
  <r>
    <x v="269"/>
    <x v="29"/>
    <x v="1"/>
    <x v="7"/>
    <x v="237"/>
    <d v="2025-06-25T00:00:00"/>
    <x v="6"/>
    <x v="2"/>
    <x v="6"/>
    <x v="269"/>
    <n v="9"/>
    <x v="0"/>
    <s v="Recovered"/>
    <x v="0"/>
    <x v="0"/>
    <s v="UPI"/>
    <n v="10"/>
    <x v="269"/>
    <s v="No"/>
    <x v="0"/>
  </r>
  <r>
    <x v="270"/>
    <x v="68"/>
    <x v="1"/>
    <x v="4"/>
    <x v="238"/>
    <d v="2025-06-21T00:00:00"/>
    <x v="8"/>
    <x v="6"/>
    <x v="5"/>
    <x v="270"/>
    <n v="7"/>
    <x v="1"/>
    <s v="Recovered"/>
    <x v="2"/>
    <x v="2"/>
    <s v="UPI"/>
    <n v="10"/>
    <x v="270"/>
    <s v="No"/>
    <x v="0"/>
  </r>
  <r>
    <x v="271"/>
    <x v="18"/>
    <x v="0"/>
    <x v="3"/>
    <x v="239"/>
    <d v="2025-09-15T00:00:00"/>
    <x v="4"/>
    <x v="3"/>
    <x v="5"/>
    <x v="271"/>
    <n v="3"/>
    <x v="1"/>
    <s v="Recovered"/>
    <x v="2"/>
    <x v="0"/>
    <s v="UPI"/>
    <n v="1"/>
    <x v="271"/>
    <s v="Yes"/>
    <x v="0"/>
  </r>
  <r>
    <x v="272"/>
    <x v="67"/>
    <x v="1"/>
    <x v="0"/>
    <x v="240"/>
    <d v="2023-12-25T00:00:00"/>
    <x v="1"/>
    <x v="1"/>
    <x v="1"/>
    <x v="272"/>
    <n v="3"/>
    <x v="1"/>
    <s v="Recovered"/>
    <x v="0"/>
    <x v="0"/>
    <s v="UPI"/>
    <n v="9"/>
    <x v="272"/>
    <s v="Yes"/>
    <x v="0"/>
  </r>
  <r>
    <x v="273"/>
    <x v="9"/>
    <x v="0"/>
    <x v="0"/>
    <x v="183"/>
    <d v="2023-03-13T00:00:00"/>
    <x v="5"/>
    <x v="4"/>
    <x v="2"/>
    <x v="273"/>
    <n v="18"/>
    <x v="0"/>
    <s v="Referred"/>
    <x v="2"/>
    <x v="3"/>
    <s v="Insurance"/>
    <n v="6"/>
    <x v="273"/>
    <s v="No"/>
    <x v="0"/>
  </r>
  <r>
    <x v="274"/>
    <x v="56"/>
    <x v="0"/>
    <x v="6"/>
    <x v="207"/>
    <d v="2023-08-14T00:00:00"/>
    <x v="8"/>
    <x v="6"/>
    <x v="5"/>
    <x v="274"/>
    <n v="17"/>
    <x v="1"/>
    <s v="Recovered"/>
    <x v="2"/>
    <x v="0"/>
    <s v="Card"/>
    <n v="1"/>
    <x v="274"/>
    <s v="No"/>
    <x v="0"/>
  </r>
  <r>
    <x v="275"/>
    <x v="61"/>
    <x v="0"/>
    <x v="4"/>
    <x v="241"/>
    <d v="2025-03-23T00:00:00"/>
    <x v="1"/>
    <x v="1"/>
    <x v="2"/>
    <x v="275"/>
    <n v="15"/>
    <x v="0"/>
    <s v="Recovered"/>
    <x v="0"/>
    <x v="0"/>
    <s v="Card"/>
    <n v="15"/>
    <x v="275"/>
    <s v="No"/>
    <x v="0"/>
  </r>
  <r>
    <x v="276"/>
    <x v="69"/>
    <x v="0"/>
    <x v="2"/>
    <x v="242"/>
    <d v="2024-09-30T00:00:00"/>
    <x v="1"/>
    <x v="1"/>
    <x v="1"/>
    <x v="276"/>
    <n v="1"/>
    <x v="1"/>
    <s v="Recovered"/>
    <x v="1"/>
    <x v="0"/>
    <s v="UPI"/>
    <n v="15"/>
    <x v="276"/>
    <s v="Yes"/>
    <x v="1"/>
  </r>
  <r>
    <x v="277"/>
    <x v="48"/>
    <x v="0"/>
    <x v="3"/>
    <x v="243"/>
    <d v="2024-03-24T00:00:00"/>
    <x v="5"/>
    <x v="4"/>
    <x v="6"/>
    <x v="277"/>
    <n v="17"/>
    <x v="1"/>
    <s v="Recovered"/>
    <x v="0"/>
    <x v="2"/>
    <s v="Card"/>
    <n v="5"/>
    <x v="277"/>
    <s v="Yes"/>
    <x v="0"/>
  </r>
  <r>
    <x v="278"/>
    <x v="50"/>
    <x v="0"/>
    <x v="5"/>
    <x v="244"/>
    <d v="2023-09-24T00:00:00"/>
    <x v="9"/>
    <x v="5"/>
    <x v="6"/>
    <x v="278"/>
    <n v="10"/>
    <x v="0"/>
    <s v="Recovered"/>
    <x v="0"/>
    <x v="3"/>
    <s v="Card"/>
    <n v="15"/>
    <x v="278"/>
    <s v="No"/>
    <x v="0"/>
  </r>
  <r>
    <x v="279"/>
    <x v="27"/>
    <x v="0"/>
    <x v="0"/>
    <x v="245"/>
    <d v="2024-02-09T00:00:00"/>
    <x v="9"/>
    <x v="5"/>
    <x v="5"/>
    <x v="279"/>
    <n v="19"/>
    <x v="0"/>
    <s v="Recovered"/>
    <x v="1"/>
    <x v="0"/>
    <s v="Insurance"/>
    <n v="5"/>
    <x v="279"/>
    <s v="Yes"/>
    <x v="1"/>
  </r>
  <r>
    <x v="280"/>
    <x v="62"/>
    <x v="1"/>
    <x v="2"/>
    <x v="73"/>
    <d v="2024-11-02T00:00:00"/>
    <x v="7"/>
    <x v="5"/>
    <x v="0"/>
    <x v="280"/>
    <n v="10"/>
    <x v="1"/>
    <s v="Recovered"/>
    <x v="1"/>
    <x v="3"/>
    <s v="Card"/>
    <n v="10"/>
    <x v="280"/>
    <s v="Yes"/>
    <x v="0"/>
  </r>
  <r>
    <x v="281"/>
    <x v="7"/>
    <x v="1"/>
    <x v="0"/>
    <x v="152"/>
    <d v="2025-06-05T00:00:00"/>
    <x v="6"/>
    <x v="2"/>
    <x v="3"/>
    <x v="281"/>
    <n v="4"/>
    <x v="0"/>
    <s v="Recovered"/>
    <x v="0"/>
    <x v="0"/>
    <s v="Card"/>
    <n v="4"/>
    <x v="281"/>
    <s v="No"/>
    <x v="0"/>
  </r>
  <r>
    <x v="282"/>
    <x v="36"/>
    <x v="1"/>
    <x v="7"/>
    <x v="246"/>
    <d v="2023-05-16T00:00:00"/>
    <x v="3"/>
    <x v="0"/>
    <x v="2"/>
    <x v="282"/>
    <n v="16"/>
    <x v="0"/>
    <s v="Recovered"/>
    <x v="0"/>
    <x v="2"/>
    <s v="Cash"/>
    <n v="3"/>
    <x v="282"/>
    <s v="No"/>
    <x v="0"/>
  </r>
  <r>
    <x v="283"/>
    <x v="10"/>
    <x v="0"/>
    <x v="1"/>
    <x v="247"/>
    <d v="2024-10-31T00:00:00"/>
    <x v="5"/>
    <x v="4"/>
    <x v="1"/>
    <x v="283"/>
    <n v="14"/>
    <x v="0"/>
    <s v="Recovered"/>
    <x v="2"/>
    <x v="3"/>
    <s v="Insurance"/>
    <n v="5"/>
    <x v="283"/>
    <s v="Yes"/>
    <x v="0"/>
  </r>
  <r>
    <x v="284"/>
    <x v="32"/>
    <x v="1"/>
    <x v="7"/>
    <x v="248"/>
    <d v="2023-03-23T00:00:00"/>
    <x v="5"/>
    <x v="4"/>
    <x v="4"/>
    <x v="284"/>
    <n v="13"/>
    <x v="1"/>
    <s v="Recovered"/>
    <x v="1"/>
    <x v="1"/>
    <s v="UPI"/>
    <n v="2"/>
    <x v="284"/>
    <s v="Yes"/>
    <x v="0"/>
  </r>
  <r>
    <x v="285"/>
    <x v="54"/>
    <x v="1"/>
    <x v="6"/>
    <x v="249"/>
    <d v="2023-10-12T00:00:00"/>
    <x v="0"/>
    <x v="0"/>
    <x v="3"/>
    <x v="285"/>
    <n v="19"/>
    <x v="1"/>
    <s v="Recovered"/>
    <x v="1"/>
    <x v="3"/>
    <s v="Insurance"/>
    <n v="14"/>
    <x v="285"/>
    <s v="Yes"/>
    <x v="0"/>
  </r>
  <r>
    <x v="286"/>
    <x v="42"/>
    <x v="0"/>
    <x v="7"/>
    <x v="62"/>
    <d v="2025-03-24T00:00:00"/>
    <x v="2"/>
    <x v="2"/>
    <x v="6"/>
    <x v="286"/>
    <n v="15"/>
    <x v="1"/>
    <s v="Recovered"/>
    <x v="2"/>
    <x v="3"/>
    <s v="UPI"/>
    <n v="1"/>
    <x v="286"/>
    <s v="Yes"/>
    <x v="0"/>
  </r>
  <r>
    <x v="287"/>
    <x v="69"/>
    <x v="0"/>
    <x v="7"/>
    <x v="250"/>
    <d v="2024-02-03T00:00:00"/>
    <x v="3"/>
    <x v="0"/>
    <x v="3"/>
    <x v="287"/>
    <n v="8"/>
    <x v="0"/>
    <s v="Recovered"/>
    <x v="2"/>
    <x v="2"/>
    <s v="Insurance"/>
    <n v="5"/>
    <x v="287"/>
    <s v="No"/>
    <x v="0"/>
  </r>
  <r>
    <x v="288"/>
    <x v="56"/>
    <x v="1"/>
    <x v="3"/>
    <x v="251"/>
    <d v="2023-01-15T00:00:00"/>
    <x v="7"/>
    <x v="5"/>
    <x v="0"/>
    <x v="288"/>
    <n v="7"/>
    <x v="0"/>
    <s v="Recovered"/>
    <x v="1"/>
    <x v="0"/>
    <s v="UPI"/>
    <n v="2"/>
    <x v="288"/>
    <s v="No"/>
    <x v="0"/>
  </r>
  <r>
    <x v="289"/>
    <x v="15"/>
    <x v="0"/>
    <x v="7"/>
    <x v="252"/>
    <d v="2023-03-20T00:00:00"/>
    <x v="2"/>
    <x v="2"/>
    <x v="0"/>
    <x v="289"/>
    <n v="12"/>
    <x v="1"/>
    <s v="Recovered"/>
    <x v="1"/>
    <x v="3"/>
    <s v="Cash"/>
    <n v="1"/>
    <x v="289"/>
    <s v="No"/>
    <x v="1"/>
  </r>
  <r>
    <x v="290"/>
    <x v="58"/>
    <x v="1"/>
    <x v="2"/>
    <x v="172"/>
    <d v="2023-07-04T00:00:00"/>
    <x v="3"/>
    <x v="0"/>
    <x v="0"/>
    <x v="290"/>
    <n v="2"/>
    <x v="0"/>
    <s v="Under Observation"/>
    <x v="0"/>
    <x v="3"/>
    <s v="UPI"/>
    <n v="5"/>
    <x v="290"/>
    <s v="Yes"/>
    <x v="0"/>
  </r>
  <r>
    <x v="291"/>
    <x v="54"/>
    <x v="1"/>
    <x v="7"/>
    <x v="253"/>
    <d v="2024-02-14T00:00:00"/>
    <x v="8"/>
    <x v="6"/>
    <x v="6"/>
    <x v="291"/>
    <n v="17"/>
    <x v="0"/>
    <s v="Recovered"/>
    <x v="2"/>
    <x v="3"/>
    <s v="Cash"/>
    <n v="14"/>
    <x v="291"/>
    <s v="No"/>
    <x v="1"/>
  </r>
  <r>
    <x v="292"/>
    <x v="46"/>
    <x v="1"/>
    <x v="0"/>
    <x v="254"/>
    <d v="2025-06-26T00:00:00"/>
    <x v="3"/>
    <x v="0"/>
    <x v="0"/>
    <x v="292"/>
    <n v="4"/>
    <x v="1"/>
    <s v="Recovered"/>
    <x v="2"/>
    <x v="2"/>
    <s v="UPI"/>
    <n v="8"/>
    <x v="292"/>
    <s v="Yes"/>
    <x v="0"/>
  </r>
  <r>
    <x v="293"/>
    <x v="40"/>
    <x v="1"/>
    <x v="1"/>
    <x v="255"/>
    <d v="2023-06-04T00:00:00"/>
    <x v="2"/>
    <x v="2"/>
    <x v="7"/>
    <x v="293"/>
    <n v="19"/>
    <x v="0"/>
    <s v="Recovered"/>
    <x v="2"/>
    <x v="1"/>
    <s v="Insurance"/>
    <n v="7"/>
    <x v="293"/>
    <s v="No"/>
    <x v="0"/>
  </r>
  <r>
    <x v="294"/>
    <x v="38"/>
    <x v="1"/>
    <x v="3"/>
    <x v="256"/>
    <d v="2024-07-31T00:00:00"/>
    <x v="4"/>
    <x v="3"/>
    <x v="2"/>
    <x v="294"/>
    <n v="13"/>
    <x v="0"/>
    <s v="Under Observation"/>
    <x v="0"/>
    <x v="0"/>
    <s v="Cash"/>
    <n v="3"/>
    <x v="294"/>
    <s v="Yes"/>
    <x v="0"/>
  </r>
  <r>
    <x v="295"/>
    <x v="27"/>
    <x v="1"/>
    <x v="1"/>
    <x v="257"/>
    <d v="2023-10-05T00:00:00"/>
    <x v="5"/>
    <x v="4"/>
    <x v="3"/>
    <x v="295"/>
    <n v="19"/>
    <x v="0"/>
    <s v="Recovered"/>
    <x v="1"/>
    <x v="3"/>
    <s v="Card"/>
    <n v="5"/>
    <x v="295"/>
    <s v="Yes"/>
    <x v="0"/>
  </r>
  <r>
    <x v="296"/>
    <x v="12"/>
    <x v="1"/>
    <x v="7"/>
    <x v="258"/>
    <d v="2023-08-29T00:00:00"/>
    <x v="2"/>
    <x v="2"/>
    <x v="0"/>
    <x v="296"/>
    <n v="13"/>
    <x v="1"/>
    <s v="Deceased"/>
    <x v="0"/>
    <x v="3"/>
    <s v="Cash"/>
    <n v="6"/>
    <x v="296"/>
    <s v="No"/>
    <x v="0"/>
  </r>
  <r>
    <x v="297"/>
    <x v="71"/>
    <x v="1"/>
    <x v="3"/>
    <x v="259"/>
    <d v="2025-03-01T00:00:00"/>
    <x v="9"/>
    <x v="5"/>
    <x v="6"/>
    <x v="297"/>
    <n v="3"/>
    <x v="1"/>
    <s v="Under Observation"/>
    <x v="0"/>
    <x v="0"/>
    <s v="Card"/>
    <n v="3"/>
    <x v="297"/>
    <s v="No"/>
    <x v="0"/>
  </r>
  <r>
    <x v="298"/>
    <x v="43"/>
    <x v="0"/>
    <x v="0"/>
    <x v="211"/>
    <d v="2024-07-24T00:00:00"/>
    <x v="4"/>
    <x v="3"/>
    <x v="4"/>
    <x v="298"/>
    <n v="17"/>
    <x v="1"/>
    <s v="Recovered"/>
    <x v="2"/>
    <x v="2"/>
    <s v="Card"/>
    <n v="4"/>
    <x v="298"/>
    <s v="Yes"/>
    <x v="1"/>
  </r>
  <r>
    <x v="299"/>
    <x v="24"/>
    <x v="0"/>
    <x v="7"/>
    <x v="260"/>
    <d v="2025-02-12T00:00:00"/>
    <x v="5"/>
    <x v="4"/>
    <x v="1"/>
    <x v="299"/>
    <n v="5"/>
    <x v="0"/>
    <s v="Recovered"/>
    <x v="1"/>
    <x v="2"/>
    <s v="Insurance"/>
    <n v="2"/>
    <x v="299"/>
    <s v="No"/>
    <x v="0"/>
  </r>
  <r>
    <x v="300"/>
    <x v="30"/>
    <x v="1"/>
    <x v="7"/>
    <x v="261"/>
    <d v="2023-08-29T00:00:00"/>
    <x v="3"/>
    <x v="0"/>
    <x v="5"/>
    <x v="300"/>
    <n v="8"/>
    <x v="0"/>
    <s v="Under Observation"/>
    <x v="0"/>
    <x v="2"/>
    <s v="Cash"/>
    <n v="10"/>
    <x v="300"/>
    <s v="Yes"/>
    <x v="0"/>
  </r>
  <r>
    <x v="301"/>
    <x v="5"/>
    <x v="1"/>
    <x v="2"/>
    <x v="262"/>
    <d v="2024-11-18T00:00:00"/>
    <x v="5"/>
    <x v="4"/>
    <x v="2"/>
    <x v="301"/>
    <n v="14"/>
    <x v="1"/>
    <s v="Recovered"/>
    <x v="1"/>
    <x v="2"/>
    <s v="Insurance"/>
    <n v="14"/>
    <x v="301"/>
    <s v="No"/>
    <x v="0"/>
  </r>
  <r>
    <x v="302"/>
    <x v="42"/>
    <x v="1"/>
    <x v="6"/>
    <x v="194"/>
    <d v="2025-04-17T00:00:00"/>
    <x v="9"/>
    <x v="5"/>
    <x v="0"/>
    <x v="302"/>
    <n v="20"/>
    <x v="0"/>
    <s v="Recovered"/>
    <x v="2"/>
    <x v="3"/>
    <s v="Insurance"/>
    <n v="14"/>
    <x v="302"/>
    <s v="Yes"/>
    <x v="0"/>
  </r>
  <r>
    <x v="303"/>
    <x v="17"/>
    <x v="1"/>
    <x v="5"/>
    <x v="263"/>
    <d v="2023-08-21T00:00:00"/>
    <x v="8"/>
    <x v="6"/>
    <x v="7"/>
    <x v="303"/>
    <n v="6"/>
    <x v="1"/>
    <s v="Under Observation"/>
    <x v="2"/>
    <x v="3"/>
    <s v="Card"/>
    <n v="15"/>
    <x v="303"/>
    <s v="No"/>
    <x v="0"/>
  </r>
  <r>
    <x v="304"/>
    <x v="6"/>
    <x v="1"/>
    <x v="7"/>
    <x v="264"/>
    <d v="2024-06-16T00:00:00"/>
    <x v="3"/>
    <x v="0"/>
    <x v="0"/>
    <x v="304"/>
    <n v="10"/>
    <x v="1"/>
    <s v="Recovered"/>
    <x v="1"/>
    <x v="1"/>
    <s v="Cash"/>
    <n v="5"/>
    <x v="304"/>
    <s v="Yes"/>
    <x v="0"/>
  </r>
  <r>
    <x v="305"/>
    <x v="72"/>
    <x v="1"/>
    <x v="4"/>
    <x v="265"/>
    <d v="2023-10-27T00:00:00"/>
    <x v="5"/>
    <x v="4"/>
    <x v="6"/>
    <x v="305"/>
    <n v="6"/>
    <x v="1"/>
    <s v="Recovered"/>
    <x v="2"/>
    <x v="1"/>
    <s v="Card"/>
    <n v="11"/>
    <x v="305"/>
    <s v="No"/>
    <x v="0"/>
  </r>
  <r>
    <x v="306"/>
    <x v="64"/>
    <x v="1"/>
    <x v="5"/>
    <x v="266"/>
    <d v="2025-01-01T00:00:00"/>
    <x v="8"/>
    <x v="6"/>
    <x v="0"/>
    <x v="306"/>
    <n v="17"/>
    <x v="0"/>
    <s v="Recovered"/>
    <x v="2"/>
    <x v="1"/>
    <s v="UPI"/>
    <n v="10"/>
    <x v="306"/>
    <s v="Yes"/>
    <x v="0"/>
  </r>
  <r>
    <x v="307"/>
    <x v="29"/>
    <x v="1"/>
    <x v="4"/>
    <x v="267"/>
    <d v="2023-09-18T00:00:00"/>
    <x v="4"/>
    <x v="3"/>
    <x v="3"/>
    <x v="307"/>
    <n v="29"/>
    <x v="1"/>
    <s v="Deceased"/>
    <x v="0"/>
    <x v="2"/>
    <s v="UPI"/>
    <n v="8"/>
    <x v="307"/>
    <s v="Yes"/>
    <x v="0"/>
  </r>
  <r>
    <x v="308"/>
    <x v="59"/>
    <x v="0"/>
    <x v="4"/>
    <x v="107"/>
    <d v="2024-11-24T00:00:00"/>
    <x v="2"/>
    <x v="2"/>
    <x v="3"/>
    <x v="308"/>
    <n v="12"/>
    <x v="1"/>
    <s v="Under Observation"/>
    <x v="2"/>
    <x v="1"/>
    <s v="Insurance"/>
    <n v="9"/>
    <x v="308"/>
    <s v="No"/>
    <x v="0"/>
  </r>
  <r>
    <x v="309"/>
    <x v="12"/>
    <x v="0"/>
    <x v="1"/>
    <x v="268"/>
    <d v="2024-12-14T00:00:00"/>
    <x v="5"/>
    <x v="4"/>
    <x v="4"/>
    <x v="309"/>
    <n v="13"/>
    <x v="0"/>
    <s v="Recovered"/>
    <x v="2"/>
    <x v="3"/>
    <s v="Cash"/>
    <n v="3"/>
    <x v="309"/>
    <s v="Yes"/>
    <x v="1"/>
  </r>
  <r>
    <x v="310"/>
    <x v="72"/>
    <x v="0"/>
    <x v="5"/>
    <x v="269"/>
    <d v="2024-08-10T00:00:00"/>
    <x v="2"/>
    <x v="2"/>
    <x v="4"/>
    <x v="310"/>
    <n v="10"/>
    <x v="1"/>
    <s v="Recovered"/>
    <x v="1"/>
    <x v="2"/>
    <s v="UPI"/>
    <n v="6"/>
    <x v="310"/>
    <s v="No"/>
    <x v="0"/>
  </r>
  <r>
    <x v="311"/>
    <x v="18"/>
    <x v="0"/>
    <x v="4"/>
    <x v="270"/>
    <d v="2025-07-08T00:00:00"/>
    <x v="1"/>
    <x v="1"/>
    <x v="5"/>
    <x v="311"/>
    <n v="8"/>
    <x v="0"/>
    <s v="Recovered"/>
    <x v="1"/>
    <x v="0"/>
    <s v="UPI"/>
    <n v="3"/>
    <x v="311"/>
    <s v="No"/>
    <x v="0"/>
  </r>
  <r>
    <x v="312"/>
    <x v="7"/>
    <x v="1"/>
    <x v="4"/>
    <x v="271"/>
    <d v="2023-06-14T00:00:00"/>
    <x v="7"/>
    <x v="5"/>
    <x v="3"/>
    <x v="312"/>
    <n v="22"/>
    <x v="1"/>
    <s v="Recovered"/>
    <x v="0"/>
    <x v="2"/>
    <s v="Card"/>
    <n v="14"/>
    <x v="312"/>
    <s v="Yes"/>
    <x v="0"/>
  </r>
  <r>
    <x v="313"/>
    <x v="45"/>
    <x v="1"/>
    <x v="3"/>
    <x v="272"/>
    <d v="2025-01-09T00:00:00"/>
    <x v="8"/>
    <x v="6"/>
    <x v="7"/>
    <x v="313"/>
    <n v="19"/>
    <x v="1"/>
    <s v="Recovered"/>
    <x v="0"/>
    <x v="3"/>
    <s v="UPI"/>
    <n v="10"/>
    <x v="313"/>
    <s v="Yes"/>
    <x v="0"/>
  </r>
  <r>
    <x v="314"/>
    <x v="52"/>
    <x v="1"/>
    <x v="1"/>
    <x v="273"/>
    <d v="2024-07-17T00:00:00"/>
    <x v="2"/>
    <x v="2"/>
    <x v="3"/>
    <x v="314"/>
    <n v="17"/>
    <x v="0"/>
    <s v="Recovered"/>
    <x v="0"/>
    <x v="0"/>
    <s v="Card"/>
    <n v="4"/>
    <x v="314"/>
    <s v="Yes"/>
    <x v="1"/>
  </r>
  <r>
    <x v="315"/>
    <x v="39"/>
    <x v="0"/>
    <x v="2"/>
    <x v="274"/>
    <d v="2024-03-10T00:00:00"/>
    <x v="2"/>
    <x v="2"/>
    <x v="4"/>
    <x v="315"/>
    <n v="20"/>
    <x v="1"/>
    <s v="Under Observation"/>
    <x v="0"/>
    <x v="0"/>
    <s v="Insurance"/>
    <n v="11"/>
    <x v="315"/>
    <s v="No"/>
    <x v="0"/>
  </r>
  <r>
    <x v="316"/>
    <x v="31"/>
    <x v="1"/>
    <x v="7"/>
    <x v="275"/>
    <d v="2023-03-28T00:00:00"/>
    <x v="2"/>
    <x v="2"/>
    <x v="5"/>
    <x v="316"/>
    <n v="9"/>
    <x v="0"/>
    <s v="Recovered"/>
    <x v="0"/>
    <x v="1"/>
    <s v="Card"/>
    <n v="5"/>
    <x v="316"/>
    <s v="No"/>
    <x v="0"/>
  </r>
  <r>
    <x v="317"/>
    <x v="10"/>
    <x v="0"/>
    <x v="1"/>
    <x v="204"/>
    <d v="2023-08-18T00:00:00"/>
    <x v="4"/>
    <x v="3"/>
    <x v="7"/>
    <x v="317"/>
    <n v="7"/>
    <x v="1"/>
    <s v="Recovered"/>
    <x v="1"/>
    <x v="0"/>
    <s v="Insurance"/>
    <n v="11"/>
    <x v="317"/>
    <s v="Yes"/>
    <x v="0"/>
  </r>
  <r>
    <x v="318"/>
    <x v="50"/>
    <x v="0"/>
    <x v="6"/>
    <x v="276"/>
    <d v="2025-04-01T00:00:00"/>
    <x v="8"/>
    <x v="6"/>
    <x v="2"/>
    <x v="318"/>
    <n v="25"/>
    <x v="1"/>
    <s v="Recovered"/>
    <x v="0"/>
    <x v="2"/>
    <s v="UPI"/>
    <n v="6"/>
    <x v="318"/>
    <s v="Yes"/>
    <x v="1"/>
  </r>
  <r>
    <x v="319"/>
    <x v="30"/>
    <x v="0"/>
    <x v="2"/>
    <x v="277"/>
    <d v="2025-03-05T00:00:00"/>
    <x v="5"/>
    <x v="4"/>
    <x v="1"/>
    <x v="319"/>
    <n v="20"/>
    <x v="0"/>
    <s v="Recovered"/>
    <x v="1"/>
    <x v="2"/>
    <s v="Insurance"/>
    <n v="1"/>
    <x v="319"/>
    <s v="Yes"/>
    <x v="0"/>
  </r>
  <r>
    <x v="320"/>
    <x v="44"/>
    <x v="1"/>
    <x v="5"/>
    <x v="278"/>
    <d v="2024-06-23T00:00:00"/>
    <x v="3"/>
    <x v="0"/>
    <x v="4"/>
    <x v="320"/>
    <n v="28"/>
    <x v="0"/>
    <s v="Recovered"/>
    <x v="1"/>
    <x v="2"/>
    <s v="UPI"/>
    <n v="3"/>
    <x v="320"/>
    <s v="Yes"/>
    <x v="0"/>
  </r>
  <r>
    <x v="321"/>
    <x v="46"/>
    <x v="0"/>
    <x v="5"/>
    <x v="241"/>
    <d v="2025-03-25T00:00:00"/>
    <x v="5"/>
    <x v="4"/>
    <x v="5"/>
    <x v="321"/>
    <n v="17"/>
    <x v="0"/>
    <s v="Recovered"/>
    <x v="2"/>
    <x v="0"/>
    <s v="UPI"/>
    <n v="11"/>
    <x v="321"/>
    <s v="Yes"/>
    <x v="0"/>
  </r>
  <r>
    <x v="322"/>
    <x v="0"/>
    <x v="0"/>
    <x v="1"/>
    <x v="279"/>
    <d v="2023-12-09T00:00:00"/>
    <x v="5"/>
    <x v="4"/>
    <x v="2"/>
    <x v="322"/>
    <n v="17"/>
    <x v="0"/>
    <s v="Recovered"/>
    <x v="2"/>
    <x v="0"/>
    <s v="Insurance"/>
    <n v="10"/>
    <x v="322"/>
    <s v="No"/>
    <x v="0"/>
  </r>
  <r>
    <x v="323"/>
    <x v="26"/>
    <x v="0"/>
    <x v="1"/>
    <x v="203"/>
    <d v="2024-01-22T00:00:00"/>
    <x v="2"/>
    <x v="2"/>
    <x v="2"/>
    <x v="323"/>
    <n v="10"/>
    <x v="1"/>
    <s v="Recovered"/>
    <x v="1"/>
    <x v="0"/>
    <s v="Cash"/>
    <n v="5"/>
    <x v="323"/>
    <s v="No"/>
    <x v="0"/>
  </r>
  <r>
    <x v="324"/>
    <x v="8"/>
    <x v="1"/>
    <x v="6"/>
    <x v="280"/>
    <d v="2024-03-11T00:00:00"/>
    <x v="6"/>
    <x v="2"/>
    <x v="5"/>
    <x v="324"/>
    <n v="27"/>
    <x v="1"/>
    <s v="Recovered"/>
    <x v="2"/>
    <x v="2"/>
    <s v="Card"/>
    <n v="2"/>
    <x v="324"/>
    <s v="No"/>
    <x v="0"/>
  </r>
  <r>
    <x v="325"/>
    <x v="42"/>
    <x v="0"/>
    <x v="5"/>
    <x v="281"/>
    <d v="2024-11-27T00:00:00"/>
    <x v="1"/>
    <x v="1"/>
    <x v="2"/>
    <x v="325"/>
    <n v="5"/>
    <x v="1"/>
    <s v="Recovered"/>
    <x v="0"/>
    <x v="3"/>
    <s v="Cash"/>
    <n v="5"/>
    <x v="325"/>
    <s v="Yes"/>
    <x v="0"/>
  </r>
  <r>
    <x v="326"/>
    <x v="39"/>
    <x v="1"/>
    <x v="0"/>
    <x v="282"/>
    <d v="2025-02-08T00:00:00"/>
    <x v="4"/>
    <x v="3"/>
    <x v="2"/>
    <x v="326"/>
    <n v="9"/>
    <x v="1"/>
    <s v="Recovered"/>
    <x v="1"/>
    <x v="3"/>
    <s v="Cash"/>
    <n v="11"/>
    <x v="326"/>
    <s v="Yes"/>
    <x v="0"/>
  </r>
  <r>
    <x v="327"/>
    <x v="32"/>
    <x v="0"/>
    <x v="4"/>
    <x v="283"/>
    <d v="2024-08-11T00:00:00"/>
    <x v="2"/>
    <x v="2"/>
    <x v="4"/>
    <x v="327"/>
    <n v="6"/>
    <x v="0"/>
    <s v="Referred"/>
    <x v="1"/>
    <x v="0"/>
    <s v="UPI"/>
    <n v="2"/>
    <x v="327"/>
    <s v="Yes"/>
    <x v="0"/>
  </r>
  <r>
    <x v="328"/>
    <x v="67"/>
    <x v="1"/>
    <x v="7"/>
    <x v="284"/>
    <d v="2023-09-19T00:00:00"/>
    <x v="8"/>
    <x v="6"/>
    <x v="1"/>
    <x v="328"/>
    <n v="18"/>
    <x v="0"/>
    <s v="Referred"/>
    <x v="2"/>
    <x v="2"/>
    <s v="Insurance"/>
    <n v="13"/>
    <x v="328"/>
    <s v="Yes"/>
    <x v="0"/>
  </r>
  <r>
    <x v="329"/>
    <x v="55"/>
    <x v="0"/>
    <x v="5"/>
    <x v="285"/>
    <d v="2023-09-12T00:00:00"/>
    <x v="7"/>
    <x v="5"/>
    <x v="3"/>
    <x v="329"/>
    <n v="25"/>
    <x v="0"/>
    <s v="Recovered"/>
    <x v="2"/>
    <x v="2"/>
    <s v="Cash"/>
    <n v="12"/>
    <x v="329"/>
    <s v="Yes"/>
    <x v="1"/>
  </r>
  <r>
    <x v="330"/>
    <x v="28"/>
    <x v="0"/>
    <x v="0"/>
    <x v="286"/>
    <d v="2023-09-27T00:00:00"/>
    <x v="6"/>
    <x v="2"/>
    <x v="5"/>
    <x v="330"/>
    <n v="16"/>
    <x v="1"/>
    <s v="Under Observation"/>
    <x v="2"/>
    <x v="1"/>
    <s v="Card"/>
    <n v="11"/>
    <x v="330"/>
    <s v="Yes"/>
    <x v="1"/>
  </r>
  <r>
    <x v="331"/>
    <x v="44"/>
    <x v="0"/>
    <x v="2"/>
    <x v="287"/>
    <d v="2024-06-07T00:00:00"/>
    <x v="8"/>
    <x v="6"/>
    <x v="3"/>
    <x v="331"/>
    <n v="7"/>
    <x v="1"/>
    <s v="Recovered"/>
    <x v="2"/>
    <x v="3"/>
    <s v="Card"/>
    <n v="8"/>
    <x v="331"/>
    <s v="No"/>
    <x v="0"/>
  </r>
  <r>
    <x v="332"/>
    <x v="59"/>
    <x v="1"/>
    <x v="2"/>
    <x v="288"/>
    <d v="2025-05-16T00:00:00"/>
    <x v="4"/>
    <x v="3"/>
    <x v="3"/>
    <x v="332"/>
    <n v="8"/>
    <x v="0"/>
    <s v="Under Observation"/>
    <x v="1"/>
    <x v="1"/>
    <s v="Card"/>
    <n v="12"/>
    <x v="332"/>
    <s v="Yes"/>
    <x v="0"/>
  </r>
  <r>
    <x v="333"/>
    <x v="15"/>
    <x v="0"/>
    <x v="0"/>
    <x v="163"/>
    <d v="2025-05-25T00:00:00"/>
    <x v="4"/>
    <x v="3"/>
    <x v="4"/>
    <x v="333"/>
    <n v="7"/>
    <x v="1"/>
    <s v="Recovered"/>
    <x v="2"/>
    <x v="2"/>
    <s v="Cash"/>
    <n v="2"/>
    <x v="333"/>
    <s v="Yes"/>
    <x v="0"/>
  </r>
  <r>
    <x v="334"/>
    <x v="2"/>
    <x v="0"/>
    <x v="0"/>
    <x v="240"/>
    <d v="2023-12-29T00:00:00"/>
    <x v="8"/>
    <x v="6"/>
    <x v="3"/>
    <x v="334"/>
    <n v="7"/>
    <x v="0"/>
    <s v="Under Observation"/>
    <x v="2"/>
    <x v="1"/>
    <s v="UPI"/>
    <n v="1"/>
    <x v="334"/>
    <s v="Yes"/>
    <x v="0"/>
  </r>
  <r>
    <x v="335"/>
    <x v="61"/>
    <x v="1"/>
    <x v="0"/>
    <x v="128"/>
    <d v="2025-08-28T00:00:00"/>
    <x v="4"/>
    <x v="3"/>
    <x v="4"/>
    <x v="335"/>
    <n v="12"/>
    <x v="0"/>
    <s v="Referred"/>
    <x v="1"/>
    <x v="1"/>
    <s v="UPI"/>
    <n v="4"/>
    <x v="335"/>
    <s v="No"/>
    <x v="0"/>
  </r>
  <r>
    <x v="336"/>
    <x v="36"/>
    <x v="0"/>
    <x v="5"/>
    <x v="289"/>
    <d v="2025-09-16T00:00:00"/>
    <x v="7"/>
    <x v="5"/>
    <x v="2"/>
    <x v="336"/>
    <n v="12"/>
    <x v="1"/>
    <s v="Recovered"/>
    <x v="0"/>
    <x v="3"/>
    <s v="Card"/>
    <n v="11"/>
    <x v="336"/>
    <s v="No"/>
    <x v="0"/>
  </r>
  <r>
    <x v="337"/>
    <x v="40"/>
    <x v="0"/>
    <x v="7"/>
    <x v="290"/>
    <d v="2023-02-09T00:00:00"/>
    <x v="9"/>
    <x v="5"/>
    <x v="0"/>
    <x v="337"/>
    <n v="16"/>
    <x v="1"/>
    <s v="Recovered"/>
    <x v="1"/>
    <x v="0"/>
    <s v="Insurance"/>
    <n v="1"/>
    <x v="337"/>
    <s v="No"/>
    <x v="0"/>
  </r>
  <r>
    <x v="338"/>
    <x v="26"/>
    <x v="0"/>
    <x v="5"/>
    <x v="291"/>
    <d v="2023-05-10T00:00:00"/>
    <x v="3"/>
    <x v="0"/>
    <x v="4"/>
    <x v="338"/>
    <n v="6"/>
    <x v="1"/>
    <s v="Recovered"/>
    <x v="1"/>
    <x v="3"/>
    <s v="UPI"/>
    <n v="9"/>
    <x v="338"/>
    <s v="No"/>
    <x v="0"/>
  </r>
  <r>
    <x v="339"/>
    <x v="15"/>
    <x v="1"/>
    <x v="3"/>
    <x v="246"/>
    <d v="2023-05-11T00:00:00"/>
    <x v="7"/>
    <x v="5"/>
    <x v="4"/>
    <x v="339"/>
    <n v="11"/>
    <x v="0"/>
    <s v="Recovered"/>
    <x v="2"/>
    <x v="2"/>
    <s v="Card"/>
    <n v="2"/>
    <x v="339"/>
    <s v="No"/>
    <x v="1"/>
  </r>
  <r>
    <x v="340"/>
    <x v="14"/>
    <x v="1"/>
    <x v="5"/>
    <x v="111"/>
    <d v="2023-05-06T00:00:00"/>
    <x v="0"/>
    <x v="0"/>
    <x v="6"/>
    <x v="340"/>
    <n v="22"/>
    <x v="0"/>
    <s v="Recovered"/>
    <x v="1"/>
    <x v="2"/>
    <s v="Cash"/>
    <n v="7"/>
    <x v="340"/>
    <s v="Yes"/>
    <x v="0"/>
  </r>
  <r>
    <x v="341"/>
    <x v="18"/>
    <x v="0"/>
    <x v="6"/>
    <x v="292"/>
    <d v="2024-10-27T00:00:00"/>
    <x v="6"/>
    <x v="2"/>
    <x v="2"/>
    <x v="341"/>
    <n v="15"/>
    <x v="0"/>
    <s v="Referred"/>
    <x v="2"/>
    <x v="1"/>
    <s v="Cash"/>
    <n v="14"/>
    <x v="341"/>
    <s v="Yes"/>
    <x v="0"/>
  </r>
  <r>
    <x v="342"/>
    <x v="50"/>
    <x v="0"/>
    <x v="7"/>
    <x v="293"/>
    <d v="2023-09-22T00:00:00"/>
    <x v="1"/>
    <x v="1"/>
    <x v="4"/>
    <x v="342"/>
    <n v="17"/>
    <x v="0"/>
    <s v="Recovered"/>
    <x v="1"/>
    <x v="2"/>
    <s v="Cash"/>
    <n v="9"/>
    <x v="342"/>
    <s v="Yes"/>
    <x v="0"/>
  </r>
  <r>
    <x v="343"/>
    <x v="4"/>
    <x v="1"/>
    <x v="4"/>
    <x v="294"/>
    <d v="2024-09-04T00:00:00"/>
    <x v="3"/>
    <x v="0"/>
    <x v="5"/>
    <x v="343"/>
    <n v="16"/>
    <x v="0"/>
    <s v="Recovered"/>
    <x v="0"/>
    <x v="2"/>
    <s v="Card"/>
    <n v="13"/>
    <x v="343"/>
    <s v="Yes"/>
    <x v="0"/>
  </r>
  <r>
    <x v="344"/>
    <x v="35"/>
    <x v="0"/>
    <x v="2"/>
    <x v="295"/>
    <d v="2024-02-14T00:00:00"/>
    <x v="0"/>
    <x v="0"/>
    <x v="4"/>
    <x v="344"/>
    <n v="13"/>
    <x v="1"/>
    <s v="Recovered"/>
    <x v="0"/>
    <x v="3"/>
    <s v="Card"/>
    <n v="1"/>
    <x v="344"/>
    <s v="No"/>
    <x v="0"/>
  </r>
  <r>
    <x v="345"/>
    <x v="18"/>
    <x v="0"/>
    <x v="5"/>
    <x v="296"/>
    <d v="2024-07-11T00:00:00"/>
    <x v="1"/>
    <x v="1"/>
    <x v="1"/>
    <x v="345"/>
    <n v="20"/>
    <x v="0"/>
    <s v="Under Observation"/>
    <x v="0"/>
    <x v="1"/>
    <s v="Insurance"/>
    <n v="6"/>
    <x v="345"/>
    <s v="No"/>
    <x v="0"/>
  </r>
  <r>
    <x v="346"/>
    <x v="20"/>
    <x v="0"/>
    <x v="1"/>
    <x v="297"/>
    <d v="2024-04-03T00:00:00"/>
    <x v="5"/>
    <x v="4"/>
    <x v="6"/>
    <x v="346"/>
    <n v="5"/>
    <x v="1"/>
    <s v="Recovered"/>
    <x v="1"/>
    <x v="1"/>
    <s v="Card"/>
    <n v="13"/>
    <x v="346"/>
    <s v="No"/>
    <x v="0"/>
  </r>
  <r>
    <x v="347"/>
    <x v="26"/>
    <x v="0"/>
    <x v="7"/>
    <x v="298"/>
    <d v="2023-11-06T00:00:00"/>
    <x v="3"/>
    <x v="0"/>
    <x v="5"/>
    <x v="347"/>
    <n v="26"/>
    <x v="1"/>
    <s v="Deceased"/>
    <x v="2"/>
    <x v="2"/>
    <s v="UPI"/>
    <n v="6"/>
    <x v="347"/>
    <s v="No"/>
    <x v="0"/>
  </r>
  <r>
    <x v="348"/>
    <x v="63"/>
    <x v="1"/>
    <x v="3"/>
    <x v="299"/>
    <d v="2024-11-27T00:00:00"/>
    <x v="4"/>
    <x v="3"/>
    <x v="3"/>
    <x v="348"/>
    <n v="27"/>
    <x v="1"/>
    <s v="Recovered"/>
    <x v="1"/>
    <x v="2"/>
    <s v="Insurance"/>
    <n v="11"/>
    <x v="348"/>
    <s v="Yes"/>
    <x v="0"/>
  </r>
  <r>
    <x v="349"/>
    <x v="12"/>
    <x v="1"/>
    <x v="6"/>
    <x v="134"/>
    <d v="2024-11-09T00:00:00"/>
    <x v="3"/>
    <x v="0"/>
    <x v="0"/>
    <x v="349"/>
    <n v="10"/>
    <x v="0"/>
    <s v="Recovered"/>
    <x v="1"/>
    <x v="2"/>
    <s v="Insurance"/>
    <n v="3"/>
    <x v="349"/>
    <s v="No"/>
    <x v="0"/>
  </r>
  <r>
    <x v="350"/>
    <x v="35"/>
    <x v="0"/>
    <x v="1"/>
    <x v="147"/>
    <d v="2024-09-19T00:00:00"/>
    <x v="9"/>
    <x v="5"/>
    <x v="7"/>
    <x v="350"/>
    <n v="15"/>
    <x v="1"/>
    <s v="Recovered"/>
    <x v="2"/>
    <x v="0"/>
    <s v="Card"/>
    <n v="11"/>
    <x v="350"/>
    <s v="Yes"/>
    <x v="0"/>
  </r>
  <r>
    <x v="351"/>
    <x v="58"/>
    <x v="1"/>
    <x v="3"/>
    <x v="5"/>
    <d v="2023-08-16T00:00:00"/>
    <x v="7"/>
    <x v="5"/>
    <x v="3"/>
    <x v="351"/>
    <n v="9"/>
    <x v="0"/>
    <s v="Recovered"/>
    <x v="1"/>
    <x v="2"/>
    <s v="Insurance"/>
    <n v="6"/>
    <x v="351"/>
    <s v="No"/>
    <x v="0"/>
  </r>
  <r>
    <x v="352"/>
    <x v="34"/>
    <x v="1"/>
    <x v="1"/>
    <x v="300"/>
    <d v="2024-03-29T00:00:00"/>
    <x v="3"/>
    <x v="0"/>
    <x v="4"/>
    <x v="352"/>
    <n v="17"/>
    <x v="1"/>
    <s v="Deceased"/>
    <x v="2"/>
    <x v="1"/>
    <s v="UPI"/>
    <n v="7"/>
    <x v="352"/>
    <s v="Yes"/>
    <x v="0"/>
  </r>
  <r>
    <x v="353"/>
    <x v="50"/>
    <x v="0"/>
    <x v="2"/>
    <x v="301"/>
    <d v="2024-02-12T00:00:00"/>
    <x v="6"/>
    <x v="2"/>
    <x v="6"/>
    <x v="353"/>
    <n v="12"/>
    <x v="1"/>
    <s v="Recovered"/>
    <x v="0"/>
    <x v="2"/>
    <s v="Insurance"/>
    <n v="12"/>
    <x v="353"/>
    <s v="Yes"/>
    <x v="1"/>
  </r>
  <r>
    <x v="354"/>
    <x v="5"/>
    <x v="0"/>
    <x v="5"/>
    <x v="302"/>
    <d v="2025-05-07T00:00:00"/>
    <x v="8"/>
    <x v="6"/>
    <x v="3"/>
    <x v="354"/>
    <n v="19"/>
    <x v="0"/>
    <s v="Deceased"/>
    <x v="1"/>
    <x v="3"/>
    <s v="Card"/>
    <n v="14"/>
    <x v="354"/>
    <s v="No"/>
    <x v="0"/>
  </r>
  <r>
    <x v="355"/>
    <x v="12"/>
    <x v="0"/>
    <x v="6"/>
    <x v="260"/>
    <d v="2025-02-22T00:00:00"/>
    <x v="4"/>
    <x v="3"/>
    <x v="5"/>
    <x v="355"/>
    <n v="15"/>
    <x v="0"/>
    <s v="Recovered"/>
    <x v="2"/>
    <x v="2"/>
    <s v="Insurance"/>
    <n v="6"/>
    <x v="355"/>
    <s v="No"/>
    <x v="1"/>
  </r>
  <r>
    <x v="356"/>
    <x v="4"/>
    <x v="1"/>
    <x v="4"/>
    <x v="26"/>
    <d v="2023-10-17T00:00:00"/>
    <x v="4"/>
    <x v="3"/>
    <x v="1"/>
    <x v="356"/>
    <n v="18"/>
    <x v="1"/>
    <s v="Referred"/>
    <x v="1"/>
    <x v="2"/>
    <s v="Insurance"/>
    <n v="12"/>
    <x v="356"/>
    <s v="Yes"/>
    <x v="0"/>
  </r>
  <r>
    <x v="357"/>
    <x v="47"/>
    <x v="0"/>
    <x v="3"/>
    <x v="240"/>
    <d v="2024-01-04T00:00:00"/>
    <x v="6"/>
    <x v="2"/>
    <x v="5"/>
    <x v="357"/>
    <n v="13"/>
    <x v="0"/>
    <s v="Recovered"/>
    <x v="2"/>
    <x v="3"/>
    <s v="Cash"/>
    <n v="14"/>
    <x v="357"/>
    <s v="Yes"/>
    <x v="0"/>
  </r>
  <r>
    <x v="358"/>
    <x v="14"/>
    <x v="0"/>
    <x v="0"/>
    <x v="303"/>
    <d v="2024-04-29T00:00:00"/>
    <x v="3"/>
    <x v="0"/>
    <x v="7"/>
    <x v="358"/>
    <n v="4"/>
    <x v="0"/>
    <s v="Recovered"/>
    <x v="2"/>
    <x v="1"/>
    <s v="Cash"/>
    <n v="11"/>
    <x v="358"/>
    <s v="No"/>
    <x v="0"/>
  </r>
  <r>
    <x v="359"/>
    <x v="56"/>
    <x v="0"/>
    <x v="5"/>
    <x v="231"/>
    <d v="2025-04-16T00:00:00"/>
    <x v="4"/>
    <x v="3"/>
    <x v="4"/>
    <x v="359"/>
    <n v="27"/>
    <x v="0"/>
    <s v="Recovered"/>
    <x v="1"/>
    <x v="2"/>
    <s v="Insurance"/>
    <n v="11"/>
    <x v="359"/>
    <s v="No"/>
    <x v="0"/>
  </r>
  <r>
    <x v="360"/>
    <x v="50"/>
    <x v="1"/>
    <x v="1"/>
    <x v="283"/>
    <d v="2024-08-12T00:00:00"/>
    <x v="9"/>
    <x v="5"/>
    <x v="5"/>
    <x v="360"/>
    <n v="7"/>
    <x v="0"/>
    <s v="Recovered"/>
    <x v="2"/>
    <x v="2"/>
    <s v="Insurance"/>
    <n v="8"/>
    <x v="360"/>
    <s v="No"/>
    <x v="0"/>
  </r>
  <r>
    <x v="361"/>
    <x v="42"/>
    <x v="1"/>
    <x v="5"/>
    <x v="288"/>
    <d v="2025-05-24T00:00:00"/>
    <x v="5"/>
    <x v="4"/>
    <x v="0"/>
    <x v="361"/>
    <n v="16"/>
    <x v="0"/>
    <s v="Under Observation"/>
    <x v="1"/>
    <x v="3"/>
    <s v="Cash"/>
    <n v="6"/>
    <x v="361"/>
    <s v="Yes"/>
    <x v="0"/>
  </r>
  <r>
    <x v="362"/>
    <x v="3"/>
    <x v="0"/>
    <x v="6"/>
    <x v="304"/>
    <d v="2023-02-11T00:00:00"/>
    <x v="4"/>
    <x v="3"/>
    <x v="5"/>
    <x v="362"/>
    <n v="19"/>
    <x v="1"/>
    <s v="Recovered"/>
    <x v="0"/>
    <x v="1"/>
    <s v="Cash"/>
    <n v="7"/>
    <x v="362"/>
    <s v="Yes"/>
    <x v="0"/>
  </r>
  <r>
    <x v="363"/>
    <x v="20"/>
    <x v="1"/>
    <x v="7"/>
    <x v="114"/>
    <d v="2023-08-10T00:00:00"/>
    <x v="1"/>
    <x v="1"/>
    <x v="0"/>
    <x v="363"/>
    <n v="5"/>
    <x v="1"/>
    <s v="Recovered"/>
    <x v="2"/>
    <x v="0"/>
    <s v="Card"/>
    <n v="6"/>
    <x v="363"/>
    <s v="Yes"/>
    <x v="0"/>
  </r>
  <r>
    <x v="364"/>
    <x v="34"/>
    <x v="1"/>
    <x v="4"/>
    <x v="305"/>
    <d v="2023-08-29T00:00:00"/>
    <x v="2"/>
    <x v="2"/>
    <x v="6"/>
    <x v="364"/>
    <n v="5"/>
    <x v="1"/>
    <s v="Under Observation"/>
    <x v="0"/>
    <x v="0"/>
    <s v="Insurance"/>
    <n v="1"/>
    <x v="364"/>
    <s v="Yes"/>
    <x v="0"/>
  </r>
  <r>
    <x v="365"/>
    <x v="64"/>
    <x v="0"/>
    <x v="7"/>
    <x v="306"/>
    <d v="2023-04-17T00:00:00"/>
    <x v="2"/>
    <x v="2"/>
    <x v="2"/>
    <x v="365"/>
    <n v="16"/>
    <x v="1"/>
    <s v="Recovered"/>
    <x v="2"/>
    <x v="1"/>
    <s v="Insurance"/>
    <n v="11"/>
    <x v="365"/>
    <s v="Yes"/>
    <x v="0"/>
  </r>
  <r>
    <x v="366"/>
    <x v="68"/>
    <x v="1"/>
    <x v="4"/>
    <x v="307"/>
    <d v="2024-07-06T00:00:00"/>
    <x v="8"/>
    <x v="6"/>
    <x v="0"/>
    <x v="366"/>
    <n v="19"/>
    <x v="1"/>
    <s v="Under Observation"/>
    <x v="0"/>
    <x v="0"/>
    <s v="Insurance"/>
    <n v="14"/>
    <x v="366"/>
    <s v="Yes"/>
    <x v="0"/>
  </r>
  <r>
    <x v="367"/>
    <x v="20"/>
    <x v="0"/>
    <x v="4"/>
    <x v="308"/>
    <d v="2025-09-24T00:00:00"/>
    <x v="2"/>
    <x v="2"/>
    <x v="7"/>
    <x v="367"/>
    <n v="29"/>
    <x v="0"/>
    <s v="Recovered"/>
    <x v="2"/>
    <x v="2"/>
    <s v="Cash"/>
    <n v="1"/>
    <x v="367"/>
    <s v="Yes"/>
    <x v="0"/>
  </r>
  <r>
    <x v="368"/>
    <x v="67"/>
    <x v="0"/>
    <x v="0"/>
    <x v="13"/>
    <d v="2023-05-03T00:00:00"/>
    <x v="3"/>
    <x v="0"/>
    <x v="4"/>
    <x v="368"/>
    <n v="28"/>
    <x v="1"/>
    <s v="Recovered"/>
    <x v="2"/>
    <x v="2"/>
    <s v="UPI"/>
    <n v="11"/>
    <x v="368"/>
    <s v="No"/>
    <x v="0"/>
  </r>
  <r>
    <x v="369"/>
    <x v="43"/>
    <x v="1"/>
    <x v="0"/>
    <x v="309"/>
    <d v="2025-04-23T00:00:00"/>
    <x v="9"/>
    <x v="5"/>
    <x v="1"/>
    <x v="369"/>
    <n v="15"/>
    <x v="0"/>
    <s v="Under Observation"/>
    <x v="1"/>
    <x v="3"/>
    <s v="Insurance"/>
    <n v="5"/>
    <x v="369"/>
    <s v="No"/>
    <x v="0"/>
  </r>
  <r>
    <x v="370"/>
    <x v="72"/>
    <x v="0"/>
    <x v="7"/>
    <x v="310"/>
    <d v="2025-09-23T00:00:00"/>
    <x v="8"/>
    <x v="6"/>
    <x v="0"/>
    <x v="370"/>
    <n v="4"/>
    <x v="1"/>
    <s v="Under Observation"/>
    <x v="2"/>
    <x v="2"/>
    <s v="Cash"/>
    <n v="1"/>
    <x v="370"/>
    <s v="Yes"/>
    <x v="0"/>
  </r>
  <r>
    <x v="371"/>
    <x v="2"/>
    <x v="0"/>
    <x v="2"/>
    <x v="229"/>
    <d v="2024-08-03T00:00:00"/>
    <x v="6"/>
    <x v="2"/>
    <x v="7"/>
    <x v="371"/>
    <n v="19"/>
    <x v="1"/>
    <s v="Recovered"/>
    <x v="2"/>
    <x v="0"/>
    <s v="Card"/>
    <n v="2"/>
    <x v="371"/>
    <s v="No"/>
    <x v="1"/>
  </r>
  <r>
    <x v="372"/>
    <x v="35"/>
    <x v="0"/>
    <x v="3"/>
    <x v="311"/>
    <d v="2023-05-05T00:00:00"/>
    <x v="4"/>
    <x v="3"/>
    <x v="4"/>
    <x v="372"/>
    <n v="2"/>
    <x v="1"/>
    <s v="Recovered"/>
    <x v="1"/>
    <x v="0"/>
    <s v="Insurance"/>
    <n v="9"/>
    <x v="372"/>
    <s v="Yes"/>
    <x v="1"/>
  </r>
  <r>
    <x v="373"/>
    <x v="50"/>
    <x v="0"/>
    <x v="6"/>
    <x v="72"/>
    <d v="2025-04-17T00:00:00"/>
    <x v="5"/>
    <x v="4"/>
    <x v="7"/>
    <x v="373"/>
    <n v="27"/>
    <x v="1"/>
    <s v="Recovered"/>
    <x v="2"/>
    <x v="2"/>
    <s v="Insurance"/>
    <n v="11"/>
    <x v="373"/>
    <s v="No"/>
    <x v="0"/>
  </r>
  <r>
    <x v="374"/>
    <x v="69"/>
    <x v="0"/>
    <x v="4"/>
    <x v="312"/>
    <d v="2025-08-29T00:00:00"/>
    <x v="6"/>
    <x v="2"/>
    <x v="7"/>
    <x v="374"/>
    <n v="19"/>
    <x v="0"/>
    <s v="Recovered"/>
    <x v="0"/>
    <x v="1"/>
    <s v="UPI"/>
    <n v="1"/>
    <x v="374"/>
    <s v="No"/>
    <x v="0"/>
  </r>
  <r>
    <x v="375"/>
    <x v="39"/>
    <x v="1"/>
    <x v="4"/>
    <x v="305"/>
    <d v="2023-09-16T00:00:00"/>
    <x v="9"/>
    <x v="5"/>
    <x v="6"/>
    <x v="375"/>
    <n v="23"/>
    <x v="0"/>
    <s v="Recovered"/>
    <x v="1"/>
    <x v="2"/>
    <s v="Card"/>
    <n v="14"/>
    <x v="375"/>
    <s v="Yes"/>
    <x v="0"/>
  </r>
  <r>
    <x v="376"/>
    <x v="8"/>
    <x v="1"/>
    <x v="3"/>
    <x v="313"/>
    <d v="2025-02-18T00:00:00"/>
    <x v="1"/>
    <x v="1"/>
    <x v="3"/>
    <x v="376"/>
    <n v="10"/>
    <x v="0"/>
    <s v="Recovered"/>
    <x v="2"/>
    <x v="1"/>
    <s v="UPI"/>
    <n v="12"/>
    <x v="376"/>
    <s v="No"/>
    <x v="0"/>
  </r>
  <r>
    <x v="377"/>
    <x v="43"/>
    <x v="0"/>
    <x v="2"/>
    <x v="314"/>
    <d v="2024-12-22T00:00:00"/>
    <x v="0"/>
    <x v="0"/>
    <x v="0"/>
    <x v="377"/>
    <n v="15"/>
    <x v="0"/>
    <s v="Recovered"/>
    <x v="0"/>
    <x v="0"/>
    <s v="Insurance"/>
    <n v="5"/>
    <x v="377"/>
    <s v="Yes"/>
    <x v="1"/>
  </r>
  <r>
    <x v="378"/>
    <x v="62"/>
    <x v="1"/>
    <x v="2"/>
    <x v="14"/>
    <d v="2023-10-31T00:00:00"/>
    <x v="8"/>
    <x v="6"/>
    <x v="7"/>
    <x v="378"/>
    <n v="13"/>
    <x v="0"/>
    <s v="Under Observation"/>
    <x v="1"/>
    <x v="2"/>
    <s v="Cash"/>
    <n v="7"/>
    <x v="378"/>
    <s v="No"/>
    <x v="0"/>
  </r>
  <r>
    <x v="379"/>
    <x v="43"/>
    <x v="1"/>
    <x v="2"/>
    <x v="315"/>
    <d v="2024-12-12T00:00:00"/>
    <x v="0"/>
    <x v="0"/>
    <x v="6"/>
    <x v="379"/>
    <n v="26"/>
    <x v="1"/>
    <s v="Referred"/>
    <x v="0"/>
    <x v="2"/>
    <s v="Card"/>
    <n v="8"/>
    <x v="379"/>
    <s v="Yes"/>
    <x v="0"/>
  </r>
  <r>
    <x v="380"/>
    <x v="41"/>
    <x v="0"/>
    <x v="1"/>
    <x v="84"/>
    <d v="2024-01-28T00:00:00"/>
    <x v="5"/>
    <x v="4"/>
    <x v="0"/>
    <x v="380"/>
    <n v="14"/>
    <x v="1"/>
    <s v="Recovered"/>
    <x v="2"/>
    <x v="1"/>
    <s v="Card"/>
    <n v="1"/>
    <x v="380"/>
    <s v="Yes"/>
    <x v="0"/>
  </r>
  <r>
    <x v="381"/>
    <x v="33"/>
    <x v="0"/>
    <x v="6"/>
    <x v="316"/>
    <d v="2025-02-26T00:00:00"/>
    <x v="6"/>
    <x v="2"/>
    <x v="6"/>
    <x v="381"/>
    <n v="2"/>
    <x v="1"/>
    <s v="Recovered"/>
    <x v="0"/>
    <x v="1"/>
    <s v="UPI"/>
    <n v="3"/>
    <x v="381"/>
    <s v="Yes"/>
    <x v="0"/>
  </r>
  <r>
    <x v="382"/>
    <x v="21"/>
    <x v="1"/>
    <x v="2"/>
    <x v="77"/>
    <d v="2023-04-11T00:00:00"/>
    <x v="8"/>
    <x v="6"/>
    <x v="7"/>
    <x v="382"/>
    <n v="2"/>
    <x v="1"/>
    <s v="Under Observation"/>
    <x v="0"/>
    <x v="0"/>
    <s v="Cash"/>
    <n v="6"/>
    <x v="382"/>
    <s v="No"/>
    <x v="1"/>
  </r>
  <r>
    <x v="383"/>
    <x v="11"/>
    <x v="1"/>
    <x v="7"/>
    <x v="317"/>
    <d v="2025-08-08T00:00:00"/>
    <x v="7"/>
    <x v="5"/>
    <x v="6"/>
    <x v="383"/>
    <n v="10"/>
    <x v="1"/>
    <s v="Recovered"/>
    <x v="0"/>
    <x v="1"/>
    <s v="Card"/>
    <n v="11"/>
    <x v="383"/>
    <s v="Yes"/>
    <x v="0"/>
  </r>
  <r>
    <x v="384"/>
    <x v="53"/>
    <x v="0"/>
    <x v="3"/>
    <x v="232"/>
    <d v="2023-10-19T00:00:00"/>
    <x v="0"/>
    <x v="0"/>
    <x v="4"/>
    <x v="384"/>
    <n v="19"/>
    <x v="0"/>
    <s v="Recovered"/>
    <x v="0"/>
    <x v="0"/>
    <s v="UPI"/>
    <n v="7"/>
    <x v="384"/>
    <s v="No"/>
    <x v="0"/>
  </r>
  <r>
    <x v="385"/>
    <x v="69"/>
    <x v="1"/>
    <x v="7"/>
    <x v="318"/>
    <d v="2025-04-23T00:00:00"/>
    <x v="8"/>
    <x v="6"/>
    <x v="0"/>
    <x v="385"/>
    <n v="6"/>
    <x v="1"/>
    <s v="Recovered"/>
    <x v="0"/>
    <x v="3"/>
    <s v="Card"/>
    <n v="6"/>
    <x v="385"/>
    <s v="Yes"/>
    <x v="0"/>
  </r>
  <r>
    <x v="386"/>
    <x v="47"/>
    <x v="0"/>
    <x v="6"/>
    <x v="319"/>
    <d v="2023-02-23T00:00:00"/>
    <x v="7"/>
    <x v="5"/>
    <x v="3"/>
    <x v="386"/>
    <n v="4"/>
    <x v="1"/>
    <s v="Recovered"/>
    <x v="1"/>
    <x v="1"/>
    <s v="Card"/>
    <n v="11"/>
    <x v="386"/>
    <s v="Yes"/>
    <x v="0"/>
  </r>
  <r>
    <x v="387"/>
    <x v="26"/>
    <x v="1"/>
    <x v="6"/>
    <x v="54"/>
    <d v="2024-04-13T00:00:00"/>
    <x v="8"/>
    <x v="6"/>
    <x v="2"/>
    <x v="387"/>
    <n v="11"/>
    <x v="0"/>
    <s v="Recovered"/>
    <x v="1"/>
    <x v="0"/>
    <s v="Insurance"/>
    <n v="13"/>
    <x v="387"/>
    <s v="Yes"/>
    <x v="0"/>
  </r>
  <r>
    <x v="388"/>
    <x v="1"/>
    <x v="0"/>
    <x v="0"/>
    <x v="320"/>
    <d v="2024-09-05T00:00:00"/>
    <x v="9"/>
    <x v="5"/>
    <x v="4"/>
    <x v="388"/>
    <n v="13"/>
    <x v="0"/>
    <s v="Recovered"/>
    <x v="1"/>
    <x v="1"/>
    <s v="Cash"/>
    <n v="1"/>
    <x v="388"/>
    <s v="No"/>
    <x v="0"/>
  </r>
  <r>
    <x v="389"/>
    <x v="38"/>
    <x v="0"/>
    <x v="2"/>
    <x v="209"/>
    <d v="2024-10-09T00:00:00"/>
    <x v="8"/>
    <x v="6"/>
    <x v="7"/>
    <x v="389"/>
    <n v="5"/>
    <x v="0"/>
    <s v="Recovered"/>
    <x v="2"/>
    <x v="2"/>
    <s v="Insurance"/>
    <n v="11"/>
    <x v="389"/>
    <s v="Yes"/>
    <x v="0"/>
  </r>
  <r>
    <x v="390"/>
    <x v="70"/>
    <x v="0"/>
    <x v="6"/>
    <x v="287"/>
    <d v="2024-06-19T00:00:00"/>
    <x v="6"/>
    <x v="2"/>
    <x v="0"/>
    <x v="390"/>
    <n v="19"/>
    <x v="1"/>
    <s v="Recovered"/>
    <x v="2"/>
    <x v="0"/>
    <s v="Card"/>
    <n v="8"/>
    <x v="390"/>
    <s v="No"/>
    <x v="0"/>
  </r>
  <r>
    <x v="391"/>
    <x v="40"/>
    <x v="1"/>
    <x v="2"/>
    <x v="321"/>
    <d v="2023-07-28T00:00:00"/>
    <x v="1"/>
    <x v="1"/>
    <x v="1"/>
    <x v="391"/>
    <n v="14"/>
    <x v="1"/>
    <s v="Recovered"/>
    <x v="2"/>
    <x v="3"/>
    <s v="UPI"/>
    <n v="15"/>
    <x v="391"/>
    <s v="Yes"/>
    <x v="0"/>
  </r>
  <r>
    <x v="392"/>
    <x v="11"/>
    <x v="1"/>
    <x v="1"/>
    <x v="322"/>
    <d v="2024-05-21T00:00:00"/>
    <x v="7"/>
    <x v="5"/>
    <x v="2"/>
    <x v="392"/>
    <n v="10"/>
    <x v="1"/>
    <s v="Recovered"/>
    <x v="1"/>
    <x v="3"/>
    <s v="UPI"/>
    <n v="3"/>
    <x v="392"/>
    <s v="No"/>
    <x v="1"/>
  </r>
  <r>
    <x v="393"/>
    <x v="27"/>
    <x v="0"/>
    <x v="4"/>
    <x v="323"/>
    <d v="2024-09-09T00:00:00"/>
    <x v="8"/>
    <x v="6"/>
    <x v="3"/>
    <x v="393"/>
    <n v="8"/>
    <x v="0"/>
    <s v="Recovered"/>
    <x v="2"/>
    <x v="1"/>
    <s v="Card"/>
    <n v="12"/>
    <x v="393"/>
    <s v="No"/>
    <x v="0"/>
  </r>
  <r>
    <x v="394"/>
    <x v="48"/>
    <x v="1"/>
    <x v="2"/>
    <x v="324"/>
    <d v="2023-03-16T00:00:00"/>
    <x v="9"/>
    <x v="5"/>
    <x v="4"/>
    <x v="394"/>
    <n v="18"/>
    <x v="0"/>
    <s v="Recovered"/>
    <x v="2"/>
    <x v="0"/>
    <s v="UPI"/>
    <n v="9"/>
    <x v="394"/>
    <s v="No"/>
    <x v="0"/>
  </r>
  <r>
    <x v="395"/>
    <x v="53"/>
    <x v="0"/>
    <x v="5"/>
    <x v="37"/>
    <d v="2024-07-31T00:00:00"/>
    <x v="3"/>
    <x v="0"/>
    <x v="1"/>
    <x v="395"/>
    <n v="5"/>
    <x v="1"/>
    <s v="Recovered"/>
    <x v="1"/>
    <x v="3"/>
    <s v="Insurance"/>
    <n v="5"/>
    <x v="395"/>
    <s v="Yes"/>
    <x v="0"/>
  </r>
  <r>
    <x v="396"/>
    <x v="56"/>
    <x v="0"/>
    <x v="2"/>
    <x v="232"/>
    <d v="2023-10-04T00:00:00"/>
    <x v="3"/>
    <x v="0"/>
    <x v="3"/>
    <x v="396"/>
    <n v="4"/>
    <x v="0"/>
    <s v="Recovered"/>
    <x v="2"/>
    <x v="0"/>
    <s v="Card"/>
    <n v="13"/>
    <x v="396"/>
    <s v="Yes"/>
    <x v="0"/>
  </r>
  <r>
    <x v="397"/>
    <x v="28"/>
    <x v="0"/>
    <x v="5"/>
    <x v="296"/>
    <d v="2024-07-03T00:00:00"/>
    <x v="6"/>
    <x v="2"/>
    <x v="6"/>
    <x v="397"/>
    <n v="12"/>
    <x v="0"/>
    <s v="Recovered"/>
    <x v="2"/>
    <x v="3"/>
    <s v="Insurance"/>
    <n v="11"/>
    <x v="397"/>
    <s v="No"/>
    <x v="0"/>
  </r>
  <r>
    <x v="398"/>
    <x v="33"/>
    <x v="1"/>
    <x v="5"/>
    <x v="325"/>
    <d v="2024-07-22T00:00:00"/>
    <x v="9"/>
    <x v="5"/>
    <x v="2"/>
    <x v="398"/>
    <n v="3"/>
    <x v="1"/>
    <s v="Recovered"/>
    <x v="2"/>
    <x v="2"/>
    <s v="UPI"/>
    <n v="7"/>
    <x v="398"/>
    <s v="Yes"/>
    <x v="0"/>
  </r>
  <r>
    <x v="399"/>
    <x v="48"/>
    <x v="1"/>
    <x v="2"/>
    <x v="326"/>
    <d v="2023-05-04T00:00:00"/>
    <x v="8"/>
    <x v="6"/>
    <x v="2"/>
    <x v="399"/>
    <n v="3"/>
    <x v="1"/>
    <s v="Recovered"/>
    <x v="0"/>
    <x v="1"/>
    <s v="UPI"/>
    <n v="1"/>
    <x v="399"/>
    <s v="No"/>
    <x v="0"/>
  </r>
  <r>
    <x v="400"/>
    <x v="0"/>
    <x v="1"/>
    <x v="2"/>
    <x v="48"/>
    <d v="2025-08-28T00:00:00"/>
    <x v="5"/>
    <x v="4"/>
    <x v="4"/>
    <x v="400"/>
    <n v="9"/>
    <x v="1"/>
    <s v="Recovered"/>
    <x v="2"/>
    <x v="1"/>
    <s v="Cash"/>
    <n v="11"/>
    <x v="400"/>
    <s v="No"/>
    <x v="0"/>
  </r>
  <r>
    <x v="401"/>
    <x v="12"/>
    <x v="1"/>
    <x v="1"/>
    <x v="125"/>
    <d v="2023-05-06T00:00:00"/>
    <x v="0"/>
    <x v="0"/>
    <x v="3"/>
    <x v="401"/>
    <n v="20"/>
    <x v="1"/>
    <s v="Recovered"/>
    <x v="0"/>
    <x v="1"/>
    <s v="Card"/>
    <n v="1"/>
    <x v="401"/>
    <s v="No"/>
    <x v="0"/>
  </r>
  <r>
    <x v="402"/>
    <x v="43"/>
    <x v="0"/>
    <x v="0"/>
    <x v="327"/>
    <d v="2025-01-17T00:00:00"/>
    <x v="8"/>
    <x v="6"/>
    <x v="7"/>
    <x v="402"/>
    <n v="9"/>
    <x v="0"/>
    <s v="Recovered"/>
    <x v="2"/>
    <x v="3"/>
    <s v="Cash"/>
    <n v="2"/>
    <x v="402"/>
    <s v="No"/>
    <x v="0"/>
  </r>
  <r>
    <x v="403"/>
    <x v="15"/>
    <x v="0"/>
    <x v="1"/>
    <x v="328"/>
    <d v="2025-09-17T00:00:00"/>
    <x v="1"/>
    <x v="1"/>
    <x v="5"/>
    <x v="403"/>
    <n v="19"/>
    <x v="1"/>
    <s v="Recovered"/>
    <x v="0"/>
    <x v="0"/>
    <s v="UPI"/>
    <n v="7"/>
    <x v="403"/>
    <s v="No"/>
    <x v="0"/>
  </r>
  <r>
    <x v="404"/>
    <x v="15"/>
    <x v="1"/>
    <x v="7"/>
    <x v="96"/>
    <d v="2024-05-06T00:00:00"/>
    <x v="2"/>
    <x v="2"/>
    <x v="3"/>
    <x v="404"/>
    <n v="29"/>
    <x v="1"/>
    <s v="Recovered"/>
    <x v="1"/>
    <x v="2"/>
    <s v="Insurance"/>
    <n v="3"/>
    <x v="404"/>
    <s v="No"/>
    <x v="0"/>
  </r>
  <r>
    <x v="405"/>
    <x v="23"/>
    <x v="0"/>
    <x v="5"/>
    <x v="16"/>
    <d v="2024-10-05T00:00:00"/>
    <x v="4"/>
    <x v="3"/>
    <x v="7"/>
    <x v="405"/>
    <n v="9"/>
    <x v="0"/>
    <s v="Recovered"/>
    <x v="0"/>
    <x v="2"/>
    <s v="Card"/>
    <n v="15"/>
    <x v="405"/>
    <s v="No"/>
    <x v="0"/>
  </r>
  <r>
    <x v="406"/>
    <x v="54"/>
    <x v="1"/>
    <x v="7"/>
    <x v="329"/>
    <d v="2024-11-27T00:00:00"/>
    <x v="0"/>
    <x v="0"/>
    <x v="0"/>
    <x v="406"/>
    <n v="18"/>
    <x v="1"/>
    <s v="Under Observation"/>
    <x v="0"/>
    <x v="0"/>
    <s v="Card"/>
    <n v="13"/>
    <x v="406"/>
    <s v="No"/>
    <x v="0"/>
  </r>
  <r>
    <x v="407"/>
    <x v="48"/>
    <x v="0"/>
    <x v="3"/>
    <x v="330"/>
    <d v="2024-03-22T00:00:00"/>
    <x v="6"/>
    <x v="2"/>
    <x v="4"/>
    <x v="407"/>
    <n v="20"/>
    <x v="1"/>
    <s v="Referred"/>
    <x v="0"/>
    <x v="3"/>
    <s v="Cash"/>
    <n v="2"/>
    <x v="407"/>
    <s v="Yes"/>
    <x v="0"/>
  </r>
  <r>
    <x v="408"/>
    <x v="63"/>
    <x v="1"/>
    <x v="7"/>
    <x v="288"/>
    <d v="2025-05-12T00:00:00"/>
    <x v="7"/>
    <x v="5"/>
    <x v="7"/>
    <x v="408"/>
    <n v="4"/>
    <x v="0"/>
    <s v="Recovered"/>
    <x v="0"/>
    <x v="3"/>
    <s v="Cash"/>
    <n v="11"/>
    <x v="408"/>
    <s v="Yes"/>
    <x v="0"/>
  </r>
  <r>
    <x v="409"/>
    <x v="26"/>
    <x v="0"/>
    <x v="5"/>
    <x v="82"/>
    <d v="2025-10-09T00:00:00"/>
    <x v="6"/>
    <x v="2"/>
    <x v="7"/>
    <x v="409"/>
    <n v="17"/>
    <x v="1"/>
    <s v="Under Observation"/>
    <x v="1"/>
    <x v="0"/>
    <s v="UPI"/>
    <n v="10"/>
    <x v="409"/>
    <s v="Yes"/>
    <x v="0"/>
  </r>
  <r>
    <x v="410"/>
    <x v="39"/>
    <x v="1"/>
    <x v="7"/>
    <x v="231"/>
    <d v="2025-03-30T00:00:00"/>
    <x v="1"/>
    <x v="1"/>
    <x v="7"/>
    <x v="410"/>
    <n v="10"/>
    <x v="0"/>
    <s v="Recovered"/>
    <x v="2"/>
    <x v="1"/>
    <s v="Insurance"/>
    <n v="9"/>
    <x v="410"/>
    <s v="Yes"/>
    <x v="0"/>
  </r>
  <r>
    <x v="411"/>
    <x v="51"/>
    <x v="0"/>
    <x v="0"/>
    <x v="331"/>
    <d v="2024-04-02T00:00:00"/>
    <x v="8"/>
    <x v="6"/>
    <x v="6"/>
    <x v="411"/>
    <n v="7"/>
    <x v="0"/>
    <s v="Under Observation"/>
    <x v="2"/>
    <x v="2"/>
    <s v="Card"/>
    <n v="4"/>
    <x v="411"/>
    <s v="Yes"/>
    <x v="1"/>
  </r>
  <r>
    <x v="412"/>
    <x v="38"/>
    <x v="1"/>
    <x v="4"/>
    <x v="332"/>
    <d v="2024-02-15T00:00:00"/>
    <x v="1"/>
    <x v="1"/>
    <x v="5"/>
    <x v="412"/>
    <n v="1"/>
    <x v="0"/>
    <s v="Recovered"/>
    <x v="0"/>
    <x v="1"/>
    <s v="Insurance"/>
    <n v="13"/>
    <x v="412"/>
    <s v="Yes"/>
    <x v="0"/>
  </r>
  <r>
    <x v="413"/>
    <x v="63"/>
    <x v="1"/>
    <x v="3"/>
    <x v="302"/>
    <d v="2025-04-29T00:00:00"/>
    <x v="0"/>
    <x v="0"/>
    <x v="5"/>
    <x v="413"/>
    <n v="11"/>
    <x v="0"/>
    <s v="Recovered"/>
    <x v="1"/>
    <x v="0"/>
    <s v="Insurance"/>
    <n v="4"/>
    <x v="413"/>
    <s v="Yes"/>
    <x v="0"/>
  </r>
  <r>
    <x v="414"/>
    <x v="72"/>
    <x v="1"/>
    <x v="6"/>
    <x v="329"/>
    <d v="2024-11-17T00:00:00"/>
    <x v="5"/>
    <x v="4"/>
    <x v="3"/>
    <x v="414"/>
    <n v="8"/>
    <x v="0"/>
    <s v="Recovered"/>
    <x v="2"/>
    <x v="2"/>
    <s v="UPI"/>
    <n v="9"/>
    <x v="414"/>
    <s v="Yes"/>
    <x v="0"/>
  </r>
  <r>
    <x v="415"/>
    <x v="21"/>
    <x v="1"/>
    <x v="6"/>
    <x v="127"/>
    <d v="2023-10-23T00:00:00"/>
    <x v="7"/>
    <x v="5"/>
    <x v="7"/>
    <x v="415"/>
    <n v="15"/>
    <x v="1"/>
    <s v="Recovered"/>
    <x v="0"/>
    <x v="3"/>
    <s v="Cash"/>
    <n v="15"/>
    <x v="415"/>
    <s v="No"/>
    <x v="1"/>
  </r>
  <r>
    <x v="416"/>
    <x v="23"/>
    <x v="1"/>
    <x v="2"/>
    <x v="333"/>
    <d v="2024-02-23T00:00:00"/>
    <x v="6"/>
    <x v="2"/>
    <x v="2"/>
    <x v="416"/>
    <n v="18"/>
    <x v="1"/>
    <s v="Recovered"/>
    <x v="1"/>
    <x v="1"/>
    <s v="Cash"/>
    <n v="6"/>
    <x v="416"/>
    <s v="No"/>
    <x v="0"/>
  </r>
  <r>
    <x v="417"/>
    <x v="19"/>
    <x v="1"/>
    <x v="0"/>
    <x v="334"/>
    <d v="2025-02-06T00:00:00"/>
    <x v="6"/>
    <x v="2"/>
    <x v="0"/>
    <x v="417"/>
    <n v="12"/>
    <x v="1"/>
    <s v="Recovered"/>
    <x v="1"/>
    <x v="2"/>
    <s v="Card"/>
    <n v="4"/>
    <x v="417"/>
    <s v="No"/>
    <x v="1"/>
  </r>
  <r>
    <x v="418"/>
    <x v="61"/>
    <x v="0"/>
    <x v="3"/>
    <x v="58"/>
    <d v="2025-06-08T00:00:00"/>
    <x v="8"/>
    <x v="6"/>
    <x v="3"/>
    <x v="418"/>
    <n v="18"/>
    <x v="1"/>
    <s v="Recovered"/>
    <x v="0"/>
    <x v="3"/>
    <s v="UPI"/>
    <n v="1"/>
    <x v="418"/>
    <s v="No"/>
    <x v="0"/>
  </r>
  <r>
    <x v="419"/>
    <x v="55"/>
    <x v="0"/>
    <x v="3"/>
    <x v="335"/>
    <d v="2025-03-17T00:00:00"/>
    <x v="2"/>
    <x v="2"/>
    <x v="3"/>
    <x v="419"/>
    <n v="28"/>
    <x v="0"/>
    <s v="Recovered"/>
    <x v="0"/>
    <x v="2"/>
    <s v="UPI"/>
    <n v="10"/>
    <x v="419"/>
    <s v="No"/>
    <x v="0"/>
  </r>
  <r>
    <x v="420"/>
    <x v="56"/>
    <x v="0"/>
    <x v="5"/>
    <x v="336"/>
    <d v="2023-06-01T00:00:00"/>
    <x v="2"/>
    <x v="2"/>
    <x v="2"/>
    <x v="420"/>
    <n v="5"/>
    <x v="1"/>
    <s v="Under Observation"/>
    <x v="2"/>
    <x v="0"/>
    <s v="Cash"/>
    <n v="6"/>
    <x v="420"/>
    <s v="No"/>
    <x v="1"/>
  </r>
  <r>
    <x v="421"/>
    <x v="9"/>
    <x v="0"/>
    <x v="7"/>
    <x v="337"/>
    <d v="2024-01-29T00:00:00"/>
    <x v="2"/>
    <x v="2"/>
    <x v="5"/>
    <x v="421"/>
    <n v="18"/>
    <x v="1"/>
    <s v="Recovered"/>
    <x v="2"/>
    <x v="3"/>
    <s v="Card"/>
    <n v="13"/>
    <x v="421"/>
    <s v="No"/>
    <x v="0"/>
  </r>
  <r>
    <x v="422"/>
    <x v="36"/>
    <x v="1"/>
    <x v="2"/>
    <x v="338"/>
    <d v="2024-09-05T00:00:00"/>
    <x v="3"/>
    <x v="0"/>
    <x v="4"/>
    <x v="422"/>
    <n v="22"/>
    <x v="0"/>
    <s v="Deceased"/>
    <x v="1"/>
    <x v="2"/>
    <s v="Cash"/>
    <n v="5"/>
    <x v="422"/>
    <s v="No"/>
    <x v="0"/>
  </r>
  <r>
    <x v="423"/>
    <x v="70"/>
    <x v="0"/>
    <x v="4"/>
    <x v="339"/>
    <d v="2023-05-20T00:00:00"/>
    <x v="3"/>
    <x v="0"/>
    <x v="5"/>
    <x v="423"/>
    <n v="15"/>
    <x v="1"/>
    <s v="Under Observation"/>
    <x v="2"/>
    <x v="3"/>
    <s v="UPI"/>
    <n v="6"/>
    <x v="423"/>
    <s v="No"/>
    <x v="0"/>
  </r>
  <r>
    <x v="424"/>
    <x v="24"/>
    <x v="0"/>
    <x v="3"/>
    <x v="340"/>
    <d v="2025-07-23T00:00:00"/>
    <x v="6"/>
    <x v="2"/>
    <x v="4"/>
    <x v="424"/>
    <n v="6"/>
    <x v="0"/>
    <s v="Recovered"/>
    <x v="1"/>
    <x v="0"/>
    <s v="Cash"/>
    <n v="1"/>
    <x v="424"/>
    <s v="Yes"/>
    <x v="0"/>
  </r>
  <r>
    <x v="425"/>
    <x v="47"/>
    <x v="1"/>
    <x v="7"/>
    <x v="341"/>
    <d v="2025-05-12T00:00:00"/>
    <x v="1"/>
    <x v="1"/>
    <x v="0"/>
    <x v="425"/>
    <n v="16"/>
    <x v="0"/>
    <s v="Referred"/>
    <x v="0"/>
    <x v="0"/>
    <s v="Cash"/>
    <n v="4"/>
    <x v="425"/>
    <s v="No"/>
    <x v="1"/>
  </r>
  <r>
    <x v="426"/>
    <x v="2"/>
    <x v="0"/>
    <x v="4"/>
    <x v="342"/>
    <d v="2025-01-04T00:00:00"/>
    <x v="1"/>
    <x v="1"/>
    <x v="5"/>
    <x v="426"/>
    <n v="16"/>
    <x v="0"/>
    <s v="Recovered"/>
    <x v="2"/>
    <x v="0"/>
    <s v="Cash"/>
    <n v="11"/>
    <x v="426"/>
    <s v="No"/>
    <x v="0"/>
  </r>
  <r>
    <x v="427"/>
    <x v="24"/>
    <x v="0"/>
    <x v="2"/>
    <x v="343"/>
    <d v="2023-04-12T00:00:00"/>
    <x v="7"/>
    <x v="5"/>
    <x v="0"/>
    <x v="427"/>
    <n v="13"/>
    <x v="1"/>
    <s v="Recovered"/>
    <x v="0"/>
    <x v="3"/>
    <s v="Cash"/>
    <n v="14"/>
    <x v="427"/>
    <s v="No"/>
    <x v="1"/>
  </r>
  <r>
    <x v="428"/>
    <x v="21"/>
    <x v="1"/>
    <x v="1"/>
    <x v="344"/>
    <d v="2023-06-15T00:00:00"/>
    <x v="8"/>
    <x v="6"/>
    <x v="5"/>
    <x v="428"/>
    <n v="20"/>
    <x v="1"/>
    <s v="Recovered"/>
    <x v="0"/>
    <x v="1"/>
    <s v="Card"/>
    <n v="13"/>
    <x v="428"/>
    <s v="Yes"/>
    <x v="0"/>
  </r>
  <r>
    <x v="429"/>
    <x v="64"/>
    <x v="1"/>
    <x v="7"/>
    <x v="345"/>
    <d v="2024-06-05T00:00:00"/>
    <x v="5"/>
    <x v="4"/>
    <x v="0"/>
    <x v="429"/>
    <n v="7"/>
    <x v="0"/>
    <s v="Under Observation"/>
    <x v="0"/>
    <x v="2"/>
    <s v="Insurance"/>
    <n v="7"/>
    <x v="429"/>
    <s v="Yes"/>
    <x v="0"/>
  </r>
  <r>
    <x v="430"/>
    <x v="20"/>
    <x v="0"/>
    <x v="1"/>
    <x v="65"/>
    <d v="2023-06-21T00:00:00"/>
    <x v="7"/>
    <x v="5"/>
    <x v="5"/>
    <x v="430"/>
    <n v="13"/>
    <x v="0"/>
    <s v="Recovered"/>
    <x v="0"/>
    <x v="3"/>
    <s v="Insurance"/>
    <n v="9"/>
    <x v="430"/>
    <s v="Yes"/>
    <x v="0"/>
  </r>
  <r>
    <x v="431"/>
    <x v="61"/>
    <x v="1"/>
    <x v="6"/>
    <x v="346"/>
    <d v="2024-06-17T00:00:00"/>
    <x v="8"/>
    <x v="6"/>
    <x v="5"/>
    <x v="431"/>
    <n v="15"/>
    <x v="0"/>
    <s v="Recovered"/>
    <x v="0"/>
    <x v="1"/>
    <s v="Card"/>
    <n v="3"/>
    <x v="431"/>
    <s v="Yes"/>
    <x v="0"/>
  </r>
  <r>
    <x v="432"/>
    <x v="11"/>
    <x v="1"/>
    <x v="5"/>
    <x v="347"/>
    <d v="2024-05-17T00:00:00"/>
    <x v="4"/>
    <x v="3"/>
    <x v="1"/>
    <x v="432"/>
    <n v="4"/>
    <x v="0"/>
    <s v="Recovered"/>
    <x v="1"/>
    <x v="1"/>
    <s v="Card"/>
    <n v="2"/>
    <x v="432"/>
    <s v="No"/>
    <x v="0"/>
  </r>
  <r>
    <x v="433"/>
    <x v="21"/>
    <x v="0"/>
    <x v="6"/>
    <x v="280"/>
    <d v="2024-02-15T00:00:00"/>
    <x v="3"/>
    <x v="0"/>
    <x v="1"/>
    <x v="433"/>
    <n v="2"/>
    <x v="1"/>
    <s v="Recovered"/>
    <x v="2"/>
    <x v="0"/>
    <s v="UPI"/>
    <n v="9"/>
    <x v="433"/>
    <s v="Yes"/>
    <x v="0"/>
  </r>
  <r>
    <x v="434"/>
    <x v="48"/>
    <x v="0"/>
    <x v="5"/>
    <x v="40"/>
    <d v="2023-12-05T00:00:00"/>
    <x v="6"/>
    <x v="2"/>
    <x v="3"/>
    <x v="434"/>
    <n v="9"/>
    <x v="0"/>
    <s v="Recovered"/>
    <x v="0"/>
    <x v="1"/>
    <s v="UPI"/>
    <n v="3"/>
    <x v="434"/>
    <s v="No"/>
    <x v="0"/>
  </r>
  <r>
    <x v="435"/>
    <x v="21"/>
    <x v="0"/>
    <x v="7"/>
    <x v="348"/>
    <d v="2024-03-01T00:00:00"/>
    <x v="7"/>
    <x v="5"/>
    <x v="3"/>
    <x v="435"/>
    <n v="19"/>
    <x v="0"/>
    <s v="Under Observation"/>
    <x v="0"/>
    <x v="3"/>
    <s v="UPI"/>
    <n v="1"/>
    <x v="435"/>
    <s v="Yes"/>
    <x v="0"/>
  </r>
  <r>
    <x v="436"/>
    <x v="20"/>
    <x v="0"/>
    <x v="7"/>
    <x v="349"/>
    <d v="2025-04-15T00:00:00"/>
    <x v="4"/>
    <x v="3"/>
    <x v="6"/>
    <x v="436"/>
    <n v="10"/>
    <x v="1"/>
    <s v="Referred"/>
    <x v="1"/>
    <x v="1"/>
    <s v="Card"/>
    <n v="13"/>
    <x v="436"/>
    <s v="No"/>
    <x v="0"/>
  </r>
  <r>
    <x v="437"/>
    <x v="16"/>
    <x v="0"/>
    <x v="5"/>
    <x v="350"/>
    <d v="2023-02-13T00:00:00"/>
    <x v="8"/>
    <x v="6"/>
    <x v="2"/>
    <x v="437"/>
    <n v="23"/>
    <x v="0"/>
    <s v="Recovered"/>
    <x v="2"/>
    <x v="2"/>
    <s v="UPI"/>
    <n v="13"/>
    <x v="437"/>
    <s v="No"/>
    <x v="0"/>
  </r>
  <r>
    <x v="438"/>
    <x v="0"/>
    <x v="1"/>
    <x v="6"/>
    <x v="351"/>
    <d v="2023-03-04T00:00:00"/>
    <x v="3"/>
    <x v="0"/>
    <x v="0"/>
    <x v="438"/>
    <n v="19"/>
    <x v="0"/>
    <s v="Referred"/>
    <x v="2"/>
    <x v="3"/>
    <s v="Cash"/>
    <n v="12"/>
    <x v="438"/>
    <s v="No"/>
    <x v="0"/>
  </r>
  <r>
    <x v="439"/>
    <x v="10"/>
    <x v="0"/>
    <x v="0"/>
    <x v="352"/>
    <d v="2023-11-09T00:00:00"/>
    <x v="0"/>
    <x v="0"/>
    <x v="0"/>
    <x v="439"/>
    <n v="8"/>
    <x v="0"/>
    <s v="Referred"/>
    <x v="2"/>
    <x v="1"/>
    <s v="Cash"/>
    <n v="15"/>
    <x v="439"/>
    <s v="No"/>
    <x v="0"/>
  </r>
  <r>
    <x v="440"/>
    <x v="29"/>
    <x v="1"/>
    <x v="0"/>
    <x v="353"/>
    <d v="2024-07-26T00:00:00"/>
    <x v="2"/>
    <x v="2"/>
    <x v="2"/>
    <x v="440"/>
    <n v="9"/>
    <x v="1"/>
    <s v="Under Observation"/>
    <x v="1"/>
    <x v="3"/>
    <s v="Cash"/>
    <n v="5"/>
    <x v="440"/>
    <s v="Yes"/>
    <x v="0"/>
  </r>
  <r>
    <x v="441"/>
    <x v="20"/>
    <x v="1"/>
    <x v="5"/>
    <x v="340"/>
    <d v="2025-07-24T00:00:00"/>
    <x v="1"/>
    <x v="1"/>
    <x v="7"/>
    <x v="441"/>
    <n v="7"/>
    <x v="1"/>
    <s v="Recovered"/>
    <x v="2"/>
    <x v="3"/>
    <s v="UPI"/>
    <n v="13"/>
    <x v="441"/>
    <s v="Yes"/>
    <x v="0"/>
  </r>
  <r>
    <x v="442"/>
    <x v="56"/>
    <x v="0"/>
    <x v="5"/>
    <x v="113"/>
    <d v="2025-08-17T00:00:00"/>
    <x v="8"/>
    <x v="6"/>
    <x v="5"/>
    <x v="442"/>
    <n v="8"/>
    <x v="1"/>
    <s v="Under Observation"/>
    <x v="2"/>
    <x v="2"/>
    <s v="Insurance"/>
    <n v="13"/>
    <x v="442"/>
    <s v="Yes"/>
    <x v="0"/>
  </r>
  <r>
    <x v="443"/>
    <x v="20"/>
    <x v="1"/>
    <x v="1"/>
    <x v="327"/>
    <d v="2025-01-14T00:00:00"/>
    <x v="7"/>
    <x v="5"/>
    <x v="1"/>
    <x v="443"/>
    <n v="6"/>
    <x v="1"/>
    <s v="Recovered"/>
    <x v="0"/>
    <x v="1"/>
    <s v="Cash"/>
    <n v="2"/>
    <x v="443"/>
    <s v="Yes"/>
    <x v="0"/>
  </r>
  <r>
    <x v="444"/>
    <x v="46"/>
    <x v="0"/>
    <x v="4"/>
    <x v="354"/>
    <d v="2023-05-23T00:00:00"/>
    <x v="6"/>
    <x v="2"/>
    <x v="0"/>
    <x v="444"/>
    <n v="9"/>
    <x v="1"/>
    <s v="Recovered"/>
    <x v="2"/>
    <x v="2"/>
    <s v="Card"/>
    <n v="5"/>
    <x v="444"/>
    <s v="Yes"/>
    <x v="0"/>
  </r>
  <r>
    <x v="445"/>
    <x v="14"/>
    <x v="0"/>
    <x v="2"/>
    <x v="334"/>
    <d v="2025-02-09T00:00:00"/>
    <x v="7"/>
    <x v="5"/>
    <x v="0"/>
    <x v="445"/>
    <n v="15"/>
    <x v="1"/>
    <s v="Recovered"/>
    <x v="2"/>
    <x v="2"/>
    <s v="UPI"/>
    <n v="4"/>
    <x v="445"/>
    <s v="No"/>
    <x v="0"/>
  </r>
  <r>
    <x v="446"/>
    <x v="13"/>
    <x v="0"/>
    <x v="5"/>
    <x v="355"/>
    <d v="2023-02-09T00:00:00"/>
    <x v="9"/>
    <x v="5"/>
    <x v="7"/>
    <x v="446"/>
    <n v="20"/>
    <x v="0"/>
    <s v="Recovered"/>
    <x v="0"/>
    <x v="0"/>
    <s v="UPI"/>
    <n v="8"/>
    <x v="446"/>
    <s v="No"/>
    <x v="0"/>
  </r>
  <r>
    <x v="447"/>
    <x v="31"/>
    <x v="0"/>
    <x v="4"/>
    <x v="356"/>
    <d v="2025-04-06T00:00:00"/>
    <x v="9"/>
    <x v="5"/>
    <x v="5"/>
    <x v="447"/>
    <n v="18"/>
    <x v="0"/>
    <s v="Under Observation"/>
    <x v="1"/>
    <x v="1"/>
    <s v="Cash"/>
    <n v="15"/>
    <x v="447"/>
    <s v="Yes"/>
    <x v="0"/>
  </r>
  <r>
    <x v="448"/>
    <x v="49"/>
    <x v="1"/>
    <x v="6"/>
    <x v="357"/>
    <d v="2023-08-30T00:00:00"/>
    <x v="8"/>
    <x v="6"/>
    <x v="4"/>
    <x v="448"/>
    <n v="16"/>
    <x v="1"/>
    <s v="Recovered"/>
    <x v="0"/>
    <x v="3"/>
    <s v="Insurance"/>
    <n v="2"/>
    <x v="448"/>
    <s v="No"/>
    <x v="0"/>
  </r>
  <r>
    <x v="449"/>
    <x v="44"/>
    <x v="0"/>
    <x v="7"/>
    <x v="358"/>
    <d v="2024-10-01T00:00:00"/>
    <x v="9"/>
    <x v="5"/>
    <x v="1"/>
    <x v="449"/>
    <n v="18"/>
    <x v="0"/>
    <s v="Under Observation"/>
    <x v="1"/>
    <x v="2"/>
    <s v="Card"/>
    <n v="1"/>
    <x v="449"/>
    <s v="Yes"/>
    <x v="0"/>
  </r>
  <r>
    <x v="450"/>
    <x v="6"/>
    <x v="1"/>
    <x v="5"/>
    <x v="359"/>
    <d v="2024-10-13T00:00:00"/>
    <x v="0"/>
    <x v="0"/>
    <x v="2"/>
    <x v="450"/>
    <n v="5"/>
    <x v="0"/>
    <s v="Recovered"/>
    <x v="0"/>
    <x v="0"/>
    <s v="Insurance"/>
    <n v="12"/>
    <x v="450"/>
    <s v="No"/>
    <x v="0"/>
  </r>
  <r>
    <x v="451"/>
    <x v="37"/>
    <x v="0"/>
    <x v="0"/>
    <x v="360"/>
    <d v="2023-07-23T00:00:00"/>
    <x v="6"/>
    <x v="2"/>
    <x v="6"/>
    <x v="451"/>
    <n v="6"/>
    <x v="1"/>
    <s v="Recovered"/>
    <x v="1"/>
    <x v="1"/>
    <s v="Cash"/>
    <n v="9"/>
    <x v="451"/>
    <s v="Yes"/>
    <x v="0"/>
  </r>
  <r>
    <x v="452"/>
    <x v="0"/>
    <x v="1"/>
    <x v="0"/>
    <x v="95"/>
    <d v="2024-04-17T00:00:00"/>
    <x v="6"/>
    <x v="2"/>
    <x v="2"/>
    <x v="452"/>
    <n v="17"/>
    <x v="0"/>
    <s v="Recovered"/>
    <x v="1"/>
    <x v="0"/>
    <s v="Insurance"/>
    <n v="15"/>
    <x v="452"/>
    <s v="Yes"/>
    <x v="0"/>
  </r>
  <r>
    <x v="453"/>
    <x v="72"/>
    <x v="1"/>
    <x v="7"/>
    <x v="361"/>
    <d v="2025-07-24T00:00:00"/>
    <x v="9"/>
    <x v="5"/>
    <x v="0"/>
    <x v="453"/>
    <n v="14"/>
    <x v="0"/>
    <s v="Under Observation"/>
    <x v="1"/>
    <x v="3"/>
    <s v="Insurance"/>
    <n v="11"/>
    <x v="453"/>
    <s v="No"/>
    <x v="0"/>
  </r>
  <r>
    <x v="454"/>
    <x v="72"/>
    <x v="0"/>
    <x v="5"/>
    <x v="322"/>
    <d v="2024-05-28T00:00:00"/>
    <x v="9"/>
    <x v="5"/>
    <x v="4"/>
    <x v="454"/>
    <n v="17"/>
    <x v="1"/>
    <s v="Recovered"/>
    <x v="1"/>
    <x v="0"/>
    <s v="Cash"/>
    <n v="7"/>
    <x v="454"/>
    <s v="Yes"/>
    <x v="0"/>
  </r>
  <r>
    <x v="455"/>
    <x v="56"/>
    <x v="1"/>
    <x v="7"/>
    <x v="362"/>
    <d v="2025-10-06T00:00:00"/>
    <x v="9"/>
    <x v="5"/>
    <x v="3"/>
    <x v="455"/>
    <n v="11"/>
    <x v="1"/>
    <s v="Recovered"/>
    <x v="0"/>
    <x v="3"/>
    <s v="Cash"/>
    <n v="5"/>
    <x v="455"/>
    <s v="Yes"/>
    <x v="0"/>
  </r>
  <r>
    <x v="456"/>
    <x v="50"/>
    <x v="1"/>
    <x v="5"/>
    <x v="273"/>
    <d v="2024-07-29T00:00:00"/>
    <x v="1"/>
    <x v="1"/>
    <x v="7"/>
    <x v="456"/>
    <n v="29"/>
    <x v="1"/>
    <s v="Recovered"/>
    <x v="0"/>
    <x v="2"/>
    <s v="Insurance"/>
    <n v="5"/>
    <x v="456"/>
    <s v="No"/>
    <x v="0"/>
  </r>
  <r>
    <x v="457"/>
    <x v="2"/>
    <x v="0"/>
    <x v="3"/>
    <x v="363"/>
    <d v="2025-06-17T00:00:00"/>
    <x v="4"/>
    <x v="3"/>
    <x v="4"/>
    <x v="457"/>
    <n v="18"/>
    <x v="1"/>
    <s v="Recovered"/>
    <x v="2"/>
    <x v="1"/>
    <s v="Cash"/>
    <n v="13"/>
    <x v="457"/>
    <s v="No"/>
    <x v="1"/>
  </r>
  <r>
    <x v="458"/>
    <x v="54"/>
    <x v="0"/>
    <x v="4"/>
    <x v="321"/>
    <d v="2023-07-18T00:00:00"/>
    <x v="6"/>
    <x v="2"/>
    <x v="4"/>
    <x v="458"/>
    <n v="4"/>
    <x v="1"/>
    <s v="Recovered"/>
    <x v="2"/>
    <x v="3"/>
    <s v="Insurance"/>
    <n v="3"/>
    <x v="458"/>
    <s v="Yes"/>
    <x v="0"/>
  </r>
  <r>
    <x v="459"/>
    <x v="53"/>
    <x v="1"/>
    <x v="7"/>
    <x v="60"/>
    <d v="2024-03-01T00:00:00"/>
    <x v="6"/>
    <x v="2"/>
    <x v="1"/>
    <x v="459"/>
    <n v="3"/>
    <x v="1"/>
    <s v="Recovered"/>
    <x v="0"/>
    <x v="0"/>
    <s v="UPI"/>
    <n v="12"/>
    <x v="459"/>
    <s v="Yes"/>
    <x v="0"/>
  </r>
  <r>
    <x v="460"/>
    <x v="31"/>
    <x v="1"/>
    <x v="3"/>
    <x v="364"/>
    <d v="2024-04-09T00:00:00"/>
    <x v="3"/>
    <x v="0"/>
    <x v="3"/>
    <x v="460"/>
    <n v="6"/>
    <x v="1"/>
    <s v="Recovered"/>
    <x v="2"/>
    <x v="1"/>
    <s v="UPI"/>
    <n v="15"/>
    <x v="460"/>
    <s v="Yes"/>
    <x v="1"/>
  </r>
  <r>
    <x v="461"/>
    <x v="8"/>
    <x v="0"/>
    <x v="3"/>
    <x v="365"/>
    <d v="2023-05-23T00:00:00"/>
    <x v="3"/>
    <x v="0"/>
    <x v="2"/>
    <x v="461"/>
    <n v="14"/>
    <x v="0"/>
    <s v="Recovered"/>
    <x v="0"/>
    <x v="0"/>
    <s v="Insurance"/>
    <n v="14"/>
    <x v="461"/>
    <s v="Yes"/>
    <x v="0"/>
  </r>
  <r>
    <x v="462"/>
    <x v="55"/>
    <x v="1"/>
    <x v="0"/>
    <x v="366"/>
    <d v="2023-01-15T00:00:00"/>
    <x v="8"/>
    <x v="6"/>
    <x v="7"/>
    <x v="462"/>
    <n v="4"/>
    <x v="1"/>
    <s v="Under Observation"/>
    <x v="2"/>
    <x v="1"/>
    <s v="Card"/>
    <n v="3"/>
    <x v="462"/>
    <s v="Yes"/>
    <x v="0"/>
  </r>
  <r>
    <x v="463"/>
    <x v="69"/>
    <x v="0"/>
    <x v="4"/>
    <x v="299"/>
    <d v="2024-11-10T00:00:00"/>
    <x v="2"/>
    <x v="2"/>
    <x v="2"/>
    <x v="463"/>
    <n v="10"/>
    <x v="1"/>
    <s v="Under Observation"/>
    <x v="2"/>
    <x v="2"/>
    <s v="Card"/>
    <n v="3"/>
    <x v="463"/>
    <s v="No"/>
    <x v="0"/>
  </r>
  <r>
    <x v="464"/>
    <x v="25"/>
    <x v="1"/>
    <x v="7"/>
    <x v="367"/>
    <d v="2023-11-05T00:00:00"/>
    <x v="5"/>
    <x v="4"/>
    <x v="0"/>
    <x v="464"/>
    <n v="13"/>
    <x v="0"/>
    <s v="Recovered"/>
    <x v="2"/>
    <x v="3"/>
    <s v="Cash"/>
    <n v="13"/>
    <x v="464"/>
    <s v="Yes"/>
    <x v="0"/>
  </r>
  <r>
    <x v="465"/>
    <x v="56"/>
    <x v="1"/>
    <x v="0"/>
    <x v="368"/>
    <d v="2023-07-04T00:00:00"/>
    <x v="4"/>
    <x v="3"/>
    <x v="7"/>
    <x v="465"/>
    <n v="30"/>
    <x v="1"/>
    <s v="Recovered"/>
    <x v="0"/>
    <x v="2"/>
    <s v="Card"/>
    <n v="4"/>
    <x v="465"/>
    <s v="No"/>
    <x v="0"/>
  </r>
  <r>
    <x v="466"/>
    <x v="1"/>
    <x v="1"/>
    <x v="3"/>
    <x v="369"/>
    <d v="2023-12-07T00:00:00"/>
    <x v="0"/>
    <x v="0"/>
    <x v="0"/>
    <x v="466"/>
    <n v="8"/>
    <x v="0"/>
    <s v="Recovered"/>
    <x v="0"/>
    <x v="3"/>
    <s v="Card"/>
    <n v="11"/>
    <x v="466"/>
    <s v="No"/>
    <x v="0"/>
  </r>
  <r>
    <x v="467"/>
    <x v="9"/>
    <x v="0"/>
    <x v="0"/>
    <x v="198"/>
    <d v="2023-09-25T00:00:00"/>
    <x v="3"/>
    <x v="0"/>
    <x v="5"/>
    <x v="467"/>
    <n v="12"/>
    <x v="1"/>
    <s v="Recovered"/>
    <x v="2"/>
    <x v="1"/>
    <s v="Card"/>
    <n v="14"/>
    <x v="467"/>
    <s v="Yes"/>
    <x v="0"/>
  </r>
  <r>
    <x v="468"/>
    <x v="66"/>
    <x v="0"/>
    <x v="4"/>
    <x v="370"/>
    <d v="2024-11-08T00:00:00"/>
    <x v="4"/>
    <x v="3"/>
    <x v="2"/>
    <x v="468"/>
    <n v="15"/>
    <x v="0"/>
    <s v="Recovered"/>
    <x v="0"/>
    <x v="0"/>
    <s v="Card"/>
    <n v="13"/>
    <x v="468"/>
    <s v="No"/>
    <x v="0"/>
  </r>
  <r>
    <x v="469"/>
    <x v="40"/>
    <x v="0"/>
    <x v="3"/>
    <x v="197"/>
    <d v="2024-07-17T00:00:00"/>
    <x v="2"/>
    <x v="2"/>
    <x v="5"/>
    <x v="469"/>
    <n v="14"/>
    <x v="0"/>
    <s v="Under Observation"/>
    <x v="1"/>
    <x v="2"/>
    <s v="UPI"/>
    <n v="8"/>
    <x v="469"/>
    <s v="Yes"/>
    <x v="0"/>
  </r>
  <r>
    <x v="470"/>
    <x v="13"/>
    <x v="0"/>
    <x v="2"/>
    <x v="371"/>
    <d v="2024-03-18T00:00:00"/>
    <x v="3"/>
    <x v="0"/>
    <x v="2"/>
    <x v="470"/>
    <n v="12"/>
    <x v="1"/>
    <s v="Recovered"/>
    <x v="2"/>
    <x v="3"/>
    <s v="Cash"/>
    <n v="5"/>
    <x v="470"/>
    <s v="No"/>
    <x v="1"/>
  </r>
  <r>
    <x v="471"/>
    <x v="43"/>
    <x v="0"/>
    <x v="2"/>
    <x v="311"/>
    <d v="2023-05-12T00:00:00"/>
    <x v="8"/>
    <x v="6"/>
    <x v="7"/>
    <x v="471"/>
    <n v="9"/>
    <x v="1"/>
    <s v="Recovered"/>
    <x v="2"/>
    <x v="0"/>
    <s v="Card"/>
    <n v="2"/>
    <x v="471"/>
    <s v="Yes"/>
    <x v="0"/>
  </r>
  <r>
    <x v="472"/>
    <x v="57"/>
    <x v="1"/>
    <x v="3"/>
    <x v="137"/>
    <d v="2024-06-19T00:00:00"/>
    <x v="2"/>
    <x v="2"/>
    <x v="3"/>
    <x v="472"/>
    <n v="30"/>
    <x v="1"/>
    <s v="Recovered"/>
    <x v="1"/>
    <x v="2"/>
    <s v="Insurance"/>
    <n v="10"/>
    <x v="472"/>
    <s v="No"/>
    <x v="0"/>
  </r>
  <r>
    <x v="473"/>
    <x v="27"/>
    <x v="0"/>
    <x v="4"/>
    <x v="117"/>
    <d v="2023-01-26T00:00:00"/>
    <x v="4"/>
    <x v="3"/>
    <x v="2"/>
    <x v="473"/>
    <n v="25"/>
    <x v="1"/>
    <s v="Recovered"/>
    <x v="2"/>
    <x v="2"/>
    <s v="Card"/>
    <n v="8"/>
    <x v="473"/>
    <s v="Yes"/>
    <x v="0"/>
  </r>
  <r>
    <x v="474"/>
    <x v="24"/>
    <x v="0"/>
    <x v="7"/>
    <x v="72"/>
    <d v="2025-03-25T00:00:00"/>
    <x v="8"/>
    <x v="6"/>
    <x v="7"/>
    <x v="474"/>
    <n v="4"/>
    <x v="1"/>
    <s v="Recovered"/>
    <x v="2"/>
    <x v="0"/>
    <s v="Cash"/>
    <n v="13"/>
    <x v="474"/>
    <s v="No"/>
    <x v="0"/>
  </r>
  <r>
    <x v="475"/>
    <x v="14"/>
    <x v="0"/>
    <x v="6"/>
    <x v="154"/>
    <d v="2025-02-17T00:00:00"/>
    <x v="3"/>
    <x v="0"/>
    <x v="2"/>
    <x v="475"/>
    <n v="30"/>
    <x v="0"/>
    <s v="Recovered"/>
    <x v="0"/>
    <x v="2"/>
    <s v="UPI"/>
    <n v="9"/>
    <x v="475"/>
    <s v="Yes"/>
    <x v="0"/>
  </r>
  <r>
    <x v="476"/>
    <x v="1"/>
    <x v="0"/>
    <x v="7"/>
    <x v="130"/>
    <d v="2023-10-23T00:00:00"/>
    <x v="4"/>
    <x v="3"/>
    <x v="7"/>
    <x v="476"/>
    <n v="3"/>
    <x v="1"/>
    <s v="Recovered"/>
    <x v="0"/>
    <x v="2"/>
    <s v="Insurance"/>
    <n v="6"/>
    <x v="476"/>
    <s v="No"/>
    <x v="0"/>
  </r>
  <r>
    <x v="477"/>
    <x v="65"/>
    <x v="1"/>
    <x v="2"/>
    <x v="372"/>
    <d v="2024-08-16T00:00:00"/>
    <x v="5"/>
    <x v="4"/>
    <x v="6"/>
    <x v="477"/>
    <n v="15"/>
    <x v="1"/>
    <s v="Referred"/>
    <x v="1"/>
    <x v="0"/>
    <s v="Cash"/>
    <n v="2"/>
    <x v="477"/>
    <s v="Yes"/>
    <x v="1"/>
  </r>
  <r>
    <x v="478"/>
    <x v="37"/>
    <x v="1"/>
    <x v="2"/>
    <x v="373"/>
    <d v="2024-04-29T00:00:00"/>
    <x v="3"/>
    <x v="0"/>
    <x v="6"/>
    <x v="478"/>
    <n v="15"/>
    <x v="0"/>
    <s v="Referred"/>
    <x v="2"/>
    <x v="0"/>
    <s v="UPI"/>
    <n v="7"/>
    <x v="478"/>
    <s v="Yes"/>
    <x v="1"/>
  </r>
  <r>
    <x v="479"/>
    <x v="41"/>
    <x v="0"/>
    <x v="6"/>
    <x v="374"/>
    <d v="2024-08-22T00:00:00"/>
    <x v="5"/>
    <x v="4"/>
    <x v="4"/>
    <x v="479"/>
    <n v="9"/>
    <x v="0"/>
    <s v="Referred"/>
    <x v="1"/>
    <x v="3"/>
    <s v="Card"/>
    <n v="14"/>
    <x v="479"/>
    <s v="Yes"/>
    <x v="0"/>
  </r>
  <r>
    <x v="480"/>
    <x v="62"/>
    <x v="0"/>
    <x v="3"/>
    <x v="238"/>
    <d v="2025-06-27T00:00:00"/>
    <x v="0"/>
    <x v="0"/>
    <x v="5"/>
    <x v="480"/>
    <n v="13"/>
    <x v="1"/>
    <s v="Recovered"/>
    <x v="1"/>
    <x v="0"/>
    <s v="UPI"/>
    <n v="4"/>
    <x v="480"/>
    <s v="Yes"/>
    <x v="0"/>
  </r>
  <r>
    <x v="481"/>
    <x v="72"/>
    <x v="1"/>
    <x v="6"/>
    <x v="375"/>
    <d v="2025-06-02T00:00:00"/>
    <x v="2"/>
    <x v="2"/>
    <x v="5"/>
    <x v="481"/>
    <n v="19"/>
    <x v="0"/>
    <s v="Recovered"/>
    <x v="0"/>
    <x v="3"/>
    <s v="Insurance"/>
    <n v="13"/>
    <x v="481"/>
    <s v="Yes"/>
    <x v="1"/>
  </r>
  <r>
    <x v="482"/>
    <x v="47"/>
    <x v="0"/>
    <x v="1"/>
    <x v="376"/>
    <d v="2025-02-03T00:00:00"/>
    <x v="8"/>
    <x v="6"/>
    <x v="3"/>
    <x v="482"/>
    <n v="25"/>
    <x v="0"/>
    <s v="Recovered"/>
    <x v="1"/>
    <x v="2"/>
    <s v="UPI"/>
    <n v="7"/>
    <x v="482"/>
    <s v="No"/>
    <x v="0"/>
  </r>
  <r>
    <x v="483"/>
    <x v="37"/>
    <x v="0"/>
    <x v="2"/>
    <x v="377"/>
    <d v="2024-05-23T00:00:00"/>
    <x v="3"/>
    <x v="0"/>
    <x v="7"/>
    <x v="483"/>
    <n v="6"/>
    <x v="1"/>
    <s v="Referred"/>
    <x v="2"/>
    <x v="1"/>
    <s v="UPI"/>
    <n v="11"/>
    <x v="483"/>
    <s v="Yes"/>
    <x v="0"/>
  </r>
  <r>
    <x v="484"/>
    <x v="56"/>
    <x v="0"/>
    <x v="6"/>
    <x v="378"/>
    <d v="2023-11-07T00:00:00"/>
    <x v="3"/>
    <x v="0"/>
    <x v="7"/>
    <x v="484"/>
    <n v="4"/>
    <x v="0"/>
    <s v="Under Observation"/>
    <x v="2"/>
    <x v="3"/>
    <s v="Cash"/>
    <n v="14"/>
    <x v="484"/>
    <s v="No"/>
    <x v="0"/>
  </r>
  <r>
    <x v="485"/>
    <x v="70"/>
    <x v="1"/>
    <x v="2"/>
    <x v="326"/>
    <d v="2023-05-09T00:00:00"/>
    <x v="2"/>
    <x v="2"/>
    <x v="7"/>
    <x v="485"/>
    <n v="8"/>
    <x v="0"/>
    <s v="Recovered"/>
    <x v="0"/>
    <x v="3"/>
    <s v="Insurance"/>
    <n v="13"/>
    <x v="485"/>
    <s v="Yes"/>
    <x v="0"/>
  </r>
  <r>
    <x v="486"/>
    <x v="41"/>
    <x v="0"/>
    <x v="4"/>
    <x v="173"/>
    <d v="2025-09-03T00:00:00"/>
    <x v="2"/>
    <x v="2"/>
    <x v="5"/>
    <x v="486"/>
    <n v="16"/>
    <x v="0"/>
    <s v="Recovered"/>
    <x v="0"/>
    <x v="0"/>
    <s v="Insurance"/>
    <n v="5"/>
    <x v="486"/>
    <s v="No"/>
    <x v="0"/>
  </r>
  <r>
    <x v="487"/>
    <x v="18"/>
    <x v="1"/>
    <x v="1"/>
    <x v="104"/>
    <d v="2023-02-14T00:00:00"/>
    <x v="8"/>
    <x v="6"/>
    <x v="2"/>
    <x v="487"/>
    <n v="19"/>
    <x v="1"/>
    <s v="Under Observation"/>
    <x v="1"/>
    <x v="2"/>
    <s v="Cash"/>
    <n v="5"/>
    <x v="487"/>
    <s v="No"/>
    <x v="0"/>
  </r>
  <r>
    <x v="488"/>
    <x v="51"/>
    <x v="0"/>
    <x v="4"/>
    <x v="63"/>
    <d v="2024-09-04T00:00:00"/>
    <x v="2"/>
    <x v="2"/>
    <x v="4"/>
    <x v="488"/>
    <n v="2"/>
    <x v="0"/>
    <s v="Recovered"/>
    <x v="1"/>
    <x v="0"/>
    <s v="Cash"/>
    <n v="3"/>
    <x v="488"/>
    <s v="Yes"/>
    <x v="0"/>
  </r>
  <r>
    <x v="489"/>
    <x v="17"/>
    <x v="0"/>
    <x v="2"/>
    <x v="379"/>
    <d v="2023-12-10T00:00:00"/>
    <x v="2"/>
    <x v="2"/>
    <x v="1"/>
    <x v="489"/>
    <n v="9"/>
    <x v="1"/>
    <s v="Recovered"/>
    <x v="0"/>
    <x v="2"/>
    <s v="Card"/>
    <n v="9"/>
    <x v="489"/>
    <s v="No"/>
    <x v="0"/>
  </r>
  <r>
    <x v="490"/>
    <x v="66"/>
    <x v="1"/>
    <x v="5"/>
    <x v="346"/>
    <d v="2024-06-13T00:00:00"/>
    <x v="0"/>
    <x v="0"/>
    <x v="5"/>
    <x v="490"/>
    <n v="11"/>
    <x v="0"/>
    <s v="Under Observation"/>
    <x v="1"/>
    <x v="0"/>
    <s v="Cash"/>
    <n v="6"/>
    <x v="490"/>
    <s v="Yes"/>
    <x v="1"/>
  </r>
  <r>
    <x v="491"/>
    <x v="38"/>
    <x v="1"/>
    <x v="3"/>
    <x v="380"/>
    <d v="2024-09-23T00:00:00"/>
    <x v="5"/>
    <x v="4"/>
    <x v="6"/>
    <x v="491"/>
    <n v="11"/>
    <x v="1"/>
    <s v="Recovered"/>
    <x v="1"/>
    <x v="3"/>
    <s v="Cash"/>
    <n v="15"/>
    <x v="491"/>
    <s v="Yes"/>
    <x v="0"/>
  </r>
  <r>
    <x v="492"/>
    <x v="9"/>
    <x v="1"/>
    <x v="7"/>
    <x v="381"/>
    <d v="2024-03-23T00:00:00"/>
    <x v="5"/>
    <x v="4"/>
    <x v="6"/>
    <x v="492"/>
    <n v="12"/>
    <x v="0"/>
    <s v="Referred"/>
    <x v="2"/>
    <x v="0"/>
    <s v="Cash"/>
    <n v="3"/>
    <x v="492"/>
    <s v="Yes"/>
    <x v="1"/>
  </r>
  <r>
    <x v="493"/>
    <x v="61"/>
    <x v="1"/>
    <x v="3"/>
    <x v="382"/>
    <d v="2025-05-19T00:00:00"/>
    <x v="6"/>
    <x v="2"/>
    <x v="1"/>
    <x v="493"/>
    <n v="30"/>
    <x v="0"/>
    <s v="Recovered"/>
    <x v="1"/>
    <x v="2"/>
    <s v="Card"/>
    <n v="8"/>
    <x v="493"/>
    <s v="No"/>
    <x v="0"/>
  </r>
  <r>
    <x v="494"/>
    <x v="15"/>
    <x v="0"/>
    <x v="3"/>
    <x v="383"/>
    <d v="2023-08-07T00:00:00"/>
    <x v="7"/>
    <x v="5"/>
    <x v="7"/>
    <x v="494"/>
    <n v="7"/>
    <x v="1"/>
    <s v="Recovered"/>
    <x v="1"/>
    <x v="1"/>
    <s v="UPI"/>
    <n v="3"/>
    <x v="494"/>
    <s v="No"/>
    <x v="0"/>
  </r>
  <r>
    <x v="495"/>
    <x v="1"/>
    <x v="1"/>
    <x v="4"/>
    <x v="384"/>
    <d v="2024-12-26T00:00:00"/>
    <x v="7"/>
    <x v="5"/>
    <x v="4"/>
    <x v="495"/>
    <n v="30"/>
    <x v="0"/>
    <s v="Recovered"/>
    <x v="1"/>
    <x v="2"/>
    <s v="Card"/>
    <n v="2"/>
    <x v="495"/>
    <s v="Yes"/>
    <x v="0"/>
  </r>
  <r>
    <x v="496"/>
    <x v="53"/>
    <x v="1"/>
    <x v="3"/>
    <x v="206"/>
    <d v="2023-08-30T00:00:00"/>
    <x v="3"/>
    <x v="0"/>
    <x v="7"/>
    <x v="496"/>
    <n v="7"/>
    <x v="1"/>
    <s v="Recovered"/>
    <x v="0"/>
    <x v="0"/>
    <s v="UPI"/>
    <n v="1"/>
    <x v="496"/>
    <s v="Yes"/>
    <x v="0"/>
  </r>
  <r>
    <x v="497"/>
    <x v="29"/>
    <x v="1"/>
    <x v="5"/>
    <x v="155"/>
    <d v="2024-03-15T00:00:00"/>
    <x v="6"/>
    <x v="2"/>
    <x v="2"/>
    <x v="497"/>
    <n v="11"/>
    <x v="0"/>
    <s v="Recovered"/>
    <x v="1"/>
    <x v="2"/>
    <s v="Cash"/>
    <n v="15"/>
    <x v="497"/>
    <s v="Yes"/>
    <x v="0"/>
  </r>
  <r>
    <x v="498"/>
    <x v="45"/>
    <x v="1"/>
    <x v="5"/>
    <x v="76"/>
    <d v="2023-01-10T00:00:00"/>
    <x v="9"/>
    <x v="5"/>
    <x v="1"/>
    <x v="498"/>
    <n v="7"/>
    <x v="1"/>
    <s v="Recovered"/>
    <x v="2"/>
    <x v="2"/>
    <s v="Insurance"/>
    <n v="2"/>
    <x v="498"/>
    <s v="Yes"/>
    <x v="0"/>
  </r>
  <r>
    <x v="499"/>
    <x v="54"/>
    <x v="1"/>
    <x v="3"/>
    <x v="385"/>
    <d v="2025-04-03T00:00:00"/>
    <x v="8"/>
    <x v="6"/>
    <x v="3"/>
    <x v="499"/>
    <n v="1"/>
    <x v="1"/>
    <s v="Deceased"/>
    <x v="2"/>
    <x v="0"/>
    <s v="Cash"/>
    <n v="8"/>
    <x v="499"/>
    <s v="Yes"/>
    <x v="0"/>
  </r>
  <r>
    <x v="500"/>
    <x v="62"/>
    <x v="1"/>
    <x v="0"/>
    <x v="386"/>
    <d v="2025-01-03T00:00:00"/>
    <x v="6"/>
    <x v="2"/>
    <x v="6"/>
    <x v="500"/>
    <n v="8"/>
    <x v="1"/>
    <s v="Under Observation"/>
    <x v="2"/>
    <x v="2"/>
    <s v="Card"/>
    <n v="11"/>
    <x v="500"/>
    <s v="No"/>
    <x v="0"/>
  </r>
  <r>
    <x v="501"/>
    <x v="70"/>
    <x v="0"/>
    <x v="2"/>
    <x v="387"/>
    <d v="2025-04-27T00:00:00"/>
    <x v="3"/>
    <x v="0"/>
    <x v="2"/>
    <x v="501"/>
    <n v="20"/>
    <x v="0"/>
    <s v="Recovered"/>
    <x v="1"/>
    <x v="2"/>
    <s v="Card"/>
    <n v="2"/>
    <x v="501"/>
    <s v="No"/>
    <x v="0"/>
  </r>
  <r>
    <x v="502"/>
    <x v="28"/>
    <x v="0"/>
    <x v="6"/>
    <x v="50"/>
    <d v="2023-12-31T00:00:00"/>
    <x v="9"/>
    <x v="5"/>
    <x v="6"/>
    <x v="502"/>
    <n v="16"/>
    <x v="0"/>
    <s v="Recovered"/>
    <x v="2"/>
    <x v="2"/>
    <s v="Card"/>
    <n v="1"/>
    <x v="502"/>
    <s v="No"/>
    <x v="0"/>
  </r>
  <r>
    <x v="503"/>
    <x v="29"/>
    <x v="0"/>
    <x v="2"/>
    <x v="188"/>
    <d v="2025-07-04T00:00:00"/>
    <x v="2"/>
    <x v="2"/>
    <x v="6"/>
    <x v="503"/>
    <n v="5"/>
    <x v="0"/>
    <s v="Recovered"/>
    <x v="1"/>
    <x v="1"/>
    <s v="UPI"/>
    <n v="14"/>
    <x v="503"/>
    <s v="No"/>
    <x v="0"/>
  </r>
  <r>
    <x v="504"/>
    <x v="0"/>
    <x v="1"/>
    <x v="4"/>
    <x v="388"/>
    <d v="2024-05-28T00:00:00"/>
    <x v="9"/>
    <x v="5"/>
    <x v="7"/>
    <x v="504"/>
    <n v="19"/>
    <x v="0"/>
    <s v="Under Observation"/>
    <x v="2"/>
    <x v="1"/>
    <s v="Card"/>
    <n v="8"/>
    <x v="504"/>
    <s v="No"/>
    <x v="1"/>
  </r>
  <r>
    <x v="505"/>
    <x v="40"/>
    <x v="0"/>
    <x v="0"/>
    <x v="83"/>
    <d v="2023-04-16T00:00:00"/>
    <x v="9"/>
    <x v="5"/>
    <x v="2"/>
    <x v="505"/>
    <n v="23"/>
    <x v="0"/>
    <s v="Deceased"/>
    <x v="1"/>
    <x v="2"/>
    <s v="Card"/>
    <n v="15"/>
    <x v="505"/>
    <s v="No"/>
    <x v="0"/>
  </r>
  <r>
    <x v="506"/>
    <x v="68"/>
    <x v="1"/>
    <x v="5"/>
    <x v="389"/>
    <d v="2023-10-28T00:00:00"/>
    <x v="0"/>
    <x v="0"/>
    <x v="6"/>
    <x v="506"/>
    <n v="11"/>
    <x v="1"/>
    <s v="Under Observation"/>
    <x v="2"/>
    <x v="0"/>
    <s v="UPI"/>
    <n v="9"/>
    <x v="506"/>
    <s v="Yes"/>
    <x v="1"/>
  </r>
  <r>
    <x v="507"/>
    <x v="55"/>
    <x v="0"/>
    <x v="6"/>
    <x v="390"/>
    <d v="2023-11-06T00:00:00"/>
    <x v="7"/>
    <x v="5"/>
    <x v="1"/>
    <x v="507"/>
    <n v="7"/>
    <x v="0"/>
    <s v="Recovered"/>
    <x v="1"/>
    <x v="1"/>
    <s v="Cash"/>
    <n v="1"/>
    <x v="507"/>
    <s v="No"/>
    <x v="0"/>
  </r>
  <r>
    <x v="508"/>
    <x v="47"/>
    <x v="1"/>
    <x v="2"/>
    <x v="183"/>
    <d v="2023-03-03T00:00:00"/>
    <x v="7"/>
    <x v="5"/>
    <x v="3"/>
    <x v="508"/>
    <n v="8"/>
    <x v="1"/>
    <s v="Recovered"/>
    <x v="0"/>
    <x v="1"/>
    <s v="Insurance"/>
    <n v="1"/>
    <x v="508"/>
    <s v="No"/>
    <x v="0"/>
  </r>
  <r>
    <x v="509"/>
    <x v="55"/>
    <x v="1"/>
    <x v="0"/>
    <x v="369"/>
    <d v="2023-12-02T00:00:00"/>
    <x v="7"/>
    <x v="5"/>
    <x v="5"/>
    <x v="509"/>
    <n v="3"/>
    <x v="1"/>
    <s v="Recovered"/>
    <x v="2"/>
    <x v="0"/>
    <s v="Insurance"/>
    <n v="11"/>
    <x v="509"/>
    <s v="No"/>
    <x v="0"/>
  </r>
  <r>
    <x v="510"/>
    <x v="13"/>
    <x v="0"/>
    <x v="6"/>
    <x v="246"/>
    <d v="2023-05-13T00:00:00"/>
    <x v="1"/>
    <x v="1"/>
    <x v="3"/>
    <x v="510"/>
    <n v="13"/>
    <x v="0"/>
    <s v="Recovered"/>
    <x v="0"/>
    <x v="1"/>
    <s v="Cash"/>
    <n v="8"/>
    <x v="510"/>
    <s v="No"/>
    <x v="0"/>
  </r>
  <r>
    <x v="511"/>
    <x v="71"/>
    <x v="0"/>
    <x v="7"/>
    <x v="391"/>
    <d v="2023-04-01T00:00:00"/>
    <x v="2"/>
    <x v="2"/>
    <x v="4"/>
    <x v="511"/>
    <n v="16"/>
    <x v="1"/>
    <s v="Recovered"/>
    <x v="2"/>
    <x v="1"/>
    <s v="Insurance"/>
    <n v="1"/>
    <x v="511"/>
    <s v="No"/>
    <x v="0"/>
  </r>
  <r>
    <x v="512"/>
    <x v="27"/>
    <x v="0"/>
    <x v="4"/>
    <x v="392"/>
    <d v="2023-09-09T00:00:00"/>
    <x v="1"/>
    <x v="1"/>
    <x v="7"/>
    <x v="512"/>
    <n v="9"/>
    <x v="1"/>
    <s v="Recovered"/>
    <x v="0"/>
    <x v="1"/>
    <s v="Cash"/>
    <n v="15"/>
    <x v="512"/>
    <s v="Yes"/>
    <x v="0"/>
  </r>
  <r>
    <x v="513"/>
    <x v="13"/>
    <x v="1"/>
    <x v="0"/>
    <x v="393"/>
    <d v="2024-01-21T00:00:00"/>
    <x v="7"/>
    <x v="5"/>
    <x v="0"/>
    <x v="513"/>
    <n v="22"/>
    <x v="0"/>
    <s v="Recovered"/>
    <x v="2"/>
    <x v="2"/>
    <s v="UPI"/>
    <n v="11"/>
    <x v="513"/>
    <s v="No"/>
    <x v="0"/>
  </r>
  <r>
    <x v="514"/>
    <x v="36"/>
    <x v="1"/>
    <x v="3"/>
    <x v="303"/>
    <d v="2024-05-07T00:00:00"/>
    <x v="4"/>
    <x v="3"/>
    <x v="7"/>
    <x v="514"/>
    <n v="12"/>
    <x v="0"/>
    <s v="Under Observation"/>
    <x v="2"/>
    <x v="3"/>
    <s v="Card"/>
    <n v="12"/>
    <x v="514"/>
    <s v="Yes"/>
    <x v="0"/>
  </r>
  <r>
    <x v="515"/>
    <x v="5"/>
    <x v="1"/>
    <x v="3"/>
    <x v="394"/>
    <d v="2023-11-15T00:00:00"/>
    <x v="1"/>
    <x v="1"/>
    <x v="5"/>
    <x v="515"/>
    <n v="4"/>
    <x v="0"/>
    <s v="Under Observation"/>
    <x v="1"/>
    <x v="3"/>
    <s v="Cash"/>
    <n v="3"/>
    <x v="515"/>
    <s v="No"/>
    <x v="0"/>
  </r>
  <r>
    <x v="516"/>
    <x v="62"/>
    <x v="1"/>
    <x v="7"/>
    <x v="393"/>
    <d v="2024-01-10T00:00:00"/>
    <x v="7"/>
    <x v="5"/>
    <x v="7"/>
    <x v="516"/>
    <n v="11"/>
    <x v="0"/>
    <s v="Under Observation"/>
    <x v="2"/>
    <x v="2"/>
    <s v="Cash"/>
    <n v="2"/>
    <x v="516"/>
    <s v="Yes"/>
    <x v="0"/>
  </r>
  <r>
    <x v="517"/>
    <x v="41"/>
    <x v="1"/>
    <x v="2"/>
    <x v="395"/>
    <d v="2025-01-02T00:00:00"/>
    <x v="6"/>
    <x v="2"/>
    <x v="4"/>
    <x v="517"/>
    <n v="19"/>
    <x v="1"/>
    <s v="Referred"/>
    <x v="1"/>
    <x v="0"/>
    <s v="UPI"/>
    <n v="4"/>
    <x v="517"/>
    <s v="No"/>
    <x v="0"/>
  </r>
  <r>
    <x v="518"/>
    <x v="30"/>
    <x v="1"/>
    <x v="4"/>
    <x v="396"/>
    <d v="2024-12-26T00:00:00"/>
    <x v="8"/>
    <x v="6"/>
    <x v="3"/>
    <x v="518"/>
    <n v="6"/>
    <x v="0"/>
    <s v="Recovered"/>
    <x v="1"/>
    <x v="2"/>
    <s v="UPI"/>
    <n v="4"/>
    <x v="518"/>
    <s v="Yes"/>
    <x v="0"/>
  </r>
  <r>
    <x v="519"/>
    <x v="25"/>
    <x v="1"/>
    <x v="0"/>
    <x v="397"/>
    <d v="2024-11-03T00:00:00"/>
    <x v="7"/>
    <x v="5"/>
    <x v="6"/>
    <x v="519"/>
    <n v="16"/>
    <x v="0"/>
    <s v="Recovered"/>
    <x v="2"/>
    <x v="2"/>
    <s v="Card"/>
    <n v="11"/>
    <x v="519"/>
    <s v="No"/>
    <x v="0"/>
  </r>
  <r>
    <x v="520"/>
    <x v="58"/>
    <x v="0"/>
    <x v="6"/>
    <x v="398"/>
    <d v="2024-11-22T00:00:00"/>
    <x v="3"/>
    <x v="0"/>
    <x v="6"/>
    <x v="520"/>
    <n v="3"/>
    <x v="1"/>
    <s v="Recovered"/>
    <x v="0"/>
    <x v="3"/>
    <s v="Card"/>
    <n v="11"/>
    <x v="520"/>
    <s v="No"/>
    <x v="0"/>
  </r>
  <r>
    <x v="521"/>
    <x v="65"/>
    <x v="1"/>
    <x v="6"/>
    <x v="399"/>
    <d v="2025-06-12T00:00:00"/>
    <x v="8"/>
    <x v="6"/>
    <x v="3"/>
    <x v="521"/>
    <n v="7"/>
    <x v="0"/>
    <s v="Recovered"/>
    <x v="0"/>
    <x v="1"/>
    <s v="Card"/>
    <n v="5"/>
    <x v="521"/>
    <s v="Yes"/>
    <x v="0"/>
  </r>
  <r>
    <x v="522"/>
    <x v="8"/>
    <x v="1"/>
    <x v="6"/>
    <x v="281"/>
    <d v="2024-11-24T00:00:00"/>
    <x v="4"/>
    <x v="3"/>
    <x v="5"/>
    <x v="522"/>
    <n v="2"/>
    <x v="0"/>
    <s v="Recovered"/>
    <x v="2"/>
    <x v="3"/>
    <s v="Cash"/>
    <n v="11"/>
    <x v="522"/>
    <s v="Yes"/>
    <x v="0"/>
  </r>
  <r>
    <x v="523"/>
    <x v="46"/>
    <x v="0"/>
    <x v="6"/>
    <x v="20"/>
    <d v="2024-12-11T00:00:00"/>
    <x v="7"/>
    <x v="5"/>
    <x v="4"/>
    <x v="523"/>
    <n v="11"/>
    <x v="1"/>
    <s v="Recovered"/>
    <x v="0"/>
    <x v="3"/>
    <s v="Insurance"/>
    <n v="7"/>
    <x v="523"/>
    <s v="No"/>
    <x v="0"/>
  </r>
  <r>
    <x v="524"/>
    <x v="13"/>
    <x v="1"/>
    <x v="6"/>
    <x v="162"/>
    <d v="2024-06-15T00:00:00"/>
    <x v="6"/>
    <x v="2"/>
    <x v="3"/>
    <x v="524"/>
    <n v="16"/>
    <x v="0"/>
    <s v="Recovered"/>
    <x v="0"/>
    <x v="3"/>
    <s v="Cash"/>
    <n v="13"/>
    <x v="524"/>
    <s v="No"/>
    <x v="0"/>
  </r>
  <r>
    <x v="525"/>
    <x v="23"/>
    <x v="0"/>
    <x v="6"/>
    <x v="400"/>
    <d v="2023-04-01T00:00:00"/>
    <x v="9"/>
    <x v="5"/>
    <x v="3"/>
    <x v="525"/>
    <n v="6"/>
    <x v="0"/>
    <s v="Recovered"/>
    <x v="1"/>
    <x v="0"/>
    <s v="Card"/>
    <n v="11"/>
    <x v="525"/>
    <s v="Yes"/>
    <x v="0"/>
  </r>
  <r>
    <x v="526"/>
    <x v="31"/>
    <x v="0"/>
    <x v="3"/>
    <x v="401"/>
    <d v="2024-10-12T00:00:00"/>
    <x v="3"/>
    <x v="0"/>
    <x v="2"/>
    <x v="526"/>
    <n v="10"/>
    <x v="1"/>
    <s v="Referred"/>
    <x v="1"/>
    <x v="0"/>
    <s v="UPI"/>
    <n v="14"/>
    <x v="526"/>
    <s v="Yes"/>
    <x v="0"/>
  </r>
  <r>
    <x v="527"/>
    <x v="13"/>
    <x v="1"/>
    <x v="3"/>
    <x v="402"/>
    <d v="2023-11-03T00:00:00"/>
    <x v="3"/>
    <x v="0"/>
    <x v="3"/>
    <x v="527"/>
    <n v="27"/>
    <x v="1"/>
    <s v="Recovered"/>
    <x v="2"/>
    <x v="2"/>
    <s v="Cash"/>
    <n v="11"/>
    <x v="527"/>
    <s v="Yes"/>
    <x v="0"/>
  </r>
  <r>
    <x v="528"/>
    <x v="16"/>
    <x v="1"/>
    <x v="5"/>
    <x v="403"/>
    <d v="2025-09-17T00:00:00"/>
    <x v="8"/>
    <x v="6"/>
    <x v="4"/>
    <x v="528"/>
    <n v="1"/>
    <x v="0"/>
    <s v="Recovered"/>
    <x v="0"/>
    <x v="3"/>
    <s v="Card"/>
    <n v="11"/>
    <x v="528"/>
    <s v="No"/>
    <x v="0"/>
  </r>
  <r>
    <x v="529"/>
    <x v="61"/>
    <x v="0"/>
    <x v="6"/>
    <x v="404"/>
    <d v="2024-01-19T00:00:00"/>
    <x v="3"/>
    <x v="0"/>
    <x v="3"/>
    <x v="529"/>
    <n v="6"/>
    <x v="0"/>
    <s v="Recovered"/>
    <x v="1"/>
    <x v="1"/>
    <s v="Insurance"/>
    <n v="3"/>
    <x v="529"/>
    <s v="Yes"/>
    <x v="0"/>
  </r>
  <r>
    <x v="530"/>
    <x v="43"/>
    <x v="0"/>
    <x v="4"/>
    <x v="330"/>
    <d v="2024-03-15T00:00:00"/>
    <x v="2"/>
    <x v="2"/>
    <x v="7"/>
    <x v="530"/>
    <n v="13"/>
    <x v="0"/>
    <s v="Recovered"/>
    <x v="0"/>
    <x v="3"/>
    <s v="Card"/>
    <n v="11"/>
    <x v="530"/>
    <s v="No"/>
    <x v="1"/>
  </r>
  <r>
    <x v="531"/>
    <x v="3"/>
    <x v="1"/>
    <x v="2"/>
    <x v="118"/>
    <d v="2025-04-08T00:00:00"/>
    <x v="0"/>
    <x v="0"/>
    <x v="6"/>
    <x v="531"/>
    <n v="13"/>
    <x v="1"/>
    <s v="Under Observation"/>
    <x v="0"/>
    <x v="0"/>
    <s v="Card"/>
    <n v="6"/>
    <x v="531"/>
    <s v="Yes"/>
    <x v="0"/>
  </r>
  <r>
    <x v="532"/>
    <x v="56"/>
    <x v="0"/>
    <x v="5"/>
    <x v="212"/>
    <d v="2025-01-10T00:00:00"/>
    <x v="8"/>
    <x v="6"/>
    <x v="4"/>
    <x v="532"/>
    <n v="17"/>
    <x v="1"/>
    <s v="Recovered"/>
    <x v="1"/>
    <x v="2"/>
    <s v="Insurance"/>
    <n v="4"/>
    <x v="532"/>
    <s v="No"/>
    <x v="0"/>
  </r>
  <r>
    <x v="533"/>
    <x v="8"/>
    <x v="0"/>
    <x v="2"/>
    <x v="405"/>
    <d v="2023-07-16T00:00:00"/>
    <x v="6"/>
    <x v="2"/>
    <x v="6"/>
    <x v="533"/>
    <n v="1"/>
    <x v="1"/>
    <s v="Under Observation"/>
    <x v="1"/>
    <x v="1"/>
    <s v="UPI"/>
    <n v="7"/>
    <x v="533"/>
    <s v="Yes"/>
    <x v="0"/>
  </r>
  <r>
    <x v="534"/>
    <x v="2"/>
    <x v="1"/>
    <x v="5"/>
    <x v="406"/>
    <d v="2023-06-24T00:00:00"/>
    <x v="8"/>
    <x v="6"/>
    <x v="7"/>
    <x v="534"/>
    <n v="21"/>
    <x v="0"/>
    <s v="Recovered"/>
    <x v="2"/>
    <x v="2"/>
    <s v="Card"/>
    <n v="14"/>
    <x v="534"/>
    <s v="No"/>
    <x v="1"/>
  </r>
  <r>
    <x v="535"/>
    <x v="17"/>
    <x v="0"/>
    <x v="1"/>
    <x v="358"/>
    <d v="2024-10-02T00:00:00"/>
    <x v="5"/>
    <x v="4"/>
    <x v="5"/>
    <x v="535"/>
    <n v="19"/>
    <x v="1"/>
    <s v="Recovered"/>
    <x v="2"/>
    <x v="1"/>
    <s v="Card"/>
    <n v="10"/>
    <x v="535"/>
    <s v="No"/>
    <x v="0"/>
  </r>
  <r>
    <x v="536"/>
    <x v="67"/>
    <x v="0"/>
    <x v="7"/>
    <x v="407"/>
    <d v="2023-03-08T00:00:00"/>
    <x v="1"/>
    <x v="1"/>
    <x v="2"/>
    <x v="536"/>
    <n v="15"/>
    <x v="0"/>
    <s v="Recovered"/>
    <x v="2"/>
    <x v="3"/>
    <s v="Card"/>
    <n v="15"/>
    <x v="536"/>
    <s v="Yes"/>
    <x v="0"/>
  </r>
  <r>
    <x v="537"/>
    <x v="70"/>
    <x v="0"/>
    <x v="0"/>
    <x v="408"/>
    <d v="2024-03-26T00:00:00"/>
    <x v="9"/>
    <x v="5"/>
    <x v="2"/>
    <x v="537"/>
    <n v="10"/>
    <x v="0"/>
    <s v="Recovered"/>
    <x v="1"/>
    <x v="3"/>
    <s v="Insurance"/>
    <n v="13"/>
    <x v="537"/>
    <s v="No"/>
    <x v="0"/>
  </r>
  <r>
    <x v="538"/>
    <x v="56"/>
    <x v="0"/>
    <x v="2"/>
    <x v="409"/>
    <d v="2023-07-21T00:00:00"/>
    <x v="2"/>
    <x v="2"/>
    <x v="0"/>
    <x v="538"/>
    <n v="12"/>
    <x v="1"/>
    <s v="Recovered"/>
    <x v="1"/>
    <x v="0"/>
    <s v="Insurance"/>
    <n v="4"/>
    <x v="538"/>
    <s v="Yes"/>
    <x v="0"/>
  </r>
  <r>
    <x v="539"/>
    <x v="39"/>
    <x v="1"/>
    <x v="0"/>
    <x v="255"/>
    <d v="2023-05-19T00:00:00"/>
    <x v="0"/>
    <x v="0"/>
    <x v="0"/>
    <x v="539"/>
    <n v="3"/>
    <x v="0"/>
    <s v="Recovered"/>
    <x v="2"/>
    <x v="0"/>
    <s v="Card"/>
    <n v="7"/>
    <x v="539"/>
    <s v="No"/>
    <x v="0"/>
  </r>
  <r>
    <x v="540"/>
    <x v="39"/>
    <x v="1"/>
    <x v="0"/>
    <x v="313"/>
    <d v="2025-02-13T00:00:00"/>
    <x v="9"/>
    <x v="5"/>
    <x v="6"/>
    <x v="540"/>
    <n v="5"/>
    <x v="1"/>
    <s v="Recovered"/>
    <x v="1"/>
    <x v="3"/>
    <s v="Cash"/>
    <n v="10"/>
    <x v="540"/>
    <s v="No"/>
    <x v="0"/>
  </r>
  <r>
    <x v="541"/>
    <x v="62"/>
    <x v="0"/>
    <x v="3"/>
    <x v="11"/>
    <d v="2025-02-27T00:00:00"/>
    <x v="6"/>
    <x v="2"/>
    <x v="5"/>
    <x v="541"/>
    <n v="8"/>
    <x v="1"/>
    <s v="Recovered"/>
    <x v="1"/>
    <x v="0"/>
    <s v="Card"/>
    <n v="6"/>
    <x v="541"/>
    <s v="No"/>
    <x v="0"/>
  </r>
  <r>
    <x v="542"/>
    <x v="3"/>
    <x v="0"/>
    <x v="1"/>
    <x v="405"/>
    <d v="2023-07-21T00:00:00"/>
    <x v="6"/>
    <x v="2"/>
    <x v="4"/>
    <x v="542"/>
    <n v="6"/>
    <x v="0"/>
    <s v="Deceased"/>
    <x v="0"/>
    <x v="0"/>
    <s v="Cash"/>
    <n v="15"/>
    <x v="542"/>
    <s v="No"/>
    <x v="0"/>
  </r>
  <r>
    <x v="543"/>
    <x v="9"/>
    <x v="1"/>
    <x v="4"/>
    <x v="232"/>
    <d v="2023-10-01T00:00:00"/>
    <x v="3"/>
    <x v="0"/>
    <x v="1"/>
    <x v="543"/>
    <n v="1"/>
    <x v="1"/>
    <s v="Recovered"/>
    <x v="0"/>
    <x v="0"/>
    <s v="UPI"/>
    <n v="14"/>
    <x v="543"/>
    <s v="No"/>
    <x v="0"/>
  </r>
  <r>
    <x v="544"/>
    <x v="60"/>
    <x v="0"/>
    <x v="1"/>
    <x v="410"/>
    <d v="2025-04-01T00:00:00"/>
    <x v="1"/>
    <x v="1"/>
    <x v="0"/>
    <x v="544"/>
    <n v="17"/>
    <x v="1"/>
    <s v="Recovered"/>
    <x v="0"/>
    <x v="3"/>
    <s v="UPI"/>
    <n v="3"/>
    <x v="544"/>
    <s v="Yes"/>
    <x v="0"/>
  </r>
  <r>
    <x v="545"/>
    <x v="14"/>
    <x v="1"/>
    <x v="5"/>
    <x v="411"/>
    <d v="2025-06-03T00:00:00"/>
    <x v="9"/>
    <x v="5"/>
    <x v="3"/>
    <x v="545"/>
    <n v="17"/>
    <x v="0"/>
    <s v="Under Observation"/>
    <x v="2"/>
    <x v="1"/>
    <s v="UPI"/>
    <n v="3"/>
    <x v="545"/>
    <s v="Yes"/>
    <x v="0"/>
  </r>
  <r>
    <x v="546"/>
    <x v="30"/>
    <x v="1"/>
    <x v="7"/>
    <x v="200"/>
    <d v="2025-04-18T00:00:00"/>
    <x v="1"/>
    <x v="1"/>
    <x v="3"/>
    <x v="546"/>
    <n v="2"/>
    <x v="0"/>
    <s v="Recovered"/>
    <x v="0"/>
    <x v="0"/>
    <s v="UPI"/>
    <n v="11"/>
    <x v="546"/>
    <s v="Yes"/>
    <x v="0"/>
  </r>
  <r>
    <x v="547"/>
    <x v="41"/>
    <x v="0"/>
    <x v="2"/>
    <x v="412"/>
    <d v="2025-09-08T00:00:00"/>
    <x v="0"/>
    <x v="0"/>
    <x v="1"/>
    <x v="547"/>
    <n v="2"/>
    <x v="0"/>
    <s v="Recovered"/>
    <x v="0"/>
    <x v="1"/>
    <s v="Cash"/>
    <n v="4"/>
    <x v="547"/>
    <s v="Yes"/>
    <x v="0"/>
  </r>
  <r>
    <x v="548"/>
    <x v="24"/>
    <x v="1"/>
    <x v="4"/>
    <x v="413"/>
    <d v="2025-02-09T00:00:00"/>
    <x v="7"/>
    <x v="5"/>
    <x v="4"/>
    <x v="548"/>
    <n v="6"/>
    <x v="1"/>
    <s v="Under Observation"/>
    <x v="2"/>
    <x v="0"/>
    <s v="Cash"/>
    <n v="7"/>
    <x v="548"/>
    <s v="Yes"/>
    <x v="0"/>
  </r>
  <r>
    <x v="549"/>
    <x v="61"/>
    <x v="0"/>
    <x v="4"/>
    <x v="93"/>
    <d v="2025-08-05T00:00:00"/>
    <x v="1"/>
    <x v="1"/>
    <x v="5"/>
    <x v="549"/>
    <n v="4"/>
    <x v="0"/>
    <s v="Recovered"/>
    <x v="0"/>
    <x v="2"/>
    <s v="Insurance"/>
    <n v="13"/>
    <x v="549"/>
    <s v="No"/>
    <x v="0"/>
  </r>
  <r>
    <x v="550"/>
    <x v="45"/>
    <x v="0"/>
    <x v="6"/>
    <x v="414"/>
    <d v="2024-06-02T00:00:00"/>
    <x v="6"/>
    <x v="2"/>
    <x v="1"/>
    <x v="550"/>
    <n v="14"/>
    <x v="0"/>
    <s v="Under Observation"/>
    <x v="0"/>
    <x v="0"/>
    <s v="Cash"/>
    <n v="4"/>
    <x v="550"/>
    <s v="No"/>
    <x v="1"/>
  </r>
  <r>
    <x v="551"/>
    <x v="70"/>
    <x v="1"/>
    <x v="5"/>
    <x v="106"/>
    <d v="2025-05-18T00:00:00"/>
    <x v="3"/>
    <x v="0"/>
    <x v="4"/>
    <x v="551"/>
    <n v="12"/>
    <x v="1"/>
    <s v="Recovered"/>
    <x v="2"/>
    <x v="0"/>
    <s v="Insurance"/>
    <n v="15"/>
    <x v="551"/>
    <s v="Yes"/>
    <x v="0"/>
  </r>
  <r>
    <x v="552"/>
    <x v="61"/>
    <x v="0"/>
    <x v="7"/>
    <x v="415"/>
    <d v="2025-10-03T00:00:00"/>
    <x v="7"/>
    <x v="5"/>
    <x v="1"/>
    <x v="552"/>
    <n v="6"/>
    <x v="1"/>
    <s v="Recovered"/>
    <x v="1"/>
    <x v="0"/>
    <s v="Card"/>
    <n v="8"/>
    <x v="552"/>
    <s v="Yes"/>
    <x v="0"/>
  </r>
  <r>
    <x v="553"/>
    <x v="54"/>
    <x v="0"/>
    <x v="5"/>
    <x v="416"/>
    <d v="2024-09-15T00:00:00"/>
    <x v="8"/>
    <x v="6"/>
    <x v="5"/>
    <x v="553"/>
    <n v="18"/>
    <x v="0"/>
    <s v="Recovered"/>
    <x v="2"/>
    <x v="0"/>
    <s v="Insurance"/>
    <n v="8"/>
    <x v="553"/>
    <s v="Yes"/>
    <x v="0"/>
  </r>
  <r>
    <x v="554"/>
    <x v="68"/>
    <x v="1"/>
    <x v="3"/>
    <x v="417"/>
    <d v="2023-11-29T00:00:00"/>
    <x v="3"/>
    <x v="0"/>
    <x v="3"/>
    <x v="554"/>
    <n v="19"/>
    <x v="1"/>
    <s v="Recovered"/>
    <x v="1"/>
    <x v="0"/>
    <s v="Insurance"/>
    <n v="12"/>
    <x v="554"/>
    <s v="Yes"/>
    <x v="0"/>
  </r>
  <r>
    <x v="555"/>
    <x v="35"/>
    <x v="0"/>
    <x v="1"/>
    <x v="380"/>
    <d v="2024-09-30T00:00:00"/>
    <x v="2"/>
    <x v="2"/>
    <x v="3"/>
    <x v="555"/>
    <n v="18"/>
    <x v="1"/>
    <s v="Under Observation"/>
    <x v="1"/>
    <x v="2"/>
    <s v="UPI"/>
    <n v="7"/>
    <x v="555"/>
    <s v="Yes"/>
    <x v="0"/>
  </r>
  <r>
    <x v="556"/>
    <x v="25"/>
    <x v="1"/>
    <x v="6"/>
    <x v="152"/>
    <d v="2025-06-14T00:00:00"/>
    <x v="7"/>
    <x v="5"/>
    <x v="4"/>
    <x v="556"/>
    <n v="13"/>
    <x v="0"/>
    <s v="Recovered"/>
    <x v="1"/>
    <x v="3"/>
    <s v="UPI"/>
    <n v="10"/>
    <x v="556"/>
    <s v="No"/>
    <x v="0"/>
  </r>
  <r>
    <x v="557"/>
    <x v="62"/>
    <x v="0"/>
    <x v="6"/>
    <x v="418"/>
    <d v="2023-07-29T00:00:00"/>
    <x v="0"/>
    <x v="0"/>
    <x v="6"/>
    <x v="557"/>
    <n v="11"/>
    <x v="1"/>
    <s v="Recovered"/>
    <x v="0"/>
    <x v="3"/>
    <s v="UPI"/>
    <n v="5"/>
    <x v="557"/>
    <s v="Yes"/>
    <x v="0"/>
  </r>
  <r>
    <x v="558"/>
    <x v="4"/>
    <x v="1"/>
    <x v="6"/>
    <x v="419"/>
    <d v="2023-04-13T00:00:00"/>
    <x v="3"/>
    <x v="0"/>
    <x v="6"/>
    <x v="558"/>
    <n v="15"/>
    <x v="0"/>
    <s v="Recovered"/>
    <x v="1"/>
    <x v="2"/>
    <s v="Insurance"/>
    <n v="7"/>
    <x v="558"/>
    <s v="Yes"/>
    <x v="0"/>
  </r>
  <r>
    <x v="559"/>
    <x v="66"/>
    <x v="0"/>
    <x v="2"/>
    <x v="420"/>
    <d v="2023-02-18T00:00:00"/>
    <x v="3"/>
    <x v="0"/>
    <x v="1"/>
    <x v="559"/>
    <n v="16"/>
    <x v="0"/>
    <s v="Recovered"/>
    <x v="0"/>
    <x v="0"/>
    <s v="Cash"/>
    <n v="5"/>
    <x v="559"/>
    <s v="No"/>
    <x v="0"/>
  </r>
  <r>
    <x v="560"/>
    <x v="41"/>
    <x v="1"/>
    <x v="0"/>
    <x v="69"/>
    <d v="2023-05-17T00:00:00"/>
    <x v="8"/>
    <x v="6"/>
    <x v="0"/>
    <x v="560"/>
    <n v="4"/>
    <x v="0"/>
    <s v="Referred"/>
    <x v="1"/>
    <x v="1"/>
    <s v="Cash"/>
    <n v="14"/>
    <x v="560"/>
    <s v="Yes"/>
    <x v="1"/>
  </r>
  <r>
    <x v="561"/>
    <x v="28"/>
    <x v="0"/>
    <x v="5"/>
    <x v="46"/>
    <d v="2025-01-26T00:00:00"/>
    <x v="4"/>
    <x v="3"/>
    <x v="5"/>
    <x v="561"/>
    <n v="6"/>
    <x v="1"/>
    <s v="Recovered"/>
    <x v="1"/>
    <x v="2"/>
    <s v="Insurance"/>
    <n v="4"/>
    <x v="561"/>
    <s v="No"/>
    <x v="0"/>
  </r>
  <r>
    <x v="562"/>
    <x v="19"/>
    <x v="1"/>
    <x v="5"/>
    <x v="276"/>
    <d v="2025-03-16T00:00:00"/>
    <x v="3"/>
    <x v="0"/>
    <x v="0"/>
    <x v="562"/>
    <n v="9"/>
    <x v="0"/>
    <s v="Under Observation"/>
    <x v="0"/>
    <x v="2"/>
    <s v="Cash"/>
    <n v="13"/>
    <x v="562"/>
    <s v="No"/>
    <x v="0"/>
  </r>
  <r>
    <x v="563"/>
    <x v="10"/>
    <x v="0"/>
    <x v="7"/>
    <x v="2"/>
    <d v="2024-03-27T00:00:00"/>
    <x v="7"/>
    <x v="5"/>
    <x v="6"/>
    <x v="563"/>
    <n v="12"/>
    <x v="1"/>
    <s v="Recovered"/>
    <x v="1"/>
    <x v="3"/>
    <s v="UPI"/>
    <n v="5"/>
    <x v="563"/>
    <s v="Yes"/>
    <x v="0"/>
  </r>
  <r>
    <x v="564"/>
    <x v="42"/>
    <x v="1"/>
    <x v="3"/>
    <x v="421"/>
    <d v="2025-09-15T00:00:00"/>
    <x v="7"/>
    <x v="5"/>
    <x v="4"/>
    <x v="564"/>
    <n v="10"/>
    <x v="1"/>
    <s v="Recovered"/>
    <x v="1"/>
    <x v="3"/>
    <s v="UPI"/>
    <n v="13"/>
    <x v="564"/>
    <s v="No"/>
    <x v="0"/>
  </r>
  <r>
    <x v="565"/>
    <x v="55"/>
    <x v="1"/>
    <x v="5"/>
    <x v="422"/>
    <d v="2024-01-13T00:00:00"/>
    <x v="2"/>
    <x v="2"/>
    <x v="5"/>
    <x v="565"/>
    <n v="9"/>
    <x v="1"/>
    <s v="Recovered"/>
    <x v="1"/>
    <x v="0"/>
    <s v="UPI"/>
    <n v="3"/>
    <x v="565"/>
    <s v="Yes"/>
    <x v="0"/>
  </r>
  <r>
    <x v="566"/>
    <x v="36"/>
    <x v="1"/>
    <x v="7"/>
    <x v="65"/>
    <d v="2023-06-09T00:00:00"/>
    <x v="7"/>
    <x v="5"/>
    <x v="0"/>
    <x v="566"/>
    <n v="1"/>
    <x v="1"/>
    <s v="Recovered"/>
    <x v="1"/>
    <x v="1"/>
    <s v="UPI"/>
    <n v="4"/>
    <x v="566"/>
    <s v="No"/>
    <x v="0"/>
  </r>
  <r>
    <x v="567"/>
    <x v="45"/>
    <x v="0"/>
    <x v="7"/>
    <x v="79"/>
    <d v="2023-05-05T00:00:00"/>
    <x v="8"/>
    <x v="6"/>
    <x v="3"/>
    <x v="567"/>
    <n v="10"/>
    <x v="0"/>
    <s v="Under Observation"/>
    <x v="0"/>
    <x v="1"/>
    <s v="UPI"/>
    <n v="10"/>
    <x v="567"/>
    <s v="Yes"/>
    <x v="0"/>
  </r>
  <r>
    <x v="568"/>
    <x v="68"/>
    <x v="1"/>
    <x v="6"/>
    <x v="71"/>
    <d v="2023-05-03T00:00:00"/>
    <x v="6"/>
    <x v="2"/>
    <x v="2"/>
    <x v="568"/>
    <n v="16"/>
    <x v="0"/>
    <s v="Recovered"/>
    <x v="1"/>
    <x v="3"/>
    <s v="Insurance"/>
    <n v="9"/>
    <x v="568"/>
    <s v="Yes"/>
    <x v="0"/>
  </r>
  <r>
    <x v="569"/>
    <x v="24"/>
    <x v="0"/>
    <x v="4"/>
    <x v="70"/>
    <d v="2024-04-23T00:00:00"/>
    <x v="9"/>
    <x v="5"/>
    <x v="2"/>
    <x v="569"/>
    <n v="14"/>
    <x v="0"/>
    <s v="Recovered"/>
    <x v="2"/>
    <x v="3"/>
    <s v="Insurance"/>
    <n v="13"/>
    <x v="569"/>
    <s v="No"/>
    <x v="0"/>
  </r>
  <r>
    <x v="570"/>
    <x v="70"/>
    <x v="0"/>
    <x v="0"/>
    <x v="423"/>
    <d v="2024-04-23T00:00:00"/>
    <x v="3"/>
    <x v="0"/>
    <x v="7"/>
    <x v="570"/>
    <n v="5"/>
    <x v="0"/>
    <s v="Recovered"/>
    <x v="1"/>
    <x v="0"/>
    <s v="Insurance"/>
    <n v="9"/>
    <x v="570"/>
    <s v="No"/>
    <x v="0"/>
  </r>
  <r>
    <x v="571"/>
    <x v="18"/>
    <x v="1"/>
    <x v="4"/>
    <x v="424"/>
    <d v="2024-07-07T00:00:00"/>
    <x v="3"/>
    <x v="0"/>
    <x v="5"/>
    <x v="571"/>
    <n v="1"/>
    <x v="0"/>
    <s v="Recovered"/>
    <x v="1"/>
    <x v="0"/>
    <s v="Cash"/>
    <n v="14"/>
    <x v="571"/>
    <s v="No"/>
    <x v="0"/>
  </r>
  <r>
    <x v="572"/>
    <x v="31"/>
    <x v="0"/>
    <x v="7"/>
    <x v="425"/>
    <d v="2023-04-16T00:00:00"/>
    <x v="7"/>
    <x v="5"/>
    <x v="3"/>
    <x v="572"/>
    <n v="8"/>
    <x v="0"/>
    <s v="Recovered"/>
    <x v="0"/>
    <x v="0"/>
    <s v="Card"/>
    <n v="11"/>
    <x v="572"/>
    <s v="Yes"/>
    <x v="0"/>
  </r>
  <r>
    <x v="573"/>
    <x v="39"/>
    <x v="1"/>
    <x v="7"/>
    <x v="109"/>
    <d v="2023-02-13T00:00:00"/>
    <x v="1"/>
    <x v="1"/>
    <x v="7"/>
    <x v="573"/>
    <n v="6"/>
    <x v="1"/>
    <s v="Recovered"/>
    <x v="1"/>
    <x v="3"/>
    <s v="Cash"/>
    <n v="2"/>
    <x v="573"/>
    <s v="Yes"/>
    <x v="0"/>
  </r>
  <r>
    <x v="574"/>
    <x v="23"/>
    <x v="0"/>
    <x v="3"/>
    <x v="426"/>
    <d v="2025-03-03T00:00:00"/>
    <x v="6"/>
    <x v="2"/>
    <x v="6"/>
    <x v="574"/>
    <n v="6"/>
    <x v="1"/>
    <s v="Recovered"/>
    <x v="2"/>
    <x v="1"/>
    <s v="Cash"/>
    <n v="5"/>
    <x v="574"/>
    <s v="No"/>
    <x v="1"/>
  </r>
  <r>
    <x v="575"/>
    <x v="52"/>
    <x v="0"/>
    <x v="7"/>
    <x v="108"/>
    <d v="2023-04-23T00:00:00"/>
    <x v="7"/>
    <x v="5"/>
    <x v="7"/>
    <x v="575"/>
    <n v="12"/>
    <x v="1"/>
    <s v="Under Observation"/>
    <x v="0"/>
    <x v="3"/>
    <s v="Insurance"/>
    <n v="5"/>
    <x v="575"/>
    <s v="Yes"/>
    <x v="0"/>
  </r>
  <r>
    <x v="576"/>
    <x v="59"/>
    <x v="0"/>
    <x v="5"/>
    <x v="427"/>
    <d v="2024-07-18T00:00:00"/>
    <x v="2"/>
    <x v="2"/>
    <x v="7"/>
    <x v="576"/>
    <n v="14"/>
    <x v="0"/>
    <s v="Recovered"/>
    <x v="0"/>
    <x v="3"/>
    <s v="Card"/>
    <n v="8"/>
    <x v="576"/>
    <s v="No"/>
    <x v="0"/>
  </r>
  <r>
    <x v="577"/>
    <x v="63"/>
    <x v="1"/>
    <x v="0"/>
    <x v="359"/>
    <d v="2024-10-24T00:00:00"/>
    <x v="5"/>
    <x v="4"/>
    <x v="6"/>
    <x v="577"/>
    <n v="16"/>
    <x v="1"/>
    <s v="Recovered"/>
    <x v="0"/>
    <x v="1"/>
    <s v="UPI"/>
    <n v="8"/>
    <x v="577"/>
    <s v="Yes"/>
    <x v="0"/>
  </r>
  <r>
    <x v="578"/>
    <x v="3"/>
    <x v="0"/>
    <x v="3"/>
    <x v="428"/>
    <d v="2024-05-20T00:00:00"/>
    <x v="3"/>
    <x v="0"/>
    <x v="5"/>
    <x v="578"/>
    <n v="17"/>
    <x v="0"/>
    <s v="Deceased"/>
    <x v="0"/>
    <x v="3"/>
    <s v="Cash"/>
    <n v="8"/>
    <x v="578"/>
    <s v="No"/>
    <x v="0"/>
  </r>
  <r>
    <x v="579"/>
    <x v="63"/>
    <x v="1"/>
    <x v="6"/>
    <x v="429"/>
    <d v="2024-05-12T00:00:00"/>
    <x v="7"/>
    <x v="5"/>
    <x v="1"/>
    <x v="579"/>
    <n v="7"/>
    <x v="1"/>
    <s v="Recovered"/>
    <x v="1"/>
    <x v="3"/>
    <s v="UPI"/>
    <n v="15"/>
    <x v="579"/>
    <s v="Yes"/>
    <x v="0"/>
  </r>
  <r>
    <x v="580"/>
    <x v="70"/>
    <x v="1"/>
    <x v="6"/>
    <x v="334"/>
    <d v="2025-02-01T00:00:00"/>
    <x v="3"/>
    <x v="0"/>
    <x v="1"/>
    <x v="580"/>
    <n v="7"/>
    <x v="1"/>
    <s v="Recovered"/>
    <x v="0"/>
    <x v="1"/>
    <s v="Cash"/>
    <n v="6"/>
    <x v="580"/>
    <s v="No"/>
    <x v="0"/>
  </r>
  <r>
    <x v="581"/>
    <x v="39"/>
    <x v="1"/>
    <x v="2"/>
    <x v="430"/>
    <d v="2024-06-09T00:00:00"/>
    <x v="3"/>
    <x v="0"/>
    <x v="6"/>
    <x v="581"/>
    <n v="8"/>
    <x v="0"/>
    <s v="Under Observation"/>
    <x v="0"/>
    <x v="3"/>
    <s v="Cash"/>
    <n v="11"/>
    <x v="581"/>
    <s v="Yes"/>
    <x v="0"/>
  </r>
  <r>
    <x v="582"/>
    <x v="39"/>
    <x v="0"/>
    <x v="7"/>
    <x v="263"/>
    <d v="2023-08-23T00:00:00"/>
    <x v="6"/>
    <x v="2"/>
    <x v="0"/>
    <x v="582"/>
    <n v="8"/>
    <x v="1"/>
    <s v="Recovered"/>
    <x v="1"/>
    <x v="1"/>
    <s v="Cash"/>
    <n v="1"/>
    <x v="582"/>
    <s v="No"/>
    <x v="1"/>
  </r>
  <r>
    <x v="583"/>
    <x v="64"/>
    <x v="0"/>
    <x v="0"/>
    <x v="184"/>
    <d v="2024-03-29T00:00:00"/>
    <x v="3"/>
    <x v="0"/>
    <x v="6"/>
    <x v="583"/>
    <n v="19"/>
    <x v="1"/>
    <s v="Recovered"/>
    <x v="1"/>
    <x v="3"/>
    <s v="Cash"/>
    <n v="9"/>
    <x v="583"/>
    <s v="No"/>
    <x v="0"/>
  </r>
  <r>
    <x v="584"/>
    <x v="59"/>
    <x v="1"/>
    <x v="2"/>
    <x v="314"/>
    <d v="2024-12-28T00:00:00"/>
    <x v="7"/>
    <x v="5"/>
    <x v="0"/>
    <x v="584"/>
    <n v="21"/>
    <x v="0"/>
    <s v="Recovered"/>
    <x v="0"/>
    <x v="2"/>
    <s v="Card"/>
    <n v="1"/>
    <x v="584"/>
    <s v="Yes"/>
    <x v="0"/>
  </r>
  <r>
    <x v="585"/>
    <x v="42"/>
    <x v="0"/>
    <x v="3"/>
    <x v="249"/>
    <d v="2023-10-02T00:00:00"/>
    <x v="4"/>
    <x v="3"/>
    <x v="5"/>
    <x v="585"/>
    <n v="9"/>
    <x v="0"/>
    <s v="Recovered"/>
    <x v="2"/>
    <x v="3"/>
    <s v="Insurance"/>
    <n v="10"/>
    <x v="585"/>
    <s v="Yes"/>
    <x v="0"/>
  </r>
  <r>
    <x v="586"/>
    <x v="20"/>
    <x v="1"/>
    <x v="5"/>
    <x v="267"/>
    <d v="2023-08-25T00:00:00"/>
    <x v="8"/>
    <x v="6"/>
    <x v="4"/>
    <x v="586"/>
    <n v="5"/>
    <x v="0"/>
    <s v="Recovered"/>
    <x v="1"/>
    <x v="2"/>
    <s v="Card"/>
    <n v="11"/>
    <x v="586"/>
    <s v="No"/>
    <x v="0"/>
  </r>
  <r>
    <x v="587"/>
    <x v="4"/>
    <x v="1"/>
    <x v="4"/>
    <x v="325"/>
    <d v="2024-08-05T00:00:00"/>
    <x v="1"/>
    <x v="1"/>
    <x v="3"/>
    <x v="587"/>
    <n v="17"/>
    <x v="0"/>
    <s v="Recovered"/>
    <x v="2"/>
    <x v="0"/>
    <s v="UPI"/>
    <n v="14"/>
    <x v="587"/>
    <s v="No"/>
    <x v="0"/>
  </r>
  <r>
    <x v="588"/>
    <x v="51"/>
    <x v="0"/>
    <x v="6"/>
    <x v="431"/>
    <d v="2025-09-11T00:00:00"/>
    <x v="8"/>
    <x v="6"/>
    <x v="5"/>
    <x v="588"/>
    <n v="15"/>
    <x v="0"/>
    <s v="Recovered"/>
    <x v="1"/>
    <x v="1"/>
    <s v="UPI"/>
    <n v="3"/>
    <x v="588"/>
    <s v="Yes"/>
    <x v="0"/>
  </r>
  <r>
    <x v="589"/>
    <x v="23"/>
    <x v="0"/>
    <x v="2"/>
    <x v="111"/>
    <d v="2023-04-25T00:00:00"/>
    <x v="7"/>
    <x v="5"/>
    <x v="5"/>
    <x v="589"/>
    <n v="11"/>
    <x v="1"/>
    <s v="Recovered"/>
    <x v="1"/>
    <x v="3"/>
    <s v="Card"/>
    <n v="10"/>
    <x v="589"/>
    <s v="No"/>
    <x v="0"/>
  </r>
  <r>
    <x v="590"/>
    <x v="13"/>
    <x v="1"/>
    <x v="2"/>
    <x v="432"/>
    <d v="2023-02-17T00:00:00"/>
    <x v="4"/>
    <x v="3"/>
    <x v="6"/>
    <x v="590"/>
    <n v="8"/>
    <x v="0"/>
    <s v="Deceased"/>
    <x v="2"/>
    <x v="3"/>
    <s v="Card"/>
    <n v="10"/>
    <x v="590"/>
    <s v="No"/>
    <x v="0"/>
  </r>
  <r>
    <x v="591"/>
    <x v="22"/>
    <x v="0"/>
    <x v="4"/>
    <x v="103"/>
    <d v="2024-04-06T00:00:00"/>
    <x v="7"/>
    <x v="5"/>
    <x v="4"/>
    <x v="591"/>
    <n v="13"/>
    <x v="1"/>
    <s v="Recovered"/>
    <x v="0"/>
    <x v="1"/>
    <s v="Insurance"/>
    <n v="14"/>
    <x v="591"/>
    <s v="Yes"/>
    <x v="0"/>
  </r>
  <r>
    <x v="592"/>
    <x v="30"/>
    <x v="1"/>
    <x v="7"/>
    <x v="433"/>
    <d v="2023-07-10T00:00:00"/>
    <x v="0"/>
    <x v="0"/>
    <x v="7"/>
    <x v="592"/>
    <n v="13"/>
    <x v="0"/>
    <s v="Recovered"/>
    <x v="0"/>
    <x v="3"/>
    <s v="Insurance"/>
    <n v="10"/>
    <x v="592"/>
    <s v="No"/>
    <x v="0"/>
  </r>
  <r>
    <x v="593"/>
    <x v="14"/>
    <x v="0"/>
    <x v="0"/>
    <x v="253"/>
    <d v="2024-02-12T00:00:00"/>
    <x v="9"/>
    <x v="5"/>
    <x v="5"/>
    <x v="593"/>
    <n v="15"/>
    <x v="1"/>
    <s v="Under Observation"/>
    <x v="1"/>
    <x v="2"/>
    <s v="Cash"/>
    <n v="11"/>
    <x v="593"/>
    <s v="Yes"/>
    <x v="0"/>
  </r>
  <r>
    <x v="594"/>
    <x v="49"/>
    <x v="1"/>
    <x v="3"/>
    <x v="48"/>
    <d v="2025-08-30T00:00:00"/>
    <x v="0"/>
    <x v="0"/>
    <x v="7"/>
    <x v="594"/>
    <n v="11"/>
    <x v="0"/>
    <s v="Recovered"/>
    <x v="0"/>
    <x v="0"/>
    <s v="Insurance"/>
    <n v="7"/>
    <x v="594"/>
    <s v="No"/>
    <x v="1"/>
  </r>
  <r>
    <x v="595"/>
    <x v="1"/>
    <x v="1"/>
    <x v="5"/>
    <x v="269"/>
    <d v="2024-08-20T00:00:00"/>
    <x v="7"/>
    <x v="5"/>
    <x v="6"/>
    <x v="595"/>
    <n v="20"/>
    <x v="0"/>
    <s v="Recovered"/>
    <x v="1"/>
    <x v="2"/>
    <s v="Insurance"/>
    <n v="11"/>
    <x v="595"/>
    <s v="No"/>
    <x v="0"/>
  </r>
  <r>
    <x v="596"/>
    <x v="40"/>
    <x v="1"/>
    <x v="7"/>
    <x v="198"/>
    <d v="2023-09-22T00:00:00"/>
    <x v="8"/>
    <x v="6"/>
    <x v="0"/>
    <x v="596"/>
    <n v="9"/>
    <x v="0"/>
    <s v="Recovered"/>
    <x v="0"/>
    <x v="0"/>
    <s v="Insurance"/>
    <n v="7"/>
    <x v="596"/>
    <s v="No"/>
    <x v="0"/>
  </r>
  <r>
    <x v="597"/>
    <x v="30"/>
    <x v="1"/>
    <x v="4"/>
    <x v="370"/>
    <d v="2024-11-02T00:00:00"/>
    <x v="2"/>
    <x v="2"/>
    <x v="3"/>
    <x v="597"/>
    <n v="9"/>
    <x v="0"/>
    <s v="Recovered"/>
    <x v="1"/>
    <x v="3"/>
    <s v="Card"/>
    <n v="6"/>
    <x v="597"/>
    <s v="Yes"/>
    <x v="0"/>
  </r>
  <r>
    <x v="598"/>
    <x v="67"/>
    <x v="0"/>
    <x v="1"/>
    <x v="434"/>
    <d v="2023-07-07T00:00:00"/>
    <x v="3"/>
    <x v="0"/>
    <x v="1"/>
    <x v="598"/>
    <n v="2"/>
    <x v="1"/>
    <s v="Recovered"/>
    <x v="2"/>
    <x v="1"/>
    <s v="UPI"/>
    <n v="11"/>
    <x v="598"/>
    <s v="No"/>
    <x v="0"/>
  </r>
  <r>
    <x v="599"/>
    <x v="5"/>
    <x v="1"/>
    <x v="0"/>
    <x v="143"/>
    <d v="2024-12-18T00:00:00"/>
    <x v="3"/>
    <x v="0"/>
    <x v="7"/>
    <x v="599"/>
    <n v="19"/>
    <x v="0"/>
    <s v="Recovered"/>
    <x v="0"/>
    <x v="0"/>
    <s v="Insurance"/>
    <n v="4"/>
    <x v="599"/>
    <s v="No"/>
    <x v="0"/>
  </r>
  <r>
    <x v="600"/>
    <x v="20"/>
    <x v="1"/>
    <x v="1"/>
    <x v="435"/>
    <d v="2025-09-13T00:00:00"/>
    <x v="5"/>
    <x v="4"/>
    <x v="4"/>
    <x v="600"/>
    <n v="6"/>
    <x v="0"/>
    <s v="Recovered"/>
    <x v="2"/>
    <x v="0"/>
    <s v="Insurance"/>
    <n v="5"/>
    <x v="600"/>
    <s v="No"/>
    <x v="0"/>
  </r>
  <r>
    <x v="601"/>
    <x v="44"/>
    <x v="0"/>
    <x v="2"/>
    <x v="44"/>
    <d v="2023-05-29T00:00:00"/>
    <x v="8"/>
    <x v="6"/>
    <x v="3"/>
    <x v="601"/>
    <n v="4"/>
    <x v="0"/>
    <s v="Recovered"/>
    <x v="1"/>
    <x v="2"/>
    <s v="Insurance"/>
    <n v="7"/>
    <x v="601"/>
    <s v="Yes"/>
    <x v="0"/>
  </r>
  <r>
    <x v="602"/>
    <x v="48"/>
    <x v="1"/>
    <x v="3"/>
    <x v="436"/>
    <d v="2025-08-04T00:00:00"/>
    <x v="7"/>
    <x v="5"/>
    <x v="4"/>
    <x v="602"/>
    <n v="8"/>
    <x v="0"/>
    <s v="Recovered"/>
    <x v="2"/>
    <x v="0"/>
    <s v="Insurance"/>
    <n v="5"/>
    <x v="602"/>
    <s v="Yes"/>
    <x v="0"/>
  </r>
  <r>
    <x v="603"/>
    <x v="62"/>
    <x v="0"/>
    <x v="6"/>
    <x v="437"/>
    <d v="2023-04-14T00:00:00"/>
    <x v="9"/>
    <x v="5"/>
    <x v="4"/>
    <x v="603"/>
    <n v="10"/>
    <x v="0"/>
    <s v="Deceased"/>
    <x v="0"/>
    <x v="0"/>
    <s v="Card"/>
    <n v="10"/>
    <x v="603"/>
    <s v="Yes"/>
    <x v="0"/>
  </r>
  <r>
    <x v="604"/>
    <x v="61"/>
    <x v="0"/>
    <x v="0"/>
    <x v="410"/>
    <d v="2025-03-26T00:00:00"/>
    <x v="2"/>
    <x v="2"/>
    <x v="5"/>
    <x v="604"/>
    <n v="11"/>
    <x v="0"/>
    <s v="Referred"/>
    <x v="1"/>
    <x v="3"/>
    <s v="Insurance"/>
    <n v="10"/>
    <x v="604"/>
    <s v="Yes"/>
    <x v="0"/>
  </r>
  <r>
    <x v="605"/>
    <x v="60"/>
    <x v="0"/>
    <x v="0"/>
    <x v="438"/>
    <d v="2024-11-23T00:00:00"/>
    <x v="2"/>
    <x v="2"/>
    <x v="1"/>
    <x v="605"/>
    <n v="15"/>
    <x v="0"/>
    <s v="Recovered"/>
    <x v="1"/>
    <x v="2"/>
    <s v="UPI"/>
    <n v="3"/>
    <x v="605"/>
    <s v="Yes"/>
    <x v="0"/>
  </r>
  <r>
    <x v="606"/>
    <x v="28"/>
    <x v="0"/>
    <x v="1"/>
    <x v="308"/>
    <d v="2025-09-11T00:00:00"/>
    <x v="4"/>
    <x v="3"/>
    <x v="5"/>
    <x v="606"/>
    <n v="16"/>
    <x v="0"/>
    <s v="Recovered"/>
    <x v="1"/>
    <x v="3"/>
    <s v="Cash"/>
    <n v="5"/>
    <x v="606"/>
    <s v="Yes"/>
    <x v="0"/>
  </r>
  <r>
    <x v="607"/>
    <x v="46"/>
    <x v="1"/>
    <x v="4"/>
    <x v="439"/>
    <d v="2024-10-15T00:00:00"/>
    <x v="9"/>
    <x v="5"/>
    <x v="6"/>
    <x v="607"/>
    <n v="6"/>
    <x v="1"/>
    <s v="Under Observation"/>
    <x v="1"/>
    <x v="2"/>
    <s v="Insurance"/>
    <n v="11"/>
    <x v="607"/>
    <s v="No"/>
    <x v="0"/>
  </r>
  <r>
    <x v="608"/>
    <x v="2"/>
    <x v="0"/>
    <x v="3"/>
    <x v="440"/>
    <d v="2025-07-21T00:00:00"/>
    <x v="8"/>
    <x v="6"/>
    <x v="5"/>
    <x v="608"/>
    <n v="19"/>
    <x v="1"/>
    <s v="Under Observation"/>
    <x v="1"/>
    <x v="1"/>
    <s v="Card"/>
    <n v="12"/>
    <x v="608"/>
    <s v="No"/>
    <x v="0"/>
  </r>
  <r>
    <x v="609"/>
    <x v="30"/>
    <x v="0"/>
    <x v="6"/>
    <x v="441"/>
    <d v="2024-08-13T00:00:00"/>
    <x v="7"/>
    <x v="5"/>
    <x v="5"/>
    <x v="609"/>
    <n v="14"/>
    <x v="1"/>
    <s v="Recovered"/>
    <x v="1"/>
    <x v="1"/>
    <s v="UPI"/>
    <n v="2"/>
    <x v="609"/>
    <s v="Yes"/>
    <x v="0"/>
  </r>
  <r>
    <x v="610"/>
    <x v="41"/>
    <x v="0"/>
    <x v="2"/>
    <x v="442"/>
    <d v="2024-02-23T00:00:00"/>
    <x v="3"/>
    <x v="0"/>
    <x v="1"/>
    <x v="610"/>
    <n v="7"/>
    <x v="1"/>
    <s v="Recovered"/>
    <x v="2"/>
    <x v="1"/>
    <s v="UPI"/>
    <n v="9"/>
    <x v="610"/>
    <s v="No"/>
    <x v="0"/>
  </r>
  <r>
    <x v="611"/>
    <x v="66"/>
    <x v="0"/>
    <x v="2"/>
    <x v="443"/>
    <d v="2025-07-31T00:00:00"/>
    <x v="9"/>
    <x v="5"/>
    <x v="6"/>
    <x v="611"/>
    <n v="16"/>
    <x v="0"/>
    <s v="Recovered"/>
    <x v="1"/>
    <x v="0"/>
    <s v="Cash"/>
    <n v="15"/>
    <x v="611"/>
    <s v="Yes"/>
    <x v="0"/>
  </r>
  <r>
    <x v="612"/>
    <x v="5"/>
    <x v="1"/>
    <x v="2"/>
    <x v="444"/>
    <d v="2025-05-21T00:00:00"/>
    <x v="1"/>
    <x v="1"/>
    <x v="2"/>
    <x v="612"/>
    <n v="10"/>
    <x v="1"/>
    <s v="Recovered"/>
    <x v="0"/>
    <x v="3"/>
    <s v="UPI"/>
    <n v="11"/>
    <x v="612"/>
    <s v="No"/>
    <x v="1"/>
  </r>
  <r>
    <x v="613"/>
    <x v="56"/>
    <x v="0"/>
    <x v="4"/>
    <x v="445"/>
    <d v="2025-07-09T00:00:00"/>
    <x v="3"/>
    <x v="0"/>
    <x v="4"/>
    <x v="613"/>
    <n v="11"/>
    <x v="0"/>
    <s v="Recovered"/>
    <x v="0"/>
    <x v="3"/>
    <s v="Cash"/>
    <n v="8"/>
    <x v="613"/>
    <s v="No"/>
    <x v="0"/>
  </r>
  <r>
    <x v="614"/>
    <x v="51"/>
    <x v="0"/>
    <x v="0"/>
    <x v="6"/>
    <d v="2024-03-25T00:00:00"/>
    <x v="1"/>
    <x v="1"/>
    <x v="3"/>
    <x v="614"/>
    <n v="16"/>
    <x v="1"/>
    <s v="Recovered"/>
    <x v="2"/>
    <x v="1"/>
    <s v="Card"/>
    <n v="2"/>
    <x v="614"/>
    <s v="Yes"/>
    <x v="0"/>
  </r>
  <r>
    <x v="615"/>
    <x v="23"/>
    <x v="1"/>
    <x v="2"/>
    <x v="138"/>
    <d v="2025-01-03T00:00:00"/>
    <x v="5"/>
    <x v="4"/>
    <x v="5"/>
    <x v="615"/>
    <n v="5"/>
    <x v="0"/>
    <s v="Under Observation"/>
    <x v="1"/>
    <x v="0"/>
    <s v="Insurance"/>
    <n v="13"/>
    <x v="615"/>
    <s v="No"/>
    <x v="0"/>
  </r>
  <r>
    <x v="616"/>
    <x v="23"/>
    <x v="0"/>
    <x v="1"/>
    <x v="446"/>
    <d v="2025-07-30T00:00:00"/>
    <x v="9"/>
    <x v="5"/>
    <x v="1"/>
    <x v="616"/>
    <n v="23"/>
    <x v="0"/>
    <s v="Recovered"/>
    <x v="2"/>
    <x v="2"/>
    <s v="Cash"/>
    <n v="15"/>
    <x v="616"/>
    <s v="No"/>
    <x v="0"/>
  </r>
  <r>
    <x v="617"/>
    <x v="26"/>
    <x v="0"/>
    <x v="1"/>
    <x v="447"/>
    <d v="2025-07-18T00:00:00"/>
    <x v="2"/>
    <x v="2"/>
    <x v="7"/>
    <x v="617"/>
    <n v="10"/>
    <x v="0"/>
    <s v="Referred"/>
    <x v="2"/>
    <x v="1"/>
    <s v="UPI"/>
    <n v="7"/>
    <x v="617"/>
    <s v="No"/>
    <x v="1"/>
  </r>
  <r>
    <x v="618"/>
    <x v="37"/>
    <x v="0"/>
    <x v="6"/>
    <x v="448"/>
    <d v="2023-12-12T00:00:00"/>
    <x v="0"/>
    <x v="0"/>
    <x v="5"/>
    <x v="618"/>
    <n v="14"/>
    <x v="0"/>
    <s v="Deceased"/>
    <x v="1"/>
    <x v="0"/>
    <s v="Cash"/>
    <n v="3"/>
    <x v="618"/>
    <s v="No"/>
    <x v="0"/>
  </r>
  <r>
    <x v="619"/>
    <x v="25"/>
    <x v="1"/>
    <x v="5"/>
    <x v="103"/>
    <d v="2024-04-06T00:00:00"/>
    <x v="9"/>
    <x v="5"/>
    <x v="4"/>
    <x v="619"/>
    <n v="13"/>
    <x v="0"/>
    <s v="Recovered"/>
    <x v="0"/>
    <x v="2"/>
    <s v="Cash"/>
    <n v="6"/>
    <x v="619"/>
    <s v="Yes"/>
    <x v="0"/>
  </r>
  <r>
    <x v="620"/>
    <x v="49"/>
    <x v="0"/>
    <x v="0"/>
    <x v="449"/>
    <d v="2023-02-26T00:00:00"/>
    <x v="6"/>
    <x v="2"/>
    <x v="5"/>
    <x v="620"/>
    <n v="10"/>
    <x v="1"/>
    <s v="Under Observation"/>
    <x v="0"/>
    <x v="1"/>
    <s v="Card"/>
    <n v="10"/>
    <x v="620"/>
    <s v="Yes"/>
    <x v="0"/>
  </r>
  <r>
    <x v="621"/>
    <x v="1"/>
    <x v="0"/>
    <x v="0"/>
    <x v="449"/>
    <d v="2023-03-06T00:00:00"/>
    <x v="7"/>
    <x v="5"/>
    <x v="2"/>
    <x v="621"/>
    <n v="18"/>
    <x v="1"/>
    <s v="Recovered"/>
    <x v="1"/>
    <x v="1"/>
    <s v="Card"/>
    <n v="13"/>
    <x v="621"/>
    <s v="Yes"/>
    <x v="0"/>
  </r>
  <r>
    <x v="622"/>
    <x v="59"/>
    <x v="0"/>
    <x v="1"/>
    <x v="450"/>
    <d v="2024-06-25T00:00:00"/>
    <x v="7"/>
    <x v="5"/>
    <x v="4"/>
    <x v="622"/>
    <n v="12"/>
    <x v="0"/>
    <s v="Recovered"/>
    <x v="1"/>
    <x v="0"/>
    <s v="Insurance"/>
    <n v="8"/>
    <x v="622"/>
    <s v="Yes"/>
    <x v="0"/>
  </r>
  <r>
    <x v="623"/>
    <x v="1"/>
    <x v="1"/>
    <x v="7"/>
    <x v="451"/>
    <d v="2024-11-18T00:00:00"/>
    <x v="7"/>
    <x v="5"/>
    <x v="1"/>
    <x v="623"/>
    <n v="8"/>
    <x v="0"/>
    <s v="Recovered"/>
    <x v="0"/>
    <x v="1"/>
    <s v="UPI"/>
    <n v="2"/>
    <x v="623"/>
    <s v="Yes"/>
    <x v="1"/>
  </r>
  <r>
    <x v="624"/>
    <x v="0"/>
    <x v="0"/>
    <x v="7"/>
    <x v="452"/>
    <d v="2024-03-15T00:00:00"/>
    <x v="5"/>
    <x v="4"/>
    <x v="5"/>
    <x v="624"/>
    <n v="10"/>
    <x v="0"/>
    <s v="Recovered"/>
    <x v="2"/>
    <x v="2"/>
    <s v="Cash"/>
    <n v="10"/>
    <x v="624"/>
    <s v="No"/>
    <x v="0"/>
  </r>
  <r>
    <x v="625"/>
    <x v="4"/>
    <x v="0"/>
    <x v="5"/>
    <x v="453"/>
    <d v="2023-03-15T00:00:00"/>
    <x v="5"/>
    <x v="4"/>
    <x v="6"/>
    <x v="625"/>
    <n v="6"/>
    <x v="0"/>
    <s v="Recovered"/>
    <x v="1"/>
    <x v="3"/>
    <s v="Insurance"/>
    <n v="15"/>
    <x v="625"/>
    <s v="Yes"/>
    <x v="0"/>
  </r>
  <r>
    <x v="626"/>
    <x v="63"/>
    <x v="0"/>
    <x v="6"/>
    <x v="454"/>
    <d v="2025-08-10T00:00:00"/>
    <x v="3"/>
    <x v="0"/>
    <x v="7"/>
    <x v="626"/>
    <n v="21"/>
    <x v="0"/>
    <s v="Recovered"/>
    <x v="0"/>
    <x v="2"/>
    <s v="Card"/>
    <n v="1"/>
    <x v="626"/>
    <s v="No"/>
    <x v="0"/>
  </r>
  <r>
    <x v="627"/>
    <x v="42"/>
    <x v="1"/>
    <x v="2"/>
    <x v="189"/>
    <d v="2024-05-10T00:00:00"/>
    <x v="3"/>
    <x v="0"/>
    <x v="3"/>
    <x v="627"/>
    <n v="9"/>
    <x v="0"/>
    <s v="Recovered"/>
    <x v="2"/>
    <x v="2"/>
    <s v="Card"/>
    <n v="1"/>
    <x v="627"/>
    <s v="Yes"/>
    <x v="0"/>
  </r>
  <r>
    <x v="628"/>
    <x v="47"/>
    <x v="1"/>
    <x v="3"/>
    <x v="455"/>
    <d v="2024-10-16T00:00:00"/>
    <x v="8"/>
    <x v="6"/>
    <x v="3"/>
    <x v="628"/>
    <n v="13"/>
    <x v="0"/>
    <s v="Recovered"/>
    <x v="1"/>
    <x v="1"/>
    <s v="UPI"/>
    <n v="7"/>
    <x v="628"/>
    <s v="No"/>
    <x v="0"/>
  </r>
  <r>
    <x v="629"/>
    <x v="67"/>
    <x v="1"/>
    <x v="2"/>
    <x v="456"/>
    <d v="2024-01-07T00:00:00"/>
    <x v="1"/>
    <x v="1"/>
    <x v="2"/>
    <x v="629"/>
    <n v="20"/>
    <x v="0"/>
    <s v="Recovered"/>
    <x v="2"/>
    <x v="1"/>
    <s v="Cash"/>
    <n v="13"/>
    <x v="629"/>
    <s v="No"/>
    <x v="1"/>
  </r>
  <r>
    <x v="630"/>
    <x v="31"/>
    <x v="0"/>
    <x v="4"/>
    <x v="457"/>
    <d v="2024-01-05T00:00:00"/>
    <x v="1"/>
    <x v="1"/>
    <x v="3"/>
    <x v="630"/>
    <n v="15"/>
    <x v="1"/>
    <s v="Recovered"/>
    <x v="2"/>
    <x v="1"/>
    <s v="UPI"/>
    <n v="9"/>
    <x v="630"/>
    <s v="Yes"/>
    <x v="0"/>
  </r>
  <r>
    <x v="631"/>
    <x v="70"/>
    <x v="1"/>
    <x v="5"/>
    <x v="458"/>
    <d v="2025-08-31T00:00:00"/>
    <x v="1"/>
    <x v="1"/>
    <x v="4"/>
    <x v="631"/>
    <n v="17"/>
    <x v="0"/>
    <s v="Recovered"/>
    <x v="0"/>
    <x v="2"/>
    <s v="Insurance"/>
    <n v="6"/>
    <x v="631"/>
    <s v="No"/>
    <x v="0"/>
  </r>
  <r>
    <x v="632"/>
    <x v="0"/>
    <x v="0"/>
    <x v="6"/>
    <x v="417"/>
    <d v="2023-11-24T00:00:00"/>
    <x v="6"/>
    <x v="2"/>
    <x v="2"/>
    <x v="632"/>
    <n v="14"/>
    <x v="1"/>
    <s v="Recovered"/>
    <x v="1"/>
    <x v="3"/>
    <s v="UPI"/>
    <n v="15"/>
    <x v="632"/>
    <s v="Yes"/>
    <x v="0"/>
  </r>
  <r>
    <x v="633"/>
    <x v="9"/>
    <x v="0"/>
    <x v="3"/>
    <x v="415"/>
    <d v="2025-10-01T00:00:00"/>
    <x v="5"/>
    <x v="4"/>
    <x v="6"/>
    <x v="633"/>
    <n v="4"/>
    <x v="0"/>
    <s v="Referred"/>
    <x v="0"/>
    <x v="3"/>
    <s v="UPI"/>
    <n v="6"/>
    <x v="633"/>
    <s v="No"/>
    <x v="1"/>
  </r>
  <r>
    <x v="634"/>
    <x v="0"/>
    <x v="1"/>
    <x v="7"/>
    <x v="136"/>
    <d v="2024-05-05T00:00:00"/>
    <x v="3"/>
    <x v="0"/>
    <x v="2"/>
    <x v="634"/>
    <n v="3"/>
    <x v="1"/>
    <s v="Recovered"/>
    <x v="1"/>
    <x v="1"/>
    <s v="Card"/>
    <n v="7"/>
    <x v="42"/>
    <s v="No"/>
    <x v="0"/>
  </r>
  <r>
    <x v="635"/>
    <x v="13"/>
    <x v="0"/>
    <x v="6"/>
    <x v="357"/>
    <d v="2023-08-22T00:00:00"/>
    <x v="7"/>
    <x v="5"/>
    <x v="6"/>
    <x v="635"/>
    <n v="8"/>
    <x v="1"/>
    <s v="Recovered"/>
    <x v="1"/>
    <x v="1"/>
    <s v="Card"/>
    <n v="6"/>
    <x v="634"/>
    <s v="Yes"/>
    <x v="0"/>
  </r>
  <r>
    <x v="636"/>
    <x v="21"/>
    <x v="1"/>
    <x v="5"/>
    <x v="459"/>
    <d v="2023-05-28T00:00:00"/>
    <x v="0"/>
    <x v="0"/>
    <x v="7"/>
    <x v="636"/>
    <n v="9"/>
    <x v="0"/>
    <s v="Recovered"/>
    <x v="1"/>
    <x v="1"/>
    <s v="Cash"/>
    <n v="8"/>
    <x v="635"/>
    <s v="No"/>
    <x v="0"/>
  </r>
  <r>
    <x v="637"/>
    <x v="70"/>
    <x v="0"/>
    <x v="4"/>
    <x v="460"/>
    <d v="2024-06-16T00:00:00"/>
    <x v="3"/>
    <x v="0"/>
    <x v="2"/>
    <x v="637"/>
    <n v="5"/>
    <x v="0"/>
    <s v="Referred"/>
    <x v="0"/>
    <x v="0"/>
    <s v="Card"/>
    <n v="13"/>
    <x v="636"/>
    <s v="No"/>
    <x v="1"/>
  </r>
  <r>
    <x v="638"/>
    <x v="16"/>
    <x v="1"/>
    <x v="2"/>
    <x v="202"/>
    <d v="2025-01-10T00:00:00"/>
    <x v="6"/>
    <x v="2"/>
    <x v="3"/>
    <x v="638"/>
    <n v="5"/>
    <x v="0"/>
    <s v="Recovered"/>
    <x v="1"/>
    <x v="1"/>
    <s v="Insurance"/>
    <n v="12"/>
    <x v="637"/>
    <s v="No"/>
    <x v="0"/>
  </r>
  <r>
    <x v="639"/>
    <x v="50"/>
    <x v="0"/>
    <x v="1"/>
    <x v="461"/>
    <d v="2023-02-05T00:00:00"/>
    <x v="0"/>
    <x v="0"/>
    <x v="5"/>
    <x v="639"/>
    <n v="4"/>
    <x v="1"/>
    <s v="Recovered"/>
    <x v="1"/>
    <x v="0"/>
    <s v="Insurance"/>
    <n v="6"/>
    <x v="638"/>
    <s v="Yes"/>
    <x v="0"/>
  </r>
  <r>
    <x v="640"/>
    <x v="62"/>
    <x v="0"/>
    <x v="2"/>
    <x v="462"/>
    <d v="2024-04-09T00:00:00"/>
    <x v="5"/>
    <x v="4"/>
    <x v="6"/>
    <x v="640"/>
    <n v="3"/>
    <x v="1"/>
    <s v="Recovered"/>
    <x v="1"/>
    <x v="1"/>
    <s v="Cash"/>
    <n v="4"/>
    <x v="639"/>
    <s v="Yes"/>
    <x v="0"/>
  </r>
  <r>
    <x v="641"/>
    <x v="15"/>
    <x v="0"/>
    <x v="5"/>
    <x v="463"/>
    <d v="2023-12-19T00:00:00"/>
    <x v="0"/>
    <x v="0"/>
    <x v="4"/>
    <x v="641"/>
    <n v="14"/>
    <x v="0"/>
    <s v="Recovered"/>
    <x v="1"/>
    <x v="3"/>
    <s v="Insurance"/>
    <n v="1"/>
    <x v="640"/>
    <s v="Yes"/>
    <x v="0"/>
  </r>
  <r>
    <x v="642"/>
    <x v="52"/>
    <x v="1"/>
    <x v="6"/>
    <x v="204"/>
    <d v="2023-08-25T00:00:00"/>
    <x v="9"/>
    <x v="5"/>
    <x v="3"/>
    <x v="642"/>
    <n v="14"/>
    <x v="0"/>
    <s v="Referred"/>
    <x v="0"/>
    <x v="3"/>
    <s v="Card"/>
    <n v="6"/>
    <x v="641"/>
    <s v="Yes"/>
    <x v="0"/>
  </r>
  <r>
    <x v="643"/>
    <x v="28"/>
    <x v="0"/>
    <x v="2"/>
    <x v="464"/>
    <d v="2024-07-12T00:00:00"/>
    <x v="9"/>
    <x v="5"/>
    <x v="1"/>
    <x v="643"/>
    <n v="2"/>
    <x v="1"/>
    <s v="Recovered"/>
    <x v="0"/>
    <x v="3"/>
    <s v="UPI"/>
    <n v="1"/>
    <x v="642"/>
    <s v="Yes"/>
    <x v="0"/>
  </r>
  <r>
    <x v="644"/>
    <x v="25"/>
    <x v="0"/>
    <x v="1"/>
    <x v="465"/>
    <d v="2024-12-29T00:00:00"/>
    <x v="3"/>
    <x v="0"/>
    <x v="6"/>
    <x v="644"/>
    <n v="12"/>
    <x v="1"/>
    <s v="Recovered"/>
    <x v="0"/>
    <x v="0"/>
    <s v="UPI"/>
    <n v="5"/>
    <x v="643"/>
    <s v="Yes"/>
    <x v="0"/>
  </r>
  <r>
    <x v="645"/>
    <x v="35"/>
    <x v="1"/>
    <x v="0"/>
    <x v="458"/>
    <d v="2025-08-29T00:00:00"/>
    <x v="8"/>
    <x v="6"/>
    <x v="2"/>
    <x v="645"/>
    <n v="15"/>
    <x v="0"/>
    <s v="Recovered"/>
    <x v="1"/>
    <x v="3"/>
    <s v="Card"/>
    <n v="9"/>
    <x v="644"/>
    <s v="No"/>
    <x v="0"/>
  </r>
  <r>
    <x v="646"/>
    <x v="56"/>
    <x v="0"/>
    <x v="5"/>
    <x v="279"/>
    <d v="2023-12-04T00:00:00"/>
    <x v="9"/>
    <x v="5"/>
    <x v="2"/>
    <x v="646"/>
    <n v="12"/>
    <x v="0"/>
    <s v="Under Observation"/>
    <x v="1"/>
    <x v="1"/>
    <s v="Cash"/>
    <n v="14"/>
    <x v="645"/>
    <s v="No"/>
    <x v="0"/>
  </r>
  <r>
    <x v="647"/>
    <x v="30"/>
    <x v="0"/>
    <x v="5"/>
    <x v="466"/>
    <d v="2023-01-12T00:00:00"/>
    <x v="5"/>
    <x v="4"/>
    <x v="4"/>
    <x v="647"/>
    <n v="8"/>
    <x v="1"/>
    <s v="Referred"/>
    <x v="2"/>
    <x v="1"/>
    <s v="Insurance"/>
    <n v="6"/>
    <x v="646"/>
    <s v="Yes"/>
    <x v="0"/>
  </r>
  <r>
    <x v="648"/>
    <x v="29"/>
    <x v="1"/>
    <x v="6"/>
    <x v="246"/>
    <d v="2023-05-03T00:00:00"/>
    <x v="1"/>
    <x v="1"/>
    <x v="0"/>
    <x v="648"/>
    <n v="3"/>
    <x v="0"/>
    <s v="Referred"/>
    <x v="2"/>
    <x v="2"/>
    <s v="Card"/>
    <n v="2"/>
    <x v="647"/>
    <s v="No"/>
    <x v="0"/>
  </r>
  <r>
    <x v="649"/>
    <x v="1"/>
    <x v="0"/>
    <x v="3"/>
    <x v="467"/>
    <d v="2024-01-20T00:00:00"/>
    <x v="2"/>
    <x v="2"/>
    <x v="5"/>
    <x v="649"/>
    <n v="25"/>
    <x v="1"/>
    <s v="Recovered"/>
    <x v="2"/>
    <x v="2"/>
    <s v="Cash"/>
    <n v="10"/>
    <x v="648"/>
    <s v="Yes"/>
    <x v="0"/>
  </r>
  <r>
    <x v="650"/>
    <x v="63"/>
    <x v="1"/>
    <x v="1"/>
    <x v="403"/>
    <d v="2025-09-22T00:00:00"/>
    <x v="4"/>
    <x v="3"/>
    <x v="3"/>
    <x v="650"/>
    <n v="6"/>
    <x v="0"/>
    <s v="Recovered"/>
    <x v="0"/>
    <x v="3"/>
    <s v="UPI"/>
    <n v="8"/>
    <x v="649"/>
    <s v="Yes"/>
    <x v="0"/>
  </r>
  <r>
    <x v="651"/>
    <x v="32"/>
    <x v="0"/>
    <x v="6"/>
    <x v="416"/>
    <d v="2024-09-04T00:00:00"/>
    <x v="2"/>
    <x v="2"/>
    <x v="6"/>
    <x v="651"/>
    <n v="7"/>
    <x v="0"/>
    <s v="Recovered"/>
    <x v="2"/>
    <x v="0"/>
    <s v="Cash"/>
    <n v="13"/>
    <x v="650"/>
    <s v="Yes"/>
    <x v="0"/>
  </r>
  <r>
    <x v="652"/>
    <x v="15"/>
    <x v="0"/>
    <x v="4"/>
    <x v="128"/>
    <d v="2025-08-25T00:00:00"/>
    <x v="3"/>
    <x v="0"/>
    <x v="5"/>
    <x v="652"/>
    <n v="9"/>
    <x v="0"/>
    <s v="Recovered"/>
    <x v="0"/>
    <x v="2"/>
    <s v="UPI"/>
    <n v="12"/>
    <x v="651"/>
    <s v="Yes"/>
    <x v="0"/>
  </r>
  <r>
    <x v="653"/>
    <x v="9"/>
    <x v="1"/>
    <x v="6"/>
    <x v="468"/>
    <d v="2025-05-08T00:00:00"/>
    <x v="2"/>
    <x v="2"/>
    <x v="4"/>
    <x v="653"/>
    <n v="17"/>
    <x v="1"/>
    <s v="Recovered"/>
    <x v="2"/>
    <x v="1"/>
    <s v="Card"/>
    <n v="8"/>
    <x v="652"/>
    <s v="No"/>
    <x v="0"/>
  </r>
  <r>
    <x v="654"/>
    <x v="62"/>
    <x v="0"/>
    <x v="3"/>
    <x v="469"/>
    <d v="2023-10-28T00:00:00"/>
    <x v="0"/>
    <x v="0"/>
    <x v="7"/>
    <x v="654"/>
    <n v="3"/>
    <x v="1"/>
    <s v="Referred"/>
    <x v="2"/>
    <x v="3"/>
    <s v="Card"/>
    <n v="1"/>
    <x v="653"/>
    <s v="No"/>
    <x v="0"/>
  </r>
  <r>
    <x v="655"/>
    <x v="68"/>
    <x v="0"/>
    <x v="0"/>
    <x v="470"/>
    <d v="2023-07-21T00:00:00"/>
    <x v="1"/>
    <x v="1"/>
    <x v="7"/>
    <x v="655"/>
    <n v="8"/>
    <x v="0"/>
    <s v="Recovered"/>
    <x v="0"/>
    <x v="0"/>
    <s v="UPI"/>
    <n v="12"/>
    <x v="654"/>
    <s v="No"/>
    <x v="0"/>
  </r>
  <r>
    <x v="656"/>
    <x v="43"/>
    <x v="0"/>
    <x v="6"/>
    <x v="165"/>
    <d v="2023-04-01T00:00:00"/>
    <x v="9"/>
    <x v="5"/>
    <x v="4"/>
    <x v="656"/>
    <n v="7"/>
    <x v="0"/>
    <s v="Recovered"/>
    <x v="1"/>
    <x v="1"/>
    <s v="Insurance"/>
    <n v="15"/>
    <x v="655"/>
    <s v="Yes"/>
    <x v="1"/>
  </r>
  <r>
    <x v="657"/>
    <x v="55"/>
    <x v="1"/>
    <x v="2"/>
    <x v="262"/>
    <d v="2024-11-17T00:00:00"/>
    <x v="0"/>
    <x v="0"/>
    <x v="3"/>
    <x v="657"/>
    <n v="13"/>
    <x v="1"/>
    <s v="Recovered"/>
    <x v="0"/>
    <x v="0"/>
    <s v="Insurance"/>
    <n v="13"/>
    <x v="656"/>
    <s v="Yes"/>
    <x v="0"/>
  </r>
  <r>
    <x v="658"/>
    <x v="63"/>
    <x v="0"/>
    <x v="0"/>
    <x v="276"/>
    <d v="2025-03-24T00:00:00"/>
    <x v="1"/>
    <x v="1"/>
    <x v="4"/>
    <x v="658"/>
    <n v="17"/>
    <x v="0"/>
    <s v="Recovered"/>
    <x v="1"/>
    <x v="3"/>
    <s v="Cash"/>
    <n v="7"/>
    <x v="657"/>
    <s v="No"/>
    <x v="0"/>
  </r>
  <r>
    <x v="659"/>
    <x v="11"/>
    <x v="1"/>
    <x v="7"/>
    <x v="471"/>
    <d v="2025-08-04T00:00:00"/>
    <x v="4"/>
    <x v="3"/>
    <x v="1"/>
    <x v="659"/>
    <n v="10"/>
    <x v="0"/>
    <s v="Recovered"/>
    <x v="1"/>
    <x v="2"/>
    <s v="Cash"/>
    <n v="11"/>
    <x v="658"/>
    <s v="No"/>
    <x v="0"/>
  </r>
  <r>
    <x v="660"/>
    <x v="66"/>
    <x v="1"/>
    <x v="6"/>
    <x v="462"/>
    <d v="2024-04-11T00:00:00"/>
    <x v="9"/>
    <x v="5"/>
    <x v="0"/>
    <x v="660"/>
    <n v="5"/>
    <x v="1"/>
    <s v="Recovered"/>
    <x v="2"/>
    <x v="2"/>
    <s v="Insurance"/>
    <n v="12"/>
    <x v="659"/>
    <s v="Yes"/>
    <x v="0"/>
  </r>
  <r>
    <x v="661"/>
    <x v="61"/>
    <x v="1"/>
    <x v="7"/>
    <x v="472"/>
    <d v="2025-06-21T00:00:00"/>
    <x v="7"/>
    <x v="5"/>
    <x v="2"/>
    <x v="661"/>
    <n v="9"/>
    <x v="0"/>
    <s v="Recovered"/>
    <x v="1"/>
    <x v="0"/>
    <s v="UPI"/>
    <n v="2"/>
    <x v="660"/>
    <s v="No"/>
    <x v="0"/>
  </r>
  <r>
    <x v="662"/>
    <x v="62"/>
    <x v="1"/>
    <x v="2"/>
    <x v="473"/>
    <d v="2024-10-08T00:00:00"/>
    <x v="4"/>
    <x v="3"/>
    <x v="1"/>
    <x v="662"/>
    <n v="10"/>
    <x v="1"/>
    <s v="Under Observation"/>
    <x v="0"/>
    <x v="0"/>
    <s v="UPI"/>
    <n v="7"/>
    <x v="661"/>
    <s v="No"/>
    <x v="0"/>
  </r>
  <r>
    <x v="663"/>
    <x v="42"/>
    <x v="0"/>
    <x v="0"/>
    <x v="474"/>
    <d v="2023-03-02T00:00:00"/>
    <x v="3"/>
    <x v="0"/>
    <x v="0"/>
    <x v="663"/>
    <n v="1"/>
    <x v="0"/>
    <s v="Recovered"/>
    <x v="2"/>
    <x v="3"/>
    <s v="UPI"/>
    <n v="11"/>
    <x v="662"/>
    <s v="No"/>
    <x v="0"/>
  </r>
  <r>
    <x v="664"/>
    <x v="20"/>
    <x v="0"/>
    <x v="4"/>
    <x v="72"/>
    <d v="2025-04-01T00:00:00"/>
    <x v="2"/>
    <x v="2"/>
    <x v="5"/>
    <x v="664"/>
    <n v="11"/>
    <x v="1"/>
    <s v="Referred"/>
    <x v="0"/>
    <x v="0"/>
    <s v="UPI"/>
    <n v="1"/>
    <x v="663"/>
    <s v="No"/>
    <x v="0"/>
  </r>
  <r>
    <x v="665"/>
    <x v="50"/>
    <x v="1"/>
    <x v="1"/>
    <x v="467"/>
    <d v="2024-01-13T00:00:00"/>
    <x v="3"/>
    <x v="0"/>
    <x v="3"/>
    <x v="665"/>
    <n v="18"/>
    <x v="1"/>
    <s v="Recovered"/>
    <x v="2"/>
    <x v="0"/>
    <s v="Card"/>
    <n v="9"/>
    <x v="664"/>
    <s v="Yes"/>
    <x v="0"/>
  </r>
  <r>
    <x v="666"/>
    <x v="15"/>
    <x v="0"/>
    <x v="7"/>
    <x v="475"/>
    <d v="2024-03-29T00:00:00"/>
    <x v="6"/>
    <x v="2"/>
    <x v="2"/>
    <x v="666"/>
    <n v="10"/>
    <x v="1"/>
    <s v="Recovered"/>
    <x v="2"/>
    <x v="1"/>
    <s v="Card"/>
    <n v="4"/>
    <x v="665"/>
    <s v="No"/>
    <x v="0"/>
  </r>
  <r>
    <x v="667"/>
    <x v="3"/>
    <x v="1"/>
    <x v="3"/>
    <x v="323"/>
    <d v="2024-09-13T00:00:00"/>
    <x v="4"/>
    <x v="3"/>
    <x v="7"/>
    <x v="667"/>
    <n v="12"/>
    <x v="0"/>
    <s v="Recovered"/>
    <x v="2"/>
    <x v="0"/>
    <s v="Card"/>
    <n v="12"/>
    <x v="666"/>
    <s v="No"/>
    <x v="0"/>
  </r>
  <r>
    <x v="668"/>
    <x v="56"/>
    <x v="0"/>
    <x v="4"/>
    <x v="476"/>
    <d v="2023-04-27T00:00:00"/>
    <x v="8"/>
    <x v="6"/>
    <x v="4"/>
    <x v="668"/>
    <n v="5"/>
    <x v="0"/>
    <s v="Recovered"/>
    <x v="2"/>
    <x v="3"/>
    <s v="UPI"/>
    <n v="9"/>
    <x v="667"/>
    <s v="Yes"/>
    <x v="0"/>
  </r>
  <r>
    <x v="669"/>
    <x v="43"/>
    <x v="0"/>
    <x v="2"/>
    <x v="50"/>
    <d v="2023-12-25T00:00:00"/>
    <x v="4"/>
    <x v="3"/>
    <x v="7"/>
    <x v="669"/>
    <n v="10"/>
    <x v="0"/>
    <s v="Recovered"/>
    <x v="2"/>
    <x v="1"/>
    <s v="Card"/>
    <n v="1"/>
    <x v="668"/>
    <s v="Yes"/>
    <x v="0"/>
  </r>
  <r>
    <x v="670"/>
    <x v="60"/>
    <x v="0"/>
    <x v="1"/>
    <x v="477"/>
    <d v="2023-07-07T00:00:00"/>
    <x v="5"/>
    <x v="4"/>
    <x v="3"/>
    <x v="670"/>
    <n v="18"/>
    <x v="0"/>
    <s v="Recovered"/>
    <x v="2"/>
    <x v="2"/>
    <s v="Card"/>
    <n v="10"/>
    <x v="669"/>
    <s v="No"/>
    <x v="0"/>
  </r>
  <r>
    <x v="671"/>
    <x v="59"/>
    <x v="0"/>
    <x v="3"/>
    <x v="478"/>
    <d v="2023-09-22T00:00:00"/>
    <x v="9"/>
    <x v="5"/>
    <x v="5"/>
    <x v="671"/>
    <n v="7"/>
    <x v="1"/>
    <s v="Recovered"/>
    <x v="0"/>
    <x v="3"/>
    <s v="Cash"/>
    <n v="13"/>
    <x v="670"/>
    <s v="No"/>
    <x v="0"/>
  </r>
  <r>
    <x v="672"/>
    <x v="72"/>
    <x v="1"/>
    <x v="7"/>
    <x v="479"/>
    <d v="2025-06-22T00:00:00"/>
    <x v="7"/>
    <x v="5"/>
    <x v="4"/>
    <x v="672"/>
    <n v="14"/>
    <x v="0"/>
    <s v="Recovered"/>
    <x v="0"/>
    <x v="1"/>
    <s v="UPI"/>
    <n v="1"/>
    <x v="671"/>
    <s v="Yes"/>
    <x v="0"/>
  </r>
  <r>
    <x v="673"/>
    <x v="39"/>
    <x v="0"/>
    <x v="7"/>
    <x v="298"/>
    <d v="2023-11-08T00:00:00"/>
    <x v="5"/>
    <x v="4"/>
    <x v="2"/>
    <x v="673"/>
    <n v="28"/>
    <x v="1"/>
    <s v="Under Observation"/>
    <x v="0"/>
    <x v="2"/>
    <s v="Card"/>
    <n v="4"/>
    <x v="672"/>
    <s v="No"/>
    <x v="0"/>
  </r>
  <r>
    <x v="674"/>
    <x v="59"/>
    <x v="0"/>
    <x v="2"/>
    <x v="480"/>
    <d v="2025-10-03T00:00:00"/>
    <x v="5"/>
    <x v="4"/>
    <x v="2"/>
    <x v="674"/>
    <n v="18"/>
    <x v="1"/>
    <s v="Recovered"/>
    <x v="2"/>
    <x v="3"/>
    <s v="UPI"/>
    <n v="14"/>
    <x v="673"/>
    <s v="Yes"/>
    <x v="0"/>
  </r>
  <r>
    <x v="675"/>
    <x v="39"/>
    <x v="0"/>
    <x v="3"/>
    <x v="481"/>
    <d v="2023-07-31T00:00:00"/>
    <x v="1"/>
    <x v="1"/>
    <x v="1"/>
    <x v="675"/>
    <n v="6"/>
    <x v="0"/>
    <s v="Recovered"/>
    <x v="1"/>
    <x v="0"/>
    <s v="Insurance"/>
    <n v="3"/>
    <x v="674"/>
    <s v="No"/>
    <x v="0"/>
  </r>
  <r>
    <x v="676"/>
    <x v="68"/>
    <x v="1"/>
    <x v="6"/>
    <x v="482"/>
    <d v="2025-02-11T00:00:00"/>
    <x v="9"/>
    <x v="5"/>
    <x v="2"/>
    <x v="676"/>
    <n v="6"/>
    <x v="0"/>
    <s v="Recovered"/>
    <x v="2"/>
    <x v="3"/>
    <s v="Cash"/>
    <n v="10"/>
    <x v="675"/>
    <s v="Yes"/>
    <x v="1"/>
  </r>
  <r>
    <x v="677"/>
    <x v="55"/>
    <x v="0"/>
    <x v="7"/>
    <x v="483"/>
    <d v="2024-08-28T00:00:00"/>
    <x v="1"/>
    <x v="1"/>
    <x v="6"/>
    <x v="677"/>
    <n v="2"/>
    <x v="1"/>
    <s v="Recovered"/>
    <x v="0"/>
    <x v="3"/>
    <s v="Cash"/>
    <n v="6"/>
    <x v="676"/>
    <s v="No"/>
    <x v="0"/>
  </r>
  <r>
    <x v="678"/>
    <x v="11"/>
    <x v="0"/>
    <x v="5"/>
    <x v="484"/>
    <d v="2024-11-16T00:00:00"/>
    <x v="5"/>
    <x v="4"/>
    <x v="0"/>
    <x v="678"/>
    <n v="18"/>
    <x v="1"/>
    <s v="Recovered"/>
    <x v="0"/>
    <x v="0"/>
    <s v="Cash"/>
    <n v="9"/>
    <x v="677"/>
    <s v="No"/>
    <x v="0"/>
  </r>
  <r>
    <x v="679"/>
    <x v="44"/>
    <x v="0"/>
    <x v="1"/>
    <x v="73"/>
    <d v="2024-10-25T00:00:00"/>
    <x v="9"/>
    <x v="5"/>
    <x v="5"/>
    <x v="679"/>
    <n v="2"/>
    <x v="1"/>
    <s v="Under Observation"/>
    <x v="2"/>
    <x v="1"/>
    <s v="Cash"/>
    <n v="5"/>
    <x v="678"/>
    <s v="Yes"/>
    <x v="0"/>
  </r>
  <r>
    <x v="680"/>
    <x v="41"/>
    <x v="1"/>
    <x v="5"/>
    <x v="452"/>
    <d v="2024-03-07T00:00:00"/>
    <x v="2"/>
    <x v="2"/>
    <x v="7"/>
    <x v="680"/>
    <n v="2"/>
    <x v="0"/>
    <s v="Recovered"/>
    <x v="0"/>
    <x v="1"/>
    <s v="UPI"/>
    <n v="5"/>
    <x v="679"/>
    <s v="Yes"/>
    <x v="0"/>
  </r>
  <r>
    <x v="681"/>
    <x v="29"/>
    <x v="1"/>
    <x v="2"/>
    <x v="485"/>
    <d v="2024-07-16T00:00:00"/>
    <x v="5"/>
    <x v="4"/>
    <x v="2"/>
    <x v="681"/>
    <n v="28"/>
    <x v="1"/>
    <s v="Recovered"/>
    <x v="1"/>
    <x v="2"/>
    <s v="Card"/>
    <n v="1"/>
    <x v="680"/>
    <s v="No"/>
    <x v="0"/>
  </r>
  <r>
    <x v="682"/>
    <x v="29"/>
    <x v="0"/>
    <x v="6"/>
    <x v="161"/>
    <d v="2024-06-23T00:00:00"/>
    <x v="6"/>
    <x v="2"/>
    <x v="2"/>
    <x v="682"/>
    <n v="7"/>
    <x v="0"/>
    <s v="Recovered"/>
    <x v="1"/>
    <x v="2"/>
    <s v="UPI"/>
    <n v="4"/>
    <x v="681"/>
    <s v="No"/>
    <x v="0"/>
  </r>
  <r>
    <x v="683"/>
    <x v="5"/>
    <x v="0"/>
    <x v="6"/>
    <x v="486"/>
    <d v="2025-02-26T00:00:00"/>
    <x v="8"/>
    <x v="6"/>
    <x v="7"/>
    <x v="683"/>
    <n v="10"/>
    <x v="0"/>
    <s v="Recovered"/>
    <x v="0"/>
    <x v="0"/>
    <s v="UPI"/>
    <n v="7"/>
    <x v="682"/>
    <s v="No"/>
    <x v="0"/>
  </r>
  <r>
    <x v="684"/>
    <x v="3"/>
    <x v="0"/>
    <x v="6"/>
    <x v="181"/>
    <d v="2023-07-10T00:00:00"/>
    <x v="7"/>
    <x v="5"/>
    <x v="1"/>
    <x v="684"/>
    <n v="4"/>
    <x v="1"/>
    <s v="Referred"/>
    <x v="1"/>
    <x v="1"/>
    <s v="Cash"/>
    <n v="11"/>
    <x v="683"/>
    <s v="No"/>
    <x v="0"/>
  </r>
  <r>
    <x v="685"/>
    <x v="35"/>
    <x v="0"/>
    <x v="0"/>
    <x v="487"/>
    <d v="2025-08-15T00:00:00"/>
    <x v="8"/>
    <x v="6"/>
    <x v="3"/>
    <x v="685"/>
    <n v="13"/>
    <x v="1"/>
    <s v="Recovered"/>
    <x v="0"/>
    <x v="2"/>
    <s v="UPI"/>
    <n v="1"/>
    <x v="684"/>
    <s v="No"/>
    <x v="0"/>
  </r>
  <r>
    <x v="686"/>
    <x v="54"/>
    <x v="0"/>
    <x v="7"/>
    <x v="416"/>
    <d v="2024-09-23T00:00:00"/>
    <x v="3"/>
    <x v="0"/>
    <x v="3"/>
    <x v="686"/>
    <n v="26"/>
    <x v="1"/>
    <s v="Recovered"/>
    <x v="1"/>
    <x v="2"/>
    <s v="UPI"/>
    <n v="4"/>
    <x v="685"/>
    <s v="Yes"/>
    <x v="1"/>
  </r>
  <r>
    <x v="687"/>
    <x v="47"/>
    <x v="0"/>
    <x v="2"/>
    <x v="488"/>
    <d v="2023-01-20T00:00:00"/>
    <x v="2"/>
    <x v="2"/>
    <x v="4"/>
    <x v="687"/>
    <n v="3"/>
    <x v="1"/>
    <s v="Recovered"/>
    <x v="0"/>
    <x v="1"/>
    <s v="UPI"/>
    <n v="9"/>
    <x v="686"/>
    <s v="Yes"/>
    <x v="0"/>
  </r>
  <r>
    <x v="688"/>
    <x v="46"/>
    <x v="0"/>
    <x v="7"/>
    <x v="489"/>
    <d v="2025-03-25T00:00:00"/>
    <x v="4"/>
    <x v="3"/>
    <x v="3"/>
    <x v="688"/>
    <n v="3"/>
    <x v="0"/>
    <s v="Under Observation"/>
    <x v="2"/>
    <x v="2"/>
    <s v="Insurance"/>
    <n v="6"/>
    <x v="687"/>
    <s v="No"/>
    <x v="0"/>
  </r>
  <r>
    <x v="689"/>
    <x v="12"/>
    <x v="0"/>
    <x v="6"/>
    <x v="490"/>
    <d v="2023-10-27T00:00:00"/>
    <x v="4"/>
    <x v="3"/>
    <x v="0"/>
    <x v="689"/>
    <n v="13"/>
    <x v="0"/>
    <s v="Recovered"/>
    <x v="1"/>
    <x v="1"/>
    <s v="UPI"/>
    <n v="4"/>
    <x v="688"/>
    <s v="Yes"/>
    <x v="0"/>
  </r>
  <r>
    <x v="690"/>
    <x v="10"/>
    <x v="1"/>
    <x v="6"/>
    <x v="491"/>
    <d v="2023-02-28T00:00:00"/>
    <x v="8"/>
    <x v="6"/>
    <x v="6"/>
    <x v="690"/>
    <n v="20"/>
    <x v="1"/>
    <s v="Recovered"/>
    <x v="2"/>
    <x v="0"/>
    <s v="Card"/>
    <n v="13"/>
    <x v="689"/>
    <s v="Yes"/>
    <x v="0"/>
  </r>
  <r>
    <x v="691"/>
    <x v="25"/>
    <x v="0"/>
    <x v="3"/>
    <x v="401"/>
    <d v="2024-10-04T00:00:00"/>
    <x v="8"/>
    <x v="6"/>
    <x v="3"/>
    <x v="691"/>
    <n v="2"/>
    <x v="1"/>
    <s v="Referred"/>
    <x v="1"/>
    <x v="0"/>
    <s v="Card"/>
    <n v="3"/>
    <x v="690"/>
    <s v="Yes"/>
    <x v="0"/>
  </r>
  <r>
    <x v="692"/>
    <x v="11"/>
    <x v="0"/>
    <x v="6"/>
    <x v="492"/>
    <d v="2023-03-24T00:00:00"/>
    <x v="8"/>
    <x v="6"/>
    <x v="0"/>
    <x v="692"/>
    <n v="9"/>
    <x v="0"/>
    <s v="Recovered"/>
    <x v="1"/>
    <x v="0"/>
    <s v="Insurance"/>
    <n v="14"/>
    <x v="691"/>
    <s v="No"/>
    <x v="0"/>
  </r>
  <r>
    <x v="693"/>
    <x v="70"/>
    <x v="0"/>
    <x v="3"/>
    <x v="493"/>
    <d v="2023-03-04T00:00:00"/>
    <x v="1"/>
    <x v="1"/>
    <x v="3"/>
    <x v="693"/>
    <n v="29"/>
    <x v="0"/>
    <s v="Recovered"/>
    <x v="0"/>
    <x v="2"/>
    <s v="Insurance"/>
    <n v="15"/>
    <x v="692"/>
    <s v="Yes"/>
    <x v="0"/>
  </r>
  <r>
    <x v="694"/>
    <x v="7"/>
    <x v="0"/>
    <x v="7"/>
    <x v="494"/>
    <d v="2025-02-12T00:00:00"/>
    <x v="0"/>
    <x v="0"/>
    <x v="4"/>
    <x v="694"/>
    <n v="1"/>
    <x v="1"/>
    <s v="Recovered"/>
    <x v="0"/>
    <x v="1"/>
    <s v="Insurance"/>
    <n v="1"/>
    <x v="693"/>
    <s v="Yes"/>
    <x v="0"/>
  </r>
  <r>
    <x v="695"/>
    <x v="41"/>
    <x v="1"/>
    <x v="2"/>
    <x v="205"/>
    <d v="2025-05-06T00:00:00"/>
    <x v="9"/>
    <x v="5"/>
    <x v="0"/>
    <x v="695"/>
    <n v="8"/>
    <x v="0"/>
    <s v="Recovered"/>
    <x v="0"/>
    <x v="1"/>
    <s v="Card"/>
    <n v="6"/>
    <x v="694"/>
    <s v="Yes"/>
    <x v="0"/>
  </r>
  <r>
    <x v="696"/>
    <x v="69"/>
    <x v="1"/>
    <x v="7"/>
    <x v="495"/>
    <d v="2024-04-24T00:00:00"/>
    <x v="2"/>
    <x v="2"/>
    <x v="2"/>
    <x v="696"/>
    <n v="7"/>
    <x v="0"/>
    <s v="Under Observation"/>
    <x v="1"/>
    <x v="0"/>
    <s v="Cash"/>
    <n v="1"/>
    <x v="695"/>
    <s v="Yes"/>
    <x v="0"/>
  </r>
  <r>
    <x v="697"/>
    <x v="34"/>
    <x v="1"/>
    <x v="1"/>
    <x v="496"/>
    <d v="2024-10-08T00:00:00"/>
    <x v="6"/>
    <x v="2"/>
    <x v="2"/>
    <x v="697"/>
    <n v="14"/>
    <x v="1"/>
    <s v="Recovered"/>
    <x v="1"/>
    <x v="0"/>
    <s v="Card"/>
    <n v="5"/>
    <x v="696"/>
    <s v="No"/>
    <x v="0"/>
  </r>
  <r>
    <x v="698"/>
    <x v="58"/>
    <x v="1"/>
    <x v="1"/>
    <x v="497"/>
    <d v="2025-04-25T00:00:00"/>
    <x v="3"/>
    <x v="0"/>
    <x v="4"/>
    <x v="698"/>
    <n v="16"/>
    <x v="1"/>
    <s v="Recovered"/>
    <x v="1"/>
    <x v="0"/>
    <s v="Cash"/>
    <n v="13"/>
    <x v="697"/>
    <s v="No"/>
    <x v="1"/>
  </r>
  <r>
    <x v="699"/>
    <x v="9"/>
    <x v="1"/>
    <x v="0"/>
    <x v="486"/>
    <d v="2025-03-08T00:00:00"/>
    <x v="8"/>
    <x v="6"/>
    <x v="5"/>
    <x v="699"/>
    <n v="20"/>
    <x v="0"/>
    <s v="Under Observation"/>
    <x v="2"/>
    <x v="1"/>
    <s v="Card"/>
    <n v="3"/>
    <x v="698"/>
    <s v="Yes"/>
    <x v="1"/>
  </r>
  <r>
    <x v="700"/>
    <x v="42"/>
    <x v="0"/>
    <x v="3"/>
    <x v="498"/>
    <d v="2023-02-11T00:00:00"/>
    <x v="2"/>
    <x v="2"/>
    <x v="5"/>
    <x v="700"/>
    <n v="13"/>
    <x v="1"/>
    <s v="Recovered"/>
    <x v="0"/>
    <x v="3"/>
    <s v="Card"/>
    <n v="15"/>
    <x v="699"/>
    <s v="Yes"/>
    <x v="0"/>
  </r>
  <r>
    <x v="701"/>
    <x v="27"/>
    <x v="1"/>
    <x v="6"/>
    <x v="499"/>
    <d v="2025-07-30T00:00:00"/>
    <x v="0"/>
    <x v="0"/>
    <x v="0"/>
    <x v="701"/>
    <n v="4"/>
    <x v="1"/>
    <s v="Recovered"/>
    <x v="0"/>
    <x v="3"/>
    <s v="Card"/>
    <n v="13"/>
    <x v="700"/>
    <s v="Yes"/>
    <x v="0"/>
  </r>
  <r>
    <x v="702"/>
    <x v="50"/>
    <x v="0"/>
    <x v="5"/>
    <x v="500"/>
    <d v="2024-06-04T00:00:00"/>
    <x v="1"/>
    <x v="1"/>
    <x v="7"/>
    <x v="702"/>
    <n v="11"/>
    <x v="1"/>
    <s v="Recovered"/>
    <x v="0"/>
    <x v="1"/>
    <s v="Card"/>
    <n v="4"/>
    <x v="701"/>
    <s v="Yes"/>
    <x v="0"/>
  </r>
  <r>
    <x v="703"/>
    <x v="56"/>
    <x v="1"/>
    <x v="0"/>
    <x v="501"/>
    <d v="2024-10-05T00:00:00"/>
    <x v="5"/>
    <x v="4"/>
    <x v="5"/>
    <x v="703"/>
    <n v="12"/>
    <x v="0"/>
    <s v="Recovered"/>
    <x v="1"/>
    <x v="2"/>
    <s v="Card"/>
    <n v="2"/>
    <x v="702"/>
    <s v="Yes"/>
    <x v="0"/>
  </r>
  <r>
    <x v="704"/>
    <x v="2"/>
    <x v="0"/>
    <x v="6"/>
    <x v="502"/>
    <d v="2024-12-13T00:00:00"/>
    <x v="2"/>
    <x v="2"/>
    <x v="5"/>
    <x v="704"/>
    <n v="3"/>
    <x v="1"/>
    <s v="Recovered"/>
    <x v="0"/>
    <x v="1"/>
    <s v="Card"/>
    <n v="12"/>
    <x v="703"/>
    <s v="Yes"/>
    <x v="0"/>
  </r>
  <r>
    <x v="705"/>
    <x v="50"/>
    <x v="1"/>
    <x v="6"/>
    <x v="129"/>
    <d v="2023-07-11T00:00:00"/>
    <x v="1"/>
    <x v="1"/>
    <x v="6"/>
    <x v="705"/>
    <n v="27"/>
    <x v="0"/>
    <s v="Under Observation"/>
    <x v="0"/>
    <x v="2"/>
    <s v="Card"/>
    <n v="10"/>
    <x v="704"/>
    <s v="No"/>
    <x v="1"/>
  </r>
  <r>
    <x v="706"/>
    <x v="70"/>
    <x v="1"/>
    <x v="4"/>
    <x v="503"/>
    <d v="2024-08-20T00:00:00"/>
    <x v="8"/>
    <x v="6"/>
    <x v="0"/>
    <x v="706"/>
    <n v="13"/>
    <x v="0"/>
    <s v="Recovered"/>
    <x v="0"/>
    <x v="3"/>
    <s v="Card"/>
    <n v="13"/>
    <x v="705"/>
    <s v="Yes"/>
    <x v="0"/>
  </r>
  <r>
    <x v="707"/>
    <x v="30"/>
    <x v="1"/>
    <x v="5"/>
    <x v="504"/>
    <d v="2025-02-07T00:00:00"/>
    <x v="4"/>
    <x v="3"/>
    <x v="2"/>
    <x v="707"/>
    <n v="6"/>
    <x v="0"/>
    <s v="Recovered"/>
    <x v="0"/>
    <x v="0"/>
    <s v="Insurance"/>
    <n v="14"/>
    <x v="706"/>
    <s v="No"/>
    <x v="0"/>
  </r>
  <r>
    <x v="708"/>
    <x v="8"/>
    <x v="1"/>
    <x v="1"/>
    <x v="505"/>
    <d v="2024-04-10T00:00:00"/>
    <x v="9"/>
    <x v="5"/>
    <x v="7"/>
    <x v="708"/>
    <n v="2"/>
    <x v="0"/>
    <s v="Under Observation"/>
    <x v="0"/>
    <x v="1"/>
    <s v="Insurance"/>
    <n v="1"/>
    <x v="707"/>
    <s v="No"/>
    <x v="0"/>
  </r>
  <r>
    <x v="709"/>
    <x v="57"/>
    <x v="0"/>
    <x v="0"/>
    <x v="506"/>
    <d v="2024-07-08T00:00:00"/>
    <x v="8"/>
    <x v="6"/>
    <x v="0"/>
    <x v="709"/>
    <n v="18"/>
    <x v="1"/>
    <s v="Recovered"/>
    <x v="2"/>
    <x v="3"/>
    <s v="Insurance"/>
    <n v="9"/>
    <x v="708"/>
    <s v="Yes"/>
    <x v="0"/>
  </r>
  <r>
    <x v="710"/>
    <x v="33"/>
    <x v="1"/>
    <x v="2"/>
    <x v="507"/>
    <d v="2025-06-28T00:00:00"/>
    <x v="7"/>
    <x v="5"/>
    <x v="0"/>
    <x v="710"/>
    <n v="30"/>
    <x v="0"/>
    <s v="Recovered"/>
    <x v="1"/>
    <x v="2"/>
    <s v="UPI"/>
    <n v="6"/>
    <x v="709"/>
    <s v="No"/>
    <x v="0"/>
  </r>
  <r>
    <x v="711"/>
    <x v="71"/>
    <x v="1"/>
    <x v="5"/>
    <x v="508"/>
    <d v="2024-05-11T00:00:00"/>
    <x v="7"/>
    <x v="5"/>
    <x v="5"/>
    <x v="711"/>
    <n v="17"/>
    <x v="1"/>
    <s v="Recovered"/>
    <x v="0"/>
    <x v="2"/>
    <s v="UPI"/>
    <n v="5"/>
    <x v="710"/>
    <s v="No"/>
    <x v="0"/>
  </r>
  <r>
    <x v="712"/>
    <x v="18"/>
    <x v="1"/>
    <x v="3"/>
    <x v="437"/>
    <d v="2023-04-12T00:00:00"/>
    <x v="7"/>
    <x v="5"/>
    <x v="6"/>
    <x v="712"/>
    <n v="8"/>
    <x v="0"/>
    <s v="Recovered"/>
    <x v="1"/>
    <x v="1"/>
    <s v="Cash"/>
    <n v="15"/>
    <x v="711"/>
    <s v="Yes"/>
    <x v="0"/>
  </r>
  <r>
    <x v="713"/>
    <x v="29"/>
    <x v="0"/>
    <x v="2"/>
    <x v="205"/>
    <d v="2025-05-19T00:00:00"/>
    <x v="2"/>
    <x v="2"/>
    <x v="1"/>
    <x v="713"/>
    <n v="21"/>
    <x v="0"/>
    <s v="Recovered"/>
    <x v="1"/>
    <x v="2"/>
    <s v="Cash"/>
    <n v="3"/>
    <x v="712"/>
    <s v="No"/>
    <x v="0"/>
  </r>
  <r>
    <x v="714"/>
    <x v="59"/>
    <x v="0"/>
    <x v="3"/>
    <x v="509"/>
    <d v="2024-04-28T00:00:00"/>
    <x v="6"/>
    <x v="2"/>
    <x v="6"/>
    <x v="714"/>
    <n v="1"/>
    <x v="0"/>
    <s v="Deceased"/>
    <x v="0"/>
    <x v="3"/>
    <s v="Insurance"/>
    <n v="15"/>
    <x v="713"/>
    <s v="Yes"/>
    <x v="0"/>
  </r>
  <r>
    <x v="715"/>
    <x v="22"/>
    <x v="1"/>
    <x v="3"/>
    <x v="510"/>
    <d v="2025-04-12T00:00:00"/>
    <x v="3"/>
    <x v="0"/>
    <x v="4"/>
    <x v="715"/>
    <n v="13"/>
    <x v="0"/>
    <s v="Deceased"/>
    <x v="1"/>
    <x v="3"/>
    <s v="Cash"/>
    <n v="14"/>
    <x v="714"/>
    <s v="No"/>
    <x v="0"/>
  </r>
  <r>
    <x v="716"/>
    <x v="3"/>
    <x v="1"/>
    <x v="4"/>
    <x v="155"/>
    <d v="2024-03-10T00:00:00"/>
    <x v="6"/>
    <x v="2"/>
    <x v="2"/>
    <x v="716"/>
    <n v="6"/>
    <x v="1"/>
    <s v="Recovered"/>
    <x v="2"/>
    <x v="0"/>
    <s v="Card"/>
    <n v="7"/>
    <x v="715"/>
    <s v="Yes"/>
    <x v="0"/>
  </r>
  <r>
    <x v="717"/>
    <x v="1"/>
    <x v="0"/>
    <x v="2"/>
    <x v="448"/>
    <d v="2023-12-16T00:00:00"/>
    <x v="5"/>
    <x v="4"/>
    <x v="3"/>
    <x v="717"/>
    <n v="18"/>
    <x v="0"/>
    <s v="Recovered"/>
    <x v="1"/>
    <x v="2"/>
    <s v="Card"/>
    <n v="12"/>
    <x v="716"/>
    <s v="Yes"/>
    <x v="0"/>
  </r>
  <r>
    <x v="718"/>
    <x v="59"/>
    <x v="1"/>
    <x v="1"/>
    <x v="511"/>
    <d v="2025-05-20T00:00:00"/>
    <x v="5"/>
    <x v="4"/>
    <x v="7"/>
    <x v="718"/>
    <n v="20"/>
    <x v="0"/>
    <s v="Under Observation"/>
    <x v="0"/>
    <x v="1"/>
    <s v="Cash"/>
    <n v="4"/>
    <x v="717"/>
    <s v="Yes"/>
    <x v="0"/>
  </r>
  <r>
    <x v="719"/>
    <x v="1"/>
    <x v="0"/>
    <x v="6"/>
    <x v="369"/>
    <d v="2023-12-19T00:00:00"/>
    <x v="9"/>
    <x v="5"/>
    <x v="0"/>
    <x v="719"/>
    <n v="20"/>
    <x v="0"/>
    <s v="Recovered"/>
    <x v="0"/>
    <x v="1"/>
    <s v="Insurance"/>
    <n v="4"/>
    <x v="718"/>
    <s v="No"/>
    <x v="0"/>
  </r>
  <r>
    <x v="720"/>
    <x v="23"/>
    <x v="1"/>
    <x v="6"/>
    <x v="512"/>
    <d v="2023-12-16T00:00:00"/>
    <x v="7"/>
    <x v="5"/>
    <x v="2"/>
    <x v="720"/>
    <n v="10"/>
    <x v="1"/>
    <s v="Under Observation"/>
    <x v="1"/>
    <x v="3"/>
    <s v="Cash"/>
    <n v="5"/>
    <x v="719"/>
    <s v="No"/>
    <x v="0"/>
  </r>
  <r>
    <x v="721"/>
    <x v="55"/>
    <x v="0"/>
    <x v="7"/>
    <x v="513"/>
    <d v="2024-03-24T00:00:00"/>
    <x v="5"/>
    <x v="4"/>
    <x v="3"/>
    <x v="721"/>
    <n v="6"/>
    <x v="0"/>
    <s v="Recovered"/>
    <x v="2"/>
    <x v="1"/>
    <s v="Insurance"/>
    <n v="13"/>
    <x v="720"/>
    <s v="No"/>
    <x v="0"/>
  </r>
  <r>
    <x v="722"/>
    <x v="40"/>
    <x v="0"/>
    <x v="5"/>
    <x v="514"/>
    <d v="2024-09-29T00:00:00"/>
    <x v="1"/>
    <x v="1"/>
    <x v="7"/>
    <x v="722"/>
    <n v="7"/>
    <x v="0"/>
    <s v="Recovered"/>
    <x v="0"/>
    <x v="3"/>
    <s v="Cash"/>
    <n v="1"/>
    <x v="721"/>
    <s v="Yes"/>
    <x v="1"/>
  </r>
  <r>
    <x v="723"/>
    <x v="11"/>
    <x v="1"/>
    <x v="0"/>
    <x v="385"/>
    <d v="2025-04-11T00:00:00"/>
    <x v="4"/>
    <x v="3"/>
    <x v="4"/>
    <x v="723"/>
    <n v="9"/>
    <x v="0"/>
    <s v="Recovered"/>
    <x v="1"/>
    <x v="3"/>
    <s v="Cash"/>
    <n v="12"/>
    <x v="722"/>
    <s v="No"/>
    <x v="0"/>
  </r>
  <r>
    <x v="724"/>
    <x v="35"/>
    <x v="0"/>
    <x v="7"/>
    <x v="228"/>
    <d v="2024-05-24T00:00:00"/>
    <x v="8"/>
    <x v="6"/>
    <x v="0"/>
    <x v="724"/>
    <n v="1"/>
    <x v="0"/>
    <s v="Recovered"/>
    <x v="0"/>
    <x v="1"/>
    <s v="Cash"/>
    <n v="7"/>
    <x v="723"/>
    <s v="No"/>
    <x v="0"/>
  </r>
  <r>
    <x v="725"/>
    <x v="51"/>
    <x v="1"/>
    <x v="7"/>
    <x v="216"/>
    <d v="2024-10-25T00:00:00"/>
    <x v="1"/>
    <x v="1"/>
    <x v="4"/>
    <x v="725"/>
    <n v="3"/>
    <x v="0"/>
    <s v="Recovered"/>
    <x v="2"/>
    <x v="1"/>
    <s v="UPI"/>
    <n v="4"/>
    <x v="724"/>
    <s v="No"/>
    <x v="0"/>
  </r>
  <r>
    <x v="726"/>
    <x v="6"/>
    <x v="0"/>
    <x v="2"/>
    <x v="508"/>
    <d v="2024-04-26T00:00:00"/>
    <x v="3"/>
    <x v="0"/>
    <x v="5"/>
    <x v="726"/>
    <n v="2"/>
    <x v="0"/>
    <s v="Recovered"/>
    <x v="2"/>
    <x v="1"/>
    <s v="Insurance"/>
    <n v="15"/>
    <x v="725"/>
    <s v="No"/>
    <x v="0"/>
  </r>
  <r>
    <x v="727"/>
    <x v="52"/>
    <x v="0"/>
    <x v="3"/>
    <x v="45"/>
    <d v="2023-01-20T00:00:00"/>
    <x v="0"/>
    <x v="0"/>
    <x v="7"/>
    <x v="727"/>
    <n v="8"/>
    <x v="1"/>
    <s v="Recovered"/>
    <x v="0"/>
    <x v="1"/>
    <s v="Cash"/>
    <n v="3"/>
    <x v="726"/>
    <s v="No"/>
    <x v="0"/>
  </r>
  <r>
    <x v="728"/>
    <x v="56"/>
    <x v="1"/>
    <x v="0"/>
    <x v="515"/>
    <d v="2024-05-31T00:00:00"/>
    <x v="0"/>
    <x v="0"/>
    <x v="5"/>
    <x v="728"/>
    <n v="17"/>
    <x v="0"/>
    <s v="Recovered"/>
    <x v="2"/>
    <x v="0"/>
    <s v="Cash"/>
    <n v="2"/>
    <x v="727"/>
    <s v="No"/>
    <x v="0"/>
  </r>
  <r>
    <x v="729"/>
    <x v="11"/>
    <x v="0"/>
    <x v="4"/>
    <x v="516"/>
    <d v="2023-08-20T00:00:00"/>
    <x v="2"/>
    <x v="2"/>
    <x v="5"/>
    <x v="729"/>
    <n v="14"/>
    <x v="1"/>
    <s v="Recovered"/>
    <x v="2"/>
    <x v="3"/>
    <s v="Cash"/>
    <n v="13"/>
    <x v="728"/>
    <s v="Yes"/>
    <x v="0"/>
  </r>
  <r>
    <x v="730"/>
    <x v="35"/>
    <x v="0"/>
    <x v="4"/>
    <x v="517"/>
    <d v="2024-11-18T00:00:00"/>
    <x v="1"/>
    <x v="1"/>
    <x v="3"/>
    <x v="730"/>
    <n v="5"/>
    <x v="0"/>
    <s v="Recovered"/>
    <x v="1"/>
    <x v="3"/>
    <s v="Insurance"/>
    <n v="2"/>
    <x v="729"/>
    <s v="Yes"/>
    <x v="0"/>
  </r>
  <r>
    <x v="731"/>
    <x v="34"/>
    <x v="0"/>
    <x v="6"/>
    <x v="344"/>
    <d v="2023-06-09T00:00:00"/>
    <x v="9"/>
    <x v="5"/>
    <x v="4"/>
    <x v="731"/>
    <n v="14"/>
    <x v="1"/>
    <s v="Recovered"/>
    <x v="2"/>
    <x v="2"/>
    <s v="Card"/>
    <n v="6"/>
    <x v="730"/>
    <s v="No"/>
    <x v="0"/>
  </r>
  <r>
    <x v="732"/>
    <x v="46"/>
    <x v="1"/>
    <x v="2"/>
    <x v="518"/>
    <d v="2023-01-17T00:00:00"/>
    <x v="2"/>
    <x v="2"/>
    <x v="6"/>
    <x v="732"/>
    <n v="12"/>
    <x v="1"/>
    <s v="Recovered"/>
    <x v="0"/>
    <x v="0"/>
    <s v="Cash"/>
    <n v="15"/>
    <x v="731"/>
    <s v="Yes"/>
    <x v="0"/>
  </r>
  <r>
    <x v="733"/>
    <x v="18"/>
    <x v="1"/>
    <x v="4"/>
    <x v="519"/>
    <d v="2025-03-16T00:00:00"/>
    <x v="8"/>
    <x v="6"/>
    <x v="1"/>
    <x v="733"/>
    <n v="15"/>
    <x v="1"/>
    <s v="Recovered"/>
    <x v="2"/>
    <x v="0"/>
    <s v="Cash"/>
    <n v="10"/>
    <x v="732"/>
    <s v="No"/>
    <x v="0"/>
  </r>
  <r>
    <x v="734"/>
    <x v="43"/>
    <x v="1"/>
    <x v="4"/>
    <x v="520"/>
    <d v="2023-08-25T00:00:00"/>
    <x v="3"/>
    <x v="0"/>
    <x v="6"/>
    <x v="734"/>
    <n v="8"/>
    <x v="1"/>
    <s v="Recovered"/>
    <x v="0"/>
    <x v="1"/>
    <s v="Cash"/>
    <n v="4"/>
    <x v="733"/>
    <s v="Yes"/>
    <x v="0"/>
  </r>
  <r>
    <x v="735"/>
    <x v="57"/>
    <x v="0"/>
    <x v="7"/>
    <x v="272"/>
    <d v="2024-12-22T00:00:00"/>
    <x v="0"/>
    <x v="0"/>
    <x v="6"/>
    <x v="735"/>
    <n v="1"/>
    <x v="1"/>
    <s v="Recovered"/>
    <x v="0"/>
    <x v="0"/>
    <s v="UPI"/>
    <n v="4"/>
    <x v="734"/>
    <s v="Yes"/>
    <x v="0"/>
  </r>
  <r>
    <x v="736"/>
    <x v="36"/>
    <x v="0"/>
    <x v="1"/>
    <x v="128"/>
    <d v="2025-09-12T00:00:00"/>
    <x v="9"/>
    <x v="5"/>
    <x v="0"/>
    <x v="736"/>
    <n v="27"/>
    <x v="0"/>
    <s v="Referred"/>
    <x v="2"/>
    <x v="2"/>
    <s v="UPI"/>
    <n v="7"/>
    <x v="735"/>
    <s v="No"/>
    <x v="0"/>
  </r>
  <r>
    <x v="737"/>
    <x v="12"/>
    <x v="1"/>
    <x v="4"/>
    <x v="521"/>
    <d v="2024-08-25T00:00:00"/>
    <x v="3"/>
    <x v="0"/>
    <x v="6"/>
    <x v="737"/>
    <n v="13"/>
    <x v="0"/>
    <s v="Recovered"/>
    <x v="2"/>
    <x v="3"/>
    <s v="Card"/>
    <n v="4"/>
    <x v="736"/>
    <s v="Yes"/>
    <x v="0"/>
  </r>
  <r>
    <x v="738"/>
    <x v="48"/>
    <x v="0"/>
    <x v="6"/>
    <x v="435"/>
    <d v="2025-09-18T00:00:00"/>
    <x v="6"/>
    <x v="2"/>
    <x v="2"/>
    <x v="738"/>
    <n v="11"/>
    <x v="0"/>
    <s v="Under Observation"/>
    <x v="0"/>
    <x v="1"/>
    <s v="Cash"/>
    <n v="7"/>
    <x v="737"/>
    <s v="No"/>
    <x v="0"/>
  </r>
  <r>
    <x v="739"/>
    <x v="50"/>
    <x v="0"/>
    <x v="2"/>
    <x v="522"/>
    <d v="2024-03-17T00:00:00"/>
    <x v="9"/>
    <x v="5"/>
    <x v="5"/>
    <x v="739"/>
    <n v="9"/>
    <x v="1"/>
    <s v="Referred"/>
    <x v="2"/>
    <x v="3"/>
    <s v="Card"/>
    <n v="13"/>
    <x v="738"/>
    <s v="No"/>
    <x v="0"/>
  </r>
  <r>
    <x v="740"/>
    <x v="4"/>
    <x v="1"/>
    <x v="6"/>
    <x v="236"/>
    <d v="2025-07-10T00:00:00"/>
    <x v="2"/>
    <x v="2"/>
    <x v="0"/>
    <x v="740"/>
    <n v="14"/>
    <x v="1"/>
    <s v="Recovered"/>
    <x v="1"/>
    <x v="1"/>
    <s v="Insurance"/>
    <n v="14"/>
    <x v="739"/>
    <s v="No"/>
    <x v="1"/>
  </r>
  <r>
    <x v="741"/>
    <x v="55"/>
    <x v="0"/>
    <x v="1"/>
    <x v="523"/>
    <d v="2023-10-30T00:00:00"/>
    <x v="4"/>
    <x v="3"/>
    <x v="1"/>
    <x v="741"/>
    <n v="6"/>
    <x v="0"/>
    <s v="Recovered"/>
    <x v="1"/>
    <x v="1"/>
    <s v="UPI"/>
    <n v="6"/>
    <x v="740"/>
    <s v="Yes"/>
    <x v="0"/>
  </r>
  <r>
    <x v="742"/>
    <x v="70"/>
    <x v="1"/>
    <x v="2"/>
    <x v="524"/>
    <d v="2023-07-27T00:00:00"/>
    <x v="7"/>
    <x v="5"/>
    <x v="1"/>
    <x v="742"/>
    <n v="1"/>
    <x v="0"/>
    <s v="Recovered"/>
    <x v="2"/>
    <x v="3"/>
    <s v="Cash"/>
    <n v="11"/>
    <x v="741"/>
    <s v="No"/>
    <x v="1"/>
  </r>
  <r>
    <x v="743"/>
    <x v="16"/>
    <x v="0"/>
    <x v="3"/>
    <x v="525"/>
    <d v="2025-06-19T00:00:00"/>
    <x v="4"/>
    <x v="3"/>
    <x v="1"/>
    <x v="743"/>
    <n v="17"/>
    <x v="0"/>
    <s v="Recovered"/>
    <x v="0"/>
    <x v="2"/>
    <s v="Insurance"/>
    <n v="1"/>
    <x v="742"/>
    <s v="No"/>
    <x v="0"/>
  </r>
  <r>
    <x v="744"/>
    <x v="72"/>
    <x v="1"/>
    <x v="4"/>
    <x v="470"/>
    <d v="2023-08-02T00:00:00"/>
    <x v="7"/>
    <x v="5"/>
    <x v="1"/>
    <x v="744"/>
    <n v="20"/>
    <x v="1"/>
    <s v="Deceased"/>
    <x v="1"/>
    <x v="1"/>
    <s v="Cash"/>
    <n v="2"/>
    <x v="743"/>
    <s v="No"/>
    <x v="0"/>
  </r>
  <r>
    <x v="745"/>
    <x v="46"/>
    <x v="0"/>
    <x v="3"/>
    <x v="153"/>
    <d v="2025-07-19T00:00:00"/>
    <x v="1"/>
    <x v="1"/>
    <x v="4"/>
    <x v="745"/>
    <n v="16"/>
    <x v="0"/>
    <s v="Recovered"/>
    <x v="1"/>
    <x v="2"/>
    <s v="Cash"/>
    <n v="10"/>
    <x v="744"/>
    <s v="No"/>
    <x v="0"/>
  </r>
  <r>
    <x v="746"/>
    <x v="10"/>
    <x v="0"/>
    <x v="3"/>
    <x v="159"/>
    <d v="2023-07-15T00:00:00"/>
    <x v="0"/>
    <x v="0"/>
    <x v="7"/>
    <x v="746"/>
    <n v="7"/>
    <x v="0"/>
    <s v="Under Observation"/>
    <x v="2"/>
    <x v="2"/>
    <s v="UPI"/>
    <n v="2"/>
    <x v="745"/>
    <s v="No"/>
    <x v="0"/>
  </r>
  <r>
    <x v="747"/>
    <x v="64"/>
    <x v="0"/>
    <x v="1"/>
    <x v="526"/>
    <d v="2025-06-02T00:00:00"/>
    <x v="4"/>
    <x v="3"/>
    <x v="5"/>
    <x v="747"/>
    <n v="20"/>
    <x v="0"/>
    <s v="Recovered"/>
    <x v="0"/>
    <x v="0"/>
    <s v="Insurance"/>
    <n v="1"/>
    <x v="746"/>
    <s v="Yes"/>
    <x v="0"/>
  </r>
  <r>
    <x v="748"/>
    <x v="59"/>
    <x v="0"/>
    <x v="0"/>
    <x v="168"/>
    <d v="2023-01-28T00:00:00"/>
    <x v="9"/>
    <x v="5"/>
    <x v="0"/>
    <x v="748"/>
    <n v="12"/>
    <x v="1"/>
    <s v="Recovered"/>
    <x v="1"/>
    <x v="1"/>
    <s v="Cash"/>
    <n v="9"/>
    <x v="747"/>
    <s v="No"/>
    <x v="0"/>
  </r>
  <r>
    <x v="749"/>
    <x v="41"/>
    <x v="0"/>
    <x v="4"/>
    <x v="527"/>
    <d v="2024-04-02T00:00:00"/>
    <x v="3"/>
    <x v="0"/>
    <x v="0"/>
    <x v="749"/>
    <n v="1"/>
    <x v="1"/>
    <s v="Recovered"/>
    <x v="2"/>
    <x v="1"/>
    <s v="Insurance"/>
    <n v="2"/>
    <x v="748"/>
    <s v="No"/>
    <x v="0"/>
  </r>
  <r>
    <x v="750"/>
    <x v="18"/>
    <x v="0"/>
    <x v="5"/>
    <x v="528"/>
    <d v="2023-06-07T00:00:00"/>
    <x v="9"/>
    <x v="5"/>
    <x v="5"/>
    <x v="750"/>
    <n v="10"/>
    <x v="1"/>
    <s v="Under Observation"/>
    <x v="2"/>
    <x v="3"/>
    <s v="Insurance"/>
    <n v="2"/>
    <x v="749"/>
    <s v="Yes"/>
    <x v="0"/>
  </r>
  <r>
    <x v="751"/>
    <x v="38"/>
    <x v="1"/>
    <x v="0"/>
    <x v="529"/>
    <d v="2023-04-22T00:00:00"/>
    <x v="4"/>
    <x v="3"/>
    <x v="0"/>
    <x v="751"/>
    <n v="16"/>
    <x v="0"/>
    <s v="Recovered"/>
    <x v="1"/>
    <x v="1"/>
    <s v="Card"/>
    <n v="1"/>
    <x v="750"/>
    <s v="Yes"/>
    <x v="0"/>
  </r>
  <r>
    <x v="752"/>
    <x v="14"/>
    <x v="0"/>
    <x v="0"/>
    <x v="530"/>
    <d v="2023-03-22T00:00:00"/>
    <x v="3"/>
    <x v="0"/>
    <x v="1"/>
    <x v="752"/>
    <n v="10"/>
    <x v="0"/>
    <s v="Recovered"/>
    <x v="0"/>
    <x v="3"/>
    <s v="Card"/>
    <n v="3"/>
    <x v="751"/>
    <s v="Yes"/>
    <x v="0"/>
  </r>
  <r>
    <x v="753"/>
    <x v="9"/>
    <x v="0"/>
    <x v="1"/>
    <x v="531"/>
    <d v="2025-04-20T00:00:00"/>
    <x v="1"/>
    <x v="1"/>
    <x v="4"/>
    <x v="753"/>
    <n v="28"/>
    <x v="0"/>
    <s v="Recovered"/>
    <x v="1"/>
    <x v="2"/>
    <s v="Cash"/>
    <n v="10"/>
    <x v="752"/>
    <s v="No"/>
    <x v="0"/>
  </r>
  <r>
    <x v="754"/>
    <x v="71"/>
    <x v="1"/>
    <x v="0"/>
    <x v="521"/>
    <d v="2024-09-05T00:00:00"/>
    <x v="7"/>
    <x v="5"/>
    <x v="0"/>
    <x v="754"/>
    <n v="24"/>
    <x v="0"/>
    <s v="Recovered"/>
    <x v="0"/>
    <x v="2"/>
    <s v="UPI"/>
    <n v="6"/>
    <x v="753"/>
    <s v="No"/>
    <x v="0"/>
  </r>
  <r>
    <x v="755"/>
    <x v="63"/>
    <x v="0"/>
    <x v="1"/>
    <x v="66"/>
    <d v="2023-10-22T00:00:00"/>
    <x v="5"/>
    <x v="4"/>
    <x v="7"/>
    <x v="755"/>
    <n v="19"/>
    <x v="1"/>
    <s v="Under Observation"/>
    <x v="1"/>
    <x v="0"/>
    <s v="Card"/>
    <n v="11"/>
    <x v="754"/>
    <s v="No"/>
    <x v="0"/>
  </r>
  <r>
    <x v="756"/>
    <x v="19"/>
    <x v="1"/>
    <x v="1"/>
    <x v="97"/>
    <d v="2024-08-05T00:00:00"/>
    <x v="5"/>
    <x v="4"/>
    <x v="7"/>
    <x v="756"/>
    <n v="11"/>
    <x v="1"/>
    <s v="Recovered"/>
    <x v="0"/>
    <x v="0"/>
    <s v="Card"/>
    <n v="1"/>
    <x v="755"/>
    <s v="Yes"/>
    <x v="1"/>
  </r>
  <r>
    <x v="757"/>
    <x v="67"/>
    <x v="1"/>
    <x v="3"/>
    <x v="132"/>
    <d v="2024-12-13T00:00:00"/>
    <x v="2"/>
    <x v="2"/>
    <x v="6"/>
    <x v="757"/>
    <n v="7"/>
    <x v="0"/>
    <s v="Recovered"/>
    <x v="2"/>
    <x v="3"/>
    <s v="Insurance"/>
    <n v="7"/>
    <x v="756"/>
    <s v="Yes"/>
    <x v="0"/>
  </r>
  <r>
    <x v="758"/>
    <x v="6"/>
    <x v="1"/>
    <x v="2"/>
    <x v="27"/>
    <d v="2023-06-07T00:00:00"/>
    <x v="5"/>
    <x v="4"/>
    <x v="2"/>
    <x v="758"/>
    <n v="1"/>
    <x v="1"/>
    <s v="Recovered"/>
    <x v="0"/>
    <x v="1"/>
    <s v="Card"/>
    <n v="5"/>
    <x v="757"/>
    <s v="No"/>
    <x v="0"/>
  </r>
  <r>
    <x v="759"/>
    <x v="68"/>
    <x v="0"/>
    <x v="2"/>
    <x v="279"/>
    <d v="2023-11-28T00:00:00"/>
    <x v="1"/>
    <x v="1"/>
    <x v="2"/>
    <x v="759"/>
    <n v="6"/>
    <x v="0"/>
    <s v="Recovered"/>
    <x v="0"/>
    <x v="1"/>
    <s v="Cash"/>
    <n v="5"/>
    <x v="758"/>
    <s v="Yes"/>
    <x v="0"/>
  </r>
  <r>
    <x v="760"/>
    <x v="10"/>
    <x v="1"/>
    <x v="7"/>
    <x v="532"/>
    <d v="2023-06-01T00:00:00"/>
    <x v="8"/>
    <x v="6"/>
    <x v="3"/>
    <x v="760"/>
    <n v="17"/>
    <x v="0"/>
    <s v="Recovered"/>
    <x v="2"/>
    <x v="1"/>
    <s v="UPI"/>
    <n v="3"/>
    <x v="759"/>
    <s v="No"/>
    <x v="0"/>
  </r>
  <r>
    <x v="761"/>
    <x v="26"/>
    <x v="0"/>
    <x v="6"/>
    <x v="533"/>
    <d v="2025-03-06T00:00:00"/>
    <x v="3"/>
    <x v="0"/>
    <x v="6"/>
    <x v="761"/>
    <n v="4"/>
    <x v="0"/>
    <s v="Recovered"/>
    <x v="1"/>
    <x v="0"/>
    <s v="Cash"/>
    <n v="5"/>
    <x v="760"/>
    <s v="No"/>
    <x v="0"/>
  </r>
  <r>
    <x v="762"/>
    <x v="3"/>
    <x v="1"/>
    <x v="5"/>
    <x v="534"/>
    <d v="2025-01-05T00:00:00"/>
    <x v="0"/>
    <x v="0"/>
    <x v="7"/>
    <x v="762"/>
    <n v="23"/>
    <x v="0"/>
    <s v="Recovered"/>
    <x v="1"/>
    <x v="2"/>
    <s v="Insurance"/>
    <n v="5"/>
    <x v="761"/>
    <s v="No"/>
    <x v="0"/>
  </r>
  <r>
    <x v="763"/>
    <x v="69"/>
    <x v="0"/>
    <x v="2"/>
    <x v="535"/>
    <d v="2024-08-12T00:00:00"/>
    <x v="0"/>
    <x v="0"/>
    <x v="1"/>
    <x v="763"/>
    <n v="3"/>
    <x v="0"/>
    <s v="Recovered"/>
    <x v="1"/>
    <x v="0"/>
    <s v="Cash"/>
    <n v="4"/>
    <x v="762"/>
    <s v="Yes"/>
    <x v="0"/>
  </r>
  <r>
    <x v="764"/>
    <x v="41"/>
    <x v="1"/>
    <x v="5"/>
    <x v="33"/>
    <d v="2025-09-15T00:00:00"/>
    <x v="8"/>
    <x v="6"/>
    <x v="7"/>
    <x v="764"/>
    <n v="22"/>
    <x v="1"/>
    <s v="Recovered"/>
    <x v="1"/>
    <x v="2"/>
    <s v="Cash"/>
    <n v="1"/>
    <x v="763"/>
    <s v="Yes"/>
    <x v="0"/>
  </r>
  <r>
    <x v="765"/>
    <x v="12"/>
    <x v="1"/>
    <x v="4"/>
    <x v="300"/>
    <d v="2024-04-01T00:00:00"/>
    <x v="5"/>
    <x v="4"/>
    <x v="3"/>
    <x v="765"/>
    <n v="20"/>
    <x v="0"/>
    <s v="Recovered"/>
    <x v="2"/>
    <x v="2"/>
    <s v="Insurance"/>
    <n v="7"/>
    <x v="764"/>
    <s v="Yes"/>
    <x v="0"/>
  </r>
  <r>
    <x v="766"/>
    <x v="46"/>
    <x v="0"/>
    <x v="2"/>
    <x v="376"/>
    <d v="2025-01-29T00:00:00"/>
    <x v="7"/>
    <x v="5"/>
    <x v="2"/>
    <x v="766"/>
    <n v="20"/>
    <x v="1"/>
    <s v="Recovered"/>
    <x v="1"/>
    <x v="1"/>
    <s v="UPI"/>
    <n v="13"/>
    <x v="765"/>
    <s v="Yes"/>
    <x v="0"/>
  </r>
  <r>
    <x v="767"/>
    <x v="28"/>
    <x v="0"/>
    <x v="1"/>
    <x v="328"/>
    <d v="2025-09-24T00:00:00"/>
    <x v="4"/>
    <x v="3"/>
    <x v="1"/>
    <x v="767"/>
    <n v="26"/>
    <x v="0"/>
    <s v="Recovered"/>
    <x v="1"/>
    <x v="2"/>
    <s v="UPI"/>
    <n v="11"/>
    <x v="766"/>
    <s v="No"/>
    <x v="1"/>
  </r>
  <r>
    <x v="768"/>
    <x v="31"/>
    <x v="0"/>
    <x v="7"/>
    <x v="518"/>
    <d v="2023-01-06T00:00:00"/>
    <x v="8"/>
    <x v="6"/>
    <x v="7"/>
    <x v="768"/>
    <n v="1"/>
    <x v="1"/>
    <s v="Recovered"/>
    <x v="2"/>
    <x v="0"/>
    <s v="UPI"/>
    <n v="15"/>
    <x v="767"/>
    <s v="Yes"/>
    <x v="0"/>
  </r>
  <r>
    <x v="769"/>
    <x v="56"/>
    <x v="0"/>
    <x v="2"/>
    <x v="536"/>
    <d v="2024-01-08T00:00:00"/>
    <x v="5"/>
    <x v="4"/>
    <x v="2"/>
    <x v="769"/>
    <n v="12"/>
    <x v="1"/>
    <s v="Recovered"/>
    <x v="2"/>
    <x v="0"/>
    <s v="Cash"/>
    <n v="14"/>
    <x v="768"/>
    <s v="No"/>
    <x v="1"/>
  </r>
  <r>
    <x v="770"/>
    <x v="66"/>
    <x v="0"/>
    <x v="0"/>
    <x v="537"/>
    <d v="2024-01-19T00:00:00"/>
    <x v="7"/>
    <x v="5"/>
    <x v="0"/>
    <x v="770"/>
    <n v="11"/>
    <x v="1"/>
    <s v="Recovered"/>
    <x v="2"/>
    <x v="1"/>
    <s v="UPI"/>
    <n v="11"/>
    <x v="769"/>
    <s v="Yes"/>
    <x v="1"/>
  </r>
  <r>
    <x v="771"/>
    <x v="23"/>
    <x v="1"/>
    <x v="4"/>
    <x v="336"/>
    <d v="2023-05-28T00:00:00"/>
    <x v="7"/>
    <x v="5"/>
    <x v="4"/>
    <x v="771"/>
    <n v="1"/>
    <x v="1"/>
    <s v="Referred"/>
    <x v="0"/>
    <x v="3"/>
    <s v="UPI"/>
    <n v="2"/>
    <x v="770"/>
    <s v="No"/>
    <x v="0"/>
  </r>
  <r>
    <x v="772"/>
    <x v="71"/>
    <x v="1"/>
    <x v="4"/>
    <x v="267"/>
    <d v="2023-09-05T00:00:00"/>
    <x v="3"/>
    <x v="0"/>
    <x v="5"/>
    <x v="772"/>
    <n v="16"/>
    <x v="0"/>
    <s v="Recovered"/>
    <x v="2"/>
    <x v="3"/>
    <s v="Insurance"/>
    <n v="2"/>
    <x v="241"/>
    <s v="Yes"/>
    <x v="0"/>
  </r>
  <r>
    <x v="773"/>
    <x v="20"/>
    <x v="1"/>
    <x v="0"/>
    <x v="122"/>
    <d v="2025-09-13T00:00:00"/>
    <x v="3"/>
    <x v="0"/>
    <x v="0"/>
    <x v="773"/>
    <n v="5"/>
    <x v="1"/>
    <s v="Recovered"/>
    <x v="1"/>
    <x v="2"/>
    <s v="UPI"/>
    <n v="7"/>
    <x v="771"/>
    <s v="No"/>
    <x v="0"/>
  </r>
  <r>
    <x v="774"/>
    <x v="72"/>
    <x v="0"/>
    <x v="3"/>
    <x v="538"/>
    <d v="2023-10-07T00:00:00"/>
    <x v="4"/>
    <x v="3"/>
    <x v="0"/>
    <x v="774"/>
    <n v="13"/>
    <x v="1"/>
    <s v="Recovered"/>
    <x v="2"/>
    <x v="2"/>
    <s v="Insurance"/>
    <n v="4"/>
    <x v="772"/>
    <s v="Yes"/>
    <x v="0"/>
  </r>
  <r>
    <x v="775"/>
    <x v="58"/>
    <x v="1"/>
    <x v="3"/>
    <x v="539"/>
    <d v="2024-08-31T00:00:00"/>
    <x v="7"/>
    <x v="5"/>
    <x v="7"/>
    <x v="775"/>
    <n v="14"/>
    <x v="1"/>
    <s v="Recovered"/>
    <x v="0"/>
    <x v="2"/>
    <s v="UPI"/>
    <n v="1"/>
    <x v="773"/>
    <s v="No"/>
    <x v="0"/>
  </r>
  <r>
    <x v="776"/>
    <x v="27"/>
    <x v="1"/>
    <x v="2"/>
    <x v="500"/>
    <d v="2024-06-12T00:00:00"/>
    <x v="3"/>
    <x v="0"/>
    <x v="2"/>
    <x v="776"/>
    <n v="19"/>
    <x v="0"/>
    <s v="Under Observation"/>
    <x v="2"/>
    <x v="3"/>
    <s v="UPI"/>
    <n v="11"/>
    <x v="774"/>
    <s v="Yes"/>
    <x v="0"/>
  </r>
  <r>
    <x v="777"/>
    <x v="3"/>
    <x v="0"/>
    <x v="7"/>
    <x v="540"/>
    <d v="2024-07-20T00:00:00"/>
    <x v="9"/>
    <x v="5"/>
    <x v="2"/>
    <x v="777"/>
    <n v="9"/>
    <x v="0"/>
    <s v="Recovered"/>
    <x v="2"/>
    <x v="1"/>
    <s v="Cash"/>
    <n v="7"/>
    <x v="775"/>
    <s v="No"/>
    <x v="0"/>
  </r>
  <r>
    <x v="778"/>
    <x v="67"/>
    <x v="0"/>
    <x v="5"/>
    <x v="418"/>
    <d v="2023-08-05T00:00:00"/>
    <x v="6"/>
    <x v="2"/>
    <x v="4"/>
    <x v="778"/>
    <n v="18"/>
    <x v="1"/>
    <s v="Recovered"/>
    <x v="0"/>
    <x v="0"/>
    <s v="Card"/>
    <n v="6"/>
    <x v="776"/>
    <s v="Yes"/>
    <x v="0"/>
  </r>
  <r>
    <x v="779"/>
    <x v="0"/>
    <x v="1"/>
    <x v="7"/>
    <x v="219"/>
    <d v="2024-12-05T00:00:00"/>
    <x v="2"/>
    <x v="2"/>
    <x v="0"/>
    <x v="779"/>
    <n v="18"/>
    <x v="1"/>
    <s v="Recovered"/>
    <x v="2"/>
    <x v="3"/>
    <s v="Insurance"/>
    <n v="4"/>
    <x v="777"/>
    <s v="Yes"/>
    <x v="1"/>
  </r>
  <r>
    <x v="780"/>
    <x v="11"/>
    <x v="0"/>
    <x v="1"/>
    <x v="541"/>
    <d v="2024-11-09T00:00:00"/>
    <x v="0"/>
    <x v="0"/>
    <x v="1"/>
    <x v="780"/>
    <n v="12"/>
    <x v="1"/>
    <s v="Under Observation"/>
    <x v="2"/>
    <x v="1"/>
    <s v="Insurance"/>
    <n v="6"/>
    <x v="778"/>
    <s v="Yes"/>
    <x v="0"/>
  </r>
  <r>
    <x v="781"/>
    <x v="43"/>
    <x v="0"/>
    <x v="3"/>
    <x v="542"/>
    <d v="2024-01-19T00:00:00"/>
    <x v="9"/>
    <x v="5"/>
    <x v="3"/>
    <x v="781"/>
    <n v="14"/>
    <x v="0"/>
    <s v="Recovered"/>
    <x v="1"/>
    <x v="0"/>
    <s v="Insurance"/>
    <n v="12"/>
    <x v="779"/>
    <s v="Yes"/>
    <x v="0"/>
  </r>
  <r>
    <x v="782"/>
    <x v="36"/>
    <x v="0"/>
    <x v="7"/>
    <x v="517"/>
    <d v="2024-11-27T00:00:00"/>
    <x v="4"/>
    <x v="3"/>
    <x v="0"/>
    <x v="782"/>
    <n v="14"/>
    <x v="0"/>
    <s v="Under Observation"/>
    <x v="1"/>
    <x v="2"/>
    <s v="UPI"/>
    <n v="14"/>
    <x v="780"/>
    <s v="Yes"/>
    <x v="0"/>
  </r>
  <r>
    <x v="783"/>
    <x v="20"/>
    <x v="1"/>
    <x v="2"/>
    <x v="543"/>
    <d v="2025-05-09T00:00:00"/>
    <x v="0"/>
    <x v="0"/>
    <x v="5"/>
    <x v="783"/>
    <n v="6"/>
    <x v="0"/>
    <s v="Recovered"/>
    <x v="0"/>
    <x v="0"/>
    <s v="UPI"/>
    <n v="9"/>
    <x v="781"/>
    <s v="No"/>
    <x v="0"/>
  </r>
  <r>
    <x v="784"/>
    <x v="55"/>
    <x v="1"/>
    <x v="7"/>
    <x v="456"/>
    <d v="2023-12-28T00:00:00"/>
    <x v="8"/>
    <x v="6"/>
    <x v="1"/>
    <x v="784"/>
    <n v="10"/>
    <x v="1"/>
    <s v="Referred"/>
    <x v="2"/>
    <x v="0"/>
    <s v="UPI"/>
    <n v="3"/>
    <x v="782"/>
    <s v="No"/>
    <x v="0"/>
  </r>
  <r>
    <x v="785"/>
    <x v="40"/>
    <x v="0"/>
    <x v="5"/>
    <x v="142"/>
    <d v="2025-07-16T00:00:00"/>
    <x v="1"/>
    <x v="1"/>
    <x v="4"/>
    <x v="785"/>
    <n v="5"/>
    <x v="0"/>
    <s v="Recovered"/>
    <x v="0"/>
    <x v="1"/>
    <s v="Card"/>
    <n v="5"/>
    <x v="783"/>
    <s v="No"/>
    <x v="1"/>
  </r>
  <r>
    <x v="786"/>
    <x v="37"/>
    <x v="0"/>
    <x v="7"/>
    <x v="349"/>
    <d v="2025-04-17T00:00:00"/>
    <x v="2"/>
    <x v="2"/>
    <x v="7"/>
    <x v="786"/>
    <n v="12"/>
    <x v="1"/>
    <s v="Recovered"/>
    <x v="1"/>
    <x v="0"/>
    <s v="UPI"/>
    <n v="1"/>
    <x v="784"/>
    <s v="Yes"/>
    <x v="0"/>
  </r>
  <r>
    <x v="787"/>
    <x v="38"/>
    <x v="1"/>
    <x v="7"/>
    <x v="544"/>
    <d v="2023-02-26T00:00:00"/>
    <x v="9"/>
    <x v="5"/>
    <x v="1"/>
    <x v="787"/>
    <n v="14"/>
    <x v="1"/>
    <s v="Recovered"/>
    <x v="1"/>
    <x v="0"/>
    <s v="Insurance"/>
    <n v="7"/>
    <x v="785"/>
    <s v="No"/>
    <x v="0"/>
  </r>
  <r>
    <x v="788"/>
    <x v="32"/>
    <x v="1"/>
    <x v="0"/>
    <x v="20"/>
    <d v="2024-12-18T00:00:00"/>
    <x v="0"/>
    <x v="0"/>
    <x v="3"/>
    <x v="788"/>
    <n v="18"/>
    <x v="1"/>
    <s v="Recovered"/>
    <x v="0"/>
    <x v="3"/>
    <s v="Card"/>
    <n v="1"/>
    <x v="786"/>
    <s v="Yes"/>
    <x v="0"/>
  </r>
  <r>
    <x v="789"/>
    <x v="35"/>
    <x v="1"/>
    <x v="0"/>
    <x v="545"/>
    <d v="2023-08-04T00:00:00"/>
    <x v="2"/>
    <x v="2"/>
    <x v="4"/>
    <x v="789"/>
    <n v="19"/>
    <x v="0"/>
    <s v="Recovered"/>
    <x v="0"/>
    <x v="0"/>
    <s v="Cash"/>
    <n v="2"/>
    <x v="787"/>
    <s v="No"/>
    <x v="1"/>
  </r>
  <r>
    <x v="790"/>
    <x v="45"/>
    <x v="1"/>
    <x v="5"/>
    <x v="105"/>
    <d v="2024-10-18T00:00:00"/>
    <x v="5"/>
    <x v="4"/>
    <x v="0"/>
    <x v="790"/>
    <n v="4"/>
    <x v="1"/>
    <s v="Referred"/>
    <x v="1"/>
    <x v="1"/>
    <s v="Insurance"/>
    <n v="5"/>
    <x v="788"/>
    <s v="No"/>
    <x v="0"/>
  </r>
  <r>
    <x v="791"/>
    <x v="46"/>
    <x v="1"/>
    <x v="0"/>
    <x v="498"/>
    <d v="2023-02-01T00:00:00"/>
    <x v="2"/>
    <x v="2"/>
    <x v="1"/>
    <x v="791"/>
    <n v="3"/>
    <x v="1"/>
    <s v="Recovered"/>
    <x v="2"/>
    <x v="0"/>
    <s v="Card"/>
    <n v="4"/>
    <x v="789"/>
    <s v="Yes"/>
    <x v="0"/>
  </r>
  <r>
    <x v="792"/>
    <x v="38"/>
    <x v="0"/>
    <x v="3"/>
    <x v="546"/>
    <d v="2025-01-25T00:00:00"/>
    <x v="4"/>
    <x v="3"/>
    <x v="2"/>
    <x v="792"/>
    <n v="8"/>
    <x v="0"/>
    <s v="Recovered"/>
    <x v="1"/>
    <x v="0"/>
    <s v="Card"/>
    <n v="9"/>
    <x v="790"/>
    <s v="No"/>
    <x v="0"/>
  </r>
  <r>
    <x v="793"/>
    <x v="64"/>
    <x v="1"/>
    <x v="6"/>
    <x v="13"/>
    <d v="2023-04-21T00:00:00"/>
    <x v="6"/>
    <x v="2"/>
    <x v="7"/>
    <x v="793"/>
    <n v="16"/>
    <x v="1"/>
    <s v="Recovered"/>
    <x v="2"/>
    <x v="1"/>
    <s v="Insurance"/>
    <n v="11"/>
    <x v="791"/>
    <s v="No"/>
    <x v="0"/>
  </r>
  <r>
    <x v="794"/>
    <x v="62"/>
    <x v="1"/>
    <x v="1"/>
    <x v="547"/>
    <d v="2024-05-22T00:00:00"/>
    <x v="7"/>
    <x v="5"/>
    <x v="0"/>
    <x v="794"/>
    <n v="1"/>
    <x v="1"/>
    <s v="Recovered"/>
    <x v="0"/>
    <x v="3"/>
    <s v="Insurance"/>
    <n v="14"/>
    <x v="792"/>
    <s v="No"/>
    <x v="1"/>
  </r>
  <r>
    <x v="795"/>
    <x v="55"/>
    <x v="0"/>
    <x v="3"/>
    <x v="548"/>
    <d v="2023-03-15T00:00:00"/>
    <x v="7"/>
    <x v="5"/>
    <x v="3"/>
    <x v="795"/>
    <n v="13"/>
    <x v="1"/>
    <s v="Recovered"/>
    <x v="0"/>
    <x v="0"/>
    <s v="Insurance"/>
    <n v="11"/>
    <x v="793"/>
    <s v="No"/>
    <x v="0"/>
  </r>
  <r>
    <x v="796"/>
    <x v="41"/>
    <x v="1"/>
    <x v="3"/>
    <x v="549"/>
    <d v="2023-10-30T00:00:00"/>
    <x v="1"/>
    <x v="1"/>
    <x v="1"/>
    <x v="796"/>
    <n v="15"/>
    <x v="0"/>
    <s v="Recovered"/>
    <x v="1"/>
    <x v="0"/>
    <s v="Cash"/>
    <n v="8"/>
    <x v="794"/>
    <s v="Yes"/>
    <x v="0"/>
  </r>
  <r>
    <x v="797"/>
    <x v="17"/>
    <x v="1"/>
    <x v="0"/>
    <x v="550"/>
    <d v="2025-01-18T00:00:00"/>
    <x v="3"/>
    <x v="0"/>
    <x v="6"/>
    <x v="797"/>
    <n v="17"/>
    <x v="0"/>
    <s v="Recovered"/>
    <x v="2"/>
    <x v="0"/>
    <s v="Card"/>
    <n v="12"/>
    <x v="795"/>
    <s v="No"/>
    <x v="0"/>
  </r>
  <r>
    <x v="798"/>
    <x v="16"/>
    <x v="1"/>
    <x v="1"/>
    <x v="397"/>
    <d v="2024-11-02T00:00:00"/>
    <x v="3"/>
    <x v="0"/>
    <x v="3"/>
    <x v="798"/>
    <n v="15"/>
    <x v="1"/>
    <s v="Recovered"/>
    <x v="2"/>
    <x v="0"/>
    <s v="Card"/>
    <n v="5"/>
    <x v="796"/>
    <s v="Yes"/>
    <x v="0"/>
  </r>
  <r>
    <x v="799"/>
    <x v="36"/>
    <x v="1"/>
    <x v="6"/>
    <x v="467"/>
    <d v="2023-12-30T00:00:00"/>
    <x v="5"/>
    <x v="4"/>
    <x v="5"/>
    <x v="799"/>
    <n v="4"/>
    <x v="0"/>
    <s v="Deceased"/>
    <x v="0"/>
    <x v="2"/>
    <s v="Cash"/>
    <n v="3"/>
    <x v="797"/>
    <s v="Yes"/>
    <x v="0"/>
  </r>
  <r>
    <x v="800"/>
    <x v="43"/>
    <x v="0"/>
    <x v="3"/>
    <x v="168"/>
    <d v="2023-02-04T00:00:00"/>
    <x v="5"/>
    <x v="4"/>
    <x v="3"/>
    <x v="800"/>
    <n v="19"/>
    <x v="1"/>
    <s v="Recovered"/>
    <x v="1"/>
    <x v="1"/>
    <s v="Cash"/>
    <n v="5"/>
    <x v="798"/>
    <s v="No"/>
    <x v="1"/>
  </r>
  <r>
    <x v="801"/>
    <x v="15"/>
    <x v="1"/>
    <x v="7"/>
    <x v="551"/>
    <d v="2023-06-07T00:00:00"/>
    <x v="5"/>
    <x v="4"/>
    <x v="1"/>
    <x v="801"/>
    <n v="14"/>
    <x v="1"/>
    <s v="Recovered"/>
    <x v="2"/>
    <x v="1"/>
    <s v="Card"/>
    <n v="8"/>
    <x v="799"/>
    <s v="Yes"/>
    <x v="0"/>
  </r>
  <r>
    <x v="802"/>
    <x v="47"/>
    <x v="1"/>
    <x v="7"/>
    <x v="552"/>
    <d v="2023-05-02T00:00:00"/>
    <x v="5"/>
    <x v="4"/>
    <x v="5"/>
    <x v="802"/>
    <n v="17"/>
    <x v="1"/>
    <s v="Referred"/>
    <x v="1"/>
    <x v="2"/>
    <s v="UPI"/>
    <n v="13"/>
    <x v="800"/>
    <s v="No"/>
    <x v="1"/>
  </r>
  <r>
    <x v="803"/>
    <x v="19"/>
    <x v="0"/>
    <x v="4"/>
    <x v="490"/>
    <d v="2023-10-23T00:00:00"/>
    <x v="3"/>
    <x v="0"/>
    <x v="5"/>
    <x v="803"/>
    <n v="9"/>
    <x v="1"/>
    <s v="Recovered"/>
    <x v="2"/>
    <x v="3"/>
    <s v="Insurance"/>
    <n v="11"/>
    <x v="801"/>
    <s v="No"/>
    <x v="0"/>
  </r>
  <r>
    <x v="804"/>
    <x v="70"/>
    <x v="0"/>
    <x v="7"/>
    <x v="245"/>
    <d v="2024-02-06T00:00:00"/>
    <x v="4"/>
    <x v="3"/>
    <x v="2"/>
    <x v="804"/>
    <n v="16"/>
    <x v="1"/>
    <s v="Recovered"/>
    <x v="2"/>
    <x v="0"/>
    <s v="UPI"/>
    <n v="15"/>
    <x v="802"/>
    <s v="No"/>
    <x v="0"/>
  </r>
  <r>
    <x v="805"/>
    <x v="23"/>
    <x v="1"/>
    <x v="4"/>
    <x v="553"/>
    <d v="2023-01-23T00:00:00"/>
    <x v="9"/>
    <x v="5"/>
    <x v="0"/>
    <x v="805"/>
    <n v="9"/>
    <x v="1"/>
    <s v="Recovered"/>
    <x v="2"/>
    <x v="0"/>
    <s v="UPI"/>
    <n v="15"/>
    <x v="803"/>
    <s v="No"/>
    <x v="0"/>
  </r>
  <r>
    <x v="806"/>
    <x v="3"/>
    <x v="1"/>
    <x v="6"/>
    <x v="44"/>
    <d v="2023-06-11T00:00:00"/>
    <x v="5"/>
    <x v="4"/>
    <x v="7"/>
    <x v="806"/>
    <n v="17"/>
    <x v="1"/>
    <s v="Recovered"/>
    <x v="2"/>
    <x v="1"/>
    <s v="Card"/>
    <n v="15"/>
    <x v="804"/>
    <s v="No"/>
    <x v="0"/>
  </r>
  <r>
    <x v="807"/>
    <x v="25"/>
    <x v="0"/>
    <x v="6"/>
    <x v="554"/>
    <d v="2023-08-15T00:00:00"/>
    <x v="4"/>
    <x v="3"/>
    <x v="7"/>
    <x v="807"/>
    <n v="23"/>
    <x v="1"/>
    <s v="Recovered"/>
    <x v="2"/>
    <x v="2"/>
    <s v="Cash"/>
    <n v="9"/>
    <x v="805"/>
    <s v="No"/>
    <x v="1"/>
  </r>
  <r>
    <x v="808"/>
    <x v="43"/>
    <x v="0"/>
    <x v="2"/>
    <x v="19"/>
    <d v="2025-09-19T00:00:00"/>
    <x v="8"/>
    <x v="6"/>
    <x v="2"/>
    <x v="808"/>
    <n v="17"/>
    <x v="1"/>
    <s v="Recovered"/>
    <x v="2"/>
    <x v="2"/>
    <s v="Card"/>
    <n v="8"/>
    <x v="806"/>
    <s v="No"/>
    <x v="0"/>
  </r>
  <r>
    <x v="809"/>
    <x v="48"/>
    <x v="0"/>
    <x v="5"/>
    <x v="126"/>
    <d v="2025-05-25T00:00:00"/>
    <x v="0"/>
    <x v="0"/>
    <x v="7"/>
    <x v="809"/>
    <n v="21"/>
    <x v="0"/>
    <s v="Recovered"/>
    <x v="1"/>
    <x v="2"/>
    <s v="Insurance"/>
    <n v="6"/>
    <x v="807"/>
    <s v="No"/>
    <x v="0"/>
  </r>
  <r>
    <x v="810"/>
    <x v="11"/>
    <x v="1"/>
    <x v="0"/>
    <x v="555"/>
    <d v="2025-01-01T00:00:00"/>
    <x v="0"/>
    <x v="0"/>
    <x v="2"/>
    <x v="810"/>
    <n v="28"/>
    <x v="1"/>
    <s v="Recovered"/>
    <x v="1"/>
    <x v="2"/>
    <s v="Card"/>
    <n v="2"/>
    <x v="808"/>
    <s v="Yes"/>
    <x v="0"/>
  </r>
  <r>
    <x v="811"/>
    <x v="40"/>
    <x v="0"/>
    <x v="7"/>
    <x v="318"/>
    <d v="2025-05-07T00:00:00"/>
    <x v="2"/>
    <x v="2"/>
    <x v="6"/>
    <x v="811"/>
    <n v="20"/>
    <x v="1"/>
    <s v="Recovered"/>
    <x v="1"/>
    <x v="0"/>
    <s v="Card"/>
    <n v="3"/>
    <x v="809"/>
    <s v="Yes"/>
    <x v="0"/>
  </r>
  <r>
    <x v="812"/>
    <x v="57"/>
    <x v="0"/>
    <x v="7"/>
    <x v="556"/>
    <d v="2024-07-19T00:00:00"/>
    <x v="7"/>
    <x v="5"/>
    <x v="4"/>
    <x v="812"/>
    <n v="24"/>
    <x v="0"/>
    <s v="Recovered"/>
    <x v="1"/>
    <x v="2"/>
    <s v="Card"/>
    <n v="7"/>
    <x v="810"/>
    <s v="No"/>
    <x v="1"/>
  </r>
  <r>
    <x v="813"/>
    <x v="22"/>
    <x v="1"/>
    <x v="6"/>
    <x v="4"/>
    <d v="2025-08-18T00:00:00"/>
    <x v="7"/>
    <x v="5"/>
    <x v="5"/>
    <x v="813"/>
    <n v="1"/>
    <x v="1"/>
    <s v="Recovered"/>
    <x v="0"/>
    <x v="1"/>
    <s v="UPI"/>
    <n v="13"/>
    <x v="811"/>
    <s v="Yes"/>
    <x v="0"/>
  </r>
  <r>
    <x v="814"/>
    <x v="2"/>
    <x v="1"/>
    <x v="0"/>
    <x v="557"/>
    <d v="2025-08-07T00:00:00"/>
    <x v="3"/>
    <x v="0"/>
    <x v="5"/>
    <x v="814"/>
    <n v="15"/>
    <x v="0"/>
    <s v="Recovered"/>
    <x v="2"/>
    <x v="1"/>
    <s v="UPI"/>
    <n v="14"/>
    <x v="812"/>
    <s v="Yes"/>
    <x v="1"/>
  </r>
  <r>
    <x v="815"/>
    <x v="50"/>
    <x v="0"/>
    <x v="3"/>
    <x v="558"/>
    <d v="2023-12-20T00:00:00"/>
    <x v="8"/>
    <x v="6"/>
    <x v="7"/>
    <x v="815"/>
    <n v="6"/>
    <x v="1"/>
    <s v="Recovered"/>
    <x v="2"/>
    <x v="1"/>
    <s v="Card"/>
    <n v="6"/>
    <x v="813"/>
    <s v="Yes"/>
    <x v="0"/>
  </r>
  <r>
    <x v="816"/>
    <x v="3"/>
    <x v="1"/>
    <x v="3"/>
    <x v="491"/>
    <d v="2023-02-23T00:00:00"/>
    <x v="6"/>
    <x v="2"/>
    <x v="6"/>
    <x v="816"/>
    <n v="15"/>
    <x v="0"/>
    <s v="Deceased"/>
    <x v="1"/>
    <x v="1"/>
    <s v="Card"/>
    <n v="5"/>
    <x v="814"/>
    <s v="Yes"/>
    <x v="0"/>
  </r>
  <r>
    <x v="817"/>
    <x v="35"/>
    <x v="1"/>
    <x v="3"/>
    <x v="455"/>
    <d v="2024-10-22T00:00:00"/>
    <x v="4"/>
    <x v="3"/>
    <x v="1"/>
    <x v="817"/>
    <n v="19"/>
    <x v="0"/>
    <s v="Recovered"/>
    <x v="1"/>
    <x v="3"/>
    <s v="Insurance"/>
    <n v="9"/>
    <x v="815"/>
    <s v="Yes"/>
    <x v="0"/>
  </r>
  <r>
    <x v="818"/>
    <x v="68"/>
    <x v="1"/>
    <x v="0"/>
    <x v="476"/>
    <d v="2023-05-07T00:00:00"/>
    <x v="0"/>
    <x v="0"/>
    <x v="6"/>
    <x v="818"/>
    <n v="15"/>
    <x v="0"/>
    <s v="Recovered"/>
    <x v="1"/>
    <x v="0"/>
    <s v="UPI"/>
    <n v="3"/>
    <x v="816"/>
    <s v="No"/>
    <x v="0"/>
  </r>
  <r>
    <x v="819"/>
    <x v="49"/>
    <x v="0"/>
    <x v="5"/>
    <x v="282"/>
    <d v="2025-02-22T00:00:00"/>
    <x v="2"/>
    <x v="2"/>
    <x v="0"/>
    <x v="819"/>
    <n v="23"/>
    <x v="1"/>
    <s v="Recovered"/>
    <x v="0"/>
    <x v="2"/>
    <s v="UPI"/>
    <n v="5"/>
    <x v="817"/>
    <s v="Yes"/>
    <x v="0"/>
  </r>
  <r>
    <x v="820"/>
    <x v="25"/>
    <x v="0"/>
    <x v="6"/>
    <x v="338"/>
    <d v="2024-09-12T00:00:00"/>
    <x v="4"/>
    <x v="3"/>
    <x v="2"/>
    <x v="820"/>
    <n v="29"/>
    <x v="1"/>
    <s v="Recovered"/>
    <x v="1"/>
    <x v="2"/>
    <s v="Insurance"/>
    <n v="13"/>
    <x v="818"/>
    <s v="No"/>
    <x v="0"/>
  </r>
  <r>
    <x v="821"/>
    <x v="58"/>
    <x v="1"/>
    <x v="2"/>
    <x v="559"/>
    <d v="2024-03-28T00:00:00"/>
    <x v="1"/>
    <x v="1"/>
    <x v="5"/>
    <x v="821"/>
    <n v="1"/>
    <x v="0"/>
    <s v="Recovered"/>
    <x v="0"/>
    <x v="1"/>
    <s v="Card"/>
    <n v="14"/>
    <x v="819"/>
    <s v="Yes"/>
    <x v="0"/>
  </r>
  <r>
    <x v="822"/>
    <x v="55"/>
    <x v="1"/>
    <x v="0"/>
    <x v="560"/>
    <d v="2023-07-02T00:00:00"/>
    <x v="1"/>
    <x v="1"/>
    <x v="5"/>
    <x v="822"/>
    <n v="19"/>
    <x v="1"/>
    <s v="Referred"/>
    <x v="1"/>
    <x v="2"/>
    <s v="Insurance"/>
    <n v="5"/>
    <x v="820"/>
    <s v="Yes"/>
    <x v="0"/>
  </r>
  <r>
    <x v="823"/>
    <x v="28"/>
    <x v="1"/>
    <x v="1"/>
    <x v="209"/>
    <d v="2024-10-13T00:00:00"/>
    <x v="1"/>
    <x v="1"/>
    <x v="0"/>
    <x v="823"/>
    <n v="9"/>
    <x v="0"/>
    <s v="Recovered"/>
    <x v="1"/>
    <x v="0"/>
    <s v="Insurance"/>
    <n v="15"/>
    <x v="821"/>
    <s v="No"/>
    <x v="0"/>
  </r>
  <r>
    <x v="824"/>
    <x v="22"/>
    <x v="1"/>
    <x v="6"/>
    <x v="561"/>
    <d v="2024-04-23T00:00:00"/>
    <x v="5"/>
    <x v="4"/>
    <x v="1"/>
    <x v="824"/>
    <n v="3"/>
    <x v="0"/>
    <s v="Recovered"/>
    <x v="0"/>
    <x v="3"/>
    <s v="Insurance"/>
    <n v="11"/>
    <x v="822"/>
    <s v="No"/>
    <x v="0"/>
  </r>
  <r>
    <x v="825"/>
    <x v="8"/>
    <x v="1"/>
    <x v="6"/>
    <x v="303"/>
    <d v="2024-05-13T00:00:00"/>
    <x v="7"/>
    <x v="5"/>
    <x v="3"/>
    <x v="825"/>
    <n v="18"/>
    <x v="0"/>
    <s v="Recovered"/>
    <x v="1"/>
    <x v="2"/>
    <s v="Cash"/>
    <n v="6"/>
    <x v="823"/>
    <s v="Yes"/>
    <x v="0"/>
  </r>
  <r>
    <x v="826"/>
    <x v="41"/>
    <x v="0"/>
    <x v="7"/>
    <x v="8"/>
    <d v="2023-03-08T00:00:00"/>
    <x v="8"/>
    <x v="6"/>
    <x v="3"/>
    <x v="826"/>
    <n v="16"/>
    <x v="1"/>
    <s v="Recovered"/>
    <x v="1"/>
    <x v="0"/>
    <s v="Insurance"/>
    <n v="4"/>
    <x v="824"/>
    <s v="Yes"/>
    <x v="0"/>
  </r>
  <r>
    <x v="827"/>
    <x v="57"/>
    <x v="0"/>
    <x v="6"/>
    <x v="562"/>
    <d v="2024-08-19T00:00:00"/>
    <x v="9"/>
    <x v="5"/>
    <x v="6"/>
    <x v="827"/>
    <n v="23"/>
    <x v="1"/>
    <s v="Recovered"/>
    <x v="2"/>
    <x v="2"/>
    <s v="Card"/>
    <n v="13"/>
    <x v="825"/>
    <s v="No"/>
    <x v="0"/>
  </r>
  <r>
    <x v="828"/>
    <x v="60"/>
    <x v="0"/>
    <x v="6"/>
    <x v="96"/>
    <d v="2024-04-21T00:00:00"/>
    <x v="4"/>
    <x v="3"/>
    <x v="1"/>
    <x v="828"/>
    <n v="14"/>
    <x v="0"/>
    <s v="Recovered"/>
    <x v="2"/>
    <x v="2"/>
    <s v="Insurance"/>
    <n v="3"/>
    <x v="826"/>
    <s v="No"/>
    <x v="0"/>
  </r>
  <r>
    <x v="829"/>
    <x v="42"/>
    <x v="0"/>
    <x v="0"/>
    <x v="562"/>
    <d v="2024-08-12T00:00:00"/>
    <x v="1"/>
    <x v="1"/>
    <x v="6"/>
    <x v="829"/>
    <n v="16"/>
    <x v="0"/>
    <s v="Recovered"/>
    <x v="0"/>
    <x v="2"/>
    <s v="Card"/>
    <n v="4"/>
    <x v="827"/>
    <s v="Yes"/>
    <x v="0"/>
  </r>
  <r>
    <x v="830"/>
    <x v="65"/>
    <x v="0"/>
    <x v="2"/>
    <x v="563"/>
    <d v="2023-02-27T00:00:00"/>
    <x v="7"/>
    <x v="5"/>
    <x v="3"/>
    <x v="830"/>
    <n v="27"/>
    <x v="0"/>
    <s v="Recovered"/>
    <x v="1"/>
    <x v="2"/>
    <s v="Cash"/>
    <n v="3"/>
    <x v="828"/>
    <s v="Yes"/>
    <x v="0"/>
  </r>
  <r>
    <x v="831"/>
    <x v="70"/>
    <x v="1"/>
    <x v="2"/>
    <x v="564"/>
    <d v="2024-02-02T00:00:00"/>
    <x v="3"/>
    <x v="0"/>
    <x v="1"/>
    <x v="831"/>
    <n v="11"/>
    <x v="1"/>
    <s v="Recovered"/>
    <x v="1"/>
    <x v="2"/>
    <s v="Insurance"/>
    <n v="7"/>
    <x v="829"/>
    <s v="No"/>
    <x v="1"/>
  </r>
  <r>
    <x v="832"/>
    <x v="10"/>
    <x v="0"/>
    <x v="5"/>
    <x v="565"/>
    <d v="2023-08-25T00:00:00"/>
    <x v="9"/>
    <x v="5"/>
    <x v="1"/>
    <x v="832"/>
    <n v="15"/>
    <x v="1"/>
    <s v="Recovered"/>
    <x v="2"/>
    <x v="3"/>
    <s v="UPI"/>
    <n v="7"/>
    <x v="830"/>
    <s v="No"/>
    <x v="0"/>
  </r>
  <r>
    <x v="833"/>
    <x v="8"/>
    <x v="0"/>
    <x v="6"/>
    <x v="566"/>
    <d v="2023-03-11T00:00:00"/>
    <x v="8"/>
    <x v="6"/>
    <x v="2"/>
    <x v="833"/>
    <n v="28"/>
    <x v="1"/>
    <s v="Recovered"/>
    <x v="1"/>
    <x v="2"/>
    <s v="Card"/>
    <n v="4"/>
    <x v="831"/>
    <s v="No"/>
    <x v="0"/>
  </r>
  <r>
    <x v="834"/>
    <x v="28"/>
    <x v="0"/>
    <x v="0"/>
    <x v="132"/>
    <d v="2024-12-16T00:00:00"/>
    <x v="9"/>
    <x v="5"/>
    <x v="1"/>
    <x v="834"/>
    <n v="10"/>
    <x v="1"/>
    <s v="Recovered"/>
    <x v="2"/>
    <x v="2"/>
    <s v="Cash"/>
    <n v="15"/>
    <x v="832"/>
    <s v="No"/>
    <x v="0"/>
  </r>
  <r>
    <x v="835"/>
    <x v="41"/>
    <x v="1"/>
    <x v="6"/>
    <x v="567"/>
    <d v="2025-07-25T00:00:00"/>
    <x v="9"/>
    <x v="5"/>
    <x v="1"/>
    <x v="835"/>
    <n v="3"/>
    <x v="1"/>
    <s v="Recovered"/>
    <x v="1"/>
    <x v="2"/>
    <s v="Cash"/>
    <n v="14"/>
    <x v="833"/>
    <s v="Yes"/>
    <x v="0"/>
  </r>
  <r>
    <x v="836"/>
    <x v="14"/>
    <x v="1"/>
    <x v="2"/>
    <x v="548"/>
    <d v="2023-03-21T00:00:00"/>
    <x v="2"/>
    <x v="2"/>
    <x v="4"/>
    <x v="836"/>
    <n v="19"/>
    <x v="1"/>
    <s v="Recovered"/>
    <x v="1"/>
    <x v="3"/>
    <s v="UPI"/>
    <n v="9"/>
    <x v="834"/>
    <s v="Yes"/>
    <x v="0"/>
  </r>
  <r>
    <x v="837"/>
    <x v="59"/>
    <x v="0"/>
    <x v="7"/>
    <x v="568"/>
    <d v="2023-07-19T00:00:00"/>
    <x v="3"/>
    <x v="0"/>
    <x v="2"/>
    <x v="837"/>
    <n v="18"/>
    <x v="0"/>
    <s v="Recovered"/>
    <x v="1"/>
    <x v="3"/>
    <s v="Card"/>
    <n v="6"/>
    <x v="835"/>
    <s v="Yes"/>
    <x v="0"/>
  </r>
  <r>
    <x v="838"/>
    <x v="9"/>
    <x v="0"/>
    <x v="5"/>
    <x v="174"/>
    <d v="2023-03-18T00:00:00"/>
    <x v="5"/>
    <x v="4"/>
    <x v="6"/>
    <x v="838"/>
    <n v="22"/>
    <x v="0"/>
    <s v="Recovered"/>
    <x v="0"/>
    <x v="2"/>
    <s v="Card"/>
    <n v="6"/>
    <x v="836"/>
    <s v="Yes"/>
    <x v="0"/>
  </r>
  <r>
    <x v="839"/>
    <x v="48"/>
    <x v="0"/>
    <x v="5"/>
    <x v="569"/>
    <d v="2024-04-09T00:00:00"/>
    <x v="0"/>
    <x v="0"/>
    <x v="5"/>
    <x v="839"/>
    <n v="10"/>
    <x v="0"/>
    <s v="Recovered"/>
    <x v="1"/>
    <x v="2"/>
    <s v="Cash"/>
    <n v="6"/>
    <x v="837"/>
    <s v="No"/>
    <x v="0"/>
  </r>
  <r>
    <x v="840"/>
    <x v="11"/>
    <x v="0"/>
    <x v="3"/>
    <x v="570"/>
    <d v="2024-04-23T00:00:00"/>
    <x v="5"/>
    <x v="4"/>
    <x v="7"/>
    <x v="840"/>
    <n v="4"/>
    <x v="1"/>
    <s v="Referred"/>
    <x v="0"/>
    <x v="1"/>
    <s v="Cash"/>
    <n v="9"/>
    <x v="838"/>
    <s v="No"/>
    <x v="0"/>
  </r>
  <r>
    <x v="841"/>
    <x v="2"/>
    <x v="0"/>
    <x v="0"/>
    <x v="258"/>
    <d v="2023-08-25T00:00:00"/>
    <x v="6"/>
    <x v="2"/>
    <x v="0"/>
    <x v="841"/>
    <n v="9"/>
    <x v="1"/>
    <s v="Recovered"/>
    <x v="1"/>
    <x v="1"/>
    <s v="Insurance"/>
    <n v="6"/>
    <x v="839"/>
    <s v="Yes"/>
    <x v="0"/>
  </r>
  <r>
    <x v="842"/>
    <x v="6"/>
    <x v="0"/>
    <x v="6"/>
    <x v="571"/>
    <d v="2025-04-20T00:00:00"/>
    <x v="2"/>
    <x v="2"/>
    <x v="2"/>
    <x v="842"/>
    <n v="19"/>
    <x v="0"/>
    <s v="Recovered"/>
    <x v="1"/>
    <x v="3"/>
    <s v="Insurance"/>
    <n v="14"/>
    <x v="840"/>
    <s v="Yes"/>
    <x v="0"/>
  </r>
  <r>
    <x v="843"/>
    <x v="35"/>
    <x v="0"/>
    <x v="1"/>
    <x v="118"/>
    <d v="2025-04-03T00:00:00"/>
    <x v="3"/>
    <x v="0"/>
    <x v="0"/>
    <x v="843"/>
    <n v="8"/>
    <x v="0"/>
    <s v="Recovered"/>
    <x v="2"/>
    <x v="3"/>
    <s v="Insurance"/>
    <n v="1"/>
    <x v="841"/>
    <s v="No"/>
    <x v="0"/>
  </r>
  <r>
    <x v="844"/>
    <x v="28"/>
    <x v="0"/>
    <x v="0"/>
    <x v="572"/>
    <d v="2023-12-05T00:00:00"/>
    <x v="7"/>
    <x v="5"/>
    <x v="1"/>
    <x v="844"/>
    <n v="20"/>
    <x v="0"/>
    <s v="Recovered"/>
    <x v="1"/>
    <x v="2"/>
    <s v="Cash"/>
    <n v="11"/>
    <x v="842"/>
    <s v="No"/>
    <x v="0"/>
  </r>
  <r>
    <x v="845"/>
    <x v="51"/>
    <x v="1"/>
    <x v="6"/>
    <x v="545"/>
    <d v="2023-08-12T00:00:00"/>
    <x v="0"/>
    <x v="0"/>
    <x v="0"/>
    <x v="845"/>
    <n v="27"/>
    <x v="1"/>
    <s v="Recovered"/>
    <x v="0"/>
    <x v="2"/>
    <s v="Insurance"/>
    <n v="4"/>
    <x v="843"/>
    <s v="Yes"/>
    <x v="0"/>
  </r>
  <r>
    <x v="846"/>
    <x v="3"/>
    <x v="0"/>
    <x v="1"/>
    <x v="156"/>
    <d v="2024-08-22T00:00:00"/>
    <x v="6"/>
    <x v="2"/>
    <x v="7"/>
    <x v="846"/>
    <n v="24"/>
    <x v="1"/>
    <s v="Recovered"/>
    <x v="2"/>
    <x v="2"/>
    <s v="UPI"/>
    <n v="12"/>
    <x v="844"/>
    <s v="No"/>
    <x v="0"/>
  </r>
  <r>
    <x v="847"/>
    <x v="28"/>
    <x v="1"/>
    <x v="6"/>
    <x v="365"/>
    <d v="2023-05-17T00:00:00"/>
    <x v="6"/>
    <x v="2"/>
    <x v="4"/>
    <x v="847"/>
    <n v="8"/>
    <x v="1"/>
    <s v="Recovered"/>
    <x v="1"/>
    <x v="2"/>
    <s v="Cash"/>
    <n v="2"/>
    <x v="845"/>
    <s v="Yes"/>
    <x v="0"/>
  </r>
  <r>
    <x v="848"/>
    <x v="27"/>
    <x v="1"/>
    <x v="2"/>
    <x v="509"/>
    <d v="2024-05-14T00:00:00"/>
    <x v="1"/>
    <x v="1"/>
    <x v="1"/>
    <x v="848"/>
    <n v="17"/>
    <x v="1"/>
    <s v="Recovered"/>
    <x v="1"/>
    <x v="1"/>
    <s v="Card"/>
    <n v="1"/>
    <x v="846"/>
    <s v="No"/>
    <x v="0"/>
  </r>
  <r>
    <x v="849"/>
    <x v="44"/>
    <x v="0"/>
    <x v="3"/>
    <x v="319"/>
    <d v="2023-03-01T00:00:00"/>
    <x v="9"/>
    <x v="5"/>
    <x v="3"/>
    <x v="849"/>
    <n v="10"/>
    <x v="1"/>
    <s v="Recovered"/>
    <x v="1"/>
    <x v="3"/>
    <s v="Card"/>
    <n v="9"/>
    <x v="847"/>
    <s v="Yes"/>
    <x v="0"/>
  </r>
  <r>
    <x v="850"/>
    <x v="72"/>
    <x v="0"/>
    <x v="3"/>
    <x v="15"/>
    <d v="2024-01-20T00:00:00"/>
    <x v="4"/>
    <x v="3"/>
    <x v="4"/>
    <x v="850"/>
    <n v="14"/>
    <x v="1"/>
    <s v="Recovered"/>
    <x v="0"/>
    <x v="2"/>
    <s v="Card"/>
    <n v="11"/>
    <x v="848"/>
    <s v="No"/>
    <x v="0"/>
  </r>
  <r>
    <x v="851"/>
    <x v="36"/>
    <x v="1"/>
    <x v="4"/>
    <x v="573"/>
    <d v="2024-12-28T00:00:00"/>
    <x v="5"/>
    <x v="4"/>
    <x v="7"/>
    <x v="851"/>
    <n v="17"/>
    <x v="0"/>
    <s v="Recovered"/>
    <x v="1"/>
    <x v="1"/>
    <s v="Card"/>
    <n v="9"/>
    <x v="849"/>
    <s v="No"/>
    <x v="0"/>
  </r>
  <r>
    <x v="852"/>
    <x v="20"/>
    <x v="0"/>
    <x v="6"/>
    <x v="61"/>
    <d v="2025-01-15T00:00:00"/>
    <x v="9"/>
    <x v="5"/>
    <x v="1"/>
    <x v="852"/>
    <n v="23"/>
    <x v="0"/>
    <s v="Recovered"/>
    <x v="1"/>
    <x v="2"/>
    <s v="Cash"/>
    <n v="14"/>
    <x v="850"/>
    <s v="No"/>
    <x v="0"/>
  </r>
  <r>
    <x v="853"/>
    <x v="2"/>
    <x v="0"/>
    <x v="1"/>
    <x v="574"/>
    <d v="2024-11-11T00:00:00"/>
    <x v="6"/>
    <x v="2"/>
    <x v="0"/>
    <x v="853"/>
    <n v="4"/>
    <x v="1"/>
    <s v="Under Observation"/>
    <x v="2"/>
    <x v="0"/>
    <s v="Insurance"/>
    <n v="2"/>
    <x v="851"/>
    <s v="Yes"/>
    <x v="0"/>
  </r>
  <r>
    <x v="854"/>
    <x v="42"/>
    <x v="0"/>
    <x v="1"/>
    <x v="575"/>
    <d v="2023-08-03T00:00:00"/>
    <x v="6"/>
    <x v="2"/>
    <x v="3"/>
    <x v="854"/>
    <n v="15"/>
    <x v="0"/>
    <s v="Recovered"/>
    <x v="1"/>
    <x v="3"/>
    <s v="UPI"/>
    <n v="3"/>
    <x v="852"/>
    <s v="Yes"/>
    <x v="0"/>
  </r>
  <r>
    <x v="855"/>
    <x v="22"/>
    <x v="0"/>
    <x v="5"/>
    <x v="576"/>
    <d v="2025-05-20T00:00:00"/>
    <x v="8"/>
    <x v="6"/>
    <x v="7"/>
    <x v="855"/>
    <n v="1"/>
    <x v="1"/>
    <s v="Recovered"/>
    <x v="0"/>
    <x v="1"/>
    <s v="Insurance"/>
    <n v="9"/>
    <x v="853"/>
    <s v="No"/>
    <x v="0"/>
  </r>
  <r>
    <x v="856"/>
    <x v="50"/>
    <x v="1"/>
    <x v="0"/>
    <x v="577"/>
    <d v="2024-03-09T00:00:00"/>
    <x v="0"/>
    <x v="0"/>
    <x v="1"/>
    <x v="856"/>
    <n v="12"/>
    <x v="1"/>
    <s v="Under Observation"/>
    <x v="2"/>
    <x v="2"/>
    <s v="UPI"/>
    <n v="14"/>
    <x v="854"/>
    <s v="Yes"/>
    <x v="1"/>
  </r>
  <r>
    <x v="857"/>
    <x v="54"/>
    <x v="1"/>
    <x v="7"/>
    <x v="352"/>
    <d v="2023-11-21T00:00:00"/>
    <x v="5"/>
    <x v="4"/>
    <x v="1"/>
    <x v="857"/>
    <n v="20"/>
    <x v="1"/>
    <s v="Recovered"/>
    <x v="1"/>
    <x v="1"/>
    <s v="Cash"/>
    <n v="10"/>
    <x v="855"/>
    <s v="Yes"/>
    <x v="0"/>
  </r>
  <r>
    <x v="858"/>
    <x v="65"/>
    <x v="0"/>
    <x v="6"/>
    <x v="14"/>
    <d v="2023-10-20T00:00:00"/>
    <x v="6"/>
    <x v="2"/>
    <x v="5"/>
    <x v="858"/>
    <n v="2"/>
    <x v="1"/>
    <s v="Recovered"/>
    <x v="0"/>
    <x v="1"/>
    <s v="Insurance"/>
    <n v="11"/>
    <x v="856"/>
    <s v="Yes"/>
    <x v="1"/>
  </r>
  <r>
    <x v="859"/>
    <x v="14"/>
    <x v="1"/>
    <x v="7"/>
    <x v="578"/>
    <d v="2025-08-27T00:00:00"/>
    <x v="0"/>
    <x v="0"/>
    <x v="7"/>
    <x v="859"/>
    <n v="30"/>
    <x v="1"/>
    <s v="Under Observation"/>
    <x v="1"/>
    <x v="2"/>
    <s v="UPI"/>
    <n v="8"/>
    <x v="857"/>
    <s v="No"/>
    <x v="0"/>
  </r>
  <r>
    <x v="860"/>
    <x v="66"/>
    <x v="0"/>
    <x v="7"/>
    <x v="364"/>
    <d v="2024-04-12T00:00:00"/>
    <x v="9"/>
    <x v="5"/>
    <x v="1"/>
    <x v="860"/>
    <n v="9"/>
    <x v="0"/>
    <s v="Recovered"/>
    <x v="0"/>
    <x v="3"/>
    <s v="Card"/>
    <n v="1"/>
    <x v="858"/>
    <s v="No"/>
    <x v="0"/>
  </r>
  <r>
    <x v="861"/>
    <x v="49"/>
    <x v="0"/>
    <x v="5"/>
    <x v="153"/>
    <d v="2025-07-12T00:00:00"/>
    <x v="4"/>
    <x v="3"/>
    <x v="4"/>
    <x v="861"/>
    <n v="9"/>
    <x v="0"/>
    <s v="Recovered"/>
    <x v="2"/>
    <x v="2"/>
    <s v="Cash"/>
    <n v="6"/>
    <x v="859"/>
    <s v="Yes"/>
    <x v="0"/>
  </r>
  <r>
    <x v="862"/>
    <x v="30"/>
    <x v="1"/>
    <x v="7"/>
    <x v="15"/>
    <d v="2024-01-16T00:00:00"/>
    <x v="6"/>
    <x v="2"/>
    <x v="3"/>
    <x v="862"/>
    <n v="10"/>
    <x v="0"/>
    <s v="Recovered"/>
    <x v="1"/>
    <x v="1"/>
    <s v="Insurance"/>
    <n v="14"/>
    <x v="860"/>
    <s v="Yes"/>
    <x v="0"/>
  </r>
  <r>
    <x v="863"/>
    <x v="20"/>
    <x v="1"/>
    <x v="6"/>
    <x v="511"/>
    <d v="2025-05-27T00:00:00"/>
    <x v="6"/>
    <x v="2"/>
    <x v="0"/>
    <x v="863"/>
    <n v="27"/>
    <x v="1"/>
    <s v="Recovered"/>
    <x v="0"/>
    <x v="2"/>
    <s v="UPI"/>
    <n v="8"/>
    <x v="861"/>
    <s v="Yes"/>
    <x v="0"/>
  </r>
  <r>
    <x v="864"/>
    <x v="19"/>
    <x v="0"/>
    <x v="4"/>
    <x v="138"/>
    <d v="2025-01-13T00:00:00"/>
    <x v="5"/>
    <x v="4"/>
    <x v="7"/>
    <x v="864"/>
    <n v="15"/>
    <x v="1"/>
    <s v="Under Observation"/>
    <x v="1"/>
    <x v="1"/>
    <s v="Cash"/>
    <n v="8"/>
    <x v="862"/>
    <s v="No"/>
    <x v="0"/>
  </r>
  <r>
    <x v="865"/>
    <x v="20"/>
    <x v="0"/>
    <x v="4"/>
    <x v="579"/>
    <d v="2024-06-24T00:00:00"/>
    <x v="0"/>
    <x v="0"/>
    <x v="1"/>
    <x v="865"/>
    <n v="28"/>
    <x v="0"/>
    <s v="Recovered"/>
    <x v="1"/>
    <x v="2"/>
    <s v="Card"/>
    <n v="15"/>
    <x v="863"/>
    <s v="Yes"/>
    <x v="0"/>
  </r>
  <r>
    <x v="866"/>
    <x v="63"/>
    <x v="1"/>
    <x v="6"/>
    <x v="139"/>
    <d v="2023-10-13T00:00:00"/>
    <x v="8"/>
    <x v="6"/>
    <x v="4"/>
    <x v="866"/>
    <n v="18"/>
    <x v="0"/>
    <s v="Recovered"/>
    <x v="2"/>
    <x v="0"/>
    <s v="Cash"/>
    <n v="3"/>
    <x v="864"/>
    <s v="No"/>
    <x v="0"/>
  </r>
  <r>
    <x v="867"/>
    <x v="34"/>
    <x v="0"/>
    <x v="1"/>
    <x v="580"/>
    <d v="2023-03-12T00:00:00"/>
    <x v="2"/>
    <x v="2"/>
    <x v="7"/>
    <x v="867"/>
    <n v="13"/>
    <x v="1"/>
    <s v="Recovered"/>
    <x v="0"/>
    <x v="1"/>
    <s v="Cash"/>
    <n v="14"/>
    <x v="865"/>
    <s v="Yes"/>
    <x v="0"/>
  </r>
  <r>
    <x v="868"/>
    <x v="32"/>
    <x v="1"/>
    <x v="5"/>
    <x v="183"/>
    <d v="2023-02-25T00:00:00"/>
    <x v="7"/>
    <x v="5"/>
    <x v="1"/>
    <x v="868"/>
    <n v="2"/>
    <x v="1"/>
    <s v="Recovered"/>
    <x v="0"/>
    <x v="3"/>
    <s v="Insurance"/>
    <n v="1"/>
    <x v="866"/>
    <s v="Yes"/>
    <x v="0"/>
  </r>
  <r>
    <x v="869"/>
    <x v="33"/>
    <x v="0"/>
    <x v="6"/>
    <x v="163"/>
    <d v="2025-05-28T00:00:00"/>
    <x v="3"/>
    <x v="0"/>
    <x v="1"/>
    <x v="869"/>
    <n v="10"/>
    <x v="1"/>
    <s v="Recovered"/>
    <x v="0"/>
    <x v="0"/>
    <s v="UPI"/>
    <n v="6"/>
    <x v="867"/>
    <s v="No"/>
    <x v="0"/>
  </r>
  <r>
    <x v="870"/>
    <x v="34"/>
    <x v="1"/>
    <x v="1"/>
    <x v="39"/>
    <d v="2025-03-18T00:00:00"/>
    <x v="0"/>
    <x v="0"/>
    <x v="1"/>
    <x v="870"/>
    <n v="15"/>
    <x v="1"/>
    <s v="Recovered"/>
    <x v="2"/>
    <x v="1"/>
    <s v="Card"/>
    <n v="11"/>
    <x v="868"/>
    <s v="No"/>
    <x v="0"/>
  </r>
  <r>
    <x v="871"/>
    <x v="12"/>
    <x v="1"/>
    <x v="6"/>
    <x v="581"/>
    <d v="2025-07-26T00:00:00"/>
    <x v="5"/>
    <x v="4"/>
    <x v="6"/>
    <x v="871"/>
    <n v="12"/>
    <x v="0"/>
    <s v="Recovered"/>
    <x v="1"/>
    <x v="1"/>
    <s v="Insurance"/>
    <n v="9"/>
    <x v="869"/>
    <s v="Yes"/>
    <x v="0"/>
  </r>
  <r>
    <x v="872"/>
    <x v="51"/>
    <x v="1"/>
    <x v="6"/>
    <x v="582"/>
    <d v="2023-01-20T00:00:00"/>
    <x v="1"/>
    <x v="1"/>
    <x v="3"/>
    <x v="872"/>
    <n v="5"/>
    <x v="0"/>
    <s v="Recovered"/>
    <x v="1"/>
    <x v="2"/>
    <s v="Card"/>
    <n v="1"/>
    <x v="870"/>
    <s v="Yes"/>
    <x v="0"/>
  </r>
  <r>
    <x v="873"/>
    <x v="48"/>
    <x v="0"/>
    <x v="1"/>
    <x v="344"/>
    <d v="2023-06-10T00:00:00"/>
    <x v="1"/>
    <x v="1"/>
    <x v="6"/>
    <x v="873"/>
    <n v="15"/>
    <x v="0"/>
    <s v="Under Observation"/>
    <x v="1"/>
    <x v="1"/>
    <s v="UPI"/>
    <n v="12"/>
    <x v="871"/>
    <s v="No"/>
    <x v="0"/>
  </r>
  <r>
    <x v="874"/>
    <x v="42"/>
    <x v="1"/>
    <x v="2"/>
    <x v="437"/>
    <d v="2023-04-11T00:00:00"/>
    <x v="6"/>
    <x v="2"/>
    <x v="2"/>
    <x v="874"/>
    <n v="7"/>
    <x v="1"/>
    <s v="Recovered"/>
    <x v="0"/>
    <x v="1"/>
    <s v="Card"/>
    <n v="8"/>
    <x v="872"/>
    <s v="No"/>
    <x v="1"/>
  </r>
  <r>
    <x v="875"/>
    <x v="9"/>
    <x v="0"/>
    <x v="3"/>
    <x v="583"/>
    <d v="2023-11-18T00:00:00"/>
    <x v="0"/>
    <x v="0"/>
    <x v="3"/>
    <x v="875"/>
    <n v="6"/>
    <x v="1"/>
    <s v="Under Observation"/>
    <x v="1"/>
    <x v="0"/>
    <s v="Insurance"/>
    <n v="10"/>
    <x v="873"/>
    <s v="No"/>
    <x v="0"/>
  </r>
  <r>
    <x v="876"/>
    <x v="23"/>
    <x v="0"/>
    <x v="1"/>
    <x v="298"/>
    <d v="2023-10-28T00:00:00"/>
    <x v="8"/>
    <x v="6"/>
    <x v="3"/>
    <x v="876"/>
    <n v="17"/>
    <x v="0"/>
    <s v="Recovered"/>
    <x v="0"/>
    <x v="1"/>
    <s v="UPI"/>
    <n v="11"/>
    <x v="874"/>
    <s v="Yes"/>
    <x v="1"/>
  </r>
  <r>
    <x v="877"/>
    <x v="44"/>
    <x v="1"/>
    <x v="4"/>
    <x v="584"/>
    <d v="2024-10-29T00:00:00"/>
    <x v="0"/>
    <x v="0"/>
    <x v="3"/>
    <x v="877"/>
    <n v="29"/>
    <x v="0"/>
    <s v="Referred"/>
    <x v="0"/>
    <x v="2"/>
    <s v="Insurance"/>
    <n v="4"/>
    <x v="875"/>
    <s v="Yes"/>
    <x v="0"/>
  </r>
  <r>
    <x v="878"/>
    <x v="56"/>
    <x v="1"/>
    <x v="0"/>
    <x v="585"/>
    <d v="2024-11-29T00:00:00"/>
    <x v="0"/>
    <x v="0"/>
    <x v="0"/>
    <x v="878"/>
    <n v="6"/>
    <x v="0"/>
    <s v="Recovered"/>
    <x v="0"/>
    <x v="0"/>
    <s v="Insurance"/>
    <n v="6"/>
    <x v="876"/>
    <s v="Yes"/>
    <x v="0"/>
  </r>
  <r>
    <x v="879"/>
    <x v="4"/>
    <x v="0"/>
    <x v="7"/>
    <x v="200"/>
    <d v="2025-04-19T00:00:00"/>
    <x v="4"/>
    <x v="3"/>
    <x v="5"/>
    <x v="879"/>
    <n v="3"/>
    <x v="0"/>
    <s v="Recovered"/>
    <x v="2"/>
    <x v="0"/>
    <s v="Cash"/>
    <n v="6"/>
    <x v="877"/>
    <s v="Yes"/>
    <x v="0"/>
  </r>
  <r>
    <x v="880"/>
    <x v="17"/>
    <x v="0"/>
    <x v="0"/>
    <x v="586"/>
    <d v="2025-09-11T00:00:00"/>
    <x v="0"/>
    <x v="0"/>
    <x v="2"/>
    <x v="880"/>
    <n v="10"/>
    <x v="1"/>
    <s v="Recovered"/>
    <x v="1"/>
    <x v="2"/>
    <s v="UPI"/>
    <n v="13"/>
    <x v="878"/>
    <s v="Yes"/>
    <x v="0"/>
  </r>
  <r>
    <x v="881"/>
    <x v="62"/>
    <x v="1"/>
    <x v="6"/>
    <x v="428"/>
    <d v="2024-05-06T00:00:00"/>
    <x v="4"/>
    <x v="3"/>
    <x v="6"/>
    <x v="881"/>
    <n v="3"/>
    <x v="0"/>
    <s v="Under Observation"/>
    <x v="0"/>
    <x v="2"/>
    <s v="UPI"/>
    <n v="8"/>
    <x v="879"/>
    <s v="Yes"/>
    <x v="0"/>
  </r>
  <r>
    <x v="882"/>
    <x v="63"/>
    <x v="1"/>
    <x v="5"/>
    <x v="441"/>
    <d v="2024-08-04T00:00:00"/>
    <x v="1"/>
    <x v="1"/>
    <x v="0"/>
    <x v="882"/>
    <n v="5"/>
    <x v="0"/>
    <s v="Recovered"/>
    <x v="1"/>
    <x v="0"/>
    <s v="UPI"/>
    <n v="5"/>
    <x v="880"/>
    <s v="Yes"/>
    <x v="0"/>
  </r>
  <r>
    <x v="883"/>
    <x v="15"/>
    <x v="0"/>
    <x v="3"/>
    <x v="587"/>
    <d v="2024-02-01T00:00:00"/>
    <x v="4"/>
    <x v="3"/>
    <x v="5"/>
    <x v="883"/>
    <n v="8"/>
    <x v="0"/>
    <s v="Under Observation"/>
    <x v="2"/>
    <x v="2"/>
    <s v="Cash"/>
    <n v="1"/>
    <x v="881"/>
    <s v="Yes"/>
    <x v="0"/>
  </r>
  <r>
    <x v="884"/>
    <x v="72"/>
    <x v="0"/>
    <x v="1"/>
    <x v="588"/>
    <d v="2025-05-12T00:00:00"/>
    <x v="7"/>
    <x v="5"/>
    <x v="3"/>
    <x v="884"/>
    <n v="19"/>
    <x v="0"/>
    <s v="Recovered"/>
    <x v="2"/>
    <x v="1"/>
    <s v="Card"/>
    <n v="2"/>
    <x v="882"/>
    <s v="No"/>
    <x v="0"/>
  </r>
  <r>
    <x v="885"/>
    <x v="8"/>
    <x v="1"/>
    <x v="0"/>
    <x v="382"/>
    <d v="2025-05-03T00:00:00"/>
    <x v="6"/>
    <x v="2"/>
    <x v="3"/>
    <x v="885"/>
    <n v="14"/>
    <x v="1"/>
    <s v="Recovered"/>
    <x v="0"/>
    <x v="3"/>
    <s v="Card"/>
    <n v="2"/>
    <x v="883"/>
    <s v="Yes"/>
    <x v="0"/>
  </r>
  <r>
    <x v="886"/>
    <x v="59"/>
    <x v="0"/>
    <x v="2"/>
    <x v="589"/>
    <d v="2024-08-20T00:00:00"/>
    <x v="1"/>
    <x v="1"/>
    <x v="1"/>
    <x v="886"/>
    <n v="10"/>
    <x v="1"/>
    <s v="Recovered"/>
    <x v="0"/>
    <x v="0"/>
    <s v="Cash"/>
    <n v="11"/>
    <x v="884"/>
    <s v="Yes"/>
    <x v="0"/>
  </r>
  <r>
    <x v="887"/>
    <x v="21"/>
    <x v="0"/>
    <x v="2"/>
    <x v="394"/>
    <d v="2023-11-26T00:00:00"/>
    <x v="6"/>
    <x v="2"/>
    <x v="2"/>
    <x v="887"/>
    <n v="15"/>
    <x v="1"/>
    <s v="Recovered"/>
    <x v="0"/>
    <x v="2"/>
    <s v="UPI"/>
    <n v="6"/>
    <x v="885"/>
    <s v="Yes"/>
    <x v="0"/>
  </r>
  <r>
    <x v="888"/>
    <x v="71"/>
    <x v="0"/>
    <x v="1"/>
    <x v="202"/>
    <d v="2025-01-22T00:00:00"/>
    <x v="5"/>
    <x v="4"/>
    <x v="6"/>
    <x v="888"/>
    <n v="17"/>
    <x v="1"/>
    <s v="Recovered"/>
    <x v="1"/>
    <x v="0"/>
    <s v="Card"/>
    <n v="10"/>
    <x v="886"/>
    <s v="Yes"/>
    <x v="0"/>
  </r>
  <r>
    <x v="889"/>
    <x v="67"/>
    <x v="0"/>
    <x v="0"/>
    <x v="590"/>
    <d v="2025-09-21T00:00:00"/>
    <x v="6"/>
    <x v="2"/>
    <x v="2"/>
    <x v="889"/>
    <n v="21"/>
    <x v="1"/>
    <s v="Referred"/>
    <x v="1"/>
    <x v="2"/>
    <s v="Cash"/>
    <n v="14"/>
    <x v="887"/>
    <s v="No"/>
    <x v="1"/>
  </r>
  <r>
    <x v="890"/>
    <x v="71"/>
    <x v="0"/>
    <x v="1"/>
    <x v="591"/>
    <d v="2024-04-08T00:00:00"/>
    <x v="0"/>
    <x v="0"/>
    <x v="3"/>
    <x v="890"/>
    <n v="16"/>
    <x v="0"/>
    <s v="Recovered"/>
    <x v="2"/>
    <x v="1"/>
    <s v="Card"/>
    <n v="9"/>
    <x v="888"/>
    <s v="No"/>
    <x v="0"/>
  </r>
  <r>
    <x v="891"/>
    <x v="33"/>
    <x v="1"/>
    <x v="6"/>
    <x v="592"/>
    <d v="2023-01-20T00:00:00"/>
    <x v="4"/>
    <x v="3"/>
    <x v="2"/>
    <x v="891"/>
    <n v="18"/>
    <x v="0"/>
    <s v="Recovered"/>
    <x v="0"/>
    <x v="1"/>
    <s v="Insurance"/>
    <n v="1"/>
    <x v="889"/>
    <s v="No"/>
    <x v="0"/>
  </r>
  <r>
    <x v="892"/>
    <x v="28"/>
    <x v="0"/>
    <x v="1"/>
    <x v="593"/>
    <d v="2024-11-20T00:00:00"/>
    <x v="9"/>
    <x v="5"/>
    <x v="3"/>
    <x v="892"/>
    <n v="5"/>
    <x v="0"/>
    <s v="Recovered"/>
    <x v="0"/>
    <x v="3"/>
    <s v="Cash"/>
    <n v="1"/>
    <x v="890"/>
    <s v="Yes"/>
    <x v="0"/>
  </r>
  <r>
    <x v="893"/>
    <x v="54"/>
    <x v="1"/>
    <x v="5"/>
    <x v="386"/>
    <d v="2025-01-15T00:00:00"/>
    <x v="2"/>
    <x v="2"/>
    <x v="3"/>
    <x v="893"/>
    <n v="20"/>
    <x v="1"/>
    <s v="Recovered"/>
    <x v="1"/>
    <x v="0"/>
    <s v="UPI"/>
    <n v="5"/>
    <x v="891"/>
    <s v="No"/>
    <x v="0"/>
  </r>
  <r>
    <x v="894"/>
    <x v="49"/>
    <x v="1"/>
    <x v="2"/>
    <x v="364"/>
    <d v="2024-04-06T00:00:00"/>
    <x v="6"/>
    <x v="2"/>
    <x v="5"/>
    <x v="894"/>
    <n v="3"/>
    <x v="1"/>
    <s v="Deceased"/>
    <x v="0"/>
    <x v="0"/>
    <s v="Card"/>
    <n v="7"/>
    <x v="892"/>
    <s v="No"/>
    <x v="0"/>
  </r>
  <r>
    <x v="895"/>
    <x v="18"/>
    <x v="0"/>
    <x v="0"/>
    <x v="594"/>
    <d v="2025-06-22T00:00:00"/>
    <x v="4"/>
    <x v="3"/>
    <x v="7"/>
    <x v="895"/>
    <n v="4"/>
    <x v="1"/>
    <s v="Recovered"/>
    <x v="1"/>
    <x v="2"/>
    <s v="Cash"/>
    <n v="4"/>
    <x v="893"/>
    <s v="Yes"/>
    <x v="0"/>
  </r>
  <r>
    <x v="896"/>
    <x v="34"/>
    <x v="1"/>
    <x v="3"/>
    <x v="542"/>
    <d v="2024-01-19T00:00:00"/>
    <x v="9"/>
    <x v="5"/>
    <x v="7"/>
    <x v="896"/>
    <n v="14"/>
    <x v="1"/>
    <s v="Recovered"/>
    <x v="0"/>
    <x v="3"/>
    <s v="Insurance"/>
    <n v="3"/>
    <x v="894"/>
    <s v="No"/>
    <x v="0"/>
  </r>
  <r>
    <x v="897"/>
    <x v="44"/>
    <x v="1"/>
    <x v="5"/>
    <x v="317"/>
    <d v="2025-07-30T00:00:00"/>
    <x v="1"/>
    <x v="1"/>
    <x v="6"/>
    <x v="897"/>
    <n v="1"/>
    <x v="0"/>
    <s v="Recovered"/>
    <x v="0"/>
    <x v="1"/>
    <s v="Cash"/>
    <n v="14"/>
    <x v="895"/>
    <s v="No"/>
    <x v="0"/>
  </r>
  <r>
    <x v="898"/>
    <x v="40"/>
    <x v="1"/>
    <x v="7"/>
    <x v="442"/>
    <d v="2024-02-24T00:00:00"/>
    <x v="2"/>
    <x v="2"/>
    <x v="4"/>
    <x v="898"/>
    <n v="8"/>
    <x v="0"/>
    <s v="Recovered"/>
    <x v="1"/>
    <x v="2"/>
    <s v="UPI"/>
    <n v="11"/>
    <x v="896"/>
    <s v="No"/>
    <x v="0"/>
  </r>
  <r>
    <x v="899"/>
    <x v="35"/>
    <x v="0"/>
    <x v="5"/>
    <x v="463"/>
    <d v="2023-12-22T00:00:00"/>
    <x v="4"/>
    <x v="3"/>
    <x v="4"/>
    <x v="899"/>
    <n v="17"/>
    <x v="0"/>
    <s v="Recovered"/>
    <x v="2"/>
    <x v="2"/>
    <s v="Card"/>
    <n v="6"/>
    <x v="897"/>
    <s v="No"/>
    <x v="0"/>
  </r>
  <r>
    <x v="900"/>
    <x v="6"/>
    <x v="0"/>
    <x v="0"/>
    <x v="336"/>
    <d v="2023-06-10T00:00:00"/>
    <x v="0"/>
    <x v="0"/>
    <x v="1"/>
    <x v="900"/>
    <n v="14"/>
    <x v="1"/>
    <s v="Under Observation"/>
    <x v="0"/>
    <x v="0"/>
    <s v="Insurance"/>
    <n v="5"/>
    <x v="898"/>
    <s v="No"/>
    <x v="1"/>
  </r>
  <r>
    <x v="901"/>
    <x v="0"/>
    <x v="0"/>
    <x v="7"/>
    <x v="595"/>
    <d v="2025-09-15T00:00:00"/>
    <x v="5"/>
    <x v="4"/>
    <x v="1"/>
    <x v="901"/>
    <n v="2"/>
    <x v="0"/>
    <s v="Recovered"/>
    <x v="2"/>
    <x v="3"/>
    <s v="Cash"/>
    <n v="3"/>
    <x v="899"/>
    <s v="Yes"/>
    <x v="0"/>
  </r>
  <r>
    <x v="902"/>
    <x v="41"/>
    <x v="0"/>
    <x v="2"/>
    <x v="596"/>
    <d v="2024-09-11T00:00:00"/>
    <x v="6"/>
    <x v="2"/>
    <x v="0"/>
    <x v="902"/>
    <n v="4"/>
    <x v="0"/>
    <s v="Recovered"/>
    <x v="1"/>
    <x v="2"/>
    <s v="Card"/>
    <n v="4"/>
    <x v="900"/>
    <s v="Yes"/>
    <x v="0"/>
  </r>
  <r>
    <x v="903"/>
    <x v="63"/>
    <x v="1"/>
    <x v="5"/>
    <x v="591"/>
    <d v="2024-04-03T00:00:00"/>
    <x v="2"/>
    <x v="2"/>
    <x v="3"/>
    <x v="903"/>
    <n v="11"/>
    <x v="0"/>
    <s v="Under Observation"/>
    <x v="1"/>
    <x v="1"/>
    <s v="UPI"/>
    <n v="4"/>
    <x v="901"/>
    <s v="No"/>
    <x v="0"/>
  </r>
  <r>
    <x v="904"/>
    <x v="70"/>
    <x v="1"/>
    <x v="4"/>
    <x v="597"/>
    <d v="2023-05-20T00:00:00"/>
    <x v="6"/>
    <x v="2"/>
    <x v="3"/>
    <x v="904"/>
    <n v="12"/>
    <x v="0"/>
    <s v="Under Observation"/>
    <x v="0"/>
    <x v="0"/>
    <s v="Insurance"/>
    <n v="14"/>
    <x v="902"/>
    <s v="No"/>
    <x v="1"/>
  </r>
  <r>
    <x v="905"/>
    <x v="47"/>
    <x v="1"/>
    <x v="4"/>
    <x v="393"/>
    <d v="2024-01-01T00:00:00"/>
    <x v="4"/>
    <x v="3"/>
    <x v="7"/>
    <x v="905"/>
    <n v="2"/>
    <x v="0"/>
    <s v="Recovered"/>
    <x v="2"/>
    <x v="3"/>
    <s v="Card"/>
    <n v="1"/>
    <x v="903"/>
    <s v="Yes"/>
    <x v="0"/>
  </r>
  <r>
    <x v="906"/>
    <x v="4"/>
    <x v="1"/>
    <x v="5"/>
    <x v="598"/>
    <d v="2024-12-16T00:00:00"/>
    <x v="0"/>
    <x v="0"/>
    <x v="5"/>
    <x v="906"/>
    <n v="19"/>
    <x v="1"/>
    <s v="Recovered"/>
    <x v="2"/>
    <x v="0"/>
    <s v="Card"/>
    <n v="1"/>
    <x v="904"/>
    <s v="Yes"/>
    <x v="1"/>
  </r>
  <r>
    <x v="907"/>
    <x v="59"/>
    <x v="0"/>
    <x v="0"/>
    <x v="132"/>
    <d v="2024-12-13T00:00:00"/>
    <x v="6"/>
    <x v="2"/>
    <x v="3"/>
    <x v="907"/>
    <n v="7"/>
    <x v="1"/>
    <s v="Recovered"/>
    <x v="2"/>
    <x v="3"/>
    <s v="Insurance"/>
    <n v="13"/>
    <x v="905"/>
    <s v="Yes"/>
    <x v="0"/>
  </r>
  <r>
    <x v="908"/>
    <x v="6"/>
    <x v="1"/>
    <x v="6"/>
    <x v="5"/>
    <d v="2023-08-09T00:00:00"/>
    <x v="7"/>
    <x v="5"/>
    <x v="7"/>
    <x v="908"/>
    <n v="2"/>
    <x v="0"/>
    <s v="Deceased"/>
    <x v="1"/>
    <x v="1"/>
    <s v="Card"/>
    <n v="11"/>
    <x v="906"/>
    <s v="Yes"/>
    <x v="1"/>
  </r>
  <r>
    <x v="909"/>
    <x v="9"/>
    <x v="1"/>
    <x v="0"/>
    <x v="228"/>
    <d v="2024-05-26T00:00:00"/>
    <x v="2"/>
    <x v="2"/>
    <x v="4"/>
    <x v="909"/>
    <n v="3"/>
    <x v="0"/>
    <s v="Recovered"/>
    <x v="2"/>
    <x v="3"/>
    <s v="Cash"/>
    <n v="15"/>
    <x v="907"/>
    <s v="Yes"/>
    <x v="0"/>
  </r>
  <r>
    <x v="910"/>
    <x v="50"/>
    <x v="0"/>
    <x v="0"/>
    <x v="599"/>
    <d v="2024-07-12T00:00:00"/>
    <x v="3"/>
    <x v="0"/>
    <x v="2"/>
    <x v="910"/>
    <n v="23"/>
    <x v="0"/>
    <s v="Recovered"/>
    <x v="2"/>
    <x v="2"/>
    <s v="Cash"/>
    <n v="15"/>
    <x v="908"/>
    <s v="No"/>
    <x v="0"/>
  </r>
  <r>
    <x v="911"/>
    <x v="14"/>
    <x v="1"/>
    <x v="5"/>
    <x v="598"/>
    <d v="2024-12-12T00:00:00"/>
    <x v="6"/>
    <x v="2"/>
    <x v="5"/>
    <x v="911"/>
    <n v="15"/>
    <x v="0"/>
    <s v="Recovered"/>
    <x v="1"/>
    <x v="1"/>
    <s v="Insurance"/>
    <n v="7"/>
    <x v="909"/>
    <s v="No"/>
    <x v="0"/>
  </r>
  <r>
    <x v="912"/>
    <x v="30"/>
    <x v="0"/>
    <x v="2"/>
    <x v="600"/>
    <d v="2025-07-21T00:00:00"/>
    <x v="8"/>
    <x v="6"/>
    <x v="6"/>
    <x v="912"/>
    <n v="16"/>
    <x v="1"/>
    <s v="Recovered"/>
    <x v="2"/>
    <x v="2"/>
    <s v="UPI"/>
    <n v="12"/>
    <x v="910"/>
    <s v="Yes"/>
    <x v="0"/>
  </r>
  <r>
    <x v="913"/>
    <x v="29"/>
    <x v="0"/>
    <x v="7"/>
    <x v="502"/>
    <d v="2024-12-13T00:00:00"/>
    <x v="3"/>
    <x v="0"/>
    <x v="5"/>
    <x v="913"/>
    <n v="3"/>
    <x v="0"/>
    <s v="Recovered"/>
    <x v="0"/>
    <x v="1"/>
    <s v="UPI"/>
    <n v="5"/>
    <x v="911"/>
    <s v="Yes"/>
    <x v="0"/>
  </r>
  <r>
    <x v="914"/>
    <x v="31"/>
    <x v="1"/>
    <x v="4"/>
    <x v="278"/>
    <d v="2024-06-14T00:00:00"/>
    <x v="5"/>
    <x v="4"/>
    <x v="1"/>
    <x v="914"/>
    <n v="19"/>
    <x v="1"/>
    <s v="Recovered"/>
    <x v="2"/>
    <x v="3"/>
    <s v="Cash"/>
    <n v="11"/>
    <x v="912"/>
    <s v="No"/>
    <x v="0"/>
  </r>
  <r>
    <x v="915"/>
    <x v="34"/>
    <x v="0"/>
    <x v="3"/>
    <x v="601"/>
    <d v="2024-08-12T00:00:00"/>
    <x v="0"/>
    <x v="0"/>
    <x v="1"/>
    <x v="915"/>
    <n v="19"/>
    <x v="0"/>
    <s v="Recovered"/>
    <x v="1"/>
    <x v="3"/>
    <s v="Cash"/>
    <n v="6"/>
    <x v="913"/>
    <s v="Yes"/>
    <x v="0"/>
  </r>
  <r>
    <x v="916"/>
    <x v="40"/>
    <x v="1"/>
    <x v="5"/>
    <x v="566"/>
    <d v="2023-02-13T00:00:00"/>
    <x v="7"/>
    <x v="5"/>
    <x v="1"/>
    <x v="916"/>
    <n v="2"/>
    <x v="1"/>
    <s v="Under Observation"/>
    <x v="1"/>
    <x v="1"/>
    <s v="UPI"/>
    <n v="11"/>
    <x v="914"/>
    <s v="No"/>
    <x v="0"/>
  </r>
  <r>
    <x v="917"/>
    <x v="38"/>
    <x v="1"/>
    <x v="1"/>
    <x v="197"/>
    <d v="2024-07-13T00:00:00"/>
    <x v="4"/>
    <x v="3"/>
    <x v="4"/>
    <x v="917"/>
    <n v="10"/>
    <x v="0"/>
    <s v="Recovered"/>
    <x v="0"/>
    <x v="0"/>
    <s v="Card"/>
    <n v="11"/>
    <x v="915"/>
    <s v="No"/>
    <x v="0"/>
  </r>
  <r>
    <x v="918"/>
    <x v="54"/>
    <x v="0"/>
    <x v="2"/>
    <x v="86"/>
    <d v="2025-02-27T00:00:00"/>
    <x v="4"/>
    <x v="3"/>
    <x v="4"/>
    <x v="918"/>
    <n v="17"/>
    <x v="0"/>
    <s v="Recovered"/>
    <x v="0"/>
    <x v="1"/>
    <s v="Cash"/>
    <n v="9"/>
    <x v="916"/>
    <s v="Yes"/>
    <x v="0"/>
  </r>
  <r>
    <x v="919"/>
    <x v="0"/>
    <x v="0"/>
    <x v="6"/>
    <x v="602"/>
    <d v="2024-02-03T00:00:00"/>
    <x v="4"/>
    <x v="3"/>
    <x v="2"/>
    <x v="919"/>
    <n v="5"/>
    <x v="0"/>
    <s v="Referred"/>
    <x v="2"/>
    <x v="1"/>
    <s v="Card"/>
    <n v="13"/>
    <x v="917"/>
    <s v="No"/>
    <x v="0"/>
  </r>
  <r>
    <x v="920"/>
    <x v="24"/>
    <x v="1"/>
    <x v="2"/>
    <x v="603"/>
    <d v="2024-10-31T00:00:00"/>
    <x v="5"/>
    <x v="4"/>
    <x v="2"/>
    <x v="920"/>
    <n v="25"/>
    <x v="1"/>
    <s v="Referred"/>
    <x v="1"/>
    <x v="2"/>
    <s v="UPI"/>
    <n v="14"/>
    <x v="918"/>
    <s v="Yes"/>
    <x v="0"/>
  </r>
  <r>
    <x v="921"/>
    <x v="4"/>
    <x v="0"/>
    <x v="3"/>
    <x v="604"/>
    <d v="2023-12-26T00:00:00"/>
    <x v="3"/>
    <x v="0"/>
    <x v="2"/>
    <x v="921"/>
    <n v="10"/>
    <x v="1"/>
    <s v="Recovered"/>
    <x v="2"/>
    <x v="1"/>
    <s v="UPI"/>
    <n v="12"/>
    <x v="919"/>
    <s v="No"/>
    <x v="1"/>
  </r>
  <r>
    <x v="922"/>
    <x v="18"/>
    <x v="1"/>
    <x v="2"/>
    <x v="290"/>
    <d v="2023-02-12T00:00:00"/>
    <x v="1"/>
    <x v="1"/>
    <x v="3"/>
    <x v="922"/>
    <n v="19"/>
    <x v="1"/>
    <s v="Under Observation"/>
    <x v="0"/>
    <x v="3"/>
    <s v="Cash"/>
    <n v="14"/>
    <x v="920"/>
    <s v="Yes"/>
    <x v="0"/>
  </r>
  <r>
    <x v="923"/>
    <x v="25"/>
    <x v="0"/>
    <x v="6"/>
    <x v="392"/>
    <d v="2023-09-08T00:00:00"/>
    <x v="3"/>
    <x v="0"/>
    <x v="4"/>
    <x v="923"/>
    <n v="8"/>
    <x v="0"/>
    <s v="Recovered"/>
    <x v="0"/>
    <x v="0"/>
    <s v="UPI"/>
    <n v="3"/>
    <x v="921"/>
    <s v="Yes"/>
    <x v="0"/>
  </r>
  <r>
    <x v="924"/>
    <x v="0"/>
    <x v="1"/>
    <x v="3"/>
    <x v="388"/>
    <d v="2024-05-17T00:00:00"/>
    <x v="9"/>
    <x v="5"/>
    <x v="7"/>
    <x v="924"/>
    <n v="8"/>
    <x v="0"/>
    <s v="Recovered"/>
    <x v="1"/>
    <x v="1"/>
    <s v="Card"/>
    <n v="13"/>
    <x v="922"/>
    <s v="Yes"/>
    <x v="0"/>
  </r>
  <r>
    <x v="925"/>
    <x v="42"/>
    <x v="0"/>
    <x v="6"/>
    <x v="605"/>
    <d v="2025-03-22T00:00:00"/>
    <x v="3"/>
    <x v="0"/>
    <x v="5"/>
    <x v="925"/>
    <n v="17"/>
    <x v="0"/>
    <s v="Referred"/>
    <x v="1"/>
    <x v="1"/>
    <s v="UPI"/>
    <n v="2"/>
    <x v="923"/>
    <s v="No"/>
    <x v="0"/>
  </r>
  <r>
    <x v="926"/>
    <x v="46"/>
    <x v="1"/>
    <x v="7"/>
    <x v="71"/>
    <d v="2023-05-06T00:00:00"/>
    <x v="6"/>
    <x v="2"/>
    <x v="3"/>
    <x v="926"/>
    <n v="19"/>
    <x v="0"/>
    <s v="Recovered"/>
    <x v="2"/>
    <x v="0"/>
    <s v="Cash"/>
    <n v="2"/>
    <x v="924"/>
    <s v="Yes"/>
    <x v="0"/>
  </r>
  <r>
    <x v="927"/>
    <x v="3"/>
    <x v="0"/>
    <x v="2"/>
    <x v="108"/>
    <d v="2023-04-18T00:00:00"/>
    <x v="8"/>
    <x v="6"/>
    <x v="7"/>
    <x v="927"/>
    <n v="7"/>
    <x v="0"/>
    <s v="Recovered"/>
    <x v="2"/>
    <x v="0"/>
    <s v="Insurance"/>
    <n v="5"/>
    <x v="925"/>
    <s v="Yes"/>
    <x v="0"/>
  </r>
  <r>
    <x v="928"/>
    <x v="60"/>
    <x v="0"/>
    <x v="1"/>
    <x v="606"/>
    <d v="2025-03-08T00:00:00"/>
    <x v="9"/>
    <x v="5"/>
    <x v="2"/>
    <x v="928"/>
    <n v="18"/>
    <x v="1"/>
    <s v="Recovered"/>
    <x v="0"/>
    <x v="2"/>
    <s v="Card"/>
    <n v="9"/>
    <x v="926"/>
    <s v="No"/>
    <x v="1"/>
  </r>
  <r>
    <x v="929"/>
    <x v="72"/>
    <x v="0"/>
    <x v="0"/>
    <x v="607"/>
    <d v="2024-02-02T00:00:00"/>
    <x v="1"/>
    <x v="1"/>
    <x v="4"/>
    <x v="929"/>
    <n v="26"/>
    <x v="0"/>
    <s v="Recovered"/>
    <x v="0"/>
    <x v="2"/>
    <s v="Insurance"/>
    <n v="11"/>
    <x v="927"/>
    <s v="Yes"/>
    <x v="0"/>
  </r>
  <r>
    <x v="930"/>
    <x v="3"/>
    <x v="0"/>
    <x v="5"/>
    <x v="93"/>
    <d v="2025-08-20T00:00:00"/>
    <x v="8"/>
    <x v="6"/>
    <x v="0"/>
    <x v="930"/>
    <n v="19"/>
    <x v="1"/>
    <s v="Recovered"/>
    <x v="2"/>
    <x v="1"/>
    <s v="Insurance"/>
    <n v="15"/>
    <x v="928"/>
    <s v="No"/>
    <x v="0"/>
  </r>
  <r>
    <x v="931"/>
    <x v="0"/>
    <x v="1"/>
    <x v="4"/>
    <x v="608"/>
    <d v="2025-07-27T00:00:00"/>
    <x v="6"/>
    <x v="2"/>
    <x v="3"/>
    <x v="931"/>
    <n v="14"/>
    <x v="0"/>
    <s v="Recovered"/>
    <x v="2"/>
    <x v="3"/>
    <s v="Card"/>
    <n v="10"/>
    <x v="929"/>
    <s v="No"/>
    <x v="0"/>
  </r>
  <r>
    <x v="932"/>
    <x v="0"/>
    <x v="1"/>
    <x v="2"/>
    <x v="248"/>
    <d v="2023-03-24T00:00:00"/>
    <x v="1"/>
    <x v="1"/>
    <x v="5"/>
    <x v="932"/>
    <n v="14"/>
    <x v="0"/>
    <s v="Recovered"/>
    <x v="1"/>
    <x v="3"/>
    <s v="Card"/>
    <n v="8"/>
    <x v="930"/>
    <s v="No"/>
    <x v="0"/>
  </r>
  <r>
    <x v="933"/>
    <x v="29"/>
    <x v="0"/>
    <x v="5"/>
    <x v="348"/>
    <d v="2024-02-16T00:00:00"/>
    <x v="6"/>
    <x v="2"/>
    <x v="3"/>
    <x v="933"/>
    <n v="5"/>
    <x v="1"/>
    <s v="Recovered"/>
    <x v="0"/>
    <x v="0"/>
    <s v="Insurance"/>
    <n v="8"/>
    <x v="931"/>
    <s v="Yes"/>
    <x v="0"/>
  </r>
  <r>
    <x v="934"/>
    <x v="1"/>
    <x v="1"/>
    <x v="3"/>
    <x v="609"/>
    <d v="2025-10-04T00:00:00"/>
    <x v="3"/>
    <x v="0"/>
    <x v="2"/>
    <x v="934"/>
    <n v="13"/>
    <x v="1"/>
    <s v="Recovered"/>
    <x v="0"/>
    <x v="1"/>
    <s v="Insurance"/>
    <n v="10"/>
    <x v="932"/>
    <s v="No"/>
    <x v="0"/>
  </r>
  <r>
    <x v="935"/>
    <x v="30"/>
    <x v="0"/>
    <x v="6"/>
    <x v="610"/>
    <d v="2023-03-26T00:00:00"/>
    <x v="2"/>
    <x v="2"/>
    <x v="2"/>
    <x v="935"/>
    <n v="3"/>
    <x v="0"/>
    <s v="Under Observation"/>
    <x v="2"/>
    <x v="0"/>
    <s v="Cash"/>
    <n v="13"/>
    <x v="933"/>
    <s v="Yes"/>
    <x v="0"/>
  </r>
  <r>
    <x v="936"/>
    <x v="26"/>
    <x v="1"/>
    <x v="3"/>
    <x v="568"/>
    <d v="2023-07-14T00:00:00"/>
    <x v="4"/>
    <x v="3"/>
    <x v="6"/>
    <x v="936"/>
    <n v="13"/>
    <x v="0"/>
    <s v="Recovered"/>
    <x v="1"/>
    <x v="1"/>
    <s v="Insurance"/>
    <n v="1"/>
    <x v="934"/>
    <s v="Yes"/>
    <x v="0"/>
  </r>
  <r>
    <x v="937"/>
    <x v="2"/>
    <x v="1"/>
    <x v="1"/>
    <x v="382"/>
    <d v="2025-04-28T00:00:00"/>
    <x v="3"/>
    <x v="0"/>
    <x v="6"/>
    <x v="937"/>
    <n v="9"/>
    <x v="0"/>
    <s v="Recovered"/>
    <x v="0"/>
    <x v="2"/>
    <s v="Cash"/>
    <n v="11"/>
    <x v="935"/>
    <s v="No"/>
    <x v="1"/>
  </r>
  <r>
    <x v="938"/>
    <x v="20"/>
    <x v="0"/>
    <x v="7"/>
    <x v="582"/>
    <d v="2023-02-03T00:00:00"/>
    <x v="7"/>
    <x v="5"/>
    <x v="1"/>
    <x v="938"/>
    <n v="19"/>
    <x v="1"/>
    <s v="Recovered"/>
    <x v="0"/>
    <x v="1"/>
    <s v="Cash"/>
    <n v="7"/>
    <x v="936"/>
    <s v="Yes"/>
    <x v="0"/>
  </r>
  <r>
    <x v="939"/>
    <x v="19"/>
    <x v="1"/>
    <x v="0"/>
    <x v="611"/>
    <d v="2025-04-26T00:00:00"/>
    <x v="2"/>
    <x v="2"/>
    <x v="4"/>
    <x v="939"/>
    <n v="15"/>
    <x v="1"/>
    <s v="Under Observation"/>
    <x v="1"/>
    <x v="1"/>
    <s v="Card"/>
    <n v="4"/>
    <x v="937"/>
    <s v="Yes"/>
    <x v="1"/>
  </r>
  <r>
    <x v="940"/>
    <x v="45"/>
    <x v="1"/>
    <x v="5"/>
    <x v="612"/>
    <d v="2024-02-14T00:00:00"/>
    <x v="8"/>
    <x v="6"/>
    <x v="6"/>
    <x v="940"/>
    <n v="22"/>
    <x v="1"/>
    <s v="Recovered"/>
    <x v="2"/>
    <x v="2"/>
    <s v="Cash"/>
    <n v="12"/>
    <x v="938"/>
    <s v="Yes"/>
    <x v="0"/>
  </r>
  <r>
    <x v="941"/>
    <x v="35"/>
    <x v="0"/>
    <x v="7"/>
    <x v="215"/>
    <d v="2023-09-07T00:00:00"/>
    <x v="9"/>
    <x v="5"/>
    <x v="3"/>
    <x v="941"/>
    <n v="9"/>
    <x v="1"/>
    <s v="Under Observation"/>
    <x v="0"/>
    <x v="0"/>
    <s v="Cash"/>
    <n v="10"/>
    <x v="939"/>
    <s v="No"/>
    <x v="0"/>
  </r>
  <r>
    <x v="942"/>
    <x v="34"/>
    <x v="0"/>
    <x v="3"/>
    <x v="114"/>
    <d v="2023-08-19T00:00:00"/>
    <x v="9"/>
    <x v="5"/>
    <x v="0"/>
    <x v="942"/>
    <n v="14"/>
    <x v="1"/>
    <s v="Recovered"/>
    <x v="1"/>
    <x v="0"/>
    <s v="Card"/>
    <n v="12"/>
    <x v="940"/>
    <s v="Yes"/>
    <x v="0"/>
  </r>
  <r>
    <x v="943"/>
    <x v="6"/>
    <x v="1"/>
    <x v="7"/>
    <x v="75"/>
    <d v="2025-04-15T00:00:00"/>
    <x v="4"/>
    <x v="3"/>
    <x v="1"/>
    <x v="943"/>
    <n v="3"/>
    <x v="0"/>
    <s v="Recovered"/>
    <x v="1"/>
    <x v="3"/>
    <s v="Insurance"/>
    <n v="14"/>
    <x v="941"/>
    <s v="Yes"/>
    <x v="0"/>
  </r>
  <r>
    <x v="944"/>
    <x v="38"/>
    <x v="1"/>
    <x v="5"/>
    <x v="141"/>
    <d v="2023-08-13T00:00:00"/>
    <x v="1"/>
    <x v="1"/>
    <x v="1"/>
    <x v="944"/>
    <n v="5"/>
    <x v="0"/>
    <s v="Under Observation"/>
    <x v="1"/>
    <x v="0"/>
    <s v="UPI"/>
    <n v="15"/>
    <x v="942"/>
    <s v="No"/>
    <x v="0"/>
  </r>
  <r>
    <x v="945"/>
    <x v="6"/>
    <x v="0"/>
    <x v="1"/>
    <x v="283"/>
    <d v="2024-08-12T00:00:00"/>
    <x v="2"/>
    <x v="2"/>
    <x v="0"/>
    <x v="945"/>
    <n v="7"/>
    <x v="0"/>
    <s v="Referred"/>
    <x v="0"/>
    <x v="0"/>
    <s v="Cash"/>
    <n v="3"/>
    <x v="943"/>
    <s v="No"/>
    <x v="1"/>
  </r>
  <r>
    <x v="946"/>
    <x v="11"/>
    <x v="0"/>
    <x v="0"/>
    <x v="613"/>
    <d v="2023-03-17T00:00:00"/>
    <x v="8"/>
    <x v="6"/>
    <x v="3"/>
    <x v="946"/>
    <n v="20"/>
    <x v="0"/>
    <s v="Recovered"/>
    <x v="1"/>
    <x v="1"/>
    <s v="Insurance"/>
    <n v="3"/>
    <x v="944"/>
    <s v="No"/>
    <x v="0"/>
  </r>
  <r>
    <x v="947"/>
    <x v="18"/>
    <x v="0"/>
    <x v="5"/>
    <x v="569"/>
    <d v="2024-04-08T00:00:00"/>
    <x v="0"/>
    <x v="0"/>
    <x v="3"/>
    <x v="947"/>
    <n v="9"/>
    <x v="0"/>
    <s v="Recovered"/>
    <x v="2"/>
    <x v="1"/>
    <s v="Card"/>
    <n v="7"/>
    <x v="945"/>
    <s v="No"/>
    <x v="0"/>
  </r>
  <r>
    <x v="948"/>
    <x v="27"/>
    <x v="0"/>
    <x v="3"/>
    <x v="427"/>
    <d v="2024-07-23T00:00:00"/>
    <x v="0"/>
    <x v="0"/>
    <x v="6"/>
    <x v="948"/>
    <n v="19"/>
    <x v="0"/>
    <s v="Recovered"/>
    <x v="2"/>
    <x v="3"/>
    <s v="Insurance"/>
    <n v="15"/>
    <x v="946"/>
    <s v="No"/>
    <x v="0"/>
  </r>
  <r>
    <x v="949"/>
    <x v="43"/>
    <x v="0"/>
    <x v="7"/>
    <x v="614"/>
    <d v="2025-08-18T00:00:00"/>
    <x v="5"/>
    <x v="4"/>
    <x v="5"/>
    <x v="949"/>
    <n v="13"/>
    <x v="0"/>
    <s v="Recovered"/>
    <x v="2"/>
    <x v="3"/>
    <s v="Insurance"/>
    <n v="7"/>
    <x v="947"/>
    <s v="No"/>
    <x v="0"/>
  </r>
  <r>
    <x v="950"/>
    <x v="15"/>
    <x v="1"/>
    <x v="2"/>
    <x v="462"/>
    <d v="2024-04-21T00:00:00"/>
    <x v="7"/>
    <x v="5"/>
    <x v="1"/>
    <x v="950"/>
    <n v="15"/>
    <x v="0"/>
    <s v="Recovered"/>
    <x v="2"/>
    <x v="3"/>
    <s v="Insurance"/>
    <n v="15"/>
    <x v="948"/>
    <s v="No"/>
    <x v="0"/>
  </r>
  <r>
    <x v="951"/>
    <x v="47"/>
    <x v="1"/>
    <x v="7"/>
    <x v="167"/>
    <d v="2023-04-08T00:00:00"/>
    <x v="0"/>
    <x v="0"/>
    <x v="2"/>
    <x v="951"/>
    <n v="19"/>
    <x v="0"/>
    <s v="Recovered"/>
    <x v="0"/>
    <x v="1"/>
    <s v="UPI"/>
    <n v="12"/>
    <x v="949"/>
    <s v="Yes"/>
    <x v="1"/>
  </r>
  <r>
    <x v="952"/>
    <x v="48"/>
    <x v="0"/>
    <x v="0"/>
    <x v="14"/>
    <d v="2023-10-27T00:00:00"/>
    <x v="5"/>
    <x v="4"/>
    <x v="3"/>
    <x v="952"/>
    <n v="9"/>
    <x v="0"/>
    <s v="Under Observation"/>
    <x v="1"/>
    <x v="0"/>
    <s v="Card"/>
    <n v="2"/>
    <x v="950"/>
    <s v="No"/>
    <x v="1"/>
  </r>
  <r>
    <x v="953"/>
    <x v="55"/>
    <x v="1"/>
    <x v="5"/>
    <x v="615"/>
    <d v="2023-04-08T00:00:00"/>
    <x v="0"/>
    <x v="0"/>
    <x v="5"/>
    <x v="953"/>
    <n v="18"/>
    <x v="0"/>
    <s v="Recovered"/>
    <x v="1"/>
    <x v="1"/>
    <s v="UPI"/>
    <n v="5"/>
    <x v="951"/>
    <s v="No"/>
    <x v="0"/>
  </r>
  <r>
    <x v="954"/>
    <x v="41"/>
    <x v="0"/>
    <x v="4"/>
    <x v="526"/>
    <d v="2025-05-26T00:00:00"/>
    <x v="1"/>
    <x v="1"/>
    <x v="1"/>
    <x v="954"/>
    <n v="13"/>
    <x v="1"/>
    <s v="Recovered"/>
    <x v="2"/>
    <x v="1"/>
    <s v="UPI"/>
    <n v="4"/>
    <x v="952"/>
    <s v="Yes"/>
    <x v="0"/>
  </r>
  <r>
    <x v="955"/>
    <x v="47"/>
    <x v="1"/>
    <x v="1"/>
    <x v="527"/>
    <d v="2024-04-21T00:00:00"/>
    <x v="3"/>
    <x v="0"/>
    <x v="4"/>
    <x v="955"/>
    <n v="20"/>
    <x v="1"/>
    <s v="Deceased"/>
    <x v="0"/>
    <x v="2"/>
    <s v="Cash"/>
    <n v="12"/>
    <x v="953"/>
    <s v="Yes"/>
    <x v="0"/>
  </r>
  <r>
    <x v="956"/>
    <x v="45"/>
    <x v="0"/>
    <x v="7"/>
    <x v="616"/>
    <d v="2023-11-20T00:00:00"/>
    <x v="7"/>
    <x v="5"/>
    <x v="2"/>
    <x v="956"/>
    <n v="15"/>
    <x v="1"/>
    <s v="Under Observation"/>
    <x v="2"/>
    <x v="1"/>
    <s v="UPI"/>
    <n v="6"/>
    <x v="954"/>
    <s v="Yes"/>
    <x v="0"/>
  </r>
  <r>
    <x v="957"/>
    <x v="47"/>
    <x v="1"/>
    <x v="0"/>
    <x v="617"/>
    <d v="2024-05-08T00:00:00"/>
    <x v="6"/>
    <x v="2"/>
    <x v="4"/>
    <x v="957"/>
    <n v="1"/>
    <x v="0"/>
    <s v="Recovered"/>
    <x v="1"/>
    <x v="0"/>
    <s v="Insurance"/>
    <n v="10"/>
    <x v="955"/>
    <s v="No"/>
    <x v="0"/>
  </r>
  <r>
    <x v="958"/>
    <x v="31"/>
    <x v="0"/>
    <x v="7"/>
    <x v="274"/>
    <d v="2024-03-02T00:00:00"/>
    <x v="7"/>
    <x v="5"/>
    <x v="7"/>
    <x v="958"/>
    <n v="12"/>
    <x v="0"/>
    <s v="Referred"/>
    <x v="1"/>
    <x v="1"/>
    <s v="Card"/>
    <n v="4"/>
    <x v="956"/>
    <s v="No"/>
    <x v="0"/>
  </r>
  <r>
    <x v="959"/>
    <x v="46"/>
    <x v="0"/>
    <x v="2"/>
    <x v="133"/>
    <d v="2023-03-09T00:00:00"/>
    <x v="1"/>
    <x v="1"/>
    <x v="2"/>
    <x v="959"/>
    <n v="6"/>
    <x v="0"/>
    <s v="Recovered"/>
    <x v="1"/>
    <x v="1"/>
    <s v="Card"/>
    <n v="15"/>
    <x v="957"/>
    <s v="Yes"/>
    <x v="0"/>
  </r>
  <r>
    <x v="960"/>
    <x v="25"/>
    <x v="1"/>
    <x v="0"/>
    <x v="227"/>
    <d v="2024-09-20T00:00:00"/>
    <x v="5"/>
    <x v="4"/>
    <x v="4"/>
    <x v="960"/>
    <n v="12"/>
    <x v="1"/>
    <s v="Recovered"/>
    <x v="2"/>
    <x v="2"/>
    <s v="Card"/>
    <n v="13"/>
    <x v="958"/>
    <s v="No"/>
    <x v="0"/>
  </r>
  <r>
    <x v="961"/>
    <x v="14"/>
    <x v="0"/>
    <x v="4"/>
    <x v="38"/>
    <d v="2025-06-25T00:00:00"/>
    <x v="1"/>
    <x v="1"/>
    <x v="2"/>
    <x v="961"/>
    <n v="16"/>
    <x v="0"/>
    <s v="Recovered"/>
    <x v="2"/>
    <x v="1"/>
    <s v="UPI"/>
    <n v="9"/>
    <x v="959"/>
    <s v="Yes"/>
    <x v="0"/>
  </r>
  <r>
    <x v="962"/>
    <x v="70"/>
    <x v="1"/>
    <x v="7"/>
    <x v="618"/>
    <d v="2023-03-24T00:00:00"/>
    <x v="8"/>
    <x v="6"/>
    <x v="1"/>
    <x v="962"/>
    <n v="19"/>
    <x v="0"/>
    <s v="Under Observation"/>
    <x v="2"/>
    <x v="3"/>
    <s v="Insurance"/>
    <n v="6"/>
    <x v="960"/>
    <s v="No"/>
    <x v="0"/>
  </r>
  <r>
    <x v="963"/>
    <x v="0"/>
    <x v="0"/>
    <x v="1"/>
    <x v="619"/>
    <d v="2025-02-04T00:00:00"/>
    <x v="8"/>
    <x v="6"/>
    <x v="7"/>
    <x v="963"/>
    <n v="16"/>
    <x v="0"/>
    <s v="Recovered"/>
    <x v="1"/>
    <x v="2"/>
    <s v="Card"/>
    <n v="10"/>
    <x v="961"/>
    <s v="No"/>
    <x v="0"/>
  </r>
  <r>
    <x v="964"/>
    <x v="55"/>
    <x v="0"/>
    <x v="7"/>
    <x v="237"/>
    <d v="2025-06-26T00:00:00"/>
    <x v="1"/>
    <x v="1"/>
    <x v="4"/>
    <x v="964"/>
    <n v="10"/>
    <x v="0"/>
    <s v="Recovered"/>
    <x v="0"/>
    <x v="3"/>
    <s v="Cash"/>
    <n v="14"/>
    <x v="962"/>
    <s v="Yes"/>
    <x v="0"/>
  </r>
  <r>
    <x v="965"/>
    <x v="12"/>
    <x v="1"/>
    <x v="4"/>
    <x v="80"/>
    <d v="2025-02-03T00:00:00"/>
    <x v="1"/>
    <x v="1"/>
    <x v="6"/>
    <x v="965"/>
    <n v="12"/>
    <x v="1"/>
    <s v="Under Observation"/>
    <x v="1"/>
    <x v="0"/>
    <s v="Card"/>
    <n v="10"/>
    <x v="963"/>
    <s v="No"/>
    <x v="0"/>
  </r>
  <r>
    <x v="966"/>
    <x v="71"/>
    <x v="1"/>
    <x v="6"/>
    <x v="620"/>
    <d v="2025-06-22T00:00:00"/>
    <x v="7"/>
    <x v="5"/>
    <x v="3"/>
    <x v="966"/>
    <n v="19"/>
    <x v="1"/>
    <s v="Deceased"/>
    <x v="0"/>
    <x v="1"/>
    <s v="Cash"/>
    <n v="12"/>
    <x v="964"/>
    <s v="Yes"/>
    <x v="0"/>
  </r>
  <r>
    <x v="967"/>
    <x v="15"/>
    <x v="1"/>
    <x v="1"/>
    <x v="621"/>
    <d v="2024-12-15T00:00:00"/>
    <x v="6"/>
    <x v="2"/>
    <x v="0"/>
    <x v="967"/>
    <n v="6"/>
    <x v="1"/>
    <s v="Recovered"/>
    <x v="0"/>
    <x v="3"/>
    <s v="Insurance"/>
    <n v="13"/>
    <x v="965"/>
    <s v="Yes"/>
    <x v="0"/>
  </r>
  <r>
    <x v="968"/>
    <x v="23"/>
    <x v="1"/>
    <x v="0"/>
    <x v="279"/>
    <d v="2023-12-09T00:00:00"/>
    <x v="2"/>
    <x v="2"/>
    <x v="5"/>
    <x v="968"/>
    <n v="17"/>
    <x v="1"/>
    <s v="Recovered"/>
    <x v="2"/>
    <x v="1"/>
    <s v="Cash"/>
    <n v="6"/>
    <x v="966"/>
    <s v="No"/>
    <x v="0"/>
  </r>
  <r>
    <x v="969"/>
    <x v="41"/>
    <x v="1"/>
    <x v="0"/>
    <x v="622"/>
    <d v="2024-10-15T00:00:00"/>
    <x v="6"/>
    <x v="2"/>
    <x v="3"/>
    <x v="663"/>
    <n v="2"/>
    <x v="1"/>
    <s v="Recovered"/>
    <x v="0"/>
    <x v="0"/>
    <s v="UPI"/>
    <n v="15"/>
    <x v="967"/>
    <s v="No"/>
    <x v="0"/>
  </r>
  <r>
    <x v="970"/>
    <x v="57"/>
    <x v="0"/>
    <x v="5"/>
    <x v="205"/>
    <d v="2025-05-01T00:00:00"/>
    <x v="0"/>
    <x v="0"/>
    <x v="5"/>
    <x v="969"/>
    <n v="3"/>
    <x v="1"/>
    <s v="Under Observation"/>
    <x v="0"/>
    <x v="0"/>
    <s v="Cash"/>
    <n v="14"/>
    <x v="968"/>
    <s v="Yes"/>
    <x v="0"/>
  </r>
  <r>
    <x v="971"/>
    <x v="15"/>
    <x v="0"/>
    <x v="2"/>
    <x v="623"/>
    <d v="2024-11-28T00:00:00"/>
    <x v="6"/>
    <x v="2"/>
    <x v="3"/>
    <x v="970"/>
    <n v="23"/>
    <x v="1"/>
    <s v="Recovered"/>
    <x v="2"/>
    <x v="2"/>
    <s v="Insurance"/>
    <n v="12"/>
    <x v="969"/>
    <s v="No"/>
    <x v="0"/>
  </r>
  <r>
    <x v="972"/>
    <x v="5"/>
    <x v="1"/>
    <x v="1"/>
    <x v="624"/>
    <d v="2025-03-02T00:00:00"/>
    <x v="8"/>
    <x v="6"/>
    <x v="6"/>
    <x v="971"/>
    <n v="16"/>
    <x v="0"/>
    <s v="Recovered"/>
    <x v="1"/>
    <x v="3"/>
    <s v="Card"/>
    <n v="14"/>
    <x v="970"/>
    <s v="Yes"/>
    <x v="0"/>
  </r>
  <r>
    <x v="973"/>
    <x v="0"/>
    <x v="0"/>
    <x v="0"/>
    <x v="55"/>
    <d v="2025-08-08T00:00:00"/>
    <x v="1"/>
    <x v="1"/>
    <x v="2"/>
    <x v="972"/>
    <n v="2"/>
    <x v="1"/>
    <s v="Recovered"/>
    <x v="0"/>
    <x v="0"/>
    <s v="UPI"/>
    <n v="14"/>
    <x v="971"/>
    <s v="No"/>
    <x v="0"/>
  </r>
  <r>
    <x v="974"/>
    <x v="0"/>
    <x v="1"/>
    <x v="4"/>
    <x v="298"/>
    <d v="2023-10-17T00:00:00"/>
    <x v="8"/>
    <x v="6"/>
    <x v="2"/>
    <x v="973"/>
    <n v="6"/>
    <x v="1"/>
    <s v="Recovered"/>
    <x v="0"/>
    <x v="0"/>
    <s v="Card"/>
    <n v="15"/>
    <x v="972"/>
    <s v="No"/>
    <x v="0"/>
  </r>
  <r>
    <x v="975"/>
    <x v="2"/>
    <x v="1"/>
    <x v="6"/>
    <x v="625"/>
    <d v="2024-12-14T00:00:00"/>
    <x v="6"/>
    <x v="2"/>
    <x v="3"/>
    <x v="974"/>
    <n v="2"/>
    <x v="0"/>
    <s v="Recovered"/>
    <x v="2"/>
    <x v="1"/>
    <s v="Card"/>
    <n v="11"/>
    <x v="973"/>
    <s v="No"/>
    <x v="1"/>
  </r>
  <r>
    <x v="976"/>
    <x v="66"/>
    <x v="1"/>
    <x v="7"/>
    <x v="212"/>
    <d v="2025-01-07T00:00:00"/>
    <x v="5"/>
    <x v="4"/>
    <x v="5"/>
    <x v="975"/>
    <n v="14"/>
    <x v="1"/>
    <s v="Recovered"/>
    <x v="0"/>
    <x v="0"/>
    <s v="UPI"/>
    <n v="15"/>
    <x v="974"/>
    <s v="Yes"/>
    <x v="0"/>
  </r>
  <r>
    <x v="977"/>
    <x v="26"/>
    <x v="0"/>
    <x v="4"/>
    <x v="390"/>
    <d v="2023-11-03T00:00:00"/>
    <x v="5"/>
    <x v="4"/>
    <x v="1"/>
    <x v="976"/>
    <n v="4"/>
    <x v="1"/>
    <s v="Recovered"/>
    <x v="2"/>
    <x v="3"/>
    <s v="Cash"/>
    <n v="6"/>
    <x v="975"/>
    <s v="Yes"/>
    <x v="1"/>
  </r>
  <r>
    <x v="978"/>
    <x v="27"/>
    <x v="1"/>
    <x v="2"/>
    <x v="214"/>
    <d v="2024-08-19T00:00:00"/>
    <x v="1"/>
    <x v="1"/>
    <x v="4"/>
    <x v="977"/>
    <n v="29"/>
    <x v="1"/>
    <s v="Referred"/>
    <x v="2"/>
    <x v="2"/>
    <s v="UPI"/>
    <n v="3"/>
    <x v="976"/>
    <s v="No"/>
    <x v="0"/>
  </r>
  <r>
    <x v="979"/>
    <x v="35"/>
    <x v="0"/>
    <x v="5"/>
    <x v="358"/>
    <d v="2024-09-25T00:00:00"/>
    <x v="1"/>
    <x v="1"/>
    <x v="1"/>
    <x v="978"/>
    <n v="12"/>
    <x v="1"/>
    <s v="Referred"/>
    <x v="0"/>
    <x v="3"/>
    <s v="UPI"/>
    <n v="10"/>
    <x v="977"/>
    <s v="No"/>
    <x v="0"/>
  </r>
  <r>
    <x v="980"/>
    <x v="55"/>
    <x v="0"/>
    <x v="5"/>
    <x v="219"/>
    <d v="2024-11-29T00:00:00"/>
    <x v="1"/>
    <x v="1"/>
    <x v="1"/>
    <x v="979"/>
    <n v="12"/>
    <x v="0"/>
    <s v="Referred"/>
    <x v="1"/>
    <x v="1"/>
    <s v="Cash"/>
    <n v="14"/>
    <x v="978"/>
    <s v="Yes"/>
    <x v="0"/>
  </r>
  <r>
    <x v="981"/>
    <x v="11"/>
    <x v="1"/>
    <x v="1"/>
    <x v="626"/>
    <d v="2025-05-13T00:00:00"/>
    <x v="2"/>
    <x v="2"/>
    <x v="6"/>
    <x v="980"/>
    <n v="1"/>
    <x v="1"/>
    <s v="Recovered"/>
    <x v="2"/>
    <x v="3"/>
    <s v="UPI"/>
    <n v="4"/>
    <x v="979"/>
    <s v="No"/>
    <x v="0"/>
  </r>
  <r>
    <x v="982"/>
    <x v="42"/>
    <x v="0"/>
    <x v="4"/>
    <x v="309"/>
    <d v="2025-05-08T00:00:00"/>
    <x v="1"/>
    <x v="1"/>
    <x v="3"/>
    <x v="981"/>
    <n v="30"/>
    <x v="1"/>
    <s v="Under Observation"/>
    <x v="2"/>
    <x v="2"/>
    <s v="Insurance"/>
    <n v="5"/>
    <x v="980"/>
    <s v="No"/>
    <x v="1"/>
  </r>
  <r>
    <x v="983"/>
    <x v="45"/>
    <x v="1"/>
    <x v="7"/>
    <x v="164"/>
    <d v="2025-09-11T00:00:00"/>
    <x v="4"/>
    <x v="3"/>
    <x v="0"/>
    <x v="982"/>
    <n v="29"/>
    <x v="0"/>
    <s v="Recovered"/>
    <x v="0"/>
    <x v="2"/>
    <s v="Cash"/>
    <n v="4"/>
    <x v="981"/>
    <s v="No"/>
    <x v="1"/>
  </r>
  <r>
    <x v="984"/>
    <x v="44"/>
    <x v="1"/>
    <x v="1"/>
    <x v="627"/>
    <d v="2025-02-05T00:00:00"/>
    <x v="4"/>
    <x v="3"/>
    <x v="6"/>
    <x v="983"/>
    <n v="13"/>
    <x v="0"/>
    <s v="Referred"/>
    <x v="2"/>
    <x v="0"/>
    <s v="Cash"/>
    <n v="14"/>
    <x v="982"/>
    <s v="No"/>
    <x v="0"/>
  </r>
  <r>
    <x v="985"/>
    <x v="18"/>
    <x v="0"/>
    <x v="5"/>
    <x v="54"/>
    <d v="2024-04-13T00:00:00"/>
    <x v="8"/>
    <x v="6"/>
    <x v="7"/>
    <x v="984"/>
    <n v="11"/>
    <x v="1"/>
    <s v="Under Observation"/>
    <x v="1"/>
    <x v="0"/>
    <s v="Cash"/>
    <n v="7"/>
    <x v="983"/>
    <s v="No"/>
    <x v="1"/>
  </r>
  <r>
    <x v="986"/>
    <x v="24"/>
    <x v="1"/>
    <x v="7"/>
    <x v="16"/>
    <d v="2024-10-18T00:00:00"/>
    <x v="4"/>
    <x v="3"/>
    <x v="2"/>
    <x v="985"/>
    <n v="22"/>
    <x v="0"/>
    <s v="Recovered"/>
    <x v="0"/>
    <x v="2"/>
    <s v="Insurance"/>
    <n v="7"/>
    <x v="984"/>
    <s v="Yes"/>
    <x v="0"/>
  </r>
  <r>
    <x v="987"/>
    <x v="51"/>
    <x v="0"/>
    <x v="1"/>
    <x v="617"/>
    <d v="2024-06-06T00:00:00"/>
    <x v="8"/>
    <x v="6"/>
    <x v="5"/>
    <x v="986"/>
    <n v="30"/>
    <x v="0"/>
    <s v="Recovered"/>
    <x v="2"/>
    <x v="2"/>
    <s v="Cash"/>
    <n v="12"/>
    <x v="985"/>
    <s v="Yes"/>
    <x v="1"/>
  </r>
  <r>
    <x v="988"/>
    <x v="41"/>
    <x v="0"/>
    <x v="1"/>
    <x v="628"/>
    <d v="2023-12-03T00:00:00"/>
    <x v="3"/>
    <x v="0"/>
    <x v="4"/>
    <x v="987"/>
    <n v="6"/>
    <x v="1"/>
    <s v="Recovered"/>
    <x v="0"/>
    <x v="1"/>
    <s v="UPI"/>
    <n v="10"/>
    <x v="986"/>
    <s v="No"/>
    <x v="0"/>
  </r>
  <r>
    <x v="989"/>
    <x v="33"/>
    <x v="1"/>
    <x v="0"/>
    <x v="629"/>
    <d v="2023-08-25T00:00:00"/>
    <x v="0"/>
    <x v="0"/>
    <x v="1"/>
    <x v="988"/>
    <n v="12"/>
    <x v="1"/>
    <s v="Recovered"/>
    <x v="1"/>
    <x v="2"/>
    <s v="Card"/>
    <n v="10"/>
    <x v="987"/>
    <s v="No"/>
    <x v="0"/>
  </r>
  <r>
    <x v="990"/>
    <x v="8"/>
    <x v="0"/>
    <x v="6"/>
    <x v="353"/>
    <d v="2024-07-18T00:00:00"/>
    <x v="0"/>
    <x v="0"/>
    <x v="3"/>
    <x v="989"/>
    <n v="1"/>
    <x v="1"/>
    <s v="Recovered"/>
    <x v="0"/>
    <x v="0"/>
    <s v="UPI"/>
    <n v="2"/>
    <x v="988"/>
    <s v="Yes"/>
    <x v="0"/>
  </r>
  <r>
    <x v="991"/>
    <x v="65"/>
    <x v="0"/>
    <x v="3"/>
    <x v="339"/>
    <d v="2023-05-11T00:00:00"/>
    <x v="8"/>
    <x v="6"/>
    <x v="5"/>
    <x v="990"/>
    <n v="6"/>
    <x v="0"/>
    <s v="Under Observation"/>
    <x v="2"/>
    <x v="2"/>
    <s v="Insurance"/>
    <n v="1"/>
    <x v="989"/>
    <s v="Yes"/>
    <x v="0"/>
  </r>
  <r>
    <x v="992"/>
    <x v="33"/>
    <x v="1"/>
    <x v="5"/>
    <x v="227"/>
    <d v="2024-09-20T00:00:00"/>
    <x v="9"/>
    <x v="5"/>
    <x v="6"/>
    <x v="991"/>
    <n v="12"/>
    <x v="0"/>
    <s v="Recovered"/>
    <x v="2"/>
    <x v="0"/>
    <s v="UPI"/>
    <n v="9"/>
    <x v="990"/>
    <s v="No"/>
    <x v="0"/>
  </r>
  <r>
    <x v="993"/>
    <x v="42"/>
    <x v="0"/>
    <x v="6"/>
    <x v="630"/>
    <d v="2024-12-25T00:00:00"/>
    <x v="7"/>
    <x v="5"/>
    <x v="2"/>
    <x v="992"/>
    <n v="23"/>
    <x v="0"/>
    <s v="Deceased"/>
    <x v="0"/>
    <x v="2"/>
    <s v="Card"/>
    <n v="10"/>
    <x v="991"/>
    <s v="Yes"/>
    <x v="0"/>
  </r>
  <r>
    <x v="994"/>
    <x v="24"/>
    <x v="1"/>
    <x v="6"/>
    <x v="631"/>
    <d v="2023-11-18T00:00:00"/>
    <x v="3"/>
    <x v="0"/>
    <x v="2"/>
    <x v="993"/>
    <n v="21"/>
    <x v="0"/>
    <s v="Under Observation"/>
    <x v="0"/>
    <x v="2"/>
    <s v="Cash"/>
    <n v="9"/>
    <x v="992"/>
    <s v="No"/>
    <x v="0"/>
  </r>
  <r>
    <x v="995"/>
    <x v="31"/>
    <x v="1"/>
    <x v="5"/>
    <x v="632"/>
    <d v="2025-10-07T00:00:00"/>
    <x v="5"/>
    <x v="4"/>
    <x v="5"/>
    <x v="994"/>
    <n v="20"/>
    <x v="1"/>
    <s v="Recovered"/>
    <x v="0"/>
    <x v="1"/>
    <s v="UPI"/>
    <n v="8"/>
    <x v="993"/>
    <s v="Yes"/>
    <x v="0"/>
  </r>
  <r>
    <x v="996"/>
    <x v="8"/>
    <x v="1"/>
    <x v="4"/>
    <x v="149"/>
    <d v="2024-05-06T00:00:00"/>
    <x v="2"/>
    <x v="2"/>
    <x v="5"/>
    <x v="995"/>
    <n v="15"/>
    <x v="0"/>
    <s v="Recovered"/>
    <x v="1"/>
    <x v="3"/>
    <s v="UPI"/>
    <n v="2"/>
    <x v="994"/>
    <s v="No"/>
    <x v="0"/>
  </r>
  <r>
    <x v="997"/>
    <x v="30"/>
    <x v="1"/>
    <x v="7"/>
    <x v="169"/>
    <d v="2025-06-17T00:00:00"/>
    <x v="2"/>
    <x v="2"/>
    <x v="6"/>
    <x v="996"/>
    <n v="11"/>
    <x v="0"/>
    <s v="Recovered"/>
    <x v="0"/>
    <x v="0"/>
    <s v="Cash"/>
    <n v="15"/>
    <x v="995"/>
    <s v="Yes"/>
    <x v="0"/>
  </r>
  <r>
    <x v="998"/>
    <x v="10"/>
    <x v="0"/>
    <x v="2"/>
    <x v="633"/>
    <d v="2025-08-19T00:00:00"/>
    <x v="7"/>
    <x v="5"/>
    <x v="6"/>
    <x v="997"/>
    <n v="19"/>
    <x v="0"/>
    <s v="Recovered"/>
    <x v="1"/>
    <x v="0"/>
    <s v="Insurance"/>
    <n v="3"/>
    <x v="996"/>
    <s v="No"/>
    <x v="0"/>
  </r>
  <r>
    <x v="999"/>
    <x v="53"/>
    <x v="0"/>
    <x v="3"/>
    <x v="634"/>
    <d v="2024-09-19T00:00:00"/>
    <x v="9"/>
    <x v="5"/>
    <x v="3"/>
    <x v="998"/>
    <n v="30"/>
    <x v="0"/>
    <s v="Recovered"/>
    <x v="2"/>
    <x v="2"/>
    <s v="Card"/>
    <n v="1"/>
    <x v="997"/>
    <s v="Yes"/>
    <x v="0"/>
  </r>
  <r>
    <x v="1000"/>
    <x v="29"/>
    <x v="1"/>
    <x v="7"/>
    <x v="123"/>
    <d v="2024-10-07T00:00:00"/>
    <x v="7"/>
    <x v="5"/>
    <x v="4"/>
    <x v="999"/>
    <n v="18"/>
    <x v="0"/>
    <s v="Under Observation"/>
    <x v="2"/>
    <x v="1"/>
    <s v="Cash"/>
    <n v="7"/>
    <x v="998"/>
    <s v="Yes"/>
    <x v="0"/>
  </r>
  <r>
    <x v="1001"/>
    <x v="47"/>
    <x v="0"/>
    <x v="3"/>
    <x v="635"/>
    <d v="2024-09-29T00:00:00"/>
    <x v="9"/>
    <x v="5"/>
    <x v="4"/>
    <x v="1000"/>
    <n v="20"/>
    <x v="0"/>
    <s v="Recovered"/>
    <x v="1"/>
    <x v="2"/>
    <s v="Insurance"/>
    <n v="3"/>
    <x v="999"/>
    <s v="No"/>
    <x v="0"/>
  </r>
  <r>
    <x v="1002"/>
    <x v="44"/>
    <x v="1"/>
    <x v="6"/>
    <x v="636"/>
    <d v="2023-01-23T00:00:00"/>
    <x v="1"/>
    <x v="1"/>
    <x v="7"/>
    <x v="1001"/>
    <n v="10"/>
    <x v="1"/>
    <s v="Deceased"/>
    <x v="0"/>
    <x v="3"/>
    <s v="Card"/>
    <n v="3"/>
    <x v="1000"/>
    <s v="Yes"/>
    <x v="0"/>
  </r>
  <r>
    <x v="1003"/>
    <x v="33"/>
    <x v="1"/>
    <x v="1"/>
    <x v="56"/>
    <d v="2025-01-23T00:00:00"/>
    <x v="3"/>
    <x v="0"/>
    <x v="0"/>
    <x v="1002"/>
    <n v="11"/>
    <x v="0"/>
    <s v="Recovered"/>
    <x v="2"/>
    <x v="2"/>
    <s v="UPI"/>
    <n v="5"/>
    <x v="1001"/>
    <s v="No"/>
    <x v="1"/>
  </r>
  <r>
    <x v="1004"/>
    <x v="50"/>
    <x v="1"/>
    <x v="0"/>
    <x v="637"/>
    <d v="2023-01-23T00:00:00"/>
    <x v="7"/>
    <x v="5"/>
    <x v="6"/>
    <x v="1003"/>
    <n v="13"/>
    <x v="0"/>
    <s v="Recovered"/>
    <x v="1"/>
    <x v="0"/>
    <s v="Card"/>
    <n v="8"/>
    <x v="1002"/>
    <s v="No"/>
    <x v="0"/>
  </r>
  <r>
    <x v="1005"/>
    <x v="15"/>
    <x v="0"/>
    <x v="6"/>
    <x v="80"/>
    <d v="2025-02-17T00:00:00"/>
    <x v="0"/>
    <x v="0"/>
    <x v="2"/>
    <x v="1004"/>
    <n v="26"/>
    <x v="0"/>
    <s v="Recovered"/>
    <x v="0"/>
    <x v="2"/>
    <s v="UPI"/>
    <n v="4"/>
    <x v="1003"/>
    <s v="Yes"/>
    <x v="0"/>
  </r>
  <r>
    <x v="1006"/>
    <x v="36"/>
    <x v="0"/>
    <x v="1"/>
    <x v="638"/>
    <d v="2023-10-17T00:00:00"/>
    <x v="7"/>
    <x v="5"/>
    <x v="5"/>
    <x v="1005"/>
    <n v="4"/>
    <x v="0"/>
    <s v="Recovered"/>
    <x v="1"/>
    <x v="1"/>
    <s v="UPI"/>
    <n v="7"/>
    <x v="1004"/>
    <s v="No"/>
    <x v="0"/>
  </r>
  <r>
    <x v="1007"/>
    <x v="72"/>
    <x v="0"/>
    <x v="1"/>
    <x v="430"/>
    <d v="2024-06-08T00:00:00"/>
    <x v="2"/>
    <x v="2"/>
    <x v="7"/>
    <x v="1006"/>
    <n v="7"/>
    <x v="1"/>
    <s v="Recovered"/>
    <x v="1"/>
    <x v="0"/>
    <s v="Insurance"/>
    <n v="4"/>
    <x v="1005"/>
    <s v="Yes"/>
    <x v="0"/>
  </r>
  <r>
    <x v="1008"/>
    <x v="0"/>
    <x v="0"/>
    <x v="7"/>
    <x v="81"/>
    <d v="2023-11-25T00:00:00"/>
    <x v="4"/>
    <x v="3"/>
    <x v="7"/>
    <x v="1007"/>
    <n v="25"/>
    <x v="1"/>
    <s v="Recovered"/>
    <x v="0"/>
    <x v="2"/>
    <s v="Cash"/>
    <n v="1"/>
    <x v="1006"/>
    <s v="Yes"/>
    <x v="0"/>
  </r>
  <r>
    <x v="1009"/>
    <x v="1"/>
    <x v="0"/>
    <x v="2"/>
    <x v="433"/>
    <d v="2023-07-23T00:00:00"/>
    <x v="9"/>
    <x v="5"/>
    <x v="3"/>
    <x v="1008"/>
    <n v="26"/>
    <x v="0"/>
    <s v="Recovered"/>
    <x v="0"/>
    <x v="2"/>
    <s v="UPI"/>
    <n v="1"/>
    <x v="1007"/>
    <s v="No"/>
    <x v="0"/>
  </r>
  <r>
    <x v="1010"/>
    <x v="60"/>
    <x v="1"/>
    <x v="3"/>
    <x v="71"/>
    <d v="2023-05-04T00:00:00"/>
    <x v="5"/>
    <x v="4"/>
    <x v="2"/>
    <x v="1009"/>
    <n v="17"/>
    <x v="0"/>
    <s v="Recovered"/>
    <x v="2"/>
    <x v="2"/>
    <s v="Insurance"/>
    <n v="6"/>
    <x v="1008"/>
    <s v="Yes"/>
    <x v="0"/>
  </r>
  <r>
    <x v="1011"/>
    <x v="68"/>
    <x v="0"/>
    <x v="0"/>
    <x v="639"/>
    <d v="2025-08-17T00:00:00"/>
    <x v="3"/>
    <x v="0"/>
    <x v="6"/>
    <x v="1010"/>
    <n v="14"/>
    <x v="0"/>
    <s v="Recovered"/>
    <x v="1"/>
    <x v="2"/>
    <s v="Cash"/>
    <n v="2"/>
    <x v="1009"/>
    <s v="Yes"/>
    <x v="0"/>
  </r>
  <r>
    <x v="1012"/>
    <x v="41"/>
    <x v="1"/>
    <x v="7"/>
    <x v="640"/>
    <d v="2023-01-29T00:00:00"/>
    <x v="1"/>
    <x v="1"/>
    <x v="2"/>
    <x v="1011"/>
    <n v="1"/>
    <x v="1"/>
    <s v="Recovered"/>
    <x v="2"/>
    <x v="3"/>
    <s v="Insurance"/>
    <n v="3"/>
    <x v="1010"/>
    <s v="Yes"/>
    <x v="0"/>
  </r>
  <r>
    <x v="1013"/>
    <x v="34"/>
    <x v="1"/>
    <x v="6"/>
    <x v="567"/>
    <d v="2025-08-02T00:00:00"/>
    <x v="7"/>
    <x v="5"/>
    <x v="3"/>
    <x v="1012"/>
    <n v="11"/>
    <x v="1"/>
    <s v="Recovered"/>
    <x v="0"/>
    <x v="3"/>
    <s v="UPI"/>
    <n v="2"/>
    <x v="1011"/>
    <s v="No"/>
    <x v="0"/>
  </r>
  <r>
    <x v="1014"/>
    <x v="2"/>
    <x v="1"/>
    <x v="1"/>
    <x v="607"/>
    <d v="2024-01-21T00:00:00"/>
    <x v="5"/>
    <x v="4"/>
    <x v="7"/>
    <x v="1013"/>
    <n v="14"/>
    <x v="0"/>
    <s v="Recovered"/>
    <x v="1"/>
    <x v="3"/>
    <s v="Cash"/>
    <n v="10"/>
    <x v="1012"/>
    <s v="Yes"/>
    <x v="0"/>
  </r>
  <r>
    <x v="1015"/>
    <x v="14"/>
    <x v="0"/>
    <x v="4"/>
    <x v="360"/>
    <d v="2023-07-23T00:00:00"/>
    <x v="4"/>
    <x v="3"/>
    <x v="4"/>
    <x v="1014"/>
    <n v="6"/>
    <x v="0"/>
    <s v="Under Observation"/>
    <x v="2"/>
    <x v="3"/>
    <s v="Card"/>
    <n v="3"/>
    <x v="1013"/>
    <s v="Yes"/>
    <x v="0"/>
  </r>
  <r>
    <x v="1016"/>
    <x v="21"/>
    <x v="0"/>
    <x v="5"/>
    <x v="394"/>
    <d v="2023-11-30T00:00:00"/>
    <x v="9"/>
    <x v="5"/>
    <x v="4"/>
    <x v="1015"/>
    <n v="19"/>
    <x v="1"/>
    <s v="Recovered"/>
    <x v="0"/>
    <x v="0"/>
    <s v="Insurance"/>
    <n v="9"/>
    <x v="1014"/>
    <s v="Yes"/>
    <x v="0"/>
  </r>
  <r>
    <x v="1017"/>
    <x v="69"/>
    <x v="1"/>
    <x v="1"/>
    <x v="641"/>
    <d v="2023-12-24T00:00:00"/>
    <x v="2"/>
    <x v="2"/>
    <x v="3"/>
    <x v="1016"/>
    <n v="5"/>
    <x v="0"/>
    <s v="Recovered"/>
    <x v="2"/>
    <x v="1"/>
    <s v="Card"/>
    <n v="11"/>
    <x v="1015"/>
    <s v="Yes"/>
    <x v="0"/>
  </r>
  <r>
    <x v="1018"/>
    <x v="18"/>
    <x v="0"/>
    <x v="1"/>
    <x v="401"/>
    <d v="2024-10-07T00:00:00"/>
    <x v="5"/>
    <x v="4"/>
    <x v="2"/>
    <x v="1017"/>
    <n v="5"/>
    <x v="1"/>
    <s v="Recovered"/>
    <x v="0"/>
    <x v="3"/>
    <s v="UPI"/>
    <n v="1"/>
    <x v="1016"/>
    <s v="Yes"/>
    <x v="0"/>
  </r>
  <r>
    <x v="1019"/>
    <x v="59"/>
    <x v="0"/>
    <x v="2"/>
    <x v="248"/>
    <d v="2023-03-25T00:00:00"/>
    <x v="5"/>
    <x v="4"/>
    <x v="3"/>
    <x v="1018"/>
    <n v="15"/>
    <x v="1"/>
    <s v="Recovered"/>
    <x v="2"/>
    <x v="3"/>
    <s v="Card"/>
    <n v="14"/>
    <x v="1017"/>
    <s v="Yes"/>
    <x v="1"/>
  </r>
  <r>
    <x v="1020"/>
    <x v="5"/>
    <x v="0"/>
    <x v="2"/>
    <x v="555"/>
    <d v="2024-12-11T00:00:00"/>
    <x v="0"/>
    <x v="0"/>
    <x v="1"/>
    <x v="1019"/>
    <n v="7"/>
    <x v="0"/>
    <s v="Recovered"/>
    <x v="0"/>
    <x v="1"/>
    <s v="UPI"/>
    <n v="15"/>
    <x v="1018"/>
    <s v="Yes"/>
    <x v="0"/>
  </r>
  <r>
    <x v="1021"/>
    <x v="16"/>
    <x v="0"/>
    <x v="2"/>
    <x v="642"/>
    <d v="2024-02-02T00:00:00"/>
    <x v="8"/>
    <x v="6"/>
    <x v="0"/>
    <x v="1020"/>
    <n v="8"/>
    <x v="1"/>
    <s v="Recovered"/>
    <x v="2"/>
    <x v="3"/>
    <s v="Cash"/>
    <n v="6"/>
    <x v="1019"/>
    <s v="No"/>
    <x v="0"/>
  </r>
  <r>
    <x v="1022"/>
    <x v="69"/>
    <x v="0"/>
    <x v="7"/>
    <x v="345"/>
    <d v="2024-06-10T00:00:00"/>
    <x v="2"/>
    <x v="2"/>
    <x v="6"/>
    <x v="1021"/>
    <n v="12"/>
    <x v="0"/>
    <s v="Recovered"/>
    <x v="0"/>
    <x v="2"/>
    <s v="Card"/>
    <n v="3"/>
    <x v="1020"/>
    <s v="No"/>
    <x v="0"/>
  </r>
  <r>
    <x v="1023"/>
    <x v="34"/>
    <x v="0"/>
    <x v="2"/>
    <x v="285"/>
    <d v="2023-08-31T00:00:00"/>
    <x v="1"/>
    <x v="1"/>
    <x v="6"/>
    <x v="1022"/>
    <n v="13"/>
    <x v="0"/>
    <s v="Recovered"/>
    <x v="1"/>
    <x v="0"/>
    <s v="UPI"/>
    <n v="9"/>
    <x v="1021"/>
    <s v="No"/>
    <x v="0"/>
  </r>
  <r>
    <x v="1024"/>
    <x v="19"/>
    <x v="1"/>
    <x v="4"/>
    <x v="481"/>
    <d v="2023-07-29T00:00:00"/>
    <x v="2"/>
    <x v="2"/>
    <x v="0"/>
    <x v="1023"/>
    <n v="4"/>
    <x v="1"/>
    <s v="Recovered"/>
    <x v="0"/>
    <x v="0"/>
    <s v="Insurance"/>
    <n v="2"/>
    <x v="1022"/>
    <s v="Yes"/>
    <x v="0"/>
  </r>
  <r>
    <x v="1025"/>
    <x v="71"/>
    <x v="1"/>
    <x v="5"/>
    <x v="125"/>
    <d v="2023-05-03T00:00:00"/>
    <x v="8"/>
    <x v="6"/>
    <x v="3"/>
    <x v="1024"/>
    <n v="17"/>
    <x v="0"/>
    <s v="Recovered"/>
    <x v="0"/>
    <x v="1"/>
    <s v="Cash"/>
    <n v="4"/>
    <x v="1023"/>
    <s v="No"/>
    <x v="1"/>
  </r>
  <r>
    <x v="1026"/>
    <x v="10"/>
    <x v="0"/>
    <x v="7"/>
    <x v="258"/>
    <d v="2023-08-19T00:00:00"/>
    <x v="6"/>
    <x v="2"/>
    <x v="6"/>
    <x v="1025"/>
    <n v="3"/>
    <x v="1"/>
    <s v="Recovered"/>
    <x v="2"/>
    <x v="0"/>
    <s v="Card"/>
    <n v="14"/>
    <x v="1024"/>
    <s v="No"/>
    <x v="1"/>
  </r>
  <r>
    <x v="1027"/>
    <x v="8"/>
    <x v="1"/>
    <x v="4"/>
    <x v="643"/>
    <d v="2024-02-19T00:00:00"/>
    <x v="9"/>
    <x v="5"/>
    <x v="5"/>
    <x v="1026"/>
    <n v="12"/>
    <x v="0"/>
    <s v="Recovered"/>
    <x v="2"/>
    <x v="3"/>
    <s v="Card"/>
    <n v="4"/>
    <x v="1025"/>
    <s v="Yes"/>
    <x v="0"/>
  </r>
  <r>
    <x v="1028"/>
    <x v="43"/>
    <x v="0"/>
    <x v="6"/>
    <x v="644"/>
    <d v="2024-02-25T00:00:00"/>
    <x v="3"/>
    <x v="0"/>
    <x v="7"/>
    <x v="1027"/>
    <n v="15"/>
    <x v="0"/>
    <s v="Recovered"/>
    <x v="1"/>
    <x v="1"/>
    <s v="UPI"/>
    <n v="7"/>
    <x v="1026"/>
    <s v="Yes"/>
    <x v="1"/>
  </r>
  <r>
    <x v="1029"/>
    <x v="53"/>
    <x v="0"/>
    <x v="5"/>
    <x v="66"/>
    <d v="2023-10-07T00:00:00"/>
    <x v="0"/>
    <x v="0"/>
    <x v="6"/>
    <x v="1028"/>
    <n v="4"/>
    <x v="1"/>
    <s v="Recovered"/>
    <x v="0"/>
    <x v="3"/>
    <s v="UPI"/>
    <n v="13"/>
    <x v="1027"/>
    <s v="No"/>
    <x v="0"/>
  </r>
  <r>
    <x v="1030"/>
    <x v="1"/>
    <x v="1"/>
    <x v="2"/>
    <x v="67"/>
    <d v="2023-02-11T00:00:00"/>
    <x v="4"/>
    <x v="3"/>
    <x v="2"/>
    <x v="1029"/>
    <n v="17"/>
    <x v="1"/>
    <s v="Recovered"/>
    <x v="1"/>
    <x v="1"/>
    <s v="Cash"/>
    <n v="5"/>
    <x v="1028"/>
    <s v="No"/>
    <x v="0"/>
  </r>
  <r>
    <x v="1031"/>
    <x v="58"/>
    <x v="1"/>
    <x v="0"/>
    <x v="645"/>
    <d v="2023-03-11T00:00:00"/>
    <x v="9"/>
    <x v="5"/>
    <x v="4"/>
    <x v="1030"/>
    <n v="4"/>
    <x v="1"/>
    <s v="Recovered"/>
    <x v="0"/>
    <x v="0"/>
    <s v="Card"/>
    <n v="5"/>
    <x v="1029"/>
    <s v="No"/>
    <x v="0"/>
  </r>
  <r>
    <x v="1032"/>
    <x v="66"/>
    <x v="1"/>
    <x v="3"/>
    <x v="646"/>
    <d v="2023-11-24T00:00:00"/>
    <x v="7"/>
    <x v="5"/>
    <x v="7"/>
    <x v="1031"/>
    <n v="3"/>
    <x v="0"/>
    <s v="Recovered"/>
    <x v="2"/>
    <x v="3"/>
    <s v="UPI"/>
    <n v="7"/>
    <x v="1030"/>
    <s v="Yes"/>
    <x v="1"/>
  </r>
  <r>
    <x v="1033"/>
    <x v="27"/>
    <x v="1"/>
    <x v="4"/>
    <x v="161"/>
    <d v="2024-07-01T00:00:00"/>
    <x v="0"/>
    <x v="0"/>
    <x v="5"/>
    <x v="1032"/>
    <n v="15"/>
    <x v="1"/>
    <s v="Under Observation"/>
    <x v="1"/>
    <x v="0"/>
    <s v="Card"/>
    <n v="13"/>
    <x v="1031"/>
    <s v="Yes"/>
    <x v="0"/>
  </r>
  <r>
    <x v="1034"/>
    <x v="14"/>
    <x v="0"/>
    <x v="5"/>
    <x v="312"/>
    <d v="2025-08-27T00:00:00"/>
    <x v="6"/>
    <x v="2"/>
    <x v="0"/>
    <x v="1033"/>
    <n v="17"/>
    <x v="1"/>
    <s v="Recovered"/>
    <x v="1"/>
    <x v="1"/>
    <s v="Card"/>
    <n v="3"/>
    <x v="1032"/>
    <s v="Yes"/>
    <x v="0"/>
  </r>
  <r>
    <x v="1035"/>
    <x v="69"/>
    <x v="0"/>
    <x v="2"/>
    <x v="647"/>
    <d v="2025-01-25T00:00:00"/>
    <x v="1"/>
    <x v="1"/>
    <x v="3"/>
    <x v="1034"/>
    <n v="4"/>
    <x v="1"/>
    <s v="Recovered"/>
    <x v="2"/>
    <x v="1"/>
    <s v="Cash"/>
    <n v="14"/>
    <x v="1033"/>
    <s v="Yes"/>
    <x v="0"/>
  </r>
  <r>
    <x v="1036"/>
    <x v="26"/>
    <x v="1"/>
    <x v="4"/>
    <x v="648"/>
    <d v="2023-07-04T00:00:00"/>
    <x v="5"/>
    <x v="4"/>
    <x v="0"/>
    <x v="1035"/>
    <n v="17"/>
    <x v="0"/>
    <s v="Referred"/>
    <x v="2"/>
    <x v="0"/>
    <s v="UPI"/>
    <n v="4"/>
    <x v="1034"/>
    <s v="Yes"/>
    <x v="0"/>
  </r>
  <r>
    <x v="1037"/>
    <x v="58"/>
    <x v="0"/>
    <x v="0"/>
    <x v="233"/>
    <d v="2025-01-08T00:00:00"/>
    <x v="2"/>
    <x v="2"/>
    <x v="4"/>
    <x v="1036"/>
    <n v="6"/>
    <x v="0"/>
    <s v="Under Observation"/>
    <x v="0"/>
    <x v="2"/>
    <s v="Cash"/>
    <n v="7"/>
    <x v="1035"/>
    <s v="No"/>
    <x v="0"/>
  </r>
  <r>
    <x v="1038"/>
    <x v="20"/>
    <x v="0"/>
    <x v="4"/>
    <x v="649"/>
    <d v="2023-12-08T00:00:00"/>
    <x v="5"/>
    <x v="4"/>
    <x v="2"/>
    <x v="1037"/>
    <n v="18"/>
    <x v="0"/>
    <s v="Recovered"/>
    <x v="2"/>
    <x v="0"/>
    <s v="UPI"/>
    <n v="7"/>
    <x v="1036"/>
    <s v="Yes"/>
    <x v="0"/>
  </r>
  <r>
    <x v="1039"/>
    <x v="23"/>
    <x v="1"/>
    <x v="1"/>
    <x v="391"/>
    <d v="2023-04-02T00:00:00"/>
    <x v="0"/>
    <x v="0"/>
    <x v="5"/>
    <x v="1038"/>
    <n v="17"/>
    <x v="1"/>
    <s v="Recovered"/>
    <x v="1"/>
    <x v="3"/>
    <s v="Card"/>
    <n v="8"/>
    <x v="1037"/>
    <s v="No"/>
    <x v="0"/>
  </r>
  <r>
    <x v="1040"/>
    <x v="29"/>
    <x v="0"/>
    <x v="6"/>
    <x v="650"/>
    <d v="2023-09-22T00:00:00"/>
    <x v="7"/>
    <x v="5"/>
    <x v="0"/>
    <x v="1039"/>
    <n v="13"/>
    <x v="1"/>
    <s v="Recovered"/>
    <x v="2"/>
    <x v="3"/>
    <s v="Card"/>
    <n v="13"/>
    <x v="1038"/>
    <s v="No"/>
    <x v="1"/>
  </r>
  <r>
    <x v="1041"/>
    <x v="37"/>
    <x v="0"/>
    <x v="4"/>
    <x v="651"/>
    <d v="2023-09-07T00:00:00"/>
    <x v="9"/>
    <x v="5"/>
    <x v="0"/>
    <x v="1040"/>
    <n v="1"/>
    <x v="1"/>
    <s v="Recovered"/>
    <x v="1"/>
    <x v="3"/>
    <s v="Cash"/>
    <n v="6"/>
    <x v="1039"/>
    <s v="No"/>
    <x v="0"/>
  </r>
  <r>
    <x v="1042"/>
    <x v="46"/>
    <x v="1"/>
    <x v="0"/>
    <x v="415"/>
    <d v="2025-10-12T00:00:00"/>
    <x v="7"/>
    <x v="5"/>
    <x v="2"/>
    <x v="1041"/>
    <n v="15"/>
    <x v="1"/>
    <s v="Under Observation"/>
    <x v="0"/>
    <x v="0"/>
    <s v="Insurance"/>
    <n v="7"/>
    <x v="1040"/>
    <s v="No"/>
    <x v="0"/>
  </r>
  <r>
    <x v="1043"/>
    <x v="61"/>
    <x v="1"/>
    <x v="5"/>
    <x v="652"/>
    <d v="2024-01-31T00:00:00"/>
    <x v="3"/>
    <x v="0"/>
    <x v="0"/>
    <x v="1042"/>
    <n v="14"/>
    <x v="0"/>
    <s v="Recovered"/>
    <x v="2"/>
    <x v="3"/>
    <s v="Insurance"/>
    <n v="15"/>
    <x v="1041"/>
    <s v="Yes"/>
    <x v="1"/>
  </r>
  <r>
    <x v="1044"/>
    <x v="57"/>
    <x v="1"/>
    <x v="3"/>
    <x v="653"/>
    <d v="2023-10-06T00:00:00"/>
    <x v="1"/>
    <x v="1"/>
    <x v="3"/>
    <x v="1043"/>
    <n v="9"/>
    <x v="1"/>
    <s v="Recovered"/>
    <x v="1"/>
    <x v="3"/>
    <s v="Cash"/>
    <n v="8"/>
    <x v="1042"/>
    <s v="Yes"/>
    <x v="0"/>
  </r>
  <r>
    <x v="1045"/>
    <x v="38"/>
    <x v="0"/>
    <x v="7"/>
    <x v="506"/>
    <d v="2024-07-20T00:00:00"/>
    <x v="8"/>
    <x v="6"/>
    <x v="1"/>
    <x v="1044"/>
    <n v="30"/>
    <x v="0"/>
    <s v="Recovered"/>
    <x v="0"/>
    <x v="2"/>
    <s v="Card"/>
    <n v="12"/>
    <x v="1043"/>
    <s v="No"/>
    <x v="1"/>
  </r>
  <r>
    <x v="1046"/>
    <x v="72"/>
    <x v="1"/>
    <x v="0"/>
    <x v="654"/>
    <d v="2025-04-19T00:00:00"/>
    <x v="7"/>
    <x v="5"/>
    <x v="7"/>
    <x v="1045"/>
    <n v="9"/>
    <x v="0"/>
    <s v="Referred"/>
    <x v="2"/>
    <x v="1"/>
    <s v="Cash"/>
    <n v="11"/>
    <x v="1044"/>
    <s v="No"/>
    <x v="1"/>
  </r>
  <r>
    <x v="1047"/>
    <x v="4"/>
    <x v="1"/>
    <x v="1"/>
    <x v="575"/>
    <d v="2023-07-25T00:00:00"/>
    <x v="7"/>
    <x v="5"/>
    <x v="4"/>
    <x v="1046"/>
    <n v="6"/>
    <x v="1"/>
    <s v="Deceased"/>
    <x v="1"/>
    <x v="1"/>
    <s v="UPI"/>
    <n v="4"/>
    <x v="1045"/>
    <s v="No"/>
    <x v="1"/>
  </r>
  <r>
    <x v="1048"/>
    <x v="72"/>
    <x v="1"/>
    <x v="4"/>
    <x v="542"/>
    <d v="2024-01-16T00:00:00"/>
    <x v="9"/>
    <x v="5"/>
    <x v="2"/>
    <x v="1047"/>
    <n v="11"/>
    <x v="1"/>
    <s v="Recovered"/>
    <x v="1"/>
    <x v="3"/>
    <s v="Insurance"/>
    <n v="5"/>
    <x v="1046"/>
    <s v="Yes"/>
    <x v="0"/>
  </r>
  <r>
    <x v="1049"/>
    <x v="17"/>
    <x v="1"/>
    <x v="0"/>
    <x v="435"/>
    <d v="2025-10-05T00:00:00"/>
    <x v="1"/>
    <x v="1"/>
    <x v="2"/>
    <x v="1048"/>
    <n v="28"/>
    <x v="1"/>
    <s v="Recovered"/>
    <x v="0"/>
    <x v="2"/>
    <s v="Card"/>
    <n v="15"/>
    <x v="1047"/>
    <s v="Yes"/>
    <x v="0"/>
  </r>
  <r>
    <x v="1050"/>
    <x v="9"/>
    <x v="1"/>
    <x v="5"/>
    <x v="655"/>
    <d v="2024-08-23T00:00:00"/>
    <x v="5"/>
    <x v="4"/>
    <x v="5"/>
    <x v="1049"/>
    <n v="8"/>
    <x v="1"/>
    <s v="Under Observation"/>
    <x v="2"/>
    <x v="3"/>
    <s v="Card"/>
    <n v="13"/>
    <x v="1048"/>
    <s v="No"/>
    <x v="0"/>
  </r>
  <r>
    <x v="1051"/>
    <x v="55"/>
    <x v="1"/>
    <x v="0"/>
    <x v="437"/>
    <d v="2023-04-18T00:00:00"/>
    <x v="4"/>
    <x v="3"/>
    <x v="7"/>
    <x v="1050"/>
    <n v="14"/>
    <x v="0"/>
    <s v="Recovered"/>
    <x v="0"/>
    <x v="3"/>
    <s v="UPI"/>
    <n v="8"/>
    <x v="1049"/>
    <s v="No"/>
    <x v="0"/>
  </r>
  <r>
    <x v="1052"/>
    <x v="25"/>
    <x v="0"/>
    <x v="5"/>
    <x v="582"/>
    <d v="2023-01-29T00:00:00"/>
    <x v="8"/>
    <x v="6"/>
    <x v="1"/>
    <x v="1051"/>
    <n v="14"/>
    <x v="0"/>
    <s v="Deceased"/>
    <x v="1"/>
    <x v="1"/>
    <s v="Card"/>
    <n v="4"/>
    <x v="1050"/>
    <s v="Yes"/>
    <x v="0"/>
  </r>
  <r>
    <x v="1053"/>
    <x v="49"/>
    <x v="0"/>
    <x v="5"/>
    <x v="656"/>
    <d v="2024-11-04T00:00:00"/>
    <x v="1"/>
    <x v="1"/>
    <x v="1"/>
    <x v="1052"/>
    <n v="20"/>
    <x v="0"/>
    <s v="Recovered"/>
    <x v="1"/>
    <x v="1"/>
    <s v="Card"/>
    <n v="10"/>
    <x v="1051"/>
    <s v="Yes"/>
    <x v="0"/>
  </r>
  <r>
    <x v="1054"/>
    <x v="57"/>
    <x v="1"/>
    <x v="2"/>
    <x v="260"/>
    <d v="2025-02-14T00:00:00"/>
    <x v="9"/>
    <x v="5"/>
    <x v="3"/>
    <x v="1053"/>
    <n v="7"/>
    <x v="0"/>
    <s v="Under Observation"/>
    <x v="1"/>
    <x v="3"/>
    <s v="Cash"/>
    <n v="2"/>
    <x v="1052"/>
    <s v="No"/>
    <x v="0"/>
  </r>
  <r>
    <x v="1055"/>
    <x v="18"/>
    <x v="0"/>
    <x v="4"/>
    <x v="657"/>
    <d v="2025-05-05T00:00:00"/>
    <x v="4"/>
    <x v="3"/>
    <x v="7"/>
    <x v="1054"/>
    <n v="10"/>
    <x v="0"/>
    <s v="Recovered"/>
    <x v="0"/>
    <x v="1"/>
    <s v="Card"/>
    <n v="14"/>
    <x v="1053"/>
    <s v="No"/>
    <x v="1"/>
  </r>
  <r>
    <x v="1056"/>
    <x v="16"/>
    <x v="1"/>
    <x v="0"/>
    <x v="378"/>
    <d v="2023-11-14T00:00:00"/>
    <x v="9"/>
    <x v="5"/>
    <x v="7"/>
    <x v="1055"/>
    <n v="11"/>
    <x v="0"/>
    <s v="Recovered"/>
    <x v="1"/>
    <x v="1"/>
    <s v="Cash"/>
    <n v="6"/>
    <x v="1054"/>
    <s v="Yes"/>
    <x v="0"/>
  </r>
  <r>
    <x v="1057"/>
    <x v="19"/>
    <x v="0"/>
    <x v="0"/>
    <x v="658"/>
    <d v="2024-01-15T00:00:00"/>
    <x v="4"/>
    <x v="3"/>
    <x v="6"/>
    <x v="1056"/>
    <n v="18"/>
    <x v="0"/>
    <s v="Recovered"/>
    <x v="2"/>
    <x v="3"/>
    <s v="UPI"/>
    <n v="10"/>
    <x v="1055"/>
    <s v="Yes"/>
    <x v="0"/>
  </r>
  <r>
    <x v="1058"/>
    <x v="44"/>
    <x v="1"/>
    <x v="5"/>
    <x v="488"/>
    <d v="2023-01-29T00:00:00"/>
    <x v="7"/>
    <x v="5"/>
    <x v="1"/>
    <x v="1057"/>
    <n v="12"/>
    <x v="0"/>
    <s v="Referred"/>
    <x v="2"/>
    <x v="1"/>
    <s v="Cash"/>
    <n v="3"/>
    <x v="1056"/>
    <s v="No"/>
    <x v="0"/>
  </r>
  <r>
    <x v="1059"/>
    <x v="14"/>
    <x v="0"/>
    <x v="1"/>
    <x v="659"/>
    <d v="2025-06-20T00:00:00"/>
    <x v="3"/>
    <x v="0"/>
    <x v="7"/>
    <x v="1058"/>
    <n v="16"/>
    <x v="0"/>
    <s v="Recovered"/>
    <x v="1"/>
    <x v="0"/>
    <s v="UPI"/>
    <n v="14"/>
    <x v="1057"/>
    <s v="Yes"/>
    <x v="0"/>
  </r>
  <r>
    <x v="1060"/>
    <x v="58"/>
    <x v="1"/>
    <x v="0"/>
    <x v="660"/>
    <d v="2024-04-16T00:00:00"/>
    <x v="6"/>
    <x v="2"/>
    <x v="4"/>
    <x v="1059"/>
    <n v="12"/>
    <x v="0"/>
    <s v="Recovered"/>
    <x v="0"/>
    <x v="0"/>
    <s v="UPI"/>
    <n v="14"/>
    <x v="1058"/>
    <s v="Yes"/>
    <x v="0"/>
  </r>
  <r>
    <x v="1061"/>
    <x v="45"/>
    <x v="0"/>
    <x v="4"/>
    <x v="473"/>
    <d v="2024-10-18T00:00:00"/>
    <x v="0"/>
    <x v="0"/>
    <x v="0"/>
    <x v="1060"/>
    <n v="20"/>
    <x v="0"/>
    <s v="Recovered"/>
    <x v="0"/>
    <x v="3"/>
    <s v="Insurance"/>
    <n v="15"/>
    <x v="1059"/>
    <s v="Yes"/>
    <x v="0"/>
  </r>
  <r>
    <x v="1062"/>
    <x v="47"/>
    <x v="1"/>
    <x v="0"/>
    <x v="637"/>
    <d v="2023-01-27T00:00:00"/>
    <x v="7"/>
    <x v="5"/>
    <x v="3"/>
    <x v="1061"/>
    <n v="17"/>
    <x v="1"/>
    <s v="Recovered"/>
    <x v="0"/>
    <x v="1"/>
    <s v="Insurance"/>
    <n v="1"/>
    <x v="1060"/>
    <s v="No"/>
    <x v="0"/>
  </r>
  <r>
    <x v="1063"/>
    <x v="43"/>
    <x v="0"/>
    <x v="2"/>
    <x v="422"/>
    <d v="2024-01-10T00:00:00"/>
    <x v="8"/>
    <x v="6"/>
    <x v="2"/>
    <x v="1062"/>
    <n v="6"/>
    <x v="0"/>
    <s v="Recovered"/>
    <x v="2"/>
    <x v="3"/>
    <s v="Cash"/>
    <n v="11"/>
    <x v="1061"/>
    <s v="Yes"/>
    <x v="0"/>
  </r>
  <r>
    <x v="1064"/>
    <x v="3"/>
    <x v="0"/>
    <x v="0"/>
    <x v="661"/>
    <d v="2025-02-13T00:00:00"/>
    <x v="1"/>
    <x v="1"/>
    <x v="1"/>
    <x v="1063"/>
    <n v="7"/>
    <x v="1"/>
    <s v="Recovered"/>
    <x v="1"/>
    <x v="1"/>
    <s v="Card"/>
    <n v="1"/>
    <x v="1062"/>
    <s v="No"/>
    <x v="0"/>
  </r>
  <r>
    <x v="1065"/>
    <x v="2"/>
    <x v="1"/>
    <x v="0"/>
    <x v="662"/>
    <d v="2023-07-20T00:00:00"/>
    <x v="7"/>
    <x v="5"/>
    <x v="2"/>
    <x v="1064"/>
    <n v="9"/>
    <x v="1"/>
    <s v="Recovered"/>
    <x v="2"/>
    <x v="1"/>
    <s v="Insurance"/>
    <n v="13"/>
    <x v="1063"/>
    <s v="No"/>
    <x v="0"/>
  </r>
  <r>
    <x v="1066"/>
    <x v="36"/>
    <x v="1"/>
    <x v="3"/>
    <x v="663"/>
    <d v="2025-01-14T00:00:00"/>
    <x v="5"/>
    <x v="4"/>
    <x v="6"/>
    <x v="1065"/>
    <n v="20"/>
    <x v="1"/>
    <s v="Recovered"/>
    <x v="0"/>
    <x v="2"/>
    <s v="Insurance"/>
    <n v="10"/>
    <x v="1064"/>
    <s v="Yes"/>
    <x v="0"/>
  </r>
  <r>
    <x v="1067"/>
    <x v="26"/>
    <x v="0"/>
    <x v="5"/>
    <x v="619"/>
    <d v="2025-02-05T00:00:00"/>
    <x v="4"/>
    <x v="3"/>
    <x v="2"/>
    <x v="1066"/>
    <n v="17"/>
    <x v="1"/>
    <s v="Recovered"/>
    <x v="1"/>
    <x v="0"/>
    <s v="Cash"/>
    <n v="10"/>
    <x v="1065"/>
    <s v="Yes"/>
    <x v="0"/>
  </r>
  <r>
    <x v="1068"/>
    <x v="35"/>
    <x v="1"/>
    <x v="2"/>
    <x v="644"/>
    <d v="2024-02-21T00:00:00"/>
    <x v="4"/>
    <x v="3"/>
    <x v="1"/>
    <x v="1067"/>
    <n v="11"/>
    <x v="0"/>
    <s v="Recovered"/>
    <x v="1"/>
    <x v="0"/>
    <s v="Insurance"/>
    <n v="9"/>
    <x v="1066"/>
    <s v="Yes"/>
    <x v="0"/>
  </r>
  <r>
    <x v="1069"/>
    <x v="15"/>
    <x v="1"/>
    <x v="4"/>
    <x v="131"/>
    <d v="2023-08-24T00:00:00"/>
    <x v="5"/>
    <x v="4"/>
    <x v="7"/>
    <x v="1068"/>
    <n v="2"/>
    <x v="1"/>
    <s v="Referred"/>
    <x v="1"/>
    <x v="3"/>
    <s v="Insurance"/>
    <n v="4"/>
    <x v="1067"/>
    <s v="Yes"/>
    <x v="1"/>
  </r>
  <r>
    <x v="1070"/>
    <x v="55"/>
    <x v="0"/>
    <x v="4"/>
    <x v="664"/>
    <d v="2023-07-11T00:00:00"/>
    <x v="7"/>
    <x v="5"/>
    <x v="0"/>
    <x v="1069"/>
    <n v="18"/>
    <x v="0"/>
    <s v="Recovered"/>
    <x v="0"/>
    <x v="3"/>
    <s v="UPI"/>
    <n v="2"/>
    <x v="1068"/>
    <s v="No"/>
    <x v="0"/>
  </r>
  <r>
    <x v="1071"/>
    <x v="9"/>
    <x v="1"/>
    <x v="3"/>
    <x v="272"/>
    <d v="2025-01-06T00:00:00"/>
    <x v="3"/>
    <x v="0"/>
    <x v="4"/>
    <x v="1070"/>
    <n v="16"/>
    <x v="1"/>
    <s v="Referred"/>
    <x v="0"/>
    <x v="1"/>
    <s v="Cash"/>
    <n v="14"/>
    <x v="1069"/>
    <s v="Yes"/>
    <x v="0"/>
  </r>
  <r>
    <x v="1072"/>
    <x v="63"/>
    <x v="0"/>
    <x v="5"/>
    <x v="665"/>
    <d v="2023-12-29T00:00:00"/>
    <x v="8"/>
    <x v="6"/>
    <x v="1"/>
    <x v="1071"/>
    <n v="20"/>
    <x v="1"/>
    <s v="Recovered"/>
    <x v="1"/>
    <x v="0"/>
    <s v="Cash"/>
    <n v="5"/>
    <x v="1070"/>
    <s v="Yes"/>
    <x v="0"/>
  </r>
  <r>
    <x v="1073"/>
    <x v="19"/>
    <x v="1"/>
    <x v="0"/>
    <x v="666"/>
    <d v="2024-11-28T00:00:00"/>
    <x v="4"/>
    <x v="3"/>
    <x v="2"/>
    <x v="1072"/>
    <n v="14"/>
    <x v="1"/>
    <s v="Recovered"/>
    <x v="0"/>
    <x v="0"/>
    <s v="Insurance"/>
    <n v="12"/>
    <x v="1071"/>
    <s v="No"/>
    <x v="0"/>
  </r>
  <r>
    <x v="1074"/>
    <x v="1"/>
    <x v="0"/>
    <x v="7"/>
    <x v="667"/>
    <d v="2023-10-19T00:00:00"/>
    <x v="5"/>
    <x v="4"/>
    <x v="5"/>
    <x v="1073"/>
    <n v="15"/>
    <x v="1"/>
    <s v="Recovered"/>
    <x v="2"/>
    <x v="2"/>
    <s v="UPI"/>
    <n v="12"/>
    <x v="1072"/>
    <s v="Yes"/>
    <x v="1"/>
  </r>
  <r>
    <x v="1075"/>
    <x v="53"/>
    <x v="1"/>
    <x v="2"/>
    <x v="668"/>
    <d v="2025-02-09T00:00:00"/>
    <x v="6"/>
    <x v="2"/>
    <x v="4"/>
    <x v="1074"/>
    <n v="14"/>
    <x v="0"/>
    <s v="Recovered"/>
    <x v="2"/>
    <x v="1"/>
    <s v="Card"/>
    <n v="2"/>
    <x v="1073"/>
    <s v="No"/>
    <x v="0"/>
  </r>
  <r>
    <x v="1076"/>
    <x v="61"/>
    <x v="1"/>
    <x v="0"/>
    <x v="465"/>
    <d v="2024-12-20T00:00:00"/>
    <x v="1"/>
    <x v="1"/>
    <x v="7"/>
    <x v="1075"/>
    <n v="3"/>
    <x v="1"/>
    <s v="Recovered"/>
    <x v="1"/>
    <x v="0"/>
    <s v="Insurance"/>
    <n v="10"/>
    <x v="1074"/>
    <s v="Yes"/>
    <x v="0"/>
  </r>
  <r>
    <x v="1077"/>
    <x v="55"/>
    <x v="1"/>
    <x v="1"/>
    <x v="82"/>
    <d v="2025-09-29T00:00:00"/>
    <x v="4"/>
    <x v="3"/>
    <x v="1"/>
    <x v="1076"/>
    <n v="7"/>
    <x v="0"/>
    <s v="Recovered"/>
    <x v="2"/>
    <x v="3"/>
    <s v="UPI"/>
    <n v="9"/>
    <x v="1075"/>
    <s v="Yes"/>
    <x v="0"/>
  </r>
  <r>
    <x v="1078"/>
    <x v="28"/>
    <x v="0"/>
    <x v="3"/>
    <x v="298"/>
    <d v="2023-10-23T00:00:00"/>
    <x v="7"/>
    <x v="5"/>
    <x v="6"/>
    <x v="1077"/>
    <n v="12"/>
    <x v="0"/>
    <s v="Recovered"/>
    <x v="2"/>
    <x v="0"/>
    <s v="Cash"/>
    <n v="13"/>
    <x v="1076"/>
    <s v="Yes"/>
    <x v="0"/>
  </r>
  <r>
    <x v="1079"/>
    <x v="18"/>
    <x v="1"/>
    <x v="1"/>
    <x v="669"/>
    <d v="2025-10-09T00:00:00"/>
    <x v="1"/>
    <x v="1"/>
    <x v="5"/>
    <x v="1078"/>
    <n v="13"/>
    <x v="1"/>
    <s v="Recovered"/>
    <x v="1"/>
    <x v="3"/>
    <s v="UPI"/>
    <n v="8"/>
    <x v="1077"/>
    <s v="Yes"/>
    <x v="0"/>
  </r>
  <r>
    <x v="1080"/>
    <x v="2"/>
    <x v="1"/>
    <x v="4"/>
    <x v="140"/>
    <d v="2025-03-23T00:00:00"/>
    <x v="2"/>
    <x v="2"/>
    <x v="6"/>
    <x v="1079"/>
    <n v="6"/>
    <x v="1"/>
    <s v="Recovered"/>
    <x v="0"/>
    <x v="1"/>
    <s v="Insurance"/>
    <n v="3"/>
    <x v="1078"/>
    <s v="Yes"/>
    <x v="0"/>
  </r>
  <r>
    <x v="1081"/>
    <x v="42"/>
    <x v="1"/>
    <x v="6"/>
    <x v="264"/>
    <d v="2024-06-26T00:00:00"/>
    <x v="7"/>
    <x v="5"/>
    <x v="7"/>
    <x v="1080"/>
    <n v="20"/>
    <x v="0"/>
    <s v="Recovered"/>
    <x v="2"/>
    <x v="1"/>
    <s v="Card"/>
    <n v="4"/>
    <x v="1079"/>
    <s v="Yes"/>
    <x v="0"/>
  </r>
  <r>
    <x v="1082"/>
    <x v="32"/>
    <x v="1"/>
    <x v="6"/>
    <x v="670"/>
    <d v="2024-12-12T00:00:00"/>
    <x v="0"/>
    <x v="0"/>
    <x v="3"/>
    <x v="1081"/>
    <n v="21"/>
    <x v="0"/>
    <s v="Recovered"/>
    <x v="0"/>
    <x v="2"/>
    <s v="UPI"/>
    <n v="12"/>
    <x v="1080"/>
    <s v="Yes"/>
    <x v="0"/>
  </r>
  <r>
    <x v="1083"/>
    <x v="56"/>
    <x v="1"/>
    <x v="2"/>
    <x v="403"/>
    <d v="2025-09-28T00:00:00"/>
    <x v="5"/>
    <x v="4"/>
    <x v="3"/>
    <x v="1082"/>
    <n v="12"/>
    <x v="1"/>
    <s v="Referred"/>
    <x v="0"/>
    <x v="2"/>
    <s v="Cash"/>
    <n v="5"/>
    <x v="1081"/>
    <s v="No"/>
    <x v="0"/>
  </r>
  <r>
    <x v="1084"/>
    <x v="34"/>
    <x v="0"/>
    <x v="5"/>
    <x v="631"/>
    <d v="2023-11-12T00:00:00"/>
    <x v="3"/>
    <x v="0"/>
    <x v="3"/>
    <x v="1083"/>
    <n v="15"/>
    <x v="0"/>
    <s v="Under Observation"/>
    <x v="0"/>
    <x v="2"/>
    <s v="Card"/>
    <n v="4"/>
    <x v="1082"/>
    <s v="Yes"/>
    <x v="0"/>
  </r>
  <r>
    <x v="1085"/>
    <x v="39"/>
    <x v="1"/>
    <x v="2"/>
    <x v="656"/>
    <d v="2024-10-27T00:00:00"/>
    <x v="1"/>
    <x v="1"/>
    <x v="7"/>
    <x v="1084"/>
    <n v="12"/>
    <x v="0"/>
    <s v="Recovered"/>
    <x v="2"/>
    <x v="0"/>
    <s v="Card"/>
    <n v="15"/>
    <x v="1083"/>
    <s v="Yes"/>
    <x v="0"/>
  </r>
  <r>
    <x v="1086"/>
    <x v="0"/>
    <x v="0"/>
    <x v="2"/>
    <x v="600"/>
    <d v="2025-07-15T00:00:00"/>
    <x v="0"/>
    <x v="0"/>
    <x v="2"/>
    <x v="1085"/>
    <n v="10"/>
    <x v="0"/>
    <s v="Under Observation"/>
    <x v="2"/>
    <x v="0"/>
    <s v="UPI"/>
    <n v="12"/>
    <x v="1084"/>
    <s v="Yes"/>
    <x v="0"/>
  </r>
  <r>
    <x v="1087"/>
    <x v="49"/>
    <x v="0"/>
    <x v="5"/>
    <x v="239"/>
    <d v="2025-09-17T00:00:00"/>
    <x v="3"/>
    <x v="0"/>
    <x v="1"/>
    <x v="1086"/>
    <n v="5"/>
    <x v="0"/>
    <s v="Recovered"/>
    <x v="2"/>
    <x v="3"/>
    <s v="Cash"/>
    <n v="8"/>
    <x v="1085"/>
    <s v="Yes"/>
    <x v="0"/>
  </r>
  <r>
    <x v="1088"/>
    <x v="27"/>
    <x v="1"/>
    <x v="5"/>
    <x v="336"/>
    <d v="2023-06-04T00:00:00"/>
    <x v="7"/>
    <x v="5"/>
    <x v="0"/>
    <x v="1087"/>
    <n v="8"/>
    <x v="1"/>
    <s v="Recovered"/>
    <x v="0"/>
    <x v="3"/>
    <s v="Insurance"/>
    <n v="13"/>
    <x v="1086"/>
    <s v="No"/>
    <x v="0"/>
  </r>
  <r>
    <x v="1089"/>
    <x v="39"/>
    <x v="0"/>
    <x v="1"/>
    <x v="534"/>
    <d v="2024-12-31T00:00:00"/>
    <x v="2"/>
    <x v="2"/>
    <x v="7"/>
    <x v="1088"/>
    <n v="18"/>
    <x v="1"/>
    <s v="Recovered"/>
    <x v="2"/>
    <x v="1"/>
    <s v="Cash"/>
    <n v="11"/>
    <x v="1087"/>
    <s v="Yes"/>
    <x v="0"/>
  </r>
  <r>
    <x v="1090"/>
    <x v="67"/>
    <x v="0"/>
    <x v="3"/>
    <x v="39"/>
    <d v="2025-03-12T00:00:00"/>
    <x v="8"/>
    <x v="6"/>
    <x v="2"/>
    <x v="1089"/>
    <n v="9"/>
    <x v="1"/>
    <s v="Recovered"/>
    <x v="0"/>
    <x v="0"/>
    <s v="Card"/>
    <n v="11"/>
    <x v="1088"/>
    <s v="Yes"/>
    <x v="0"/>
  </r>
  <r>
    <x v="1091"/>
    <x v="65"/>
    <x v="0"/>
    <x v="5"/>
    <x v="671"/>
    <d v="2025-03-24T00:00:00"/>
    <x v="9"/>
    <x v="5"/>
    <x v="7"/>
    <x v="1090"/>
    <n v="8"/>
    <x v="1"/>
    <s v="Under Observation"/>
    <x v="1"/>
    <x v="3"/>
    <s v="Card"/>
    <n v="13"/>
    <x v="1089"/>
    <s v="No"/>
    <x v="0"/>
  </r>
  <r>
    <x v="1092"/>
    <x v="31"/>
    <x v="0"/>
    <x v="6"/>
    <x v="439"/>
    <d v="2024-10-24T00:00:00"/>
    <x v="2"/>
    <x v="2"/>
    <x v="6"/>
    <x v="1091"/>
    <n v="15"/>
    <x v="0"/>
    <s v="Recovered"/>
    <x v="1"/>
    <x v="1"/>
    <s v="Cash"/>
    <n v="1"/>
    <x v="1090"/>
    <s v="No"/>
    <x v="0"/>
  </r>
  <r>
    <x v="1093"/>
    <x v="50"/>
    <x v="0"/>
    <x v="2"/>
    <x v="672"/>
    <d v="2025-06-26T00:00:00"/>
    <x v="5"/>
    <x v="4"/>
    <x v="1"/>
    <x v="1092"/>
    <n v="19"/>
    <x v="0"/>
    <s v="Under Observation"/>
    <x v="0"/>
    <x v="1"/>
    <s v="UPI"/>
    <n v="1"/>
    <x v="1091"/>
    <s v="No"/>
    <x v="0"/>
  </r>
  <r>
    <x v="1094"/>
    <x v="68"/>
    <x v="1"/>
    <x v="5"/>
    <x v="673"/>
    <d v="2025-03-09T00:00:00"/>
    <x v="2"/>
    <x v="2"/>
    <x v="0"/>
    <x v="1093"/>
    <n v="10"/>
    <x v="1"/>
    <s v="Recovered"/>
    <x v="2"/>
    <x v="2"/>
    <s v="UPI"/>
    <n v="10"/>
    <x v="1092"/>
    <s v="Yes"/>
    <x v="0"/>
  </r>
  <r>
    <x v="1095"/>
    <x v="58"/>
    <x v="0"/>
    <x v="4"/>
    <x v="674"/>
    <d v="2023-08-11T00:00:00"/>
    <x v="8"/>
    <x v="6"/>
    <x v="2"/>
    <x v="1094"/>
    <n v="22"/>
    <x v="1"/>
    <s v="Recovered"/>
    <x v="1"/>
    <x v="2"/>
    <s v="Card"/>
    <n v="12"/>
    <x v="1093"/>
    <s v="Yes"/>
    <x v="0"/>
  </r>
  <r>
    <x v="1096"/>
    <x v="0"/>
    <x v="0"/>
    <x v="3"/>
    <x v="675"/>
    <d v="2024-06-23T00:00:00"/>
    <x v="0"/>
    <x v="0"/>
    <x v="4"/>
    <x v="1095"/>
    <n v="19"/>
    <x v="0"/>
    <s v="Recovered"/>
    <x v="1"/>
    <x v="0"/>
    <s v="UPI"/>
    <n v="13"/>
    <x v="1094"/>
    <s v="No"/>
    <x v="0"/>
  </r>
  <r>
    <x v="1097"/>
    <x v="30"/>
    <x v="0"/>
    <x v="7"/>
    <x v="73"/>
    <d v="2024-11-06T00:00:00"/>
    <x v="3"/>
    <x v="0"/>
    <x v="7"/>
    <x v="1096"/>
    <n v="14"/>
    <x v="0"/>
    <s v="Recovered"/>
    <x v="2"/>
    <x v="2"/>
    <s v="Card"/>
    <n v="12"/>
    <x v="1095"/>
    <s v="Yes"/>
    <x v="0"/>
  </r>
  <r>
    <x v="1098"/>
    <x v="15"/>
    <x v="0"/>
    <x v="6"/>
    <x v="340"/>
    <d v="2025-08-05T00:00:00"/>
    <x v="9"/>
    <x v="5"/>
    <x v="0"/>
    <x v="1097"/>
    <n v="19"/>
    <x v="1"/>
    <s v="Recovered"/>
    <x v="1"/>
    <x v="1"/>
    <s v="UPI"/>
    <n v="10"/>
    <x v="1096"/>
    <s v="No"/>
    <x v="0"/>
  </r>
  <r>
    <x v="1099"/>
    <x v="15"/>
    <x v="0"/>
    <x v="0"/>
    <x v="676"/>
    <d v="2024-02-25T00:00:00"/>
    <x v="1"/>
    <x v="1"/>
    <x v="5"/>
    <x v="1098"/>
    <n v="4"/>
    <x v="1"/>
    <s v="Under Observation"/>
    <x v="1"/>
    <x v="3"/>
    <s v="Insurance"/>
    <n v="9"/>
    <x v="1097"/>
    <s v="No"/>
    <x v="0"/>
  </r>
  <r>
    <x v="1100"/>
    <x v="34"/>
    <x v="1"/>
    <x v="2"/>
    <x v="671"/>
    <d v="2025-04-05T00:00:00"/>
    <x v="0"/>
    <x v="0"/>
    <x v="5"/>
    <x v="1099"/>
    <n v="20"/>
    <x v="1"/>
    <s v="Recovered"/>
    <x v="2"/>
    <x v="1"/>
    <s v="Cash"/>
    <n v="3"/>
    <x v="1098"/>
    <s v="Yes"/>
    <x v="0"/>
  </r>
  <r>
    <x v="1101"/>
    <x v="60"/>
    <x v="1"/>
    <x v="3"/>
    <x v="677"/>
    <d v="2023-07-13T00:00:00"/>
    <x v="9"/>
    <x v="5"/>
    <x v="6"/>
    <x v="1100"/>
    <n v="17"/>
    <x v="0"/>
    <s v="Recovered"/>
    <x v="0"/>
    <x v="0"/>
    <s v="Card"/>
    <n v="8"/>
    <x v="1099"/>
    <s v="Yes"/>
    <x v="1"/>
  </r>
  <r>
    <x v="1102"/>
    <x v="36"/>
    <x v="1"/>
    <x v="6"/>
    <x v="322"/>
    <d v="2024-05-24T00:00:00"/>
    <x v="2"/>
    <x v="2"/>
    <x v="0"/>
    <x v="1101"/>
    <n v="13"/>
    <x v="1"/>
    <s v="Recovered"/>
    <x v="1"/>
    <x v="1"/>
    <s v="Cash"/>
    <n v="9"/>
    <x v="1100"/>
    <s v="No"/>
    <x v="0"/>
  </r>
  <r>
    <x v="1103"/>
    <x v="30"/>
    <x v="0"/>
    <x v="3"/>
    <x v="461"/>
    <d v="2023-02-12T00:00:00"/>
    <x v="5"/>
    <x v="4"/>
    <x v="4"/>
    <x v="1102"/>
    <n v="11"/>
    <x v="1"/>
    <s v="Recovered"/>
    <x v="1"/>
    <x v="1"/>
    <s v="Card"/>
    <n v="11"/>
    <x v="1101"/>
    <s v="Yes"/>
    <x v="0"/>
  </r>
  <r>
    <x v="1104"/>
    <x v="33"/>
    <x v="0"/>
    <x v="4"/>
    <x v="678"/>
    <d v="2024-01-02T00:00:00"/>
    <x v="9"/>
    <x v="5"/>
    <x v="3"/>
    <x v="1103"/>
    <n v="16"/>
    <x v="1"/>
    <s v="Recovered"/>
    <x v="1"/>
    <x v="0"/>
    <s v="Cash"/>
    <n v="3"/>
    <x v="1102"/>
    <s v="Yes"/>
    <x v="0"/>
  </r>
  <r>
    <x v="1105"/>
    <x v="71"/>
    <x v="1"/>
    <x v="0"/>
    <x v="642"/>
    <d v="2024-02-08T00:00:00"/>
    <x v="0"/>
    <x v="0"/>
    <x v="7"/>
    <x v="1104"/>
    <n v="14"/>
    <x v="1"/>
    <s v="Recovered"/>
    <x v="2"/>
    <x v="0"/>
    <s v="Insurance"/>
    <n v="9"/>
    <x v="1103"/>
    <s v="No"/>
    <x v="0"/>
  </r>
  <r>
    <x v="1106"/>
    <x v="50"/>
    <x v="0"/>
    <x v="6"/>
    <x v="294"/>
    <d v="2024-08-31T00:00:00"/>
    <x v="7"/>
    <x v="5"/>
    <x v="2"/>
    <x v="1105"/>
    <n v="12"/>
    <x v="0"/>
    <s v="Under Observation"/>
    <x v="0"/>
    <x v="1"/>
    <s v="UPI"/>
    <n v="7"/>
    <x v="1104"/>
    <s v="No"/>
    <x v="0"/>
  </r>
  <r>
    <x v="1107"/>
    <x v="8"/>
    <x v="1"/>
    <x v="1"/>
    <x v="289"/>
    <d v="2025-09-10T00:00:00"/>
    <x v="0"/>
    <x v="0"/>
    <x v="1"/>
    <x v="1106"/>
    <n v="6"/>
    <x v="1"/>
    <s v="Recovered"/>
    <x v="1"/>
    <x v="0"/>
    <s v="UPI"/>
    <n v="5"/>
    <x v="1105"/>
    <s v="No"/>
    <x v="0"/>
  </r>
  <r>
    <x v="1108"/>
    <x v="65"/>
    <x v="0"/>
    <x v="6"/>
    <x v="0"/>
    <d v="2025-04-15T00:00:00"/>
    <x v="8"/>
    <x v="6"/>
    <x v="7"/>
    <x v="1107"/>
    <n v="17"/>
    <x v="1"/>
    <s v="Recovered"/>
    <x v="2"/>
    <x v="3"/>
    <s v="Card"/>
    <n v="7"/>
    <x v="1106"/>
    <s v="No"/>
    <x v="0"/>
  </r>
  <r>
    <x v="1109"/>
    <x v="52"/>
    <x v="0"/>
    <x v="5"/>
    <x v="679"/>
    <d v="2025-04-16T00:00:00"/>
    <x v="1"/>
    <x v="1"/>
    <x v="3"/>
    <x v="1108"/>
    <n v="10"/>
    <x v="0"/>
    <s v="Recovered"/>
    <x v="0"/>
    <x v="3"/>
    <s v="Card"/>
    <n v="3"/>
    <x v="1107"/>
    <s v="Yes"/>
    <x v="0"/>
  </r>
  <r>
    <x v="1110"/>
    <x v="11"/>
    <x v="0"/>
    <x v="4"/>
    <x v="417"/>
    <d v="2023-11-17T00:00:00"/>
    <x v="2"/>
    <x v="2"/>
    <x v="6"/>
    <x v="1109"/>
    <n v="7"/>
    <x v="1"/>
    <s v="Recovered"/>
    <x v="0"/>
    <x v="3"/>
    <s v="Card"/>
    <n v="1"/>
    <x v="1108"/>
    <s v="No"/>
    <x v="0"/>
  </r>
  <r>
    <x v="1111"/>
    <x v="51"/>
    <x v="1"/>
    <x v="3"/>
    <x v="19"/>
    <d v="2025-09-18T00:00:00"/>
    <x v="8"/>
    <x v="6"/>
    <x v="2"/>
    <x v="1110"/>
    <n v="16"/>
    <x v="1"/>
    <s v="Recovered"/>
    <x v="0"/>
    <x v="2"/>
    <s v="Card"/>
    <n v="14"/>
    <x v="1109"/>
    <s v="No"/>
    <x v="0"/>
  </r>
  <r>
    <x v="1112"/>
    <x v="25"/>
    <x v="0"/>
    <x v="5"/>
    <x v="367"/>
    <d v="2023-10-31T00:00:00"/>
    <x v="1"/>
    <x v="1"/>
    <x v="2"/>
    <x v="1111"/>
    <n v="8"/>
    <x v="0"/>
    <s v="Recovered"/>
    <x v="2"/>
    <x v="2"/>
    <s v="UPI"/>
    <n v="11"/>
    <x v="1110"/>
    <s v="No"/>
    <x v="0"/>
  </r>
  <r>
    <x v="1113"/>
    <x v="22"/>
    <x v="0"/>
    <x v="5"/>
    <x v="325"/>
    <d v="2024-08-04T00:00:00"/>
    <x v="1"/>
    <x v="1"/>
    <x v="1"/>
    <x v="1112"/>
    <n v="16"/>
    <x v="1"/>
    <s v="Recovered"/>
    <x v="1"/>
    <x v="0"/>
    <s v="Insurance"/>
    <n v="10"/>
    <x v="1111"/>
    <s v="No"/>
    <x v="0"/>
  </r>
  <r>
    <x v="1114"/>
    <x v="55"/>
    <x v="1"/>
    <x v="2"/>
    <x v="99"/>
    <d v="2023-12-21T00:00:00"/>
    <x v="7"/>
    <x v="5"/>
    <x v="4"/>
    <x v="1113"/>
    <n v="9"/>
    <x v="1"/>
    <s v="Recovered"/>
    <x v="0"/>
    <x v="0"/>
    <s v="Card"/>
    <n v="8"/>
    <x v="1112"/>
    <s v="No"/>
    <x v="0"/>
  </r>
  <r>
    <x v="1115"/>
    <x v="56"/>
    <x v="0"/>
    <x v="4"/>
    <x v="41"/>
    <d v="2023-08-29T00:00:00"/>
    <x v="3"/>
    <x v="0"/>
    <x v="7"/>
    <x v="1114"/>
    <n v="10"/>
    <x v="0"/>
    <s v="Recovered"/>
    <x v="2"/>
    <x v="3"/>
    <s v="Insurance"/>
    <n v="1"/>
    <x v="1113"/>
    <s v="No"/>
    <x v="1"/>
  </r>
  <r>
    <x v="1116"/>
    <x v="36"/>
    <x v="1"/>
    <x v="7"/>
    <x v="184"/>
    <d v="2024-03-25T00:00:00"/>
    <x v="2"/>
    <x v="2"/>
    <x v="2"/>
    <x v="1115"/>
    <n v="15"/>
    <x v="1"/>
    <s v="Referred"/>
    <x v="0"/>
    <x v="0"/>
    <s v="Cash"/>
    <n v="12"/>
    <x v="1114"/>
    <s v="Yes"/>
    <x v="0"/>
  </r>
  <r>
    <x v="1117"/>
    <x v="8"/>
    <x v="1"/>
    <x v="4"/>
    <x v="680"/>
    <d v="2023-10-06T00:00:00"/>
    <x v="9"/>
    <x v="5"/>
    <x v="1"/>
    <x v="1116"/>
    <n v="18"/>
    <x v="1"/>
    <s v="Recovered"/>
    <x v="1"/>
    <x v="3"/>
    <s v="Insurance"/>
    <n v="10"/>
    <x v="1115"/>
    <s v="No"/>
    <x v="0"/>
  </r>
  <r>
    <x v="1118"/>
    <x v="37"/>
    <x v="0"/>
    <x v="1"/>
    <x v="122"/>
    <d v="2025-09-25T00:00:00"/>
    <x v="6"/>
    <x v="2"/>
    <x v="2"/>
    <x v="1117"/>
    <n v="17"/>
    <x v="0"/>
    <s v="Under Observation"/>
    <x v="2"/>
    <x v="3"/>
    <s v="Cash"/>
    <n v="15"/>
    <x v="1116"/>
    <s v="Yes"/>
    <x v="0"/>
  </r>
  <r>
    <x v="1119"/>
    <x v="68"/>
    <x v="1"/>
    <x v="2"/>
    <x v="13"/>
    <d v="2023-05-04T00:00:00"/>
    <x v="4"/>
    <x v="3"/>
    <x v="3"/>
    <x v="1118"/>
    <n v="29"/>
    <x v="0"/>
    <s v="Recovered"/>
    <x v="1"/>
    <x v="2"/>
    <s v="UPI"/>
    <n v="1"/>
    <x v="1117"/>
    <s v="No"/>
    <x v="0"/>
  </r>
  <r>
    <x v="1120"/>
    <x v="26"/>
    <x v="0"/>
    <x v="5"/>
    <x v="192"/>
    <d v="2024-08-07T00:00:00"/>
    <x v="2"/>
    <x v="2"/>
    <x v="2"/>
    <x v="1119"/>
    <n v="1"/>
    <x v="1"/>
    <s v="Recovered"/>
    <x v="1"/>
    <x v="0"/>
    <s v="Insurance"/>
    <n v="11"/>
    <x v="1118"/>
    <s v="Yes"/>
    <x v="0"/>
  </r>
  <r>
    <x v="1121"/>
    <x v="18"/>
    <x v="1"/>
    <x v="4"/>
    <x v="681"/>
    <d v="2025-09-21T00:00:00"/>
    <x v="1"/>
    <x v="1"/>
    <x v="6"/>
    <x v="1120"/>
    <n v="11"/>
    <x v="0"/>
    <s v="Recovered"/>
    <x v="1"/>
    <x v="1"/>
    <s v="Insurance"/>
    <n v="2"/>
    <x v="1119"/>
    <s v="No"/>
    <x v="0"/>
  </r>
  <r>
    <x v="1122"/>
    <x v="53"/>
    <x v="0"/>
    <x v="1"/>
    <x v="160"/>
    <d v="2023-04-10T00:00:00"/>
    <x v="9"/>
    <x v="5"/>
    <x v="1"/>
    <x v="1121"/>
    <n v="13"/>
    <x v="1"/>
    <s v="Recovered"/>
    <x v="1"/>
    <x v="3"/>
    <s v="Cash"/>
    <n v="15"/>
    <x v="1120"/>
    <s v="Yes"/>
    <x v="0"/>
  </r>
  <r>
    <x v="1123"/>
    <x v="49"/>
    <x v="0"/>
    <x v="7"/>
    <x v="682"/>
    <d v="2024-12-20T00:00:00"/>
    <x v="6"/>
    <x v="2"/>
    <x v="7"/>
    <x v="1122"/>
    <n v="2"/>
    <x v="0"/>
    <s v="Recovered"/>
    <x v="1"/>
    <x v="3"/>
    <s v="UPI"/>
    <n v="3"/>
    <x v="1121"/>
    <s v="No"/>
    <x v="0"/>
  </r>
  <r>
    <x v="1124"/>
    <x v="7"/>
    <x v="0"/>
    <x v="0"/>
    <x v="282"/>
    <d v="2025-02-10T00:00:00"/>
    <x v="2"/>
    <x v="2"/>
    <x v="6"/>
    <x v="1123"/>
    <n v="11"/>
    <x v="1"/>
    <s v="Recovered"/>
    <x v="1"/>
    <x v="2"/>
    <s v="Cash"/>
    <n v="9"/>
    <x v="1122"/>
    <s v="Yes"/>
    <x v="1"/>
  </r>
  <r>
    <x v="1125"/>
    <x v="49"/>
    <x v="0"/>
    <x v="4"/>
    <x v="683"/>
    <d v="2023-03-04T00:00:00"/>
    <x v="4"/>
    <x v="3"/>
    <x v="3"/>
    <x v="1124"/>
    <n v="4"/>
    <x v="0"/>
    <s v="Recovered"/>
    <x v="2"/>
    <x v="3"/>
    <s v="Cash"/>
    <n v="11"/>
    <x v="1123"/>
    <s v="Yes"/>
    <x v="1"/>
  </r>
  <r>
    <x v="1126"/>
    <x v="69"/>
    <x v="0"/>
    <x v="2"/>
    <x v="36"/>
    <d v="2023-04-21T00:00:00"/>
    <x v="5"/>
    <x v="4"/>
    <x v="2"/>
    <x v="1125"/>
    <n v="21"/>
    <x v="1"/>
    <s v="Recovered"/>
    <x v="2"/>
    <x v="2"/>
    <s v="Card"/>
    <n v="9"/>
    <x v="1124"/>
    <s v="Yes"/>
    <x v="0"/>
  </r>
  <r>
    <x v="1127"/>
    <x v="24"/>
    <x v="1"/>
    <x v="0"/>
    <x v="465"/>
    <d v="2024-12-23T00:00:00"/>
    <x v="7"/>
    <x v="5"/>
    <x v="2"/>
    <x v="1126"/>
    <n v="6"/>
    <x v="0"/>
    <s v="Recovered"/>
    <x v="0"/>
    <x v="2"/>
    <s v="Insurance"/>
    <n v="12"/>
    <x v="1125"/>
    <s v="Yes"/>
    <x v="0"/>
  </r>
  <r>
    <x v="1128"/>
    <x v="30"/>
    <x v="0"/>
    <x v="5"/>
    <x v="134"/>
    <d v="2024-10-31T00:00:00"/>
    <x v="3"/>
    <x v="0"/>
    <x v="7"/>
    <x v="1127"/>
    <n v="1"/>
    <x v="1"/>
    <s v="Recovered"/>
    <x v="1"/>
    <x v="0"/>
    <s v="Card"/>
    <n v="13"/>
    <x v="1126"/>
    <s v="Yes"/>
    <x v="0"/>
  </r>
  <r>
    <x v="1129"/>
    <x v="51"/>
    <x v="1"/>
    <x v="6"/>
    <x v="172"/>
    <d v="2023-07-24T00:00:00"/>
    <x v="1"/>
    <x v="1"/>
    <x v="6"/>
    <x v="1128"/>
    <n v="22"/>
    <x v="1"/>
    <s v="Recovered"/>
    <x v="2"/>
    <x v="2"/>
    <s v="Cash"/>
    <n v="2"/>
    <x v="1127"/>
    <s v="Yes"/>
    <x v="0"/>
  </r>
  <r>
    <x v="1130"/>
    <x v="52"/>
    <x v="1"/>
    <x v="1"/>
    <x v="231"/>
    <d v="2025-03-31T00:00:00"/>
    <x v="2"/>
    <x v="2"/>
    <x v="2"/>
    <x v="1129"/>
    <n v="11"/>
    <x v="1"/>
    <s v="Recovered"/>
    <x v="2"/>
    <x v="3"/>
    <s v="Card"/>
    <n v="5"/>
    <x v="1128"/>
    <s v="No"/>
    <x v="0"/>
  </r>
  <r>
    <x v="1131"/>
    <x v="59"/>
    <x v="0"/>
    <x v="4"/>
    <x v="605"/>
    <d v="2025-03-17T00:00:00"/>
    <x v="8"/>
    <x v="6"/>
    <x v="5"/>
    <x v="1130"/>
    <n v="12"/>
    <x v="0"/>
    <s v="Recovered"/>
    <x v="2"/>
    <x v="3"/>
    <s v="Insurance"/>
    <n v="9"/>
    <x v="1129"/>
    <s v="No"/>
    <x v="0"/>
  </r>
  <r>
    <x v="1132"/>
    <x v="62"/>
    <x v="0"/>
    <x v="4"/>
    <x v="429"/>
    <d v="2024-05-24T00:00:00"/>
    <x v="2"/>
    <x v="2"/>
    <x v="3"/>
    <x v="1131"/>
    <n v="19"/>
    <x v="1"/>
    <s v="Recovered"/>
    <x v="1"/>
    <x v="3"/>
    <s v="Insurance"/>
    <n v="12"/>
    <x v="1130"/>
    <s v="Yes"/>
    <x v="0"/>
  </r>
  <r>
    <x v="1133"/>
    <x v="7"/>
    <x v="1"/>
    <x v="1"/>
    <x v="363"/>
    <d v="2025-06-18T00:00:00"/>
    <x v="1"/>
    <x v="1"/>
    <x v="5"/>
    <x v="1132"/>
    <n v="19"/>
    <x v="1"/>
    <s v="Recovered"/>
    <x v="0"/>
    <x v="1"/>
    <s v="UPI"/>
    <n v="13"/>
    <x v="1131"/>
    <s v="No"/>
    <x v="0"/>
  </r>
  <r>
    <x v="1134"/>
    <x v="3"/>
    <x v="1"/>
    <x v="1"/>
    <x v="163"/>
    <d v="2025-05-30T00:00:00"/>
    <x v="4"/>
    <x v="3"/>
    <x v="1"/>
    <x v="1133"/>
    <n v="12"/>
    <x v="1"/>
    <s v="Recovered"/>
    <x v="2"/>
    <x v="3"/>
    <s v="UPI"/>
    <n v="3"/>
    <x v="1132"/>
    <s v="No"/>
    <x v="0"/>
  </r>
  <r>
    <x v="1135"/>
    <x v="18"/>
    <x v="0"/>
    <x v="2"/>
    <x v="684"/>
    <d v="2024-07-02T00:00:00"/>
    <x v="4"/>
    <x v="3"/>
    <x v="7"/>
    <x v="1134"/>
    <n v="5"/>
    <x v="1"/>
    <s v="Recovered"/>
    <x v="1"/>
    <x v="2"/>
    <s v="Insurance"/>
    <n v="13"/>
    <x v="1133"/>
    <s v="No"/>
    <x v="0"/>
  </r>
  <r>
    <x v="1136"/>
    <x v="35"/>
    <x v="0"/>
    <x v="5"/>
    <x v="685"/>
    <d v="2023-07-12T00:00:00"/>
    <x v="1"/>
    <x v="1"/>
    <x v="3"/>
    <x v="1135"/>
    <n v="17"/>
    <x v="1"/>
    <s v="Deceased"/>
    <x v="2"/>
    <x v="2"/>
    <s v="Card"/>
    <n v="2"/>
    <x v="1134"/>
    <s v="No"/>
    <x v="0"/>
  </r>
  <r>
    <x v="1137"/>
    <x v="30"/>
    <x v="0"/>
    <x v="1"/>
    <x v="686"/>
    <d v="2025-08-29T00:00:00"/>
    <x v="4"/>
    <x v="3"/>
    <x v="0"/>
    <x v="1136"/>
    <n v="6"/>
    <x v="1"/>
    <s v="Recovered"/>
    <x v="2"/>
    <x v="3"/>
    <s v="Cash"/>
    <n v="6"/>
    <x v="1135"/>
    <s v="No"/>
    <x v="0"/>
  </r>
  <r>
    <x v="1138"/>
    <x v="3"/>
    <x v="1"/>
    <x v="5"/>
    <x v="243"/>
    <d v="2024-03-18T00:00:00"/>
    <x v="5"/>
    <x v="4"/>
    <x v="3"/>
    <x v="1137"/>
    <n v="11"/>
    <x v="1"/>
    <s v="Under Observation"/>
    <x v="0"/>
    <x v="1"/>
    <s v="Card"/>
    <n v="4"/>
    <x v="1136"/>
    <s v="Yes"/>
    <x v="0"/>
  </r>
  <r>
    <x v="1139"/>
    <x v="16"/>
    <x v="1"/>
    <x v="4"/>
    <x v="457"/>
    <d v="2023-12-29T00:00:00"/>
    <x v="0"/>
    <x v="0"/>
    <x v="0"/>
    <x v="1138"/>
    <n v="8"/>
    <x v="0"/>
    <s v="Recovered"/>
    <x v="0"/>
    <x v="3"/>
    <s v="Insurance"/>
    <n v="5"/>
    <x v="1137"/>
    <s v="Yes"/>
    <x v="0"/>
  </r>
  <r>
    <x v="1140"/>
    <x v="23"/>
    <x v="1"/>
    <x v="2"/>
    <x v="658"/>
    <d v="2024-01-14T00:00:00"/>
    <x v="9"/>
    <x v="5"/>
    <x v="2"/>
    <x v="1139"/>
    <n v="17"/>
    <x v="0"/>
    <s v="Recovered"/>
    <x v="1"/>
    <x v="0"/>
    <s v="Card"/>
    <n v="3"/>
    <x v="1138"/>
    <s v="Yes"/>
    <x v="0"/>
  </r>
  <r>
    <x v="1141"/>
    <x v="66"/>
    <x v="1"/>
    <x v="2"/>
    <x v="687"/>
    <d v="2025-03-20T00:00:00"/>
    <x v="2"/>
    <x v="2"/>
    <x v="1"/>
    <x v="1140"/>
    <n v="14"/>
    <x v="0"/>
    <s v="Recovered"/>
    <x v="0"/>
    <x v="2"/>
    <s v="UPI"/>
    <n v="9"/>
    <x v="1139"/>
    <s v="No"/>
    <x v="0"/>
  </r>
  <r>
    <x v="1142"/>
    <x v="65"/>
    <x v="0"/>
    <x v="7"/>
    <x v="280"/>
    <d v="2024-02-20T00:00:00"/>
    <x v="4"/>
    <x v="3"/>
    <x v="0"/>
    <x v="1141"/>
    <n v="7"/>
    <x v="0"/>
    <s v="Referred"/>
    <x v="2"/>
    <x v="2"/>
    <s v="UPI"/>
    <n v="15"/>
    <x v="1140"/>
    <s v="No"/>
    <x v="0"/>
  </r>
  <r>
    <x v="1143"/>
    <x v="4"/>
    <x v="0"/>
    <x v="4"/>
    <x v="688"/>
    <d v="2025-09-01T00:00:00"/>
    <x v="7"/>
    <x v="5"/>
    <x v="3"/>
    <x v="1142"/>
    <n v="11"/>
    <x v="0"/>
    <s v="Recovered"/>
    <x v="0"/>
    <x v="0"/>
    <s v="UPI"/>
    <n v="2"/>
    <x v="1141"/>
    <s v="No"/>
    <x v="0"/>
  </r>
  <r>
    <x v="1144"/>
    <x v="56"/>
    <x v="1"/>
    <x v="2"/>
    <x v="689"/>
    <d v="2025-01-26T00:00:00"/>
    <x v="0"/>
    <x v="0"/>
    <x v="6"/>
    <x v="1143"/>
    <n v="15"/>
    <x v="1"/>
    <s v="Recovered"/>
    <x v="1"/>
    <x v="1"/>
    <s v="UPI"/>
    <n v="14"/>
    <x v="1142"/>
    <s v="Yes"/>
    <x v="1"/>
  </r>
  <r>
    <x v="1145"/>
    <x v="60"/>
    <x v="1"/>
    <x v="3"/>
    <x v="458"/>
    <d v="2025-08-23T00:00:00"/>
    <x v="1"/>
    <x v="1"/>
    <x v="3"/>
    <x v="1144"/>
    <n v="9"/>
    <x v="1"/>
    <s v="Recovered"/>
    <x v="1"/>
    <x v="2"/>
    <s v="Card"/>
    <n v="14"/>
    <x v="1143"/>
    <s v="Yes"/>
    <x v="0"/>
  </r>
  <r>
    <x v="1146"/>
    <x v="52"/>
    <x v="0"/>
    <x v="7"/>
    <x v="213"/>
    <d v="2023-08-30T00:00:00"/>
    <x v="7"/>
    <x v="5"/>
    <x v="7"/>
    <x v="1145"/>
    <n v="2"/>
    <x v="0"/>
    <s v="Recovered"/>
    <x v="1"/>
    <x v="1"/>
    <s v="Card"/>
    <n v="2"/>
    <x v="1144"/>
    <s v="No"/>
    <x v="0"/>
  </r>
  <r>
    <x v="1147"/>
    <x v="1"/>
    <x v="0"/>
    <x v="1"/>
    <x v="690"/>
    <d v="2023-10-04T00:00:00"/>
    <x v="9"/>
    <x v="5"/>
    <x v="7"/>
    <x v="1146"/>
    <n v="3"/>
    <x v="0"/>
    <s v="Referred"/>
    <x v="1"/>
    <x v="0"/>
    <s v="Cash"/>
    <n v="11"/>
    <x v="1145"/>
    <s v="No"/>
    <x v="0"/>
  </r>
  <r>
    <x v="1148"/>
    <x v="26"/>
    <x v="1"/>
    <x v="2"/>
    <x v="252"/>
    <d v="2023-04-02T00:00:00"/>
    <x v="2"/>
    <x v="2"/>
    <x v="6"/>
    <x v="1147"/>
    <n v="25"/>
    <x v="0"/>
    <s v="Recovered"/>
    <x v="0"/>
    <x v="2"/>
    <s v="Insurance"/>
    <n v="14"/>
    <x v="1146"/>
    <s v="No"/>
    <x v="0"/>
  </r>
  <r>
    <x v="1149"/>
    <x v="54"/>
    <x v="1"/>
    <x v="1"/>
    <x v="186"/>
    <d v="2023-03-18T00:00:00"/>
    <x v="2"/>
    <x v="2"/>
    <x v="2"/>
    <x v="1148"/>
    <n v="4"/>
    <x v="0"/>
    <s v="Recovered"/>
    <x v="2"/>
    <x v="2"/>
    <s v="Insurance"/>
    <n v="13"/>
    <x v="1147"/>
    <s v="No"/>
    <x v="0"/>
  </r>
  <r>
    <x v="1150"/>
    <x v="10"/>
    <x v="0"/>
    <x v="7"/>
    <x v="498"/>
    <d v="2023-02-08T00:00:00"/>
    <x v="6"/>
    <x v="2"/>
    <x v="1"/>
    <x v="1149"/>
    <n v="10"/>
    <x v="1"/>
    <s v="Recovered"/>
    <x v="2"/>
    <x v="0"/>
    <s v="Insurance"/>
    <n v="13"/>
    <x v="1148"/>
    <s v="No"/>
    <x v="0"/>
  </r>
  <r>
    <x v="1151"/>
    <x v="50"/>
    <x v="0"/>
    <x v="7"/>
    <x v="130"/>
    <d v="2023-11-05T00:00:00"/>
    <x v="3"/>
    <x v="0"/>
    <x v="7"/>
    <x v="1150"/>
    <n v="16"/>
    <x v="0"/>
    <s v="Recovered"/>
    <x v="1"/>
    <x v="0"/>
    <s v="Card"/>
    <n v="3"/>
    <x v="1149"/>
    <s v="Yes"/>
    <x v="0"/>
  </r>
  <r>
    <x v="1152"/>
    <x v="62"/>
    <x v="1"/>
    <x v="6"/>
    <x v="490"/>
    <d v="2023-10-25T00:00:00"/>
    <x v="7"/>
    <x v="5"/>
    <x v="1"/>
    <x v="1151"/>
    <n v="11"/>
    <x v="1"/>
    <s v="Under Observation"/>
    <x v="0"/>
    <x v="2"/>
    <s v="Insurance"/>
    <n v="9"/>
    <x v="1150"/>
    <s v="Yes"/>
    <x v="0"/>
  </r>
  <r>
    <x v="1153"/>
    <x v="4"/>
    <x v="1"/>
    <x v="7"/>
    <x v="234"/>
    <d v="2025-08-05T00:00:00"/>
    <x v="8"/>
    <x v="6"/>
    <x v="6"/>
    <x v="1152"/>
    <n v="17"/>
    <x v="0"/>
    <s v="Recovered"/>
    <x v="2"/>
    <x v="1"/>
    <s v="UPI"/>
    <n v="3"/>
    <x v="1151"/>
    <s v="Yes"/>
    <x v="0"/>
  </r>
  <r>
    <x v="1154"/>
    <x v="50"/>
    <x v="1"/>
    <x v="2"/>
    <x v="154"/>
    <d v="2025-02-01T00:00:00"/>
    <x v="5"/>
    <x v="4"/>
    <x v="4"/>
    <x v="1153"/>
    <n v="14"/>
    <x v="0"/>
    <s v="Under Observation"/>
    <x v="0"/>
    <x v="1"/>
    <s v="Card"/>
    <n v="2"/>
    <x v="1152"/>
    <s v="No"/>
    <x v="0"/>
  </r>
  <r>
    <x v="1155"/>
    <x v="56"/>
    <x v="1"/>
    <x v="3"/>
    <x v="433"/>
    <d v="2023-07-04T00:00:00"/>
    <x v="8"/>
    <x v="6"/>
    <x v="5"/>
    <x v="1154"/>
    <n v="7"/>
    <x v="0"/>
    <s v="Recovered"/>
    <x v="0"/>
    <x v="3"/>
    <s v="Card"/>
    <n v="3"/>
    <x v="1153"/>
    <s v="No"/>
    <x v="0"/>
  </r>
  <r>
    <x v="1156"/>
    <x v="67"/>
    <x v="0"/>
    <x v="6"/>
    <x v="129"/>
    <d v="2023-06-25T00:00:00"/>
    <x v="0"/>
    <x v="0"/>
    <x v="7"/>
    <x v="1155"/>
    <n v="11"/>
    <x v="0"/>
    <s v="Recovered"/>
    <x v="1"/>
    <x v="0"/>
    <s v="UPI"/>
    <n v="9"/>
    <x v="1154"/>
    <s v="Yes"/>
    <x v="0"/>
  </r>
  <r>
    <x v="1157"/>
    <x v="63"/>
    <x v="0"/>
    <x v="7"/>
    <x v="691"/>
    <d v="2024-07-28T00:00:00"/>
    <x v="7"/>
    <x v="5"/>
    <x v="4"/>
    <x v="1156"/>
    <n v="19"/>
    <x v="1"/>
    <s v="Recovered"/>
    <x v="1"/>
    <x v="2"/>
    <s v="Cash"/>
    <n v="11"/>
    <x v="1155"/>
    <s v="No"/>
    <x v="0"/>
  </r>
  <r>
    <x v="1158"/>
    <x v="33"/>
    <x v="0"/>
    <x v="6"/>
    <x v="692"/>
    <d v="2024-06-11T00:00:00"/>
    <x v="6"/>
    <x v="2"/>
    <x v="1"/>
    <x v="1157"/>
    <n v="1"/>
    <x v="0"/>
    <s v="Under Observation"/>
    <x v="0"/>
    <x v="3"/>
    <s v="Cash"/>
    <n v="15"/>
    <x v="1156"/>
    <s v="Yes"/>
    <x v="0"/>
  </r>
  <r>
    <x v="1159"/>
    <x v="57"/>
    <x v="0"/>
    <x v="0"/>
    <x v="693"/>
    <d v="2023-09-23T00:00:00"/>
    <x v="0"/>
    <x v="0"/>
    <x v="3"/>
    <x v="1158"/>
    <n v="6"/>
    <x v="1"/>
    <s v="Recovered"/>
    <x v="2"/>
    <x v="3"/>
    <s v="Insurance"/>
    <n v="11"/>
    <x v="1157"/>
    <s v="Yes"/>
    <x v="0"/>
  </r>
  <r>
    <x v="1160"/>
    <x v="57"/>
    <x v="1"/>
    <x v="6"/>
    <x v="421"/>
    <d v="2025-09-19T00:00:00"/>
    <x v="8"/>
    <x v="6"/>
    <x v="0"/>
    <x v="1159"/>
    <n v="14"/>
    <x v="0"/>
    <s v="Recovered"/>
    <x v="1"/>
    <x v="0"/>
    <s v="Insurance"/>
    <n v="12"/>
    <x v="1158"/>
    <s v="No"/>
    <x v="0"/>
  </r>
  <r>
    <x v="1161"/>
    <x v="52"/>
    <x v="1"/>
    <x v="2"/>
    <x v="694"/>
    <d v="2024-03-27T00:00:00"/>
    <x v="2"/>
    <x v="2"/>
    <x v="2"/>
    <x v="1160"/>
    <n v="10"/>
    <x v="0"/>
    <s v="Recovered"/>
    <x v="2"/>
    <x v="0"/>
    <s v="Cash"/>
    <n v="11"/>
    <x v="1159"/>
    <s v="Yes"/>
    <x v="0"/>
  </r>
  <r>
    <x v="1162"/>
    <x v="0"/>
    <x v="0"/>
    <x v="1"/>
    <x v="131"/>
    <d v="2023-09-08T00:00:00"/>
    <x v="2"/>
    <x v="2"/>
    <x v="3"/>
    <x v="1161"/>
    <n v="17"/>
    <x v="1"/>
    <s v="Recovered"/>
    <x v="0"/>
    <x v="3"/>
    <s v="Insurance"/>
    <n v="4"/>
    <x v="1160"/>
    <s v="No"/>
    <x v="0"/>
  </r>
  <r>
    <x v="1163"/>
    <x v="19"/>
    <x v="0"/>
    <x v="6"/>
    <x v="126"/>
    <d v="2025-05-12T00:00:00"/>
    <x v="0"/>
    <x v="0"/>
    <x v="1"/>
    <x v="1162"/>
    <n v="8"/>
    <x v="1"/>
    <s v="Recovered"/>
    <x v="0"/>
    <x v="1"/>
    <s v="Cash"/>
    <n v="11"/>
    <x v="1161"/>
    <s v="No"/>
    <x v="0"/>
  </r>
  <r>
    <x v="1164"/>
    <x v="59"/>
    <x v="0"/>
    <x v="5"/>
    <x v="434"/>
    <d v="2023-07-10T00:00:00"/>
    <x v="3"/>
    <x v="0"/>
    <x v="4"/>
    <x v="1163"/>
    <n v="5"/>
    <x v="0"/>
    <s v="Recovered"/>
    <x v="1"/>
    <x v="1"/>
    <s v="Cash"/>
    <n v="10"/>
    <x v="1162"/>
    <s v="Yes"/>
    <x v="1"/>
  </r>
  <r>
    <x v="1165"/>
    <x v="20"/>
    <x v="1"/>
    <x v="7"/>
    <x v="270"/>
    <d v="2025-07-14T00:00:00"/>
    <x v="4"/>
    <x v="3"/>
    <x v="0"/>
    <x v="1164"/>
    <n v="14"/>
    <x v="1"/>
    <s v="Recovered"/>
    <x v="0"/>
    <x v="1"/>
    <s v="Cash"/>
    <n v="10"/>
    <x v="1163"/>
    <s v="No"/>
    <x v="1"/>
  </r>
  <r>
    <x v="1166"/>
    <x v="13"/>
    <x v="0"/>
    <x v="5"/>
    <x v="436"/>
    <d v="2025-08-08T00:00:00"/>
    <x v="4"/>
    <x v="3"/>
    <x v="4"/>
    <x v="1165"/>
    <n v="12"/>
    <x v="0"/>
    <s v="Recovered"/>
    <x v="0"/>
    <x v="2"/>
    <s v="Card"/>
    <n v="4"/>
    <x v="1164"/>
    <s v="Yes"/>
    <x v="0"/>
  </r>
  <r>
    <x v="1167"/>
    <x v="56"/>
    <x v="1"/>
    <x v="2"/>
    <x v="372"/>
    <d v="2024-08-20T00:00:00"/>
    <x v="2"/>
    <x v="2"/>
    <x v="2"/>
    <x v="1166"/>
    <n v="19"/>
    <x v="1"/>
    <s v="Recovered"/>
    <x v="0"/>
    <x v="0"/>
    <s v="UPI"/>
    <n v="4"/>
    <x v="1165"/>
    <s v="No"/>
    <x v="0"/>
  </r>
  <r>
    <x v="1168"/>
    <x v="49"/>
    <x v="1"/>
    <x v="7"/>
    <x v="695"/>
    <d v="2023-12-23T00:00:00"/>
    <x v="9"/>
    <x v="5"/>
    <x v="5"/>
    <x v="1167"/>
    <n v="19"/>
    <x v="1"/>
    <s v="Recovered"/>
    <x v="0"/>
    <x v="3"/>
    <s v="Card"/>
    <n v="1"/>
    <x v="1166"/>
    <s v="No"/>
    <x v="0"/>
  </r>
  <r>
    <x v="1169"/>
    <x v="53"/>
    <x v="1"/>
    <x v="4"/>
    <x v="696"/>
    <d v="2024-08-21T00:00:00"/>
    <x v="1"/>
    <x v="1"/>
    <x v="6"/>
    <x v="1168"/>
    <n v="10"/>
    <x v="0"/>
    <s v="Recovered"/>
    <x v="1"/>
    <x v="0"/>
    <s v="UPI"/>
    <n v="13"/>
    <x v="1167"/>
    <s v="No"/>
    <x v="1"/>
  </r>
  <r>
    <x v="1170"/>
    <x v="69"/>
    <x v="1"/>
    <x v="4"/>
    <x v="697"/>
    <d v="2024-10-21T00:00:00"/>
    <x v="1"/>
    <x v="1"/>
    <x v="3"/>
    <x v="1169"/>
    <n v="5"/>
    <x v="1"/>
    <s v="Recovered"/>
    <x v="1"/>
    <x v="3"/>
    <s v="Insurance"/>
    <n v="4"/>
    <x v="1168"/>
    <s v="Yes"/>
    <x v="0"/>
  </r>
  <r>
    <x v="1171"/>
    <x v="4"/>
    <x v="0"/>
    <x v="0"/>
    <x v="121"/>
    <d v="2023-05-23T00:00:00"/>
    <x v="5"/>
    <x v="4"/>
    <x v="2"/>
    <x v="1170"/>
    <n v="16"/>
    <x v="1"/>
    <s v="Recovered"/>
    <x v="0"/>
    <x v="1"/>
    <s v="Card"/>
    <n v="9"/>
    <x v="1169"/>
    <s v="No"/>
    <x v="0"/>
  </r>
  <r>
    <x v="1172"/>
    <x v="63"/>
    <x v="0"/>
    <x v="2"/>
    <x v="698"/>
    <d v="2023-05-13T00:00:00"/>
    <x v="7"/>
    <x v="5"/>
    <x v="7"/>
    <x v="1171"/>
    <n v="14"/>
    <x v="1"/>
    <s v="Recovered"/>
    <x v="2"/>
    <x v="1"/>
    <s v="Cash"/>
    <n v="2"/>
    <x v="1170"/>
    <s v="Yes"/>
    <x v="0"/>
  </r>
  <r>
    <x v="1173"/>
    <x v="15"/>
    <x v="0"/>
    <x v="6"/>
    <x v="546"/>
    <d v="2025-01-25T00:00:00"/>
    <x v="3"/>
    <x v="0"/>
    <x v="6"/>
    <x v="1172"/>
    <n v="8"/>
    <x v="1"/>
    <s v="Recovered"/>
    <x v="0"/>
    <x v="0"/>
    <s v="Card"/>
    <n v="7"/>
    <x v="1171"/>
    <s v="No"/>
    <x v="0"/>
  </r>
  <r>
    <x v="1174"/>
    <x v="55"/>
    <x v="0"/>
    <x v="7"/>
    <x v="351"/>
    <d v="2023-02-15T00:00:00"/>
    <x v="1"/>
    <x v="1"/>
    <x v="5"/>
    <x v="1173"/>
    <n v="2"/>
    <x v="0"/>
    <s v="Referred"/>
    <x v="0"/>
    <x v="3"/>
    <s v="Card"/>
    <n v="5"/>
    <x v="1172"/>
    <s v="No"/>
    <x v="0"/>
  </r>
  <r>
    <x v="1175"/>
    <x v="42"/>
    <x v="0"/>
    <x v="6"/>
    <x v="376"/>
    <d v="2025-01-21T00:00:00"/>
    <x v="3"/>
    <x v="0"/>
    <x v="1"/>
    <x v="1174"/>
    <n v="12"/>
    <x v="0"/>
    <s v="Recovered"/>
    <x v="0"/>
    <x v="3"/>
    <s v="Card"/>
    <n v="7"/>
    <x v="1173"/>
    <s v="Yes"/>
    <x v="0"/>
  </r>
  <r>
    <x v="1176"/>
    <x v="16"/>
    <x v="1"/>
    <x v="3"/>
    <x v="650"/>
    <d v="2023-09-17T00:00:00"/>
    <x v="1"/>
    <x v="1"/>
    <x v="6"/>
    <x v="1175"/>
    <n v="8"/>
    <x v="0"/>
    <s v="Recovered"/>
    <x v="0"/>
    <x v="1"/>
    <s v="UPI"/>
    <n v="5"/>
    <x v="1174"/>
    <s v="Yes"/>
    <x v="0"/>
  </r>
  <r>
    <x v="1177"/>
    <x v="19"/>
    <x v="0"/>
    <x v="6"/>
    <x v="664"/>
    <d v="2023-06-28T00:00:00"/>
    <x v="8"/>
    <x v="6"/>
    <x v="1"/>
    <x v="1176"/>
    <n v="5"/>
    <x v="0"/>
    <s v="Recovered"/>
    <x v="0"/>
    <x v="0"/>
    <s v="UPI"/>
    <n v="8"/>
    <x v="1175"/>
    <s v="No"/>
    <x v="0"/>
  </r>
  <r>
    <x v="1178"/>
    <x v="57"/>
    <x v="0"/>
    <x v="6"/>
    <x v="209"/>
    <d v="2024-10-13T00:00:00"/>
    <x v="7"/>
    <x v="5"/>
    <x v="4"/>
    <x v="1177"/>
    <n v="9"/>
    <x v="0"/>
    <s v="Recovered"/>
    <x v="0"/>
    <x v="2"/>
    <s v="Cash"/>
    <n v="5"/>
    <x v="1176"/>
    <s v="Yes"/>
    <x v="0"/>
  </r>
  <r>
    <x v="1179"/>
    <x v="7"/>
    <x v="1"/>
    <x v="5"/>
    <x v="70"/>
    <d v="2024-04-16T00:00:00"/>
    <x v="6"/>
    <x v="2"/>
    <x v="5"/>
    <x v="1178"/>
    <n v="7"/>
    <x v="0"/>
    <s v="Recovered"/>
    <x v="1"/>
    <x v="1"/>
    <s v="Card"/>
    <n v="15"/>
    <x v="1177"/>
    <s v="Yes"/>
    <x v="0"/>
  </r>
  <r>
    <x v="1180"/>
    <x v="36"/>
    <x v="1"/>
    <x v="5"/>
    <x v="317"/>
    <d v="2025-08-23T00:00:00"/>
    <x v="3"/>
    <x v="0"/>
    <x v="0"/>
    <x v="1179"/>
    <n v="25"/>
    <x v="1"/>
    <s v="Recovered"/>
    <x v="1"/>
    <x v="2"/>
    <s v="Card"/>
    <n v="13"/>
    <x v="1178"/>
    <s v="Yes"/>
    <x v="0"/>
  </r>
  <r>
    <x v="1181"/>
    <x v="43"/>
    <x v="1"/>
    <x v="1"/>
    <x v="699"/>
    <d v="2025-01-15T00:00:00"/>
    <x v="4"/>
    <x v="3"/>
    <x v="4"/>
    <x v="1180"/>
    <n v="16"/>
    <x v="0"/>
    <s v="Recovered"/>
    <x v="2"/>
    <x v="1"/>
    <s v="Insurance"/>
    <n v="15"/>
    <x v="1179"/>
    <s v="No"/>
    <x v="0"/>
  </r>
  <r>
    <x v="1182"/>
    <x v="59"/>
    <x v="0"/>
    <x v="3"/>
    <x v="14"/>
    <d v="2023-11-01T00:00:00"/>
    <x v="5"/>
    <x v="4"/>
    <x v="7"/>
    <x v="1181"/>
    <n v="14"/>
    <x v="0"/>
    <s v="Recovered"/>
    <x v="1"/>
    <x v="0"/>
    <s v="Card"/>
    <n v="14"/>
    <x v="1180"/>
    <s v="Yes"/>
    <x v="0"/>
  </r>
  <r>
    <x v="1183"/>
    <x v="58"/>
    <x v="1"/>
    <x v="1"/>
    <x v="262"/>
    <d v="2024-11-10T00:00:00"/>
    <x v="6"/>
    <x v="2"/>
    <x v="0"/>
    <x v="1182"/>
    <n v="6"/>
    <x v="1"/>
    <s v="Under Observation"/>
    <x v="2"/>
    <x v="0"/>
    <s v="Insurance"/>
    <n v="5"/>
    <x v="1181"/>
    <s v="Yes"/>
    <x v="0"/>
  </r>
  <r>
    <x v="1184"/>
    <x v="60"/>
    <x v="0"/>
    <x v="5"/>
    <x v="700"/>
    <d v="2024-11-22T00:00:00"/>
    <x v="8"/>
    <x v="6"/>
    <x v="0"/>
    <x v="1183"/>
    <n v="19"/>
    <x v="1"/>
    <s v="Recovered"/>
    <x v="2"/>
    <x v="0"/>
    <s v="Insurance"/>
    <n v="5"/>
    <x v="1182"/>
    <s v="No"/>
    <x v="1"/>
  </r>
  <r>
    <x v="1185"/>
    <x v="11"/>
    <x v="1"/>
    <x v="1"/>
    <x v="701"/>
    <d v="2024-06-11T00:00:00"/>
    <x v="4"/>
    <x v="3"/>
    <x v="5"/>
    <x v="1184"/>
    <n v="27"/>
    <x v="0"/>
    <s v="Recovered"/>
    <x v="2"/>
    <x v="2"/>
    <s v="Cash"/>
    <n v="10"/>
    <x v="1183"/>
    <s v="No"/>
    <x v="0"/>
  </r>
  <r>
    <x v="1186"/>
    <x v="36"/>
    <x v="1"/>
    <x v="0"/>
    <x v="502"/>
    <d v="2024-12-14T00:00:00"/>
    <x v="9"/>
    <x v="5"/>
    <x v="4"/>
    <x v="1185"/>
    <n v="4"/>
    <x v="0"/>
    <s v="Recovered"/>
    <x v="2"/>
    <x v="3"/>
    <s v="Insurance"/>
    <n v="6"/>
    <x v="1184"/>
    <s v="Yes"/>
    <x v="0"/>
  </r>
  <r>
    <x v="1187"/>
    <x v="38"/>
    <x v="0"/>
    <x v="0"/>
    <x v="702"/>
    <d v="2023-06-04T00:00:00"/>
    <x v="5"/>
    <x v="4"/>
    <x v="2"/>
    <x v="1186"/>
    <n v="5"/>
    <x v="0"/>
    <s v="Deceased"/>
    <x v="2"/>
    <x v="2"/>
    <s v="UPI"/>
    <n v="7"/>
    <x v="1185"/>
    <s v="No"/>
    <x v="0"/>
  </r>
  <r>
    <x v="1188"/>
    <x v="25"/>
    <x v="1"/>
    <x v="7"/>
    <x v="120"/>
    <d v="2025-08-25T00:00:00"/>
    <x v="5"/>
    <x v="4"/>
    <x v="0"/>
    <x v="1187"/>
    <n v="3"/>
    <x v="1"/>
    <s v="Recovered"/>
    <x v="0"/>
    <x v="2"/>
    <s v="Card"/>
    <n v="15"/>
    <x v="1186"/>
    <s v="Yes"/>
    <x v="0"/>
  </r>
  <r>
    <x v="1189"/>
    <x v="39"/>
    <x v="0"/>
    <x v="1"/>
    <x v="453"/>
    <d v="2023-03-26T00:00:00"/>
    <x v="7"/>
    <x v="5"/>
    <x v="0"/>
    <x v="1188"/>
    <n v="17"/>
    <x v="0"/>
    <s v="Recovered"/>
    <x v="2"/>
    <x v="2"/>
    <s v="Card"/>
    <n v="1"/>
    <x v="1187"/>
    <s v="Yes"/>
    <x v="0"/>
  </r>
  <r>
    <x v="1190"/>
    <x v="64"/>
    <x v="0"/>
    <x v="6"/>
    <x v="703"/>
    <d v="2023-11-11T00:00:00"/>
    <x v="1"/>
    <x v="1"/>
    <x v="7"/>
    <x v="1189"/>
    <n v="9"/>
    <x v="1"/>
    <s v="Under Observation"/>
    <x v="1"/>
    <x v="2"/>
    <s v="UPI"/>
    <n v="6"/>
    <x v="1188"/>
    <s v="Yes"/>
    <x v="0"/>
  </r>
  <r>
    <x v="1191"/>
    <x v="62"/>
    <x v="0"/>
    <x v="0"/>
    <x v="274"/>
    <d v="2024-03-01T00:00:00"/>
    <x v="3"/>
    <x v="0"/>
    <x v="5"/>
    <x v="1190"/>
    <n v="11"/>
    <x v="1"/>
    <s v="Recovered"/>
    <x v="2"/>
    <x v="0"/>
    <s v="UPI"/>
    <n v="9"/>
    <x v="1189"/>
    <s v="No"/>
    <x v="0"/>
  </r>
  <r>
    <x v="1192"/>
    <x v="15"/>
    <x v="0"/>
    <x v="2"/>
    <x v="37"/>
    <d v="2024-08-06T00:00:00"/>
    <x v="6"/>
    <x v="2"/>
    <x v="4"/>
    <x v="1191"/>
    <n v="11"/>
    <x v="0"/>
    <s v="Recovered"/>
    <x v="2"/>
    <x v="0"/>
    <s v="UPI"/>
    <n v="6"/>
    <x v="1190"/>
    <s v="Yes"/>
    <x v="0"/>
  </r>
  <r>
    <x v="1193"/>
    <x v="29"/>
    <x v="1"/>
    <x v="0"/>
    <x v="53"/>
    <d v="2024-04-03T00:00:00"/>
    <x v="6"/>
    <x v="2"/>
    <x v="2"/>
    <x v="1192"/>
    <n v="13"/>
    <x v="1"/>
    <s v="Recovered"/>
    <x v="0"/>
    <x v="1"/>
    <s v="Card"/>
    <n v="6"/>
    <x v="1191"/>
    <s v="No"/>
    <x v="0"/>
  </r>
  <r>
    <x v="1194"/>
    <x v="64"/>
    <x v="0"/>
    <x v="1"/>
    <x v="132"/>
    <d v="2024-12-26T00:00:00"/>
    <x v="2"/>
    <x v="2"/>
    <x v="5"/>
    <x v="1193"/>
    <n v="20"/>
    <x v="0"/>
    <s v="Under Observation"/>
    <x v="2"/>
    <x v="3"/>
    <s v="Cash"/>
    <n v="6"/>
    <x v="1192"/>
    <s v="No"/>
    <x v="1"/>
  </r>
  <r>
    <x v="1195"/>
    <x v="5"/>
    <x v="0"/>
    <x v="0"/>
    <x v="704"/>
    <d v="2024-06-26T00:00:00"/>
    <x v="8"/>
    <x v="6"/>
    <x v="2"/>
    <x v="1194"/>
    <n v="11"/>
    <x v="1"/>
    <s v="Under Observation"/>
    <x v="1"/>
    <x v="1"/>
    <s v="Card"/>
    <n v="15"/>
    <x v="1193"/>
    <s v="Yes"/>
    <x v="0"/>
  </r>
  <r>
    <x v="1196"/>
    <x v="70"/>
    <x v="0"/>
    <x v="4"/>
    <x v="705"/>
    <d v="2024-06-14T00:00:00"/>
    <x v="6"/>
    <x v="2"/>
    <x v="2"/>
    <x v="1195"/>
    <n v="27"/>
    <x v="0"/>
    <s v="Under Observation"/>
    <x v="1"/>
    <x v="2"/>
    <s v="Insurance"/>
    <n v="14"/>
    <x v="1194"/>
    <s v="Yes"/>
    <x v="0"/>
  </r>
  <r>
    <x v="1197"/>
    <x v="55"/>
    <x v="0"/>
    <x v="5"/>
    <x v="706"/>
    <d v="2025-02-22T00:00:00"/>
    <x v="1"/>
    <x v="1"/>
    <x v="6"/>
    <x v="1196"/>
    <n v="13"/>
    <x v="1"/>
    <s v="Recovered"/>
    <x v="1"/>
    <x v="3"/>
    <s v="Insurance"/>
    <n v="15"/>
    <x v="1195"/>
    <s v="Yes"/>
    <x v="1"/>
  </r>
  <r>
    <x v="1198"/>
    <x v="42"/>
    <x v="1"/>
    <x v="4"/>
    <x v="24"/>
    <d v="2023-06-20T00:00:00"/>
    <x v="1"/>
    <x v="1"/>
    <x v="1"/>
    <x v="1197"/>
    <n v="29"/>
    <x v="0"/>
    <s v="Recovered"/>
    <x v="0"/>
    <x v="2"/>
    <s v="Card"/>
    <n v="5"/>
    <x v="1196"/>
    <s v="Yes"/>
    <x v="0"/>
  </r>
  <r>
    <x v="1199"/>
    <x v="49"/>
    <x v="1"/>
    <x v="6"/>
    <x v="356"/>
    <d v="2025-03-23T00:00:00"/>
    <x v="1"/>
    <x v="1"/>
    <x v="4"/>
    <x v="1198"/>
    <n v="4"/>
    <x v="0"/>
    <s v="Recovered"/>
    <x v="1"/>
    <x v="2"/>
    <s v="UPI"/>
    <n v="12"/>
    <x v="1197"/>
    <s v="Yes"/>
    <x v="0"/>
  </r>
  <r>
    <x v="1200"/>
    <x v="57"/>
    <x v="0"/>
    <x v="4"/>
    <x v="707"/>
    <d v="2024-09-29T00:00:00"/>
    <x v="0"/>
    <x v="0"/>
    <x v="6"/>
    <x v="1199"/>
    <n v="2"/>
    <x v="0"/>
    <s v="Recovered"/>
    <x v="0"/>
    <x v="3"/>
    <s v="Cash"/>
    <n v="14"/>
    <x v="1198"/>
    <s v="Yes"/>
    <x v="1"/>
  </r>
  <r>
    <x v="1201"/>
    <x v="64"/>
    <x v="0"/>
    <x v="1"/>
    <x v="706"/>
    <d v="2025-02-20T00:00:00"/>
    <x v="3"/>
    <x v="0"/>
    <x v="0"/>
    <x v="1200"/>
    <n v="11"/>
    <x v="0"/>
    <s v="Under Observation"/>
    <x v="2"/>
    <x v="1"/>
    <s v="Card"/>
    <n v="13"/>
    <x v="1199"/>
    <s v="Yes"/>
    <x v="0"/>
  </r>
  <r>
    <x v="1202"/>
    <x v="8"/>
    <x v="0"/>
    <x v="1"/>
    <x v="66"/>
    <d v="2023-10-12T00:00:00"/>
    <x v="3"/>
    <x v="0"/>
    <x v="7"/>
    <x v="1201"/>
    <n v="9"/>
    <x v="1"/>
    <s v="Recovered"/>
    <x v="2"/>
    <x v="3"/>
    <s v="Card"/>
    <n v="15"/>
    <x v="1200"/>
    <s v="Yes"/>
    <x v="0"/>
  </r>
  <r>
    <x v="1203"/>
    <x v="27"/>
    <x v="1"/>
    <x v="0"/>
    <x v="708"/>
    <d v="2025-02-07T00:00:00"/>
    <x v="8"/>
    <x v="6"/>
    <x v="1"/>
    <x v="1202"/>
    <n v="9"/>
    <x v="0"/>
    <s v="Under Observation"/>
    <x v="2"/>
    <x v="3"/>
    <s v="UPI"/>
    <n v="11"/>
    <x v="1201"/>
    <s v="No"/>
    <x v="0"/>
  </r>
  <r>
    <x v="1204"/>
    <x v="68"/>
    <x v="1"/>
    <x v="2"/>
    <x v="194"/>
    <d v="2025-04-01T00:00:00"/>
    <x v="2"/>
    <x v="2"/>
    <x v="4"/>
    <x v="1203"/>
    <n v="4"/>
    <x v="1"/>
    <s v="Recovered"/>
    <x v="0"/>
    <x v="1"/>
    <s v="Insurance"/>
    <n v="9"/>
    <x v="1202"/>
    <s v="Yes"/>
    <x v="0"/>
  </r>
  <r>
    <x v="1205"/>
    <x v="23"/>
    <x v="0"/>
    <x v="7"/>
    <x v="174"/>
    <d v="2023-03-15T00:00:00"/>
    <x v="2"/>
    <x v="2"/>
    <x v="7"/>
    <x v="1204"/>
    <n v="19"/>
    <x v="0"/>
    <s v="Recovered"/>
    <x v="1"/>
    <x v="2"/>
    <s v="Cash"/>
    <n v="14"/>
    <x v="1203"/>
    <s v="No"/>
    <x v="0"/>
  </r>
  <r>
    <x v="1206"/>
    <x v="48"/>
    <x v="0"/>
    <x v="7"/>
    <x v="59"/>
    <d v="2024-09-15T00:00:00"/>
    <x v="8"/>
    <x v="6"/>
    <x v="7"/>
    <x v="1205"/>
    <n v="12"/>
    <x v="1"/>
    <s v="Under Observation"/>
    <x v="1"/>
    <x v="1"/>
    <s v="UPI"/>
    <n v="12"/>
    <x v="1204"/>
    <s v="Yes"/>
    <x v="0"/>
  </r>
  <r>
    <x v="1207"/>
    <x v="71"/>
    <x v="0"/>
    <x v="5"/>
    <x v="646"/>
    <d v="2023-12-09T00:00:00"/>
    <x v="1"/>
    <x v="1"/>
    <x v="2"/>
    <x v="1206"/>
    <n v="18"/>
    <x v="1"/>
    <s v="Recovered"/>
    <x v="0"/>
    <x v="0"/>
    <s v="Card"/>
    <n v="15"/>
    <x v="1205"/>
    <s v="Yes"/>
    <x v="0"/>
  </r>
  <r>
    <x v="1208"/>
    <x v="12"/>
    <x v="1"/>
    <x v="3"/>
    <x v="242"/>
    <d v="2024-10-19T00:00:00"/>
    <x v="4"/>
    <x v="3"/>
    <x v="5"/>
    <x v="1207"/>
    <n v="20"/>
    <x v="0"/>
    <s v="Recovered"/>
    <x v="2"/>
    <x v="2"/>
    <s v="Insurance"/>
    <n v="4"/>
    <x v="1206"/>
    <s v="No"/>
    <x v="0"/>
  </r>
  <r>
    <x v="1209"/>
    <x v="68"/>
    <x v="1"/>
    <x v="3"/>
    <x v="709"/>
    <d v="2023-09-15T00:00:00"/>
    <x v="0"/>
    <x v="0"/>
    <x v="4"/>
    <x v="1208"/>
    <n v="12"/>
    <x v="1"/>
    <s v="Recovered"/>
    <x v="2"/>
    <x v="3"/>
    <s v="Card"/>
    <n v="2"/>
    <x v="1207"/>
    <s v="Yes"/>
    <x v="0"/>
  </r>
  <r>
    <x v="1210"/>
    <x v="8"/>
    <x v="1"/>
    <x v="1"/>
    <x v="125"/>
    <d v="2023-05-04T00:00:00"/>
    <x v="7"/>
    <x v="5"/>
    <x v="7"/>
    <x v="1209"/>
    <n v="18"/>
    <x v="1"/>
    <s v="Referred"/>
    <x v="0"/>
    <x v="0"/>
    <s v="Insurance"/>
    <n v="6"/>
    <x v="1208"/>
    <s v="No"/>
    <x v="0"/>
  </r>
  <r>
    <x v="1211"/>
    <x v="69"/>
    <x v="0"/>
    <x v="3"/>
    <x v="400"/>
    <d v="2023-04-03T00:00:00"/>
    <x v="6"/>
    <x v="2"/>
    <x v="7"/>
    <x v="1210"/>
    <n v="8"/>
    <x v="1"/>
    <s v="Recovered"/>
    <x v="1"/>
    <x v="1"/>
    <s v="UPI"/>
    <n v="13"/>
    <x v="1209"/>
    <s v="Yes"/>
    <x v="0"/>
  </r>
  <r>
    <x v="1212"/>
    <x v="4"/>
    <x v="1"/>
    <x v="5"/>
    <x v="710"/>
    <d v="2024-04-19T00:00:00"/>
    <x v="3"/>
    <x v="0"/>
    <x v="6"/>
    <x v="1211"/>
    <n v="4"/>
    <x v="1"/>
    <s v="Recovered"/>
    <x v="2"/>
    <x v="1"/>
    <s v="Card"/>
    <n v="4"/>
    <x v="1210"/>
    <s v="No"/>
    <x v="0"/>
  </r>
  <r>
    <x v="1213"/>
    <x v="20"/>
    <x v="1"/>
    <x v="3"/>
    <x v="658"/>
    <d v="2023-12-30T00:00:00"/>
    <x v="8"/>
    <x v="6"/>
    <x v="5"/>
    <x v="1212"/>
    <n v="2"/>
    <x v="0"/>
    <s v="Recovered"/>
    <x v="1"/>
    <x v="1"/>
    <s v="Insurance"/>
    <n v="4"/>
    <x v="1211"/>
    <s v="No"/>
    <x v="1"/>
  </r>
  <r>
    <x v="1214"/>
    <x v="43"/>
    <x v="1"/>
    <x v="5"/>
    <x v="31"/>
    <d v="2024-10-02T00:00:00"/>
    <x v="2"/>
    <x v="2"/>
    <x v="6"/>
    <x v="1213"/>
    <n v="22"/>
    <x v="0"/>
    <s v="Recovered"/>
    <x v="1"/>
    <x v="2"/>
    <s v="UPI"/>
    <n v="12"/>
    <x v="1212"/>
    <s v="No"/>
    <x v="1"/>
  </r>
  <r>
    <x v="1215"/>
    <x v="21"/>
    <x v="1"/>
    <x v="2"/>
    <x v="164"/>
    <d v="2025-08-16T00:00:00"/>
    <x v="5"/>
    <x v="4"/>
    <x v="7"/>
    <x v="1214"/>
    <n v="3"/>
    <x v="0"/>
    <s v="Under Observation"/>
    <x v="1"/>
    <x v="3"/>
    <s v="UPI"/>
    <n v="10"/>
    <x v="1213"/>
    <s v="Yes"/>
    <x v="0"/>
  </r>
  <r>
    <x v="1216"/>
    <x v="43"/>
    <x v="1"/>
    <x v="1"/>
    <x v="711"/>
    <d v="2023-06-30T00:00:00"/>
    <x v="1"/>
    <x v="1"/>
    <x v="2"/>
    <x v="1215"/>
    <n v="1"/>
    <x v="0"/>
    <s v="Under Observation"/>
    <x v="1"/>
    <x v="0"/>
    <s v="Cash"/>
    <n v="4"/>
    <x v="1214"/>
    <s v="Yes"/>
    <x v="0"/>
  </r>
  <r>
    <x v="1217"/>
    <x v="26"/>
    <x v="1"/>
    <x v="1"/>
    <x v="158"/>
    <d v="2023-06-14T00:00:00"/>
    <x v="6"/>
    <x v="2"/>
    <x v="0"/>
    <x v="1216"/>
    <n v="9"/>
    <x v="1"/>
    <s v="Recovered"/>
    <x v="1"/>
    <x v="1"/>
    <s v="Insurance"/>
    <n v="5"/>
    <x v="1215"/>
    <s v="No"/>
    <x v="0"/>
  </r>
  <r>
    <x v="1218"/>
    <x v="3"/>
    <x v="1"/>
    <x v="3"/>
    <x v="558"/>
    <d v="2023-12-19T00:00:00"/>
    <x v="4"/>
    <x v="3"/>
    <x v="1"/>
    <x v="1217"/>
    <n v="5"/>
    <x v="1"/>
    <s v="Recovered"/>
    <x v="2"/>
    <x v="2"/>
    <s v="Card"/>
    <n v="1"/>
    <x v="1216"/>
    <s v="Yes"/>
    <x v="0"/>
  </r>
  <r>
    <x v="1219"/>
    <x v="62"/>
    <x v="0"/>
    <x v="7"/>
    <x v="169"/>
    <d v="2025-07-03T00:00:00"/>
    <x v="0"/>
    <x v="0"/>
    <x v="3"/>
    <x v="1218"/>
    <n v="27"/>
    <x v="1"/>
    <s v="Recovered"/>
    <x v="2"/>
    <x v="2"/>
    <s v="Card"/>
    <n v="4"/>
    <x v="1217"/>
    <s v="No"/>
    <x v="0"/>
  </r>
  <r>
    <x v="1220"/>
    <x v="53"/>
    <x v="0"/>
    <x v="2"/>
    <x v="530"/>
    <d v="2023-03-29T00:00:00"/>
    <x v="3"/>
    <x v="0"/>
    <x v="7"/>
    <x v="1219"/>
    <n v="17"/>
    <x v="1"/>
    <s v="Recovered"/>
    <x v="2"/>
    <x v="1"/>
    <s v="Cash"/>
    <n v="13"/>
    <x v="1218"/>
    <s v="No"/>
    <x v="1"/>
  </r>
  <r>
    <x v="1221"/>
    <x v="15"/>
    <x v="0"/>
    <x v="0"/>
    <x v="146"/>
    <d v="2023-10-25T00:00:00"/>
    <x v="9"/>
    <x v="5"/>
    <x v="4"/>
    <x v="1220"/>
    <n v="3"/>
    <x v="1"/>
    <s v="Deceased"/>
    <x v="2"/>
    <x v="3"/>
    <s v="UPI"/>
    <n v="14"/>
    <x v="1219"/>
    <s v="No"/>
    <x v="0"/>
  </r>
  <r>
    <x v="1222"/>
    <x v="66"/>
    <x v="0"/>
    <x v="1"/>
    <x v="350"/>
    <d v="2023-01-26T00:00:00"/>
    <x v="3"/>
    <x v="0"/>
    <x v="3"/>
    <x v="1221"/>
    <n v="5"/>
    <x v="1"/>
    <s v="Recovered"/>
    <x v="2"/>
    <x v="0"/>
    <s v="UPI"/>
    <n v="1"/>
    <x v="1220"/>
    <s v="No"/>
    <x v="0"/>
  </r>
  <r>
    <x v="1223"/>
    <x v="35"/>
    <x v="1"/>
    <x v="5"/>
    <x v="192"/>
    <d v="2024-08-18T00:00:00"/>
    <x v="6"/>
    <x v="2"/>
    <x v="2"/>
    <x v="1222"/>
    <n v="12"/>
    <x v="0"/>
    <s v="Recovered"/>
    <x v="0"/>
    <x v="0"/>
    <s v="Cash"/>
    <n v="11"/>
    <x v="1221"/>
    <s v="No"/>
    <x v="0"/>
  </r>
  <r>
    <x v="1224"/>
    <x v="61"/>
    <x v="0"/>
    <x v="0"/>
    <x v="712"/>
    <d v="2024-02-24T00:00:00"/>
    <x v="5"/>
    <x v="4"/>
    <x v="3"/>
    <x v="1223"/>
    <n v="7"/>
    <x v="0"/>
    <s v="Recovered"/>
    <x v="1"/>
    <x v="2"/>
    <s v="UPI"/>
    <n v="3"/>
    <x v="1222"/>
    <s v="No"/>
    <x v="0"/>
  </r>
  <r>
    <x v="1225"/>
    <x v="44"/>
    <x v="0"/>
    <x v="7"/>
    <x v="210"/>
    <d v="2023-12-21T00:00:00"/>
    <x v="5"/>
    <x v="4"/>
    <x v="2"/>
    <x v="1224"/>
    <n v="11"/>
    <x v="1"/>
    <s v="Recovered"/>
    <x v="2"/>
    <x v="3"/>
    <s v="Cash"/>
    <n v="11"/>
    <x v="1223"/>
    <s v="No"/>
    <x v="0"/>
  </r>
  <r>
    <x v="1226"/>
    <x v="16"/>
    <x v="1"/>
    <x v="2"/>
    <x v="713"/>
    <d v="2025-06-02T00:00:00"/>
    <x v="5"/>
    <x v="4"/>
    <x v="5"/>
    <x v="1225"/>
    <n v="5"/>
    <x v="1"/>
    <s v="Referred"/>
    <x v="2"/>
    <x v="0"/>
    <s v="Cash"/>
    <n v="10"/>
    <x v="1224"/>
    <s v="No"/>
    <x v="0"/>
  </r>
  <r>
    <x v="1227"/>
    <x v="34"/>
    <x v="0"/>
    <x v="5"/>
    <x v="50"/>
    <d v="2023-12-23T00:00:00"/>
    <x v="6"/>
    <x v="2"/>
    <x v="2"/>
    <x v="1226"/>
    <n v="8"/>
    <x v="0"/>
    <s v="Referred"/>
    <x v="1"/>
    <x v="3"/>
    <s v="UPI"/>
    <n v="1"/>
    <x v="1225"/>
    <s v="Yes"/>
    <x v="0"/>
  </r>
  <r>
    <x v="1228"/>
    <x v="9"/>
    <x v="0"/>
    <x v="5"/>
    <x v="714"/>
    <d v="2025-02-01T00:00:00"/>
    <x v="8"/>
    <x v="6"/>
    <x v="2"/>
    <x v="1227"/>
    <n v="1"/>
    <x v="1"/>
    <s v="Under Observation"/>
    <x v="1"/>
    <x v="3"/>
    <s v="Card"/>
    <n v="11"/>
    <x v="1226"/>
    <s v="No"/>
    <x v="0"/>
  </r>
  <r>
    <x v="1229"/>
    <x v="32"/>
    <x v="0"/>
    <x v="2"/>
    <x v="647"/>
    <d v="2025-01-30T00:00:00"/>
    <x v="8"/>
    <x v="6"/>
    <x v="3"/>
    <x v="1228"/>
    <n v="9"/>
    <x v="0"/>
    <s v="Recovered"/>
    <x v="2"/>
    <x v="0"/>
    <s v="UPI"/>
    <n v="5"/>
    <x v="1227"/>
    <s v="Yes"/>
    <x v="0"/>
  </r>
  <r>
    <x v="1230"/>
    <x v="68"/>
    <x v="0"/>
    <x v="7"/>
    <x v="707"/>
    <d v="2024-10-15T00:00:00"/>
    <x v="2"/>
    <x v="2"/>
    <x v="6"/>
    <x v="1229"/>
    <n v="18"/>
    <x v="1"/>
    <s v="Recovered"/>
    <x v="2"/>
    <x v="2"/>
    <s v="Cash"/>
    <n v="15"/>
    <x v="1228"/>
    <s v="Yes"/>
    <x v="0"/>
  </r>
  <r>
    <x v="1231"/>
    <x v="9"/>
    <x v="0"/>
    <x v="7"/>
    <x v="121"/>
    <d v="2023-05-10T00:00:00"/>
    <x v="9"/>
    <x v="5"/>
    <x v="1"/>
    <x v="1230"/>
    <n v="3"/>
    <x v="0"/>
    <s v="Recovered"/>
    <x v="2"/>
    <x v="2"/>
    <s v="Insurance"/>
    <n v="9"/>
    <x v="1229"/>
    <s v="Yes"/>
    <x v="0"/>
  </r>
  <r>
    <x v="1232"/>
    <x v="48"/>
    <x v="1"/>
    <x v="4"/>
    <x v="673"/>
    <d v="2025-03-19T00:00:00"/>
    <x v="3"/>
    <x v="0"/>
    <x v="2"/>
    <x v="1231"/>
    <n v="20"/>
    <x v="0"/>
    <s v="Recovered"/>
    <x v="1"/>
    <x v="1"/>
    <s v="Insurance"/>
    <n v="9"/>
    <x v="1230"/>
    <s v="Yes"/>
    <x v="0"/>
  </r>
  <r>
    <x v="1233"/>
    <x v="21"/>
    <x v="0"/>
    <x v="0"/>
    <x v="367"/>
    <d v="2023-11-01T00:00:00"/>
    <x v="1"/>
    <x v="1"/>
    <x v="5"/>
    <x v="1232"/>
    <n v="9"/>
    <x v="0"/>
    <s v="Recovered"/>
    <x v="2"/>
    <x v="0"/>
    <s v="Card"/>
    <n v="1"/>
    <x v="1231"/>
    <s v="Yes"/>
    <x v="0"/>
  </r>
  <r>
    <x v="1234"/>
    <x v="72"/>
    <x v="0"/>
    <x v="6"/>
    <x v="97"/>
    <d v="2024-08-11T00:00:00"/>
    <x v="8"/>
    <x v="6"/>
    <x v="5"/>
    <x v="1233"/>
    <n v="17"/>
    <x v="0"/>
    <s v="Recovered"/>
    <x v="2"/>
    <x v="1"/>
    <s v="Cash"/>
    <n v="4"/>
    <x v="1232"/>
    <s v="No"/>
    <x v="0"/>
  </r>
  <r>
    <x v="1235"/>
    <x v="55"/>
    <x v="1"/>
    <x v="0"/>
    <x v="342"/>
    <d v="2025-01-17T00:00:00"/>
    <x v="6"/>
    <x v="2"/>
    <x v="2"/>
    <x v="1234"/>
    <n v="29"/>
    <x v="1"/>
    <s v="Recovered"/>
    <x v="0"/>
    <x v="2"/>
    <s v="UPI"/>
    <n v="1"/>
    <x v="1233"/>
    <s v="No"/>
    <x v="1"/>
  </r>
  <r>
    <x v="1236"/>
    <x v="22"/>
    <x v="0"/>
    <x v="5"/>
    <x v="552"/>
    <d v="2023-05-08T00:00:00"/>
    <x v="2"/>
    <x v="2"/>
    <x v="6"/>
    <x v="1235"/>
    <n v="23"/>
    <x v="1"/>
    <s v="Recovered"/>
    <x v="2"/>
    <x v="2"/>
    <s v="Insurance"/>
    <n v="14"/>
    <x v="1234"/>
    <s v="No"/>
    <x v="0"/>
  </r>
  <r>
    <x v="1237"/>
    <x v="1"/>
    <x v="1"/>
    <x v="4"/>
    <x v="627"/>
    <d v="2025-02-08T00:00:00"/>
    <x v="9"/>
    <x v="5"/>
    <x v="6"/>
    <x v="1236"/>
    <n v="16"/>
    <x v="0"/>
    <s v="Recovered"/>
    <x v="2"/>
    <x v="0"/>
    <s v="Cash"/>
    <n v="1"/>
    <x v="1235"/>
    <s v="No"/>
    <x v="0"/>
  </r>
  <r>
    <x v="1238"/>
    <x v="65"/>
    <x v="1"/>
    <x v="5"/>
    <x v="715"/>
    <d v="2023-08-10T00:00:00"/>
    <x v="3"/>
    <x v="0"/>
    <x v="3"/>
    <x v="1237"/>
    <n v="19"/>
    <x v="1"/>
    <s v="Recovered"/>
    <x v="1"/>
    <x v="0"/>
    <s v="Cash"/>
    <n v="15"/>
    <x v="1236"/>
    <s v="Yes"/>
    <x v="0"/>
  </r>
  <r>
    <x v="1239"/>
    <x v="43"/>
    <x v="0"/>
    <x v="2"/>
    <x v="371"/>
    <d v="2024-03-16T00:00:00"/>
    <x v="0"/>
    <x v="0"/>
    <x v="5"/>
    <x v="1238"/>
    <n v="10"/>
    <x v="0"/>
    <s v="Recovered"/>
    <x v="2"/>
    <x v="1"/>
    <s v="Insurance"/>
    <n v="7"/>
    <x v="1237"/>
    <s v="Yes"/>
    <x v="0"/>
  </r>
  <r>
    <x v="1240"/>
    <x v="48"/>
    <x v="1"/>
    <x v="5"/>
    <x v="475"/>
    <d v="2024-03-30T00:00:00"/>
    <x v="4"/>
    <x v="3"/>
    <x v="4"/>
    <x v="1239"/>
    <n v="11"/>
    <x v="1"/>
    <s v="Recovered"/>
    <x v="2"/>
    <x v="0"/>
    <s v="Card"/>
    <n v="15"/>
    <x v="1238"/>
    <s v="Yes"/>
    <x v="0"/>
  </r>
  <r>
    <x v="1241"/>
    <x v="62"/>
    <x v="1"/>
    <x v="4"/>
    <x v="716"/>
    <d v="2025-10-17T00:00:00"/>
    <x v="9"/>
    <x v="5"/>
    <x v="3"/>
    <x v="1240"/>
    <n v="29"/>
    <x v="1"/>
    <s v="Recovered"/>
    <x v="2"/>
    <x v="2"/>
    <s v="UPI"/>
    <n v="8"/>
    <x v="1239"/>
    <s v="No"/>
    <x v="0"/>
  </r>
  <r>
    <x v="1242"/>
    <x v="46"/>
    <x v="0"/>
    <x v="2"/>
    <x v="264"/>
    <d v="2024-06-11T00:00:00"/>
    <x v="3"/>
    <x v="0"/>
    <x v="7"/>
    <x v="1241"/>
    <n v="5"/>
    <x v="1"/>
    <s v="Under Observation"/>
    <x v="1"/>
    <x v="2"/>
    <s v="Insurance"/>
    <n v="12"/>
    <x v="1240"/>
    <s v="Yes"/>
    <x v="1"/>
  </r>
  <r>
    <x v="1243"/>
    <x v="3"/>
    <x v="1"/>
    <x v="1"/>
    <x v="557"/>
    <d v="2025-08-07T00:00:00"/>
    <x v="8"/>
    <x v="6"/>
    <x v="2"/>
    <x v="1242"/>
    <n v="15"/>
    <x v="0"/>
    <s v="Recovered"/>
    <x v="0"/>
    <x v="2"/>
    <s v="Insurance"/>
    <n v="3"/>
    <x v="1241"/>
    <s v="No"/>
    <x v="0"/>
  </r>
  <r>
    <x v="1244"/>
    <x v="59"/>
    <x v="0"/>
    <x v="7"/>
    <x v="244"/>
    <d v="2023-09-27T00:00:00"/>
    <x v="7"/>
    <x v="5"/>
    <x v="6"/>
    <x v="1243"/>
    <n v="13"/>
    <x v="0"/>
    <s v="Recovered"/>
    <x v="0"/>
    <x v="2"/>
    <s v="Cash"/>
    <n v="11"/>
    <x v="1242"/>
    <s v="Yes"/>
    <x v="0"/>
  </r>
  <r>
    <x v="1245"/>
    <x v="29"/>
    <x v="0"/>
    <x v="4"/>
    <x v="597"/>
    <d v="2023-05-09T00:00:00"/>
    <x v="5"/>
    <x v="4"/>
    <x v="6"/>
    <x v="1244"/>
    <n v="1"/>
    <x v="1"/>
    <s v="Recovered"/>
    <x v="2"/>
    <x v="0"/>
    <s v="UPI"/>
    <n v="15"/>
    <x v="1243"/>
    <s v="Yes"/>
    <x v="0"/>
  </r>
  <r>
    <x v="1246"/>
    <x v="36"/>
    <x v="1"/>
    <x v="1"/>
    <x v="717"/>
    <d v="2023-02-18T00:00:00"/>
    <x v="8"/>
    <x v="6"/>
    <x v="0"/>
    <x v="1245"/>
    <n v="13"/>
    <x v="0"/>
    <s v="Recovered"/>
    <x v="2"/>
    <x v="1"/>
    <s v="Insurance"/>
    <n v="7"/>
    <x v="1244"/>
    <s v="No"/>
    <x v="0"/>
  </r>
  <r>
    <x v="1247"/>
    <x v="50"/>
    <x v="1"/>
    <x v="2"/>
    <x v="718"/>
    <d v="2024-03-23T00:00:00"/>
    <x v="0"/>
    <x v="0"/>
    <x v="2"/>
    <x v="1246"/>
    <n v="28"/>
    <x v="0"/>
    <s v="Recovered"/>
    <x v="1"/>
    <x v="2"/>
    <s v="Insurance"/>
    <n v="9"/>
    <x v="1245"/>
    <s v="Yes"/>
    <x v="0"/>
  </r>
  <r>
    <x v="1248"/>
    <x v="26"/>
    <x v="0"/>
    <x v="4"/>
    <x v="719"/>
    <d v="2024-06-28T00:00:00"/>
    <x v="4"/>
    <x v="3"/>
    <x v="1"/>
    <x v="1247"/>
    <n v="20"/>
    <x v="1"/>
    <s v="Recovered"/>
    <x v="2"/>
    <x v="3"/>
    <s v="Card"/>
    <n v="7"/>
    <x v="1246"/>
    <s v="Yes"/>
    <x v="1"/>
  </r>
  <r>
    <x v="1249"/>
    <x v="63"/>
    <x v="1"/>
    <x v="3"/>
    <x v="463"/>
    <d v="2023-12-14T00:00:00"/>
    <x v="9"/>
    <x v="5"/>
    <x v="1"/>
    <x v="1248"/>
    <n v="9"/>
    <x v="1"/>
    <s v="Under Observation"/>
    <x v="0"/>
    <x v="0"/>
    <s v="Card"/>
    <n v="9"/>
    <x v="1247"/>
    <s v="No"/>
    <x v="0"/>
  </r>
  <r>
    <x v="1250"/>
    <x v="12"/>
    <x v="1"/>
    <x v="2"/>
    <x v="119"/>
    <d v="2025-01-25T00:00:00"/>
    <x v="2"/>
    <x v="2"/>
    <x v="5"/>
    <x v="1249"/>
    <n v="15"/>
    <x v="1"/>
    <s v="Recovered"/>
    <x v="2"/>
    <x v="1"/>
    <s v="Card"/>
    <n v="13"/>
    <x v="1248"/>
    <s v="Yes"/>
    <x v="0"/>
  </r>
  <r>
    <x v="1251"/>
    <x v="18"/>
    <x v="0"/>
    <x v="2"/>
    <x v="248"/>
    <d v="2023-03-25T00:00:00"/>
    <x v="3"/>
    <x v="0"/>
    <x v="5"/>
    <x v="1250"/>
    <n v="15"/>
    <x v="1"/>
    <s v="Recovered"/>
    <x v="1"/>
    <x v="2"/>
    <s v="Cash"/>
    <n v="12"/>
    <x v="1249"/>
    <s v="No"/>
    <x v="0"/>
  </r>
  <r>
    <x v="1252"/>
    <x v="32"/>
    <x v="0"/>
    <x v="0"/>
    <x v="523"/>
    <d v="2023-11-04T00:00:00"/>
    <x v="7"/>
    <x v="5"/>
    <x v="4"/>
    <x v="1251"/>
    <n v="11"/>
    <x v="0"/>
    <s v="Recovered"/>
    <x v="2"/>
    <x v="2"/>
    <s v="Card"/>
    <n v="6"/>
    <x v="1250"/>
    <s v="Yes"/>
    <x v="0"/>
  </r>
  <r>
    <x v="1253"/>
    <x v="14"/>
    <x v="0"/>
    <x v="3"/>
    <x v="543"/>
    <d v="2025-05-22T00:00:00"/>
    <x v="3"/>
    <x v="0"/>
    <x v="0"/>
    <x v="1252"/>
    <n v="19"/>
    <x v="1"/>
    <s v="Recovered"/>
    <x v="1"/>
    <x v="3"/>
    <s v="Card"/>
    <n v="7"/>
    <x v="1251"/>
    <s v="No"/>
    <x v="0"/>
  </r>
  <r>
    <x v="1254"/>
    <x v="2"/>
    <x v="0"/>
    <x v="5"/>
    <x v="578"/>
    <d v="2025-08-17T00:00:00"/>
    <x v="4"/>
    <x v="3"/>
    <x v="5"/>
    <x v="1253"/>
    <n v="20"/>
    <x v="0"/>
    <s v="Recovered"/>
    <x v="0"/>
    <x v="0"/>
    <s v="Cash"/>
    <n v="4"/>
    <x v="1252"/>
    <s v="No"/>
    <x v="0"/>
  </r>
  <r>
    <x v="1255"/>
    <x v="3"/>
    <x v="0"/>
    <x v="1"/>
    <x v="623"/>
    <d v="2024-11-07T00:00:00"/>
    <x v="4"/>
    <x v="3"/>
    <x v="7"/>
    <x v="1254"/>
    <n v="2"/>
    <x v="1"/>
    <s v="Recovered"/>
    <x v="2"/>
    <x v="0"/>
    <s v="Card"/>
    <n v="6"/>
    <x v="1253"/>
    <s v="Yes"/>
    <x v="0"/>
  </r>
  <r>
    <x v="1256"/>
    <x v="60"/>
    <x v="0"/>
    <x v="4"/>
    <x v="150"/>
    <d v="2023-02-11T00:00:00"/>
    <x v="1"/>
    <x v="1"/>
    <x v="4"/>
    <x v="1255"/>
    <n v="1"/>
    <x v="1"/>
    <s v="Recovered"/>
    <x v="1"/>
    <x v="0"/>
    <s v="Card"/>
    <n v="13"/>
    <x v="1254"/>
    <s v="No"/>
    <x v="1"/>
  </r>
  <r>
    <x v="1257"/>
    <x v="44"/>
    <x v="1"/>
    <x v="3"/>
    <x v="326"/>
    <d v="2023-05-04T00:00:00"/>
    <x v="4"/>
    <x v="3"/>
    <x v="2"/>
    <x v="1256"/>
    <n v="3"/>
    <x v="0"/>
    <s v="Recovered"/>
    <x v="2"/>
    <x v="3"/>
    <s v="Card"/>
    <n v="4"/>
    <x v="1255"/>
    <s v="Yes"/>
    <x v="0"/>
  </r>
  <r>
    <x v="1258"/>
    <x v="35"/>
    <x v="0"/>
    <x v="2"/>
    <x v="650"/>
    <d v="2023-09-24T00:00:00"/>
    <x v="4"/>
    <x v="3"/>
    <x v="6"/>
    <x v="1257"/>
    <n v="15"/>
    <x v="1"/>
    <s v="Recovered"/>
    <x v="2"/>
    <x v="3"/>
    <s v="Cash"/>
    <n v="12"/>
    <x v="1256"/>
    <s v="No"/>
    <x v="0"/>
  </r>
  <r>
    <x v="1259"/>
    <x v="46"/>
    <x v="1"/>
    <x v="3"/>
    <x v="553"/>
    <d v="2023-01-26T00:00:00"/>
    <x v="4"/>
    <x v="3"/>
    <x v="4"/>
    <x v="1258"/>
    <n v="12"/>
    <x v="1"/>
    <s v="Recovered"/>
    <x v="1"/>
    <x v="2"/>
    <s v="Cash"/>
    <n v="8"/>
    <x v="1257"/>
    <s v="Yes"/>
    <x v="0"/>
  </r>
  <r>
    <x v="1260"/>
    <x v="44"/>
    <x v="1"/>
    <x v="0"/>
    <x v="411"/>
    <d v="2025-05-27T00:00:00"/>
    <x v="9"/>
    <x v="5"/>
    <x v="3"/>
    <x v="1259"/>
    <n v="10"/>
    <x v="1"/>
    <s v="Recovered"/>
    <x v="1"/>
    <x v="0"/>
    <s v="UPI"/>
    <n v="14"/>
    <x v="1258"/>
    <s v="No"/>
    <x v="0"/>
  </r>
  <r>
    <x v="1261"/>
    <x v="27"/>
    <x v="0"/>
    <x v="7"/>
    <x v="42"/>
    <d v="2023-06-03T00:00:00"/>
    <x v="8"/>
    <x v="6"/>
    <x v="2"/>
    <x v="1260"/>
    <n v="3"/>
    <x v="0"/>
    <s v="Recovered"/>
    <x v="0"/>
    <x v="0"/>
    <s v="UPI"/>
    <n v="2"/>
    <x v="1259"/>
    <s v="Yes"/>
    <x v="1"/>
  </r>
  <r>
    <x v="1262"/>
    <x v="58"/>
    <x v="0"/>
    <x v="0"/>
    <x v="207"/>
    <d v="2023-08-17T00:00:00"/>
    <x v="2"/>
    <x v="2"/>
    <x v="6"/>
    <x v="1261"/>
    <n v="20"/>
    <x v="0"/>
    <s v="Recovered"/>
    <x v="0"/>
    <x v="2"/>
    <s v="Insurance"/>
    <n v="15"/>
    <x v="1260"/>
    <s v="No"/>
    <x v="0"/>
  </r>
  <r>
    <x v="1263"/>
    <x v="68"/>
    <x v="1"/>
    <x v="4"/>
    <x v="720"/>
    <d v="2023-08-18T00:00:00"/>
    <x v="4"/>
    <x v="3"/>
    <x v="2"/>
    <x v="1262"/>
    <n v="15"/>
    <x v="1"/>
    <s v="Recovered"/>
    <x v="2"/>
    <x v="1"/>
    <s v="Insurance"/>
    <n v="4"/>
    <x v="1261"/>
    <s v="No"/>
    <x v="0"/>
  </r>
  <r>
    <x v="1264"/>
    <x v="47"/>
    <x v="0"/>
    <x v="5"/>
    <x v="721"/>
    <d v="2024-03-04T00:00:00"/>
    <x v="8"/>
    <x v="6"/>
    <x v="0"/>
    <x v="1263"/>
    <n v="8"/>
    <x v="0"/>
    <s v="Recovered"/>
    <x v="2"/>
    <x v="1"/>
    <s v="Cash"/>
    <n v="9"/>
    <x v="1262"/>
    <s v="Yes"/>
    <x v="1"/>
  </r>
  <r>
    <x v="1265"/>
    <x v="60"/>
    <x v="0"/>
    <x v="6"/>
    <x v="185"/>
    <d v="2024-02-09T00:00:00"/>
    <x v="6"/>
    <x v="2"/>
    <x v="3"/>
    <x v="1264"/>
    <n v="3"/>
    <x v="0"/>
    <s v="Recovered"/>
    <x v="0"/>
    <x v="3"/>
    <s v="Cash"/>
    <n v="7"/>
    <x v="1263"/>
    <s v="No"/>
    <x v="0"/>
  </r>
  <r>
    <x v="1266"/>
    <x v="60"/>
    <x v="0"/>
    <x v="6"/>
    <x v="722"/>
    <d v="2025-01-17T00:00:00"/>
    <x v="7"/>
    <x v="5"/>
    <x v="4"/>
    <x v="1265"/>
    <n v="21"/>
    <x v="1"/>
    <s v="Recovered"/>
    <x v="1"/>
    <x v="2"/>
    <s v="Cash"/>
    <n v="4"/>
    <x v="1264"/>
    <s v="Yes"/>
    <x v="0"/>
  </r>
  <r>
    <x v="1267"/>
    <x v="3"/>
    <x v="0"/>
    <x v="3"/>
    <x v="723"/>
    <d v="2025-07-12T00:00:00"/>
    <x v="4"/>
    <x v="3"/>
    <x v="3"/>
    <x v="1266"/>
    <n v="17"/>
    <x v="0"/>
    <s v="Under Observation"/>
    <x v="0"/>
    <x v="0"/>
    <s v="Card"/>
    <n v="10"/>
    <x v="1265"/>
    <s v="Yes"/>
    <x v="0"/>
  </r>
  <r>
    <x v="1268"/>
    <x v="54"/>
    <x v="0"/>
    <x v="3"/>
    <x v="724"/>
    <d v="2024-07-12T00:00:00"/>
    <x v="5"/>
    <x v="4"/>
    <x v="7"/>
    <x v="1267"/>
    <n v="4"/>
    <x v="1"/>
    <s v="Recovered"/>
    <x v="1"/>
    <x v="1"/>
    <s v="Insurance"/>
    <n v="9"/>
    <x v="1266"/>
    <s v="Yes"/>
    <x v="0"/>
  </r>
  <r>
    <x v="1269"/>
    <x v="35"/>
    <x v="0"/>
    <x v="5"/>
    <x v="725"/>
    <d v="2024-10-31T00:00:00"/>
    <x v="0"/>
    <x v="0"/>
    <x v="5"/>
    <x v="1268"/>
    <n v="12"/>
    <x v="0"/>
    <s v="Under Observation"/>
    <x v="0"/>
    <x v="3"/>
    <s v="Insurance"/>
    <n v="15"/>
    <x v="1267"/>
    <s v="Yes"/>
    <x v="0"/>
  </r>
  <r>
    <x v="1270"/>
    <x v="25"/>
    <x v="0"/>
    <x v="2"/>
    <x v="726"/>
    <d v="2024-03-14T00:00:00"/>
    <x v="6"/>
    <x v="2"/>
    <x v="3"/>
    <x v="1269"/>
    <n v="1"/>
    <x v="0"/>
    <s v="Under Observation"/>
    <x v="2"/>
    <x v="0"/>
    <s v="Cash"/>
    <n v="11"/>
    <x v="1268"/>
    <s v="No"/>
    <x v="0"/>
  </r>
  <r>
    <x v="1271"/>
    <x v="13"/>
    <x v="0"/>
    <x v="4"/>
    <x v="264"/>
    <d v="2024-06-23T00:00:00"/>
    <x v="6"/>
    <x v="2"/>
    <x v="1"/>
    <x v="1270"/>
    <n v="17"/>
    <x v="0"/>
    <s v="Recovered"/>
    <x v="2"/>
    <x v="3"/>
    <s v="Card"/>
    <n v="9"/>
    <x v="1269"/>
    <s v="No"/>
    <x v="0"/>
  </r>
  <r>
    <x v="1272"/>
    <x v="6"/>
    <x v="0"/>
    <x v="5"/>
    <x v="392"/>
    <d v="2023-09-29T00:00:00"/>
    <x v="2"/>
    <x v="2"/>
    <x v="2"/>
    <x v="1271"/>
    <n v="29"/>
    <x v="1"/>
    <s v="Recovered"/>
    <x v="0"/>
    <x v="2"/>
    <s v="Cash"/>
    <n v="14"/>
    <x v="1270"/>
    <s v="No"/>
    <x v="0"/>
  </r>
  <r>
    <x v="1273"/>
    <x v="72"/>
    <x v="0"/>
    <x v="4"/>
    <x v="216"/>
    <d v="2024-10-27T00:00:00"/>
    <x v="9"/>
    <x v="5"/>
    <x v="4"/>
    <x v="1272"/>
    <n v="5"/>
    <x v="1"/>
    <s v="Recovered"/>
    <x v="0"/>
    <x v="1"/>
    <s v="Card"/>
    <n v="3"/>
    <x v="1271"/>
    <s v="Yes"/>
    <x v="0"/>
  </r>
  <r>
    <x v="1274"/>
    <x v="68"/>
    <x v="0"/>
    <x v="5"/>
    <x v="191"/>
    <d v="2023-04-13T00:00:00"/>
    <x v="6"/>
    <x v="2"/>
    <x v="1"/>
    <x v="1273"/>
    <n v="6"/>
    <x v="0"/>
    <s v="Under Observation"/>
    <x v="2"/>
    <x v="3"/>
    <s v="Card"/>
    <n v="6"/>
    <x v="1272"/>
    <s v="Yes"/>
    <x v="0"/>
  </r>
  <r>
    <x v="1275"/>
    <x v="61"/>
    <x v="0"/>
    <x v="6"/>
    <x v="709"/>
    <d v="2023-09-13T00:00:00"/>
    <x v="1"/>
    <x v="1"/>
    <x v="7"/>
    <x v="1274"/>
    <n v="10"/>
    <x v="1"/>
    <s v="Recovered"/>
    <x v="2"/>
    <x v="2"/>
    <s v="Card"/>
    <n v="9"/>
    <x v="1273"/>
    <s v="Yes"/>
    <x v="0"/>
  </r>
  <r>
    <x v="1276"/>
    <x v="26"/>
    <x v="0"/>
    <x v="3"/>
    <x v="168"/>
    <d v="2023-01-27T00:00:00"/>
    <x v="3"/>
    <x v="0"/>
    <x v="2"/>
    <x v="1275"/>
    <n v="11"/>
    <x v="0"/>
    <s v="Recovered"/>
    <x v="2"/>
    <x v="1"/>
    <s v="Insurance"/>
    <n v="7"/>
    <x v="1274"/>
    <s v="Yes"/>
    <x v="0"/>
  </r>
  <r>
    <x v="1277"/>
    <x v="8"/>
    <x v="0"/>
    <x v="6"/>
    <x v="146"/>
    <d v="2023-11-03T00:00:00"/>
    <x v="3"/>
    <x v="0"/>
    <x v="7"/>
    <x v="1276"/>
    <n v="12"/>
    <x v="0"/>
    <s v="Recovered"/>
    <x v="1"/>
    <x v="1"/>
    <s v="UPI"/>
    <n v="13"/>
    <x v="1275"/>
    <s v="No"/>
    <x v="0"/>
  </r>
  <r>
    <x v="1278"/>
    <x v="70"/>
    <x v="1"/>
    <x v="5"/>
    <x v="199"/>
    <d v="2025-07-23T00:00:00"/>
    <x v="8"/>
    <x v="6"/>
    <x v="5"/>
    <x v="1277"/>
    <n v="17"/>
    <x v="0"/>
    <s v="Recovered"/>
    <x v="1"/>
    <x v="0"/>
    <s v="Insurance"/>
    <n v="6"/>
    <x v="1276"/>
    <s v="No"/>
    <x v="0"/>
  </r>
  <r>
    <x v="1279"/>
    <x v="43"/>
    <x v="0"/>
    <x v="4"/>
    <x v="727"/>
    <d v="2024-04-02T00:00:00"/>
    <x v="1"/>
    <x v="1"/>
    <x v="2"/>
    <x v="1278"/>
    <n v="5"/>
    <x v="0"/>
    <s v="Recovered"/>
    <x v="0"/>
    <x v="2"/>
    <s v="Card"/>
    <n v="10"/>
    <x v="1277"/>
    <s v="Yes"/>
    <x v="0"/>
  </r>
  <r>
    <x v="1280"/>
    <x v="51"/>
    <x v="0"/>
    <x v="7"/>
    <x v="691"/>
    <d v="2024-07-26T00:00:00"/>
    <x v="8"/>
    <x v="6"/>
    <x v="5"/>
    <x v="1279"/>
    <n v="17"/>
    <x v="1"/>
    <s v="Recovered"/>
    <x v="1"/>
    <x v="2"/>
    <s v="UPI"/>
    <n v="7"/>
    <x v="1278"/>
    <s v="No"/>
    <x v="1"/>
  </r>
  <r>
    <x v="1281"/>
    <x v="29"/>
    <x v="0"/>
    <x v="4"/>
    <x v="728"/>
    <d v="2023-06-14T00:00:00"/>
    <x v="1"/>
    <x v="1"/>
    <x v="3"/>
    <x v="1280"/>
    <n v="16"/>
    <x v="1"/>
    <s v="Recovered"/>
    <x v="2"/>
    <x v="3"/>
    <s v="Card"/>
    <n v="11"/>
    <x v="1279"/>
    <s v="Yes"/>
    <x v="0"/>
  </r>
  <r>
    <x v="1282"/>
    <x v="10"/>
    <x v="1"/>
    <x v="1"/>
    <x v="729"/>
    <d v="2023-04-19T00:00:00"/>
    <x v="8"/>
    <x v="6"/>
    <x v="1"/>
    <x v="1281"/>
    <n v="23"/>
    <x v="0"/>
    <s v="Recovered"/>
    <x v="2"/>
    <x v="2"/>
    <s v="UPI"/>
    <n v="9"/>
    <x v="1280"/>
    <s v="No"/>
    <x v="1"/>
  </r>
  <r>
    <x v="1283"/>
    <x v="9"/>
    <x v="1"/>
    <x v="3"/>
    <x v="506"/>
    <d v="2024-06-27T00:00:00"/>
    <x v="9"/>
    <x v="5"/>
    <x v="3"/>
    <x v="1282"/>
    <n v="7"/>
    <x v="0"/>
    <s v="Referred"/>
    <x v="2"/>
    <x v="0"/>
    <s v="Cash"/>
    <n v="11"/>
    <x v="1281"/>
    <s v="No"/>
    <x v="0"/>
  </r>
  <r>
    <x v="1284"/>
    <x v="38"/>
    <x v="0"/>
    <x v="0"/>
    <x v="306"/>
    <d v="2023-04-08T00:00:00"/>
    <x v="6"/>
    <x v="2"/>
    <x v="2"/>
    <x v="1283"/>
    <n v="7"/>
    <x v="0"/>
    <s v="Recovered"/>
    <x v="0"/>
    <x v="0"/>
    <s v="Cash"/>
    <n v="7"/>
    <x v="1282"/>
    <s v="No"/>
    <x v="0"/>
  </r>
  <r>
    <x v="1285"/>
    <x v="71"/>
    <x v="0"/>
    <x v="0"/>
    <x v="312"/>
    <d v="2025-08-13T00:00:00"/>
    <x v="0"/>
    <x v="0"/>
    <x v="5"/>
    <x v="1284"/>
    <n v="3"/>
    <x v="0"/>
    <s v="Recovered"/>
    <x v="0"/>
    <x v="0"/>
    <s v="UPI"/>
    <n v="11"/>
    <x v="1283"/>
    <s v="Yes"/>
    <x v="0"/>
  </r>
  <r>
    <x v="1286"/>
    <x v="47"/>
    <x v="0"/>
    <x v="2"/>
    <x v="730"/>
    <d v="2025-07-10T00:00:00"/>
    <x v="2"/>
    <x v="2"/>
    <x v="0"/>
    <x v="1285"/>
    <n v="16"/>
    <x v="0"/>
    <s v="Under Observation"/>
    <x v="2"/>
    <x v="2"/>
    <s v="UPI"/>
    <n v="8"/>
    <x v="1284"/>
    <s v="No"/>
    <x v="1"/>
  </r>
  <r>
    <x v="1287"/>
    <x v="23"/>
    <x v="1"/>
    <x v="5"/>
    <x v="98"/>
    <d v="2023-05-25T00:00:00"/>
    <x v="5"/>
    <x v="4"/>
    <x v="1"/>
    <x v="1286"/>
    <n v="13"/>
    <x v="1"/>
    <s v="Under Observation"/>
    <x v="1"/>
    <x v="3"/>
    <s v="Card"/>
    <n v="2"/>
    <x v="1285"/>
    <s v="Yes"/>
    <x v="0"/>
  </r>
  <r>
    <x v="1288"/>
    <x v="47"/>
    <x v="1"/>
    <x v="0"/>
    <x v="477"/>
    <d v="2023-07-07T00:00:00"/>
    <x v="2"/>
    <x v="2"/>
    <x v="4"/>
    <x v="1287"/>
    <n v="18"/>
    <x v="0"/>
    <s v="Recovered"/>
    <x v="2"/>
    <x v="2"/>
    <s v="Insurance"/>
    <n v="14"/>
    <x v="1286"/>
    <s v="No"/>
    <x v="0"/>
  </r>
  <r>
    <x v="1289"/>
    <x v="64"/>
    <x v="0"/>
    <x v="2"/>
    <x v="169"/>
    <d v="2025-06-17T00:00:00"/>
    <x v="7"/>
    <x v="5"/>
    <x v="7"/>
    <x v="1288"/>
    <n v="11"/>
    <x v="1"/>
    <s v="Recovered"/>
    <x v="0"/>
    <x v="3"/>
    <s v="UPI"/>
    <n v="5"/>
    <x v="1287"/>
    <s v="Yes"/>
    <x v="0"/>
  </r>
  <r>
    <x v="1290"/>
    <x v="43"/>
    <x v="1"/>
    <x v="6"/>
    <x v="731"/>
    <d v="2025-01-22T00:00:00"/>
    <x v="0"/>
    <x v="0"/>
    <x v="4"/>
    <x v="1289"/>
    <n v="8"/>
    <x v="1"/>
    <s v="Recovered"/>
    <x v="1"/>
    <x v="3"/>
    <s v="Insurance"/>
    <n v="9"/>
    <x v="1288"/>
    <s v="No"/>
    <x v="0"/>
  </r>
  <r>
    <x v="1291"/>
    <x v="49"/>
    <x v="0"/>
    <x v="0"/>
    <x v="732"/>
    <d v="2025-06-02T00:00:00"/>
    <x v="5"/>
    <x v="4"/>
    <x v="6"/>
    <x v="1290"/>
    <n v="10"/>
    <x v="1"/>
    <s v="Referred"/>
    <x v="2"/>
    <x v="3"/>
    <s v="Insurance"/>
    <n v="6"/>
    <x v="1289"/>
    <s v="No"/>
    <x v="0"/>
  </r>
  <r>
    <x v="1292"/>
    <x v="62"/>
    <x v="1"/>
    <x v="3"/>
    <x v="3"/>
    <d v="2023-11-29T00:00:00"/>
    <x v="7"/>
    <x v="5"/>
    <x v="3"/>
    <x v="1291"/>
    <n v="6"/>
    <x v="0"/>
    <s v="Recovered"/>
    <x v="2"/>
    <x v="1"/>
    <s v="Card"/>
    <n v="8"/>
    <x v="1290"/>
    <s v="Yes"/>
    <x v="0"/>
  </r>
  <r>
    <x v="1293"/>
    <x v="5"/>
    <x v="0"/>
    <x v="3"/>
    <x v="543"/>
    <d v="2025-05-17T00:00:00"/>
    <x v="4"/>
    <x v="3"/>
    <x v="1"/>
    <x v="1292"/>
    <n v="14"/>
    <x v="0"/>
    <s v="Recovered"/>
    <x v="2"/>
    <x v="1"/>
    <s v="UPI"/>
    <n v="11"/>
    <x v="1291"/>
    <s v="Yes"/>
    <x v="0"/>
  </r>
  <r>
    <x v="1294"/>
    <x v="35"/>
    <x v="1"/>
    <x v="1"/>
    <x v="733"/>
    <d v="2024-02-14T00:00:00"/>
    <x v="2"/>
    <x v="2"/>
    <x v="2"/>
    <x v="1293"/>
    <n v="18"/>
    <x v="0"/>
    <s v="Recovered"/>
    <x v="0"/>
    <x v="1"/>
    <s v="Cash"/>
    <n v="15"/>
    <x v="1292"/>
    <s v="No"/>
    <x v="0"/>
  </r>
  <r>
    <x v="1295"/>
    <x v="70"/>
    <x v="1"/>
    <x v="4"/>
    <x v="734"/>
    <d v="2024-03-16T00:00:00"/>
    <x v="5"/>
    <x v="4"/>
    <x v="7"/>
    <x v="1294"/>
    <n v="17"/>
    <x v="0"/>
    <s v="Recovered"/>
    <x v="0"/>
    <x v="2"/>
    <s v="Card"/>
    <n v="12"/>
    <x v="1293"/>
    <s v="No"/>
    <x v="0"/>
  </r>
  <r>
    <x v="1296"/>
    <x v="48"/>
    <x v="0"/>
    <x v="4"/>
    <x v="735"/>
    <d v="2024-11-24T00:00:00"/>
    <x v="5"/>
    <x v="4"/>
    <x v="1"/>
    <x v="1295"/>
    <n v="22"/>
    <x v="0"/>
    <s v="Recovered"/>
    <x v="0"/>
    <x v="2"/>
    <s v="Cash"/>
    <n v="5"/>
    <x v="1294"/>
    <s v="Yes"/>
    <x v="0"/>
  </r>
  <r>
    <x v="1297"/>
    <x v="52"/>
    <x v="1"/>
    <x v="7"/>
    <x v="581"/>
    <d v="2025-08-02T00:00:00"/>
    <x v="8"/>
    <x v="6"/>
    <x v="1"/>
    <x v="1296"/>
    <n v="19"/>
    <x v="1"/>
    <s v="Recovered"/>
    <x v="2"/>
    <x v="0"/>
    <s v="Card"/>
    <n v="10"/>
    <x v="1295"/>
    <s v="No"/>
    <x v="0"/>
  </r>
  <r>
    <x v="1298"/>
    <x v="56"/>
    <x v="0"/>
    <x v="1"/>
    <x v="563"/>
    <d v="2023-02-07T00:00:00"/>
    <x v="0"/>
    <x v="0"/>
    <x v="0"/>
    <x v="1297"/>
    <n v="7"/>
    <x v="0"/>
    <s v="Recovered"/>
    <x v="1"/>
    <x v="3"/>
    <s v="Cash"/>
    <n v="8"/>
    <x v="1296"/>
    <s v="No"/>
    <x v="0"/>
  </r>
  <r>
    <x v="1299"/>
    <x v="30"/>
    <x v="0"/>
    <x v="3"/>
    <x v="87"/>
    <d v="2023-10-31T00:00:00"/>
    <x v="8"/>
    <x v="6"/>
    <x v="5"/>
    <x v="1298"/>
    <n v="2"/>
    <x v="0"/>
    <s v="Under Observation"/>
    <x v="1"/>
    <x v="1"/>
    <s v="Cash"/>
    <n v="15"/>
    <x v="1297"/>
    <s v="Yes"/>
    <x v="0"/>
  </r>
  <r>
    <x v="1300"/>
    <x v="36"/>
    <x v="1"/>
    <x v="2"/>
    <x v="736"/>
    <d v="2023-07-08T00:00:00"/>
    <x v="1"/>
    <x v="1"/>
    <x v="3"/>
    <x v="1299"/>
    <n v="8"/>
    <x v="1"/>
    <s v="Recovered"/>
    <x v="2"/>
    <x v="2"/>
    <s v="Card"/>
    <n v="7"/>
    <x v="1298"/>
    <s v="Yes"/>
    <x v="0"/>
  </r>
  <r>
    <x v="1301"/>
    <x v="11"/>
    <x v="0"/>
    <x v="0"/>
    <x v="728"/>
    <d v="2023-05-31T00:00:00"/>
    <x v="9"/>
    <x v="5"/>
    <x v="1"/>
    <x v="1300"/>
    <n v="2"/>
    <x v="1"/>
    <s v="Recovered"/>
    <x v="2"/>
    <x v="1"/>
    <s v="Cash"/>
    <n v="6"/>
    <x v="1299"/>
    <s v="Yes"/>
    <x v="0"/>
  </r>
  <r>
    <x v="1302"/>
    <x v="68"/>
    <x v="0"/>
    <x v="2"/>
    <x v="209"/>
    <d v="2024-10-20T00:00:00"/>
    <x v="3"/>
    <x v="0"/>
    <x v="5"/>
    <x v="1301"/>
    <n v="16"/>
    <x v="1"/>
    <s v="Recovered"/>
    <x v="0"/>
    <x v="0"/>
    <s v="Cash"/>
    <n v="6"/>
    <x v="1300"/>
    <s v="No"/>
    <x v="0"/>
  </r>
  <r>
    <x v="1303"/>
    <x v="23"/>
    <x v="0"/>
    <x v="4"/>
    <x v="737"/>
    <d v="2024-05-10T00:00:00"/>
    <x v="7"/>
    <x v="5"/>
    <x v="2"/>
    <x v="1302"/>
    <n v="17"/>
    <x v="0"/>
    <s v="Recovered"/>
    <x v="1"/>
    <x v="0"/>
    <s v="Card"/>
    <n v="9"/>
    <x v="1301"/>
    <s v="Yes"/>
    <x v="0"/>
  </r>
  <r>
    <x v="1304"/>
    <x v="2"/>
    <x v="1"/>
    <x v="0"/>
    <x v="15"/>
    <d v="2024-01-15T00:00:00"/>
    <x v="7"/>
    <x v="5"/>
    <x v="5"/>
    <x v="1303"/>
    <n v="9"/>
    <x v="0"/>
    <s v="Recovered"/>
    <x v="1"/>
    <x v="2"/>
    <s v="Card"/>
    <n v="3"/>
    <x v="1302"/>
    <s v="No"/>
    <x v="0"/>
  </r>
  <r>
    <x v="1305"/>
    <x v="62"/>
    <x v="0"/>
    <x v="6"/>
    <x v="540"/>
    <d v="2024-07-27T00:00:00"/>
    <x v="4"/>
    <x v="3"/>
    <x v="2"/>
    <x v="1304"/>
    <n v="16"/>
    <x v="0"/>
    <s v="Referred"/>
    <x v="2"/>
    <x v="2"/>
    <s v="Cash"/>
    <n v="1"/>
    <x v="1303"/>
    <s v="No"/>
    <x v="0"/>
  </r>
  <r>
    <x v="1306"/>
    <x v="35"/>
    <x v="1"/>
    <x v="3"/>
    <x v="108"/>
    <d v="2023-04-22T00:00:00"/>
    <x v="3"/>
    <x v="0"/>
    <x v="2"/>
    <x v="1305"/>
    <n v="11"/>
    <x v="0"/>
    <s v="Recovered"/>
    <x v="2"/>
    <x v="3"/>
    <s v="UPI"/>
    <n v="3"/>
    <x v="1304"/>
    <s v="Yes"/>
    <x v="0"/>
  </r>
  <r>
    <x v="1307"/>
    <x v="25"/>
    <x v="1"/>
    <x v="2"/>
    <x v="738"/>
    <d v="2025-07-02T00:00:00"/>
    <x v="4"/>
    <x v="3"/>
    <x v="4"/>
    <x v="1306"/>
    <n v="9"/>
    <x v="1"/>
    <s v="Under Observation"/>
    <x v="2"/>
    <x v="2"/>
    <s v="Insurance"/>
    <n v="5"/>
    <x v="1305"/>
    <s v="No"/>
    <x v="0"/>
  </r>
  <r>
    <x v="1308"/>
    <x v="9"/>
    <x v="0"/>
    <x v="0"/>
    <x v="704"/>
    <d v="2024-06-16T00:00:00"/>
    <x v="1"/>
    <x v="1"/>
    <x v="7"/>
    <x v="1307"/>
    <n v="1"/>
    <x v="1"/>
    <s v="Recovered"/>
    <x v="0"/>
    <x v="3"/>
    <s v="UPI"/>
    <n v="14"/>
    <x v="1306"/>
    <s v="No"/>
    <x v="0"/>
  </r>
  <r>
    <x v="1309"/>
    <x v="11"/>
    <x v="0"/>
    <x v="4"/>
    <x v="180"/>
    <d v="2025-05-03T00:00:00"/>
    <x v="5"/>
    <x v="4"/>
    <x v="0"/>
    <x v="1308"/>
    <n v="6"/>
    <x v="1"/>
    <s v="Under Observation"/>
    <x v="2"/>
    <x v="3"/>
    <s v="Card"/>
    <n v="13"/>
    <x v="1307"/>
    <s v="Yes"/>
    <x v="0"/>
  </r>
  <r>
    <x v="1310"/>
    <x v="15"/>
    <x v="0"/>
    <x v="4"/>
    <x v="294"/>
    <d v="2024-08-23T00:00:00"/>
    <x v="2"/>
    <x v="2"/>
    <x v="7"/>
    <x v="1309"/>
    <n v="4"/>
    <x v="0"/>
    <s v="Recovered"/>
    <x v="0"/>
    <x v="3"/>
    <s v="Card"/>
    <n v="15"/>
    <x v="1308"/>
    <s v="Yes"/>
    <x v="1"/>
  </r>
  <r>
    <x v="1311"/>
    <x v="72"/>
    <x v="1"/>
    <x v="0"/>
    <x v="9"/>
    <d v="2025-04-25T00:00:00"/>
    <x v="0"/>
    <x v="0"/>
    <x v="5"/>
    <x v="1310"/>
    <n v="11"/>
    <x v="1"/>
    <s v="Recovered"/>
    <x v="2"/>
    <x v="0"/>
    <s v="Cash"/>
    <n v="12"/>
    <x v="1309"/>
    <s v="No"/>
    <x v="0"/>
  </r>
  <r>
    <x v="1312"/>
    <x v="42"/>
    <x v="0"/>
    <x v="5"/>
    <x v="739"/>
    <d v="2024-03-08T00:00:00"/>
    <x v="7"/>
    <x v="5"/>
    <x v="0"/>
    <x v="1311"/>
    <n v="19"/>
    <x v="1"/>
    <s v="Under Observation"/>
    <x v="2"/>
    <x v="0"/>
    <s v="Insurance"/>
    <n v="15"/>
    <x v="1310"/>
    <s v="Yes"/>
    <x v="0"/>
  </r>
  <r>
    <x v="1313"/>
    <x v="40"/>
    <x v="0"/>
    <x v="0"/>
    <x v="322"/>
    <d v="2024-05-28T00:00:00"/>
    <x v="0"/>
    <x v="0"/>
    <x v="0"/>
    <x v="1312"/>
    <n v="17"/>
    <x v="1"/>
    <s v="Recovered"/>
    <x v="2"/>
    <x v="3"/>
    <s v="Cash"/>
    <n v="7"/>
    <x v="1311"/>
    <s v="Yes"/>
    <x v="0"/>
  </r>
  <r>
    <x v="1314"/>
    <x v="29"/>
    <x v="1"/>
    <x v="1"/>
    <x v="740"/>
    <d v="2023-12-15T00:00:00"/>
    <x v="6"/>
    <x v="2"/>
    <x v="1"/>
    <x v="1313"/>
    <n v="20"/>
    <x v="0"/>
    <s v="Recovered"/>
    <x v="1"/>
    <x v="1"/>
    <s v="Card"/>
    <n v="13"/>
    <x v="1312"/>
    <s v="No"/>
    <x v="0"/>
  </r>
  <r>
    <x v="1315"/>
    <x v="29"/>
    <x v="0"/>
    <x v="4"/>
    <x v="741"/>
    <d v="2023-05-12T00:00:00"/>
    <x v="4"/>
    <x v="3"/>
    <x v="6"/>
    <x v="1314"/>
    <n v="24"/>
    <x v="1"/>
    <s v="Recovered"/>
    <x v="2"/>
    <x v="2"/>
    <s v="Card"/>
    <n v="2"/>
    <x v="1313"/>
    <s v="Yes"/>
    <x v="0"/>
  </r>
  <r>
    <x v="1316"/>
    <x v="18"/>
    <x v="0"/>
    <x v="3"/>
    <x v="128"/>
    <d v="2025-08-24T00:00:00"/>
    <x v="1"/>
    <x v="1"/>
    <x v="0"/>
    <x v="1315"/>
    <n v="8"/>
    <x v="0"/>
    <s v="Recovered"/>
    <x v="2"/>
    <x v="3"/>
    <s v="Cash"/>
    <n v="9"/>
    <x v="1314"/>
    <s v="Yes"/>
    <x v="0"/>
  </r>
  <r>
    <x v="1317"/>
    <x v="3"/>
    <x v="1"/>
    <x v="7"/>
    <x v="500"/>
    <d v="2024-05-29T00:00:00"/>
    <x v="8"/>
    <x v="6"/>
    <x v="4"/>
    <x v="1316"/>
    <n v="5"/>
    <x v="1"/>
    <s v="Recovered"/>
    <x v="1"/>
    <x v="3"/>
    <s v="Cash"/>
    <n v="13"/>
    <x v="1315"/>
    <s v="Yes"/>
    <x v="0"/>
  </r>
  <r>
    <x v="1318"/>
    <x v="1"/>
    <x v="1"/>
    <x v="1"/>
    <x v="742"/>
    <d v="2024-08-28T00:00:00"/>
    <x v="5"/>
    <x v="4"/>
    <x v="3"/>
    <x v="1317"/>
    <n v="20"/>
    <x v="0"/>
    <s v="Under Observation"/>
    <x v="2"/>
    <x v="1"/>
    <s v="Insurance"/>
    <n v="9"/>
    <x v="1316"/>
    <s v="No"/>
    <x v="0"/>
  </r>
  <r>
    <x v="1319"/>
    <x v="71"/>
    <x v="0"/>
    <x v="7"/>
    <x v="743"/>
    <d v="2023-09-12T00:00:00"/>
    <x v="8"/>
    <x v="6"/>
    <x v="2"/>
    <x v="1318"/>
    <n v="2"/>
    <x v="0"/>
    <s v="Recovered"/>
    <x v="2"/>
    <x v="3"/>
    <s v="Insurance"/>
    <n v="10"/>
    <x v="1317"/>
    <s v="Yes"/>
    <x v="0"/>
  </r>
  <r>
    <x v="1320"/>
    <x v="25"/>
    <x v="1"/>
    <x v="6"/>
    <x v="744"/>
    <d v="2025-10-08T00:00:00"/>
    <x v="0"/>
    <x v="0"/>
    <x v="1"/>
    <x v="1319"/>
    <n v="18"/>
    <x v="0"/>
    <s v="Under Observation"/>
    <x v="0"/>
    <x v="0"/>
    <s v="Cash"/>
    <n v="5"/>
    <x v="1318"/>
    <s v="No"/>
    <x v="0"/>
  </r>
  <r>
    <x v="1321"/>
    <x v="3"/>
    <x v="1"/>
    <x v="6"/>
    <x v="491"/>
    <d v="2023-03-04T00:00:00"/>
    <x v="6"/>
    <x v="2"/>
    <x v="0"/>
    <x v="1320"/>
    <n v="24"/>
    <x v="1"/>
    <s v="Recovered"/>
    <x v="2"/>
    <x v="2"/>
    <s v="Cash"/>
    <n v="11"/>
    <x v="1319"/>
    <s v="Yes"/>
    <x v="0"/>
  </r>
  <r>
    <x v="1322"/>
    <x v="38"/>
    <x v="0"/>
    <x v="6"/>
    <x v="76"/>
    <d v="2023-01-13T00:00:00"/>
    <x v="3"/>
    <x v="0"/>
    <x v="2"/>
    <x v="1321"/>
    <n v="10"/>
    <x v="0"/>
    <s v="Recovered"/>
    <x v="0"/>
    <x v="3"/>
    <s v="Cash"/>
    <n v="7"/>
    <x v="1320"/>
    <s v="Yes"/>
    <x v="0"/>
  </r>
  <r>
    <x v="1323"/>
    <x v="66"/>
    <x v="0"/>
    <x v="7"/>
    <x v="745"/>
    <d v="2023-06-16T00:00:00"/>
    <x v="0"/>
    <x v="0"/>
    <x v="4"/>
    <x v="1322"/>
    <n v="5"/>
    <x v="1"/>
    <s v="Deceased"/>
    <x v="2"/>
    <x v="1"/>
    <s v="UPI"/>
    <n v="9"/>
    <x v="1321"/>
    <s v="Yes"/>
    <x v="1"/>
  </r>
  <r>
    <x v="1324"/>
    <x v="42"/>
    <x v="1"/>
    <x v="5"/>
    <x v="573"/>
    <d v="2024-12-19T00:00:00"/>
    <x v="0"/>
    <x v="0"/>
    <x v="0"/>
    <x v="1323"/>
    <n v="8"/>
    <x v="1"/>
    <s v="Recovered"/>
    <x v="1"/>
    <x v="3"/>
    <s v="Cash"/>
    <n v="3"/>
    <x v="1322"/>
    <s v="No"/>
    <x v="0"/>
  </r>
  <r>
    <x v="1325"/>
    <x v="21"/>
    <x v="0"/>
    <x v="7"/>
    <x v="158"/>
    <d v="2023-06-07T00:00:00"/>
    <x v="0"/>
    <x v="0"/>
    <x v="7"/>
    <x v="1324"/>
    <n v="2"/>
    <x v="0"/>
    <s v="Recovered"/>
    <x v="0"/>
    <x v="3"/>
    <s v="Card"/>
    <n v="4"/>
    <x v="1323"/>
    <s v="Yes"/>
    <x v="0"/>
  </r>
  <r>
    <x v="1326"/>
    <x v="59"/>
    <x v="1"/>
    <x v="5"/>
    <x v="347"/>
    <d v="2024-05-26T00:00:00"/>
    <x v="9"/>
    <x v="5"/>
    <x v="1"/>
    <x v="1325"/>
    <n v="13"/>
    <x v="1"/>
    <s v="Recovered"/>
    <x v="0"/>
    <x v="1"/>
    <s v="UPI"/>
    <n v="4"/>
    <x v="1324"/>
    <s v="Yes"/>
    <x v="0"/>
  </r>
  <r>
    <x v="1327"/>
    <x v="28"/>
    <x v="0"/>
    <x v="3"/>
    <x v="27"/>
    <d v="2023-06-26T00:00:00"/>
    <x v="8"/>
    <x v="6"/>
    <x v="6"/>
    <x v="1326"/>
    <n v="20"/>
    <x v="1"/>
    <s v="Recovered"/>
    <x v="1"/>
    <x v="1"/>
    <s v="Cash"/>
    <n v="10"/>
    <x v="1325"/>
    <s v="No"/>
    <x v="0"/>
  </r>
  <r>
    <x v="1328"/>
    <x v="22"/>
    <x v="0"/>
    <x v="6"/>
    <x v="589"/>
    <d v="2024-08-29T00:00:00"/>
    <x v="7"/>
    <x v="5"/>
    <x v="3"/>
    <x v="1327"/>
    <n v="19"/>
    <x v="0"/>
    <s v="Recovered"/>
    <x v="1"/>
    <x v="1"/>
    <s v="Cash"/>
    <n v="6"/>
    <x v="1326"/>
    <s v="No"/>
    <x v="0"/>
  </r>
  <r>
    <x v="1329"/>
    <x v="3"/>
    <x v="0"/>
    <x v="5"/>
    <x v="746"/>
    <d v="2024-05-12T00:00:00"/>
    <x v="6"/>
    <x v="2"/>
    <x v="3"/>
    <x v="1328"/>
    <n v="13"/>
    <x v="1"/>
    <s v="Recovered"/>
    <x v="1"/>
    <x v="3"/>
    <s v="Cash"/>
    <n v="5"/>
    <x v="1327"/>
    <s v="Yes"/>
    <x v="0"/>
  </r>
  <r>
    <x v="1330"/>
    <x v="52"/>
    <x v="1"/>
    <x v="3"/>
    <x v="537"/>
    <d v="2024-01-25T00:00:00"/>
    <x v="9"/>
    <x v="5"/>
    <x v="6"/>
    <x v="1329"/>
    <n v="17"/>
    <x v="0"/>
    <s v="Recovered"/>
    <x v="1"/>
    <x v="2"/>
    <s v="UPI"/>
    <n v="15"/>
    <x v="1328"/>
    <s v="No"/>
    <x v="0"/>
  </r>
  <r>
    <x v="1331"/>
    <x v="37"/>
    <x v="0"/>
    <x v="2"/>
    <x v="73"/>
    <d v="2024-11-08T00:00:00"/>
    <x v="3"/>
    <x v="0"/>
    <x v="2"/>
    <x v="1330"/>
    <n v="16"/>
    <x v="1"/>
    <s v="Recovered"/>
    <x v="0"/>
    <x v="1"/>
    <s v="UPI"/>
    <n v="12"/>
    <x v="1329"/>
    <s v="No"/>
    <x v="0"/>
  </r>
  <r>
    <x v="1332"/>
    <x v="64"/>
    <x v="0"/>
    <x v="5"/>
    <x v="313"/>
    <d v="2025-02-18T00:00:00"/>
    <x v="3"/>
    <x v="0"/>
    <x v="7"/>
    <x v="1331"/>
    <n v="10"/>
    <x v="0"/>
    <s v="Under Observation"/>
    <x v="1"/>
    <x v="1"/>
    <s v="UPI"/>
    <n v="12"/>
    <x v="1330"/>
    <s v="No"/>
    <x v="1"/>
  </r>
  <r>
    <x v="1333"/>
    <x v="57"/>
    <x v="1"/>
    <x v="0"/>
    <x v="145"/>
    <d v="2023-07-25T00:00:00"/>
    <x v="8"/>
    <x v="6"/>
    <x v="6"/>
    <x v="1332"/>
    <n v="22"/>
    <x v="1"/>
    <s v="Recovered"/>
    <x v="0"/>
    <x v="2"/>
    <s v="Card"/>
    <n v="2"/>
    <x v="1331"/>
    <s v="No"/>
    <x v="1"/>
  </r>
  <r>
    <x v="1334"/>
    <x v="16"/>
    <x v="1"/>
    <x v="7"/>
    <x v="203"/>
    <d v="2024-01-19T00:00:00"/>
    <x v="2"/>
    <x v="2"/>
    <x v="4"/>
    <x v="1333"/>
    <n v="7"/>
    <x v="0"/>
    <s v="Recovered"/>
    <x v="2"/>
    <x v="1"/>
    <s v="Card"/>
    <n v="12"/>
    <x v="1332"/>
    <s v="Yes"/>
    <x v="0"/>
  </r>
  <r>
    <x v="1335"/>
    <x v="35"/>
    <x v="1"/>
    <x v="0"/>
    <x v="378"/>
    <d v="2023-11-10T00:00:00"/>
    <x v="7"/>
    <x v="5"/>
    <x v="4"/>
    <x v="1334"/>
    <n v="7"/>
    <x v="1"/>
    <s v="Recovered"/>
    <x v="2"/>
    <x v="3"/>
    <s v="Cash"/>
    <n v="5"/>
    <x v="1333"/>
    <s v="No"/>
    <x v="0"/>
  </r>
  <r>
    <x v="1336"/>
    <x v="29"/>
    <x v="1"/>
    <x v="3"/>
    <x v="419"/>
    <d v="2023-04-05T00:00:00"/>
    <x v="8"/>
    <x v="6"/>
    <x v="4"/>
    <x v="1335"/>
    <n v="7"/>
    <x v="1"/>
    <s v="Recovered"/>
    <x v="0"/>
    <x v="1"/>
    <s v="Card"/>
    <n v="6"/>
    <x v="1334"/>
    <s v="Yes"/>
    <x v="0"/>
  </r>
  <r>
    <x v="1337"/>
    <x v="27"/>
    <x v="1"/>
    <x v="0"/>
    <x v="721"/>
    <d v="2024-03-09T00:00:00"/>
    <x v="9"/>
    <x v="5"/>
    <x v="6"/>
    <x v="1336"/>
    <n v="13"/>
    <x v="0"/>
    <s v="Recovered"/>
    <x v="0"/>
    <x v="0"/>
    <s v="Cash"/>
    <n v="4"/>
    <x v="1335"/>
    <s v="No"/>
    <x v="1"/>
  </r>
  <r>
    <x v="1338"/>
    <x v="60"/>
    <x v="1"/>
    <x v="4"/>
    <x v="287"/>
    <d v="2024-06-15T00:00:00"/>
    <x v="7"/>
    <x v="5"/>
    <x v="5"/>
    <x v="1337"/>
    <n v="15"/>
    <x v="0"/>
    <s v="Recovered"/>
    <x v="2"/>
    <x v="0"/>
    <s v="UPI"/>
    <n v="3"/>
    <x v="1336"/>
    <s v="No"/>
    <x v="0"/>
  </r>
  <r>
    <x v="1339"/>
    <x v="67"/>
    <x v="1"/>
    <x v="6"/>
    <x v="747"/>
    <d v="2024-01-19T00:00:00"/>
    <x v="7"/>
    <x v="5"/>
    <x v="2"/>
    <x v="1338"/>
    <n v="3"/>
    <x v="0"/>
    <s v="Recovered"/>
    <x v="2"/>
    <x v="3"/>
    <s v="Cash"/>
    <n v="7"/>
    <x v="1337"/>
    <s v="Yes"/>
    <x v="0"/>
  </r>
  <r>
    <x v="1340"/>
    <x v="36"/>
    <x v="1"/>
    <x v="5"/>
    <x v="666"/>
    <d v="2024-11-27T00:00:00"/>
    <x v="0"/>
    <x v="0"/>
    <x v="5"/>
    <x v="1339"/>
    <n v="13"/>
    <x v="0"/>
    <s v="Recovered"/>
    <x v="1"/>
    <x v="1"/>
    <s v="Cash"/>
    <n v="3"/>
    <x v="1338"/>
    <s v="No"/>
    <x v="0"/>
  </r>
  <r>
    <x v="1341"/>
    <x v="25"/>
    <x v="0"/>
    <x v="3"/>
    <x v="91"/>
    <d v="2025-06-27T00:00:00"/>
    <x v="8"/>
    <x v="6"/>
    <x v="1"/>
    <x v="1340"/>
    <n v="6"/>
    <x v="1"/>
    <s v="Under Observation"/>
    <x v="2"/>
    <x v="0"/>
    <s v="Card"/>
    <n v="5"/>
    <x v="1339"/>
    <s v="No"/>
    <x v="0"/>
  </r>
  <r>
    <x v="1342"/>
    <x v="9"/>
    <x v="1"/>
    <x v="3"/>
    <x v="130"/>
    <d v="2023-10-27T00:00:00"/>
    <x v="1"/>
    <x v="1"/>
    <x v="0"/>
    <x v="1341"/>
    <n v="7"/>
    <x v="0"/>
    <s v="Under Observation"/>
    <x v="1"/>
    <x v="0"/>
    <s v="Cash"/>
    <n v="4"/>
    <x v="1340"/>
    <s v="Yes"/>
    <x v="0"/>
  </r>
  <r>
    <x v="1343"/>
    <x v="66"/>
    <x v="0"/>
    <x v="5"/>
    <x v="674"/>
    <d v="2023-07-25T00:00:00"/>
    <x v="8"/>
    <x v="6"/>
    <x v="2"/>
    <x v="1342"/>
    <n v="5"/>
    <x v="1"/>
    <s v="Recovered"/>
    <x v="1"/>
    <x v="0"/>
    <s v="Insurance"/>
    <n v="3"/>
    <x v="1341"/>
    <s v="No"/>
    <x v="0"/>
  </r>
  <r>
    <x v="1344"/>
    <x v="34"/>
    <x v="0"/>
    <x v="2"/>
    <x v="144"/>
    <d v="2025-09-30T00:00:00"/>
    <x v="3"/>
    <x v="0"/>
    <x v="7"/>
    <x v="1343"/>
    <n v="16"/>
    <x v="0"/>
    <s v="Recovered"/>
    <x v="2"/>
    <x v="3"/>
    <s v="Card"/>
    <n v="4"/>
    <x v="1342"/>
    <s v="No"/>
    <x v="0"/>
  </r>
  <r>
    <x v="1345"/>
    <x v="46"/>
    <x v="0"/>
    <x v="4"/>
    <x v="234"/>
    <d v="2025-08-09T00:00:00"/>
    <x v="8"/>
    <x v="6"/>
    <x v="4"/>
    <x v="1344"/>
    <n v="21"/>
    <x v="1"/>
    <s v="Recovered"/>
    <x v="0"/>
    <x v="2"/>
    <s v="Card"/>
    <n v="14"/>
    <x v="1343"/>
    <s v="No"/>
    <x v="1"/>
  </r>
  <r>
    <x v="1346"/>
    <x v="70"/>
    <x v="0"/>
    <x v="6"/>
    <x v="573"/>
    <d v="2024-12-27T00:00:00"/>
    <x v="5"/>
    <x v="4"/>
    <x v="6"/>
    <x v="1345"/>
    <n v="16"/>
    <x v="0"/>
    <s v="Recovered"/>
    <x v="0"/>
    <x v="0"/>
    <s v="Card"/>
    <n v="3"/>
    <x v="1344"/>
    <s v="No"/>
    <x v="0"/>
  </r>
  <r>
    <x v="1347"/>
    <x v="13"/>
    <x v="0"/>
    <x v="7"/>
    <x v="117"/>
    <d v="2023-01-17T00:00:00"/>
    <x v="1"/>
    <x v="1"/>
    <x v="5"/>
    <x v="1346"/>
    <n v="16"/>
    <x v="0"/>
    <s v="Recovered"/>
    <x v="0"/>
    <x v="1"/>
    <s v="Cash"/>
    <n v="14"/>
    <x v="1345"/>
    <s v="No"/>
    <x v="0"/>
  </r>
  <r>
    <x v="1348"/>
    <x v="10"/>
    <x v="0"/>
    <x v="4"/>
    <x v="404"/>
    <d v="2024-01-25T00:00:00"/>
    <x v="6"/>
    <x v="2"/>
    <x v="0"/>
    <x v="1347"/>
    <n v="12"/>
    <x v="1"/>
    <s v="Recovered"/>
    <x v="2"/>
    <x v="0"/>
    <s v="Cash"/>
    <n v="2"/>
    <x v="1346"/>
    <s v="Yes"/>
    <x v="0"/>
  </r>
  <r>
    <x v="1349"/>
    <x v="56"/>
    <x v="1"/>
    <x v="4"/>
    <x v="83"/>
    <d v="2023-03-25T00:00:00"/>
    <x v="6"/>
    <x v="2"/>
    <x v="5"/>
    <x v="1348"/>
    <n v="1"/>
    <x v="1"/>
    <s v="Under Observation"/>
    <x v="0"/>
    <x v="0"/>
    <s v="UPI"/>
    <n v="1"/>
    <x v="1347"/>
    <s v="No"/>
    <x v="0"/>
  </r>
  <r>
    <x v="1350"/>
    <x v="46"/>
    <x v="1"/>
    <x v="5"/>
    <x v="461"/>
    <d v="2023-02-22T00:00:00"/>
    <x v="2"/>
    <x v="2"/>
    <x v="5"/>
    <x v="1349"/>
    <n v="21"/>
    <x v="0"/>
    <s v="Recovered"/>
    <x v="1"/>
    <x v="2"/>
    <s v="UPI"/>
    <n v="15"/>
    <x v="1348"/>
    <s v="Yes"/>
    <x v="0"/>
  </r>
  <r>
    <x v="1351"/>
    <x v="8"/>
    <x v="0"/>
    <x v="2"/>
    <x v="31"/>
    <d v="2024-09-18T00:00:00"/>
    <x v="1"/>
    <x v="1"/>
    <x v="7"/>
    <x v="1350"/>
    <n v="8"/>
    <x v="0"/>
    <s v="Recovered"/>
    <x v="1"/>
    <x v="3"/>
    <s v="Cash"/>
    <n v="14"/>
    <x v="1349"/>
    <s v="Yes"/>
    <x v="0"/>
  </r>
  <r>
    <x v="1352"/>
    <x v="41"/>
    <x v="0"/>
    <x v="2"/>
    <x v="737"/>
    <d v="2024-05-09T00:00:00"/>
    <x v="1"/>
    <x v="1"/>
    <x v="7"/>
    <x v="1351"/>
    <n v="16"/>
    <x v="1"/>
    <s v="Recovered"/>
    <x v="1"/>
    <x v="1"/>
    <s v="Card"/>
    <n v="9"/>
    <x v="1350"/>
    <s v="No"/>
    <x v="0"/>
  </r>
  <r>
    <x v="1353"/>
    <x v="34"/>
    <x v="1"/>
    <x v="2"/>
    <x v="299"/>
    <d v="2024-11-20T00:00:00"/>
    <x v="4"/>
    <x v="3"/>
    <x v="0"/>
    <x v="1352"/>
    <n v="20"/>
    <x v="0"/>
    <s v="Recovered"/>
    <x v="1"/>
    <x v="0"/>
    <s v="Insurance"/>
    <n v="15"/>
    <x v="1351"/>
    <s v="No"/>
    <x v="0"/>
  </r>
  <r>
    <x v="1354"/>
    <x v="2"/>
    <x v="0"/>
    <x v="3"/>
    <x v="134"/>
    <d v="2024-11-06T00:00:00"/>
    <x v="5"/>
    <x v="4"/>
    <x v="5"/>
    <x v="1353"/>
    <n v="7"/>
    <x v="1"/>
    <s v="Recovered"/>
    <x v="0"/>
    <x v="2"/>
    <s v="Insurance"/>
    <n v="8"/>
    <x v="1352"/>
    <s v="Yes"/>
    <x v="1"/>
  </r>
  <r>
    <x v="1355"/>
    <x v="52"/>
    <x v="1"/>
    <x v="2"/>
    <x v="561"/>
    <d v="2024-05-08T00:00:00"/>
    <x v="4"/>
    <x v="3"/>
    <x v="7"/>
    <x v="1354"/>
    <n v="18"/>
    <x v="1"/>
    <s v="Recovered"/>
    <x v="0"/>
    <x v="1"/>
    <s v="Insurance"/>
    <n v="6"/>
    <x v="1353"/>
    <s v="Yes"/>
    <x v="0"/>
  </r>
  <r>
    <x v="1356"/>
    <x v="2"/>
    <x v="0"/>
    <x v="0"/>
    <x v="164"/>
    <d v="2025-08-17T00:00:00"/>
    <x v="1"/>
    <x v="1"/>
    <x v="1"/>
    <x v="1355"/>
    <n v="4"/>
    <x v="0"/>
    <s v="Recovered"/>
    <x v="1"/>
    <x v="1"/>
    <s v="Cash"/>
    <n v="1"/>
    <x v="1354"/>
    <s v="Yes"/>
    <x v="0"/>
  </r>
  <r>
    <x v="1357"/>
    <x v="45"/>
    <x v="1"/>
    <x v="7"/>
    <x v="748"/>
    <d v="2024-11-23T00:00:00"/>
    <x v="9"/>
    <x v="5"/>
    <x v="6"/>
    <x v="1356"/>
    <n v="17"/>
    <x v="0"/>
    <s v="Recovered"/>
    <x v="2"/>
    <x v="1"/>
    <s v="UPI"/>
    <n v="13"/>
    <x v="1355"/>
    <s v="Yes"/>
    <x v="0"/>
  </r>
  <r>
    <x v="1358"/>
    <x v="16"/>
    <x v="0"/>
    <x v="7"/>
    <x v="649"/>
    <d v="2023-12-02T00:00:00"/>
    <x v="3"/>
    <x v="0"/>
    <x v="1"/>
    <x v="1357"/>
    <n v="12"/>
    <x v="1"/>
    <s v="Recovered"/>
    <x v="2"/>
    <x v="3"/>
    <s v="Insurance"/>
    <n v="9"/>
    <x v="1356"/>
    <s v="No"/>
    <x v="0"/>
  </r>
  <r>
    <x v="1359"/>
    <x v="49"/>
    <x v="0"/>
    <x v="7"/>
    <x v="694"/>
    <d v="2024-03-22T00:00:00"/>
    <x v="1"/>
    <x v="1"/>
    <x v="4"/>
    <x v="1358"/>
    <n v="5"/>
    <x v="1"/>
    <s v="Under Observation"/>
    <x v="1"/>
    <x v="3"/>
    <s v="UPI"/>
    <n v="8"/>
    <x v="1357"/>
    <s v="Yes"/>
    <x v="0"/>
  </r>
  <r>
    <x v="1360"/>
    <x v="42"/>
    <x v="1"/>
    <x v="0"/>
    <x v="749"/>
    <d v="2025-08-30T00:00:00"/>
    <x v="9"/>
    <x v="5"/>
    <x v="2"/>
    <x v="1359"/>
    <n v="5"/>
    <x v="0"/>
    <s v="Recovered"/>
    <x v="2"/>
    <x v="3"/>
    <s v="Cash"/>
    <n v="15"/>
    <x v="1358"/>
    <s v="Yes"/>
    <x v="1"/>
  </r>
  <r>
    <x v="1361"/>
    <x v="49"/>
    <x v="0"/>
    <x v="3"/>
    <x v="750"/>
    <d v="2025-09-15T00:00:00"/>
    <x v="4"/>
    <x v="3"/>
    <x v="3"/>
    <x v="1360"/>
    <n v="6"/>
    <x v="1"/>
    <s v="Recovered"/>
    <x v="2"/>
    <x v="1"/>
    <s v="Cash"/>
    <n v="9"/>
    <x v="1359"/>
    <s v="No"/>
    <x v="0"/>
  </r>
  <r>
    <x v="1362"/>
    <x v="18"/>
    <x v="1"/>
    <x v="2"/>
    <x v="499"/>
    <d v="2025-08-12T00:00:00"/>
    <x v="0"/>
    <x v="0"/>
    <x v="5"/>
    <x v="1361"/>
    <n v="17"/>
    <x v="0"/>
    <s v="Recovered"/>
    <x v="0"/>
    <x v="1"/>
    <s v="Cash"/>
    <n v="10"/>
    <x v="1360"/>
    <s v="Yes"/>
    <x v="0"/>
  </r>
  <r>
    <x v="1363"/>
    <x v="31"/>
    <x v="0"/>
    <x v="4"/>
    <x v="194"/>
    <d v="2025-04-17T00:00:00"/>
    <x v="6"/>
    <x v="2"/>
    <x v="4"/>
    <x v="1362"/>
    <n v="20"/>
    <x v="1"/>
    <s v="Recovered"/>
    <x v="2"/>
    <x v="2"/>
    <s v="Card"/>
    <n v="15"/>
    <x v="1361"/>
    <s v="Yes"/>
    <x v="0"/>
  </r>
  <r>
    <x v="1364"/>
    <x v="3"/>
    <x v="0"/>
    <x v="1"/>
    <x v="238"/>
    <d v="2025-07-02T00:00:00"/>
    <x v="0"/>
    <x v="0"/>
    <x v="5"/>
    <x v="1363"/>
    <n v="18"/>
    <x v="0"/>
    <s v="Recovered"/>
    <x v="2"/>
    <x v="0"/>
    <s v="Insurance"/>
    <n v="5"/>
    <x v="1362"/>
    <s v="Yes"/>
    <x v="0"/>
  </r>
  <r>
    <x v="1365"/>
    <x v="63"/>
    <x v="0"/>
    <x v="0"/>
    <x v="108"/>
    <d v="2023-04-13T00:00:00"/>
    <x v="8"/>
    <x v="6"/>
    <x v="6"/>
    <x v="1364"/>
    <n v="2"/>
    <x v="0"/>
    <s v="Recovered"/>
    <x v="1"/>
    <x v="0"/>
    <s v="Cash"/>
    <n v="1"/>
    <x v="1363"/>
    <s v="No"/>
    <x v="0"/>
  </r>
  <r>
    <x v="1366"/>
    <x v="57"/>
    <x v="0"/>
    <x v="1"/>
    <x v="751"/>
    <d v="2024-07-10T00:00:00"/>
    <x v="7"/>
    <x v="5"/>
    <x v="0"/>
    <x v="1365"/>
    <n v="12"/>
    <x v="1"/>
    <s v="Recovered"/>
    <x v="0"/>
    <x v="0"/>
    <s v="Insurance"/>
    <n v="6"/>
    <x v="1364"/>
    <s v="Yes"/>
    <x v="0"/>
  </r>
  <r>
    <x v="1367"/>
    <x v="44"/>
    <x v="0"/>
    <x v="7"/>
    <x v="717"/>
    <d v="2023-02-10T00:00:00"/>
    <x v="7"/>
    <x v="5"/>
    <x v="7"/>
    <x v="1366"/>
    <n v="5"/>
    <x v="1"/>
    <s v="Recovered"/>
    <x v="0"/>
    <x v="2"/>
    <s v="Insurance"/>
    <n v="3"/>
    <x v="1365"/>
    <s v="No"/>
    <x v="0"/>
  </r>
  <r>
    <x v="1368"/>
    <x v="72"/>
    <x v="1"/>
    <x v="1"/>
    <x v="453"/>
    <d v="2023-03-24T00:00:00"/>
    <x v="6"/>
    <x v="2"/>
    <x v="2"/>
    <x v="1367"/>
    <n v="15"/>
    <x v="0"/>
    <s v="Recovered"/>
    <x v="0"/>
    <x v="1"/>
    <s v="Insurance"/>
    <n v="15"/>
    <x v="1366"/>
    <s v="No"/>
    <x v="0"/>
  </r>
  <r>
    <x v="1369"/>
    <x v="15"/>
    <x v="0"/>
    <x v="3"/>
    <x v="376"/>
    <d v="2025-01-20T00:00:00"/>
    <x v="5"/>
    <x v="4"/>
    <x v="0"/>
    <x v="1368"/>
    <n v="11"/>
    <x v="0"/>
    <s v="Referred"/>
    <x v="2"/>
    <x v="3"/>
    <s v="Cash"/>
    <n v="6"/>
    <x v="1367"/>
    <s v="No"/>
    <x v="0"/>
  </r>
  <r>
    <x v="1370"/>
    <x v="14"/>
    <x v="1"/>
    <x v="7"/>
    <x v="752"/>
    <d v="2025-04-07T00:00:00"/>
    <x v="3"/>
    <x v="0"/>
    <x v="1"/>
    <x v="1369"/>
    <n v="14"/>
    <x v="1"/>
    <s v="Recovered"/>
    <x v="1"/>
    <x v="2"/>
    <s v="Cash"/>
    <n v="1"/>
    <x v="1368"/>
    <s v="No"/>
    <x v="0"/>
  </r>
  <r>
    <x v="1371"/>
    <x v="23"/>
    <x v="1"/>
    <x v="0"/>
    <x v="206"/>
    <d v="2023-08-25T00:00:00"/>
    <x v="2"/>
    <x v="2"/>
    <x v="7"/>
    <x v="1370"/>
    <n v="2"/>
    <x v="1"/>
    <s v="Recovered"/>
    <x v="0"/>
    <x v="3"/>
    <s v="UPI"/>
    <n v="1"/>
    <x v="1369"/>
    <s v="Yes"/>
    <x v="0"/>
  </r>
  <r>
    <x v="1372"/>
    <x v="2"/>
    <x v="1"/>
    <x v="0"/>
    <x v="395"/>
    <d v="2024-12-23T00:00:00"/>
    <x v="8"/>
    <x v="6"/>
    <x v="5"/>
    <x v="1371"/>
    <n v="9"/>
    <x v="1"/>
    <s v="Under Observation"/>
    <x v="0"/>
    <x v="2"/>
    <s v="Insurance"/>
    <n v="7"/>
    <x v="1370"/>
    <s v="Yes"/>
    <x v="0"/>
  </r>
  <r>
    <x v="1373"/>
    <x v="25"/>
    <x v="1"/>
    <x v="4"/>
    <x v="654"/>
    <d v="2025-04-28T00:00:00"/>
    <x v="8"/>
    <x v="6"/>
    <x v="5"/>
    <x v="1372"/>
    <n v="18"/>
    <x v="0"/>
    <s v="Recovered"/>
    <x v="1"/>
    <x v="3"/>
    <s v="UPI"/>
    <n v="13"/>
    <x v="1371"/>
    <s v="Yes"/>
    <x v="0"/>
  </r>
  <r>
    <x v="1374"/>
    <x v="47"/>
    <x v="1"/>
    <x v="2"/>
    <x v="451"/>
    <d v="2024-12-08T00:00:00"/>
    <x v="4"/>
    <x v="3"/>
    <x v="2"/>
    <x v="1373"/>
    <n v="28"/>
    <x v="1"/>
    <s v="Under Observation"/>
    <x v="1"/>
    <x v="2"/>
    <s v="Card"/>
    <n v="6"/>
    <x v="1372"/>
    <s v="No"/>
    <x v="0"/>
  </r>
  <r>
    <x v="1375"/>
    <x v="29"/>
    <x v="1"/>
    <x v="7"/>
    <x v="122"/>
    <d v="2025-09-18T00:00:00"/>
    <x v="4"/>
    <x v="3"/>
    <x v="6"/>
    <x v="1374"/>
    <n v="10"/>
    <x v="1"/>
    <s v="Deceased"/>
    <x v="1"/>
    <x v="2"/>
    <s v="Insurance"/>
    <n v="12"/>
    <x v="1373"/>
    <s v="No"/>
    <x v="0"/>
  </r>
  <r>
    <x v="1376"/>
    <x v="35"/>
    <x v="1"/>
    <x v="4"/>
    <x v="98"/>
    <d v="2023-05-25T00:00:00"/>
    <x v="8"/>
    <x v="6"/>
    <x v="2"/>
    <x v="1375"/>
    <n v="13"/>
    <x v="1"/>
    <s v="Recovered"/>
    <x v="0"/>
    <x v="0"/>
    <s v="Card"/>
    <n v="15"/>
    <x v="1374"/>
    <s v="No"/>
    <x v="0"/>
  </r>
  <r>
    <x v="1377"/>
    <x v="12"/>
    <x v="0"/>
    <x v="1"/>
    <x v="169"/>
    <d v="2025-06-08T00:00:00"/>
    <x v="1"/>
    <x v="1"/>
    <x v="7"/>
    <x v="1376"/>
    <n v="2"/>
    <x v="1"/>
    <s v="Referred"/>
    <x v="2"/>
    <x v="1"/>
    <s v="UPI"/>
    <n v="8"/>
    <x v="228"/>
    <s v="No"/>
    <x v="0"/>
  </r>
  <r>
    <x v="1378"/>
    <x v="34"/>
    <x v="0"/>
    <x v="7"/>
    <x v="80"/>
    <d v="2025-02-06T00:00:00"/>
    <x v="1"/>
    <x v="1"/>
    <x v="7"/>
    <x v="1377"/>
    <n v="15"/>
    <x v="0"/>
    <s v="Recovered"/>
    <x v="0"/>
    <x v="1"/>
    <s v="Insurance"/>
    <n v="7"/>
    <x v="1375"/>
    <s v="Yes"/>
    <x v="0"/>
  </r>
  <r>
    <x v="1379"/>
    <x v="42"/>
    <x v="0"/>
    <x v="4"/>
    <x v="121"/>
    <d v="2023-05-21T00:00:00"/>
    <x v="3"/>
    <x v="0"/>
    <x v="7"/>
    <x v="1378"/>
    <n v="14"/>
    <x v="1"/>
    <s v="Recovered"/>
    <x v="2"/>
    <x v="3"/>
    <s v="UPI"/>
    <n v="7"/>
    <x v="1376"/>
    <s v="No"/>
    <x v="0"/>
  </r>
  <r>
    <x v="1380"/>
    <x v="28"/>
    <x v="1"/>
    <x v="0"/>
    <x v="364"/>
    <d v="2024-04-08T00:00:00"/>
    <x v="2"/>
    <x v="2"/>
    <x v="1"/>
    <x v="1379"/>
    <n v="5"/>
    <x v="0"/>
    <s v="Recovered"/>
    <x v="0"/>
    <x v="1"/>
    <s v="UPI"/>
    <n v="11"/>
    <x v="1377"/>
    <s v="Yes"/>
    <x v="1"/>
  </r>
  <r>
    <x v="1381"/>
    <x v="2"/>
    <x v="0"/>
    <x v="0"/>
    <x v="753"/>
    <d v="2023-05-08T00:00:00"/>
    <x v="7"/>
    <x v="5"/>
    <x v="7"/>
    <x v="1380"/>
    <n v="2"/>
    <x v="1"/>
    <s v="Recovered"/>
    <x v="2"/>
    <x v="1"/>
    <s v="Insurance"/>
    <n v="5"/>
    <x v="1378"/>
    <s v="No"/>
    <x v="0"/>
  </r>
  <r>
    <x v="1382"/>
    <x v="26"/>
    <x v="0"/>
    <x v="5"/>
    <x v="598"/>
    <d v="2024-11-29T00:00:00"/>
    <x v="8"/>
    <x v="6"/>
    <x v="2"/>
    <x v="1381"/>
    <n v="2"/>
    <x v="0"/>
    <s v="Under Observation"/>
    <x v="1"/>
    <x v="3"/>
    <s v="UPI"/>
    <n v="15"/>
    <x v="1379"/>
    <s v="Yes"/>
    <x v="0"/>
  </r>
  <r>
    <x v="1383"/>
    <x v="4"/>
    <x v="1"/>
    <x v="1"/>
    <x v="754"/>
    <d v="2023-07-11T00:00:00"/>
    <x v="1"/>
    <x v="1"/>
    <x v="3"/>
    <x v="1382"/>
    <n v="19"/>
    <x v="1"/>
    <s v="Recovered"/>
    <x v="0"/>
    <x v="1"/>
    <s v="UPI"/>
    <n v="10"/>
    <x v="1380"/>
    <s v="Yes"/>
    <x v="0"/>
  </r>
  <r>
    <x v="1384"/>
    <x v="3"/>
    <x v="1"/>
    <x v="3"/>
    <x v="313"/>
    <d v="2025-02-23T00:00:00"/>
    <x v="5"/>
    <x v="4"/>
    <x v="1"/>
    <x v="1383"/>
    <n v="15"/>
    <x v="0"/>
    <s v="Recovered"/>
    <x v="0"/>
    <x v="3"/>
    <s v="Cash"/>
    <n v="3"/>
    <x v="1381"/>
    <s v="No"/>
    <x v="0"/>
  </r>
  <r>
    <x v="1385"/>
    <x v="41"/>
    <x v="0"/>
    <x v="6"/>
    <x v="299"/>
    <d v="2024-11-04T00:00:00"/>
    <x v="8"/>
    <x v="6"/>
    <x v="2"/>
    <x v="1384"/>
    <n v="4"/>
    <x v="1"/>
    <s v="Under Observation"/>
    <x v="0"/>
    <x v="1"/>
    <s v="Cash"/>
    <n v="5"/>
    <x v="1382"/>
    <s v="No"/>
    <x v="0"/>
  </r>
  <r>
    <x v="1386"/>
    <x v="14"/>
    <x v="1"/>
    <x v="2"/>
    <x v="738"/>
    <d v="2025-06-24T00:00:00"/>
    <x v="4"/>
    <x v="3"/>
    <x v="0"/>
    <x v="1385"/>
    <n v="1"/>
    <x v="1"/>
    <s v="Under Observation"/>
    <x v="0"/>
    <x v="0"/>
    <s v="Cash"/>
    <n v="11"/>
    <x v="1383"/>
    <s v="No"/>
    <x v="0"/>
  </r>
  <r>
    <x v="1387"/>
    <x v="36"/>
    <x v="0"/>
    <x v="5"/>
    <x v="539"/>
    <d v="2024-08-31T00:00:00"/>
    <x v="3"/>
    <x v="0"/>
    <x v="1"/>
    <x v="1386"/>
    <n v="14"/>
    <x v="0"/>
    <s v="Recovered"/>
    <x v="0"/>
    <x v="1"/>
    <s v="Card"/>
    <n v="10"/>
    <x v="1384"/>
    <s v="Yes"/>
    <x v="0"/>
  </r>
  <r>
    <x v="1388"/>
    <x v="24"/>
    <x v="0"/>
    <x v="1"/>
    <x v="552"/>
    <d v="2023-04-21T00:00:00"/>
    <x v="3"/>
    <x v="0"/>
    <x v="2"/>
    <x v="1387"/>
    <n v="6"/>
    <x v="1"/>
    <s v="Recovered"/>
    <x v="2"/>
    <x v="1"/>
    <s v="Cash"/>
    <n v="9"/>
    <x v="1385"/>
    <s v="No"/>
    <x v="0"/>
  </r>
  <r>
    <x v="1389"/>
    <x v="14"/>
    <x v="1"/>
    <x v="4"/>
    <x v="755"/>
    <d v="2023-05-14T00:00:00"/>
    <x v="3"/>
    <x v="0"/>
    <x v="6"/>
    <x v="1388"/>
    <n v="16"/>
    <x v="0"/>
    <s v="Recovered"/>
    <x v="2"/>
    <x v="1"/>
    <s v="Card"/>
    <n v="1"/>
    <x v="1386"/>
    <s v="No"/>
    <x v="0"/>
  </r>
  <r>
    <x v="1390"/>
    <x v="65"/>
    <x v="0"/>
    <x v="6"/>
    <x v="233"/>
    <d v="2025-01-09T00:00:00"/>
    <x v="0"/>
    <x v="0"/>
    <x v="3"/>
    <x v="1389"/>
    <n v="7"/>
    <x v="1"/>
    <s v="Recovered"/>
    <x v="1"/>
    <x v="1"/>
    <s v="Cash"/>
    <n v="8"/>
    <x v="1387"/>
    <s v="No"/>
    <x v="0"/>
  </r>
  <r>
    <x v="1391"/>
    <x v="22"/>
    <x v="1"/>
    <x v="4"/>
    <x v="660"/>
    <d v="2024-04-08T00:00:00"/>
    <x v="5"/>
    <x v="4"/>
    <x v="0"/>
    <x v="1390"/>
    <n v="4"/>
    <x v="1"/>
    <s v="Under Observation"/>
    <x v="2"/>
    <x v="3"/>
    <s v="UPI"/>
    <n v="1"/>
    <x v="1388"/>
    <s v="Yes"/>
    <x v="0"/>
  </r>
  <r>
    <x v="1392"/>
    <x v="48"/>
    <x v="0"/>
    <x v="0"/>
    <x v="756"/>
    <d v="2024-05-14T00:00:00"/>
    <x v="9"/>
    <x v="5"/>
    <x v="4"/>
    <x v="1391"/>
    <n v="18"/>
    <x v="1"/>
    <s v="Recovered"/>
    <x v="1"/>
    <x v="0"/>
    <s v="Cash"/>
    <n v="4"/>
    <x v="1389"/>
    <s v="Yes"/>
    <x v="0"/>
  </r>
  <r>
    <x v="1393"/>
    <x v="53"/>
    <x v="0"/>
    <x v="7"/>
    <x v="757"/>
    <d v="2024-04-24T00:00:00"/>
    <x v="9"/>
    <x v="5"/>
    <x v="4"/>
    <x v="1392"/>
    <n v="11"/>
    <x v="1"/>
    <s v="Deceased"/>
    <x v="0"/>
    <x v="2"/>
    <s v="Insurance"/>
    <n v="9"/>
    <x v="1390"/>
    <s v="Yes"/>
    <x v="0"/>
  </r>
  <r>
    <x v="1394"/>
    <x v="27"/>
    <x v="1"/>
    <x v="0"/>
    <x v="75"/>
    <d v="2025-05-10T00:00:00"/>
    <x v="4"/>
    <x v="3"/>
    <x v="4"/>
    <x v="1393"/>
    <n v="28"/>
    <x v="0"/>
    <s v="Recovered"/>
    <x v="0"/>
    <x v="2"/>
    <s v="Insurance"/>
    <n v="10"/>
    <x v="1391"/>
    <s v="No"/>
    <x v="0"/>
  </r>
  <r>
    <x v="1395"/>
    <x v="42"/>
    <x v="1"/>
    <x v="5"/>
    <x v="758"/>
    <d v="2025-08-07T00:00:00"/>
    <x v="0"/>
    <x v="0"/>
    <x v="5"/>
    <x v="1394"/>
    <n v="14"/>
    <x v="1"/>
    <s v="Recovered"/>
    <x v="1"/>
    <x v="2"/>
    <s v="UPI"/>
    <n v="1"/>
    <x v="1392"/>
    <s v="No"/>
    <x v="0"/>
  </r>
  <r>
    <x v="1396"/>
    <x v="28"/>
    <x v="0"/>
    <x v="1"/>
    <x v="759"/>
    <d v="2025-05-09T00:00:00"/>
    <x v="5"/>
    <x v="4"/>
    <x v="2"/>
    <x v="1395"/>
    <n v="2"/>
    <x v="0"/>
    <s v="Recovered"/>
    <x v="1"/>
    <x v="3"/>
    <s v="UPI"/>
    <n v="6"/>
    <x v="1393"/>
    <s v="No"/>
    <x v="0"/>
  </r>
  <r>
    <x v="1397"/>
    <x v="60"/>
    <x v="1"/>
    <x v="0"/>
    <x v="85"/>
    <d v="2023-11-14T00:00:00"/>
    <x v="0"/>
    <x v="0"/>
    <x v="4"/>
    <x v="1396"/>
    <n v="1"/>
    <x v="0"/>
    <s v="Referred"/>
    <x v="2"/>
    <x v="3"/>
    <s v="UPI"/>
    <n v="3"/>
    <x v="1394"/>
    <s v="No"/>
    <x v="1"/>
  </r>
  <r>
    <x v="1398"/>
    <x v="20"/>
    <x v="0"/>
    <x v="3"/>
    <x v="760"/>
    <d v="2024-10-07T00:00:00"/>
    <x v="1"/>
    <x v="1"/>
    <x v="6"/>
    <x v="1397"/>
    <n v="12"/>
    <x v="0"/>
    <s v="Recovered"/>
    <x v="1"/>
    <x v="1"/>
    <s v="Insurance"/>
    <n v="2"/>
    <x v="1395"/>
    <s v="Yes"/>
    <x v="0"/>
  </r>
  <r>
    <x v="1399"/>
    <x v="9"/>
    <x v="0"/>
    <x v="4"/>
    <x v="761"/>
    <d v="2024-09-01T00:00:00"/>
    <x v="4"/>
    <x v="3"/>
    <x v="4"/>
    <x v="1398"/>
    <n v="14"/>
    <x v="0"/>
    <s v="Under Observation"/>
    <x v="2"/>
    <x v="1"/>
    <s v="Insurance"/>
    <n v="4"/>
    <x v="1396"/>
    <s v="Yes"/>
    <x v="0"/>
  </r>
  <r>
    <x v="1400"/>
    <x v="14"/>
    <x v="1"/>
    <x v="4"/>
    <x v="243"/>
    <d v="2024-03-14T00:00:00"/>
    <x v="7"/>
    <x v="5"/>
    <x v="5"/>
    <x v="1399"/>
    <n v="7"/>
    <x v="1"/>
    <s v="Recovered"/>
    <x v="0"/>
    <x v="2"/>
    <s v="UPI"/>
    <n v="1"/>
    <x v="1397"/>
    <s v="No"/>
    <x v="0"/>
  </r>
  <r>
    <x v="1401"/>
    <x v="26"/>
    <x v="0"/>
    <x v="7"/>
    <x v="761"/>
    <d v="2024-09-07T00:00:00"/>
    <x v="8"/>
    <x v="6"/>
    <x v="4"/>
    <x v="1400"/>
    <n v="20"/>
    <x v="0"/>
    <s v="Recovered"/>
    <x v="1"/>
    <x v="2"/>
    <s v="Card"/>
    <n v="7"/>
    <x v="1398"/>
    <s v="Yes"/>
    <x v="0"/>
  </r>
  <r>
    <x v="1402"/>
    <x v="31"/>
    <x v="1"/>
    <x v="1"/>
    <x v="458"/>
    <d v="2025-08-22T00:00:00"/>
    <x v="2"/>
    <x v="2"/>
    <x v="3"/>
    <x v="1401"/>
    <n v="8"/>
    <x v="1"/>
    <s v="Recovered"/>
    <x v="2"/>
    <x v="0"/>
    <s v="Cash"/>
    <n v="11"/>
    <x v="1399"/>
    <s v="Yes"/>
    <x v="0"/>
  </r>
  <r>
    <x v="1403"/>
    <x v="6"/>
    <x v="0"/>
    <x v="5"/>
    <x v="171"/>
    <d v="2023-05-22T00:00:00"/>
    <x v="4"/>
    <x v="3"/>
    <x v="6"/>
    <x v="1402"/>
    <n v="1"/>
    <x v="0"/>
    <s v="Under Observation"/>
    <x v="2"/>
    <x v="1"/>
    <s v="Card"/>
    <n v="11"/>
    <x v="1400"/>
    <s v="No"/>
    <x v="1"/>
  </r>
  <r>
    <x v="1404"/>
    <x v="12"/>
    <x v="0"/>
    <x v="4"/>
    <x v="762"/>
    <d v="2023-12-05T00:00:00"/>
    <x v="6"/>
    <x v="2"/>
    <x v="6"/>
    <x v="1403"/>
    <n v="5"/>
    <x v="0"/>
    <s v="Recovered"/>
    <x v="1"/>
    <x v="2"/>
    <s v="UPI"/>
    <n v="10"/>
    <x v="1401"/>
    <s v="No"/>
    <x v="1"/>
  </r>
  <r>
    <x v="1405"/>
    <x v="39"/>
    <x v="1"/>
    <x v="5"/>
    <x v="763"/>
    <d v="2024-05-22T00:00:00"/>
    <x v="0"/>
    <x v="0"/>
    <x v="6"/>
    <x v="1404"/>
    <n v="6"/>
    <x v="1"/>
    <s v="Recovered"/>
    <x v="1"/>
    <x v="3"/>
    <s v="UPI"/>
    <n v="9"/>
    <x v="1402"/>
    <s v="No"/>
    <x v="0"/>
  </r>
  <r>
    <x v="1406"/>
    <x v="56"/>
    <x v="1"/>
    <x v="3"/>
    <x v="580"/>
    <d v="2023-03-08T00:00:00"/>
    <x v="6"/>
    <x v="2"/>
    <x v="2"/>
    <x v="1405"/>
    <n v="9"/>
    <x v="1"/>
    <s v="Recovered"/>
    <x v="0"/>
    <x v="3"/>
    <s v="Insurance"/>
    <n v="15"/>
    <x v="1403"/>
    <s v="No"/>
    <x v="0"/>
  </r>
  <r>
    <x v="1407"/>
    <x v="15"/>
    <x v="0"/>
    <x v="7"/>
    <x v="520"/>
    <d v="2023-08-27T00:00:00"/>
    <x v="9"/>
    <x v="5"/>
    <x v="1"/>
    <x v="1406"/>
    <n v="10"/>
    <x v="1"/>
    <s v="Recovered"/>
    <x v="0"/>
    <x v="1"/>
    <s v="UPI"/>
    <n v="14"/>
    <x v="1404"/>
    <s v="Yes"/>
    <x v="0"/>
  </r>
  <r>
    <x v="1408"/>
    <x v="8"/>
    <x v="0"/>
    <x v="2"/>
    <x v="61"/>
    <d v="2025-01-11T00:00:00"/>
    <x v="2"/>
    <x v="2"/>
    <x v="6"/>
    <x v="1407"/>
    <n v="19"/>
    <x v="0"/>
    <s v="Referred"/>
    <x v="1"/>
    <x v="0"/>
    <s v="UPI"/>
    <n v="11"/>
    <x v="1405"/>
    <s v="No"/>
    <x v="0"/>
  </r>
  <r>
    <x v="1409"/>
    <x v="42"/>
    <x v="1"/>
    <x v="6"/>
    <x v="764"/>
    <d v="2023-03-18T00:00:00"/>
    <x v="6"/>
    <x v="2"/>
    <x v="5"/>
    <x v="1408"/>
    <n v="12"/>
    <x v="0"/>
    <s v="Recovered"/>
    <x v="1"/>
    <x v="0"/>
    <s v="Cash"/>
    <n v="3"/>
    <x v="1406"/>
    <s v="No"/>
    <x v="0"/>
  </r>
  <r>
    <x v="1410"/>
    <x v="50"/>
    <x v="1"/>
    <x v="7"/>
    <x v="224"/>
    <d v="2023-10-26T00:00:00"/>
    <x v="1"/>
    <x v="1"/>
    <x v="3"/>
    <x v="1409"/>
    <n v="17"/>
    <x v="1"/>
    <s v="Recovered"/>
    <x v="0"/>
    <x v="1"/>
    <s v="Card"/>
    <n v="7"/>
    <x v="1407"/>
    <s v="No"/>
    <x v="0"/>
  </r>
  <r>
    <x v="1411"/>
    <x v="40"/>
    <x v="0"/>
    <x v="7"/>
    <x v="734"/>
    <d v="2024-03-10T00:00:00"/>
    <x v="6"/>
    <x v="2"/>
    <x v="6"/>
    <x v="1410"/>
    <n v="11"/>
    <x v="1"/>
    <s v="Recovered"/>
    <x v="0"/>
    <x v="1"/>
    <s v="Insurance"/>
    <n v="15"/>
    <x v="1408"/>
    <s v="No"/>
    <x v="0"/>
  </r>
  <r>
    <x v="1412"/>
    <x v="29"/>
    <x v="1"/>
    <x v="6"/>
    <x v="765"/>
    <d v="2025-03-08T00:00:00"/>
    <x v="4"/>
    <x v="3"/>
    <x v="4"/>
    <x v="1411"/>
    <n v="8"/>
    <x v="0"/>
    <s v="Recovered"/>
    <x v="1"/>
    <x v="3"/>
    <s v="Cash"/>
    <n v="1"/>
    <x v="1409"/>
    <s v="Yes"/>
    <x v="0"/>
  </r>
  <r>
    <x v="1413"/>
    <x v="71"/>
    <x v="0"/>
    <x v="4"/>
    <x v="225"/>
    <d v="2024-12-31T00:00:00"/>
    <x v="3"/>
    <x v="0"/>
    <x v="1"/>
    <x v="1412"/>
    <n v="15"/>
    <x v="1"/>
    <s v="Recovered"/>
    <x v="2"/>
    <x v="3"/>
    <s v="Cash"/>
    <n v="14"/>
    <x v="1410"/>
    <s v="Yes"/>
    <x v="0"/>
  </r>
  <r>
    <x v="1414"/>
    <x v="2"/>
    <x v="0"/>
    <x v="2"/>
    <x v="266"/>
    <d v="2024-12-24T00:00:00"/>
    <x v="3"/>
    <x v="0"/>
    <x v="5"/>
    <x v="1413"/>
    <n v="9"/>
    <x v="1"/>
    <s v="Recovered"/>
    <x v="1"/>
    <x v="3"/>
    <s v="Card"/>
    <n v="11"/>
    <x v="1411"/>
    <s v="Yes"/>
    <x v="0"/>
  </r>
  <r>
    <x v="1415"/>
    <x v="66"/>
    <x v="0"/>
    <x v="2"/>
    <x v="766"/>
    <d v="2024-11-02T00:00:00"/>
    <x v="8"/>
    <x v="6"/>
    <x v="5"/>
    <x v="1414"/>
    <n v="7"/>
    <x v="1"/>
    <s v="Recovered"/>
    <x v="2"/>
    <x v="1"/>
    <s v="Cash"/>
    <n v="14"/>
    <x v="1412"/>
    <s v="Yes"/>
    <x v="0"/>
  </r>
  <r>
    <x v="1416"/>
    <x v="43"/>
    <x v="0"/>
    <x v="7"/>
    <x v="69"/>
    <d v="2023-05-26T00:00:00"/>
    <x v="0"/>
    <x v="0"/>
    <x v="4"/>
    <x v="1415"/>
    <n v="13"/>
    <x v="0"/>
    <s v="Recovered"/>
    <x v="0"/>
    <x v="1"/>
    <s v="Insurance"/>
    <n v="9"/>
    <x v="1413"/>
    <s v="No"/>
    <x v="0"/>
  </r>
  <r>
    <x v="1417"/>
    <x v="37"/>
    <x v="0"/>
    <x v="6"/>
    <x v="34"/>
    <d v="2024-02-07T00:00:00"/>
    <x v="9"/>
    <x v="5"/>
    <x v="0"/>
    <x v="1416"/>
    <n v="4"/>
    <x v="1"/>
    <s v="Recovered"/>
    <x v="2"/>
    <x v="3"/>
    <s v="Card"/>
    <n v="13"/>
    <x v="1414"/>
    <s v="No"/>
    <x v="0"/>
  </r>
  <r>
    <x v="1418"/>
    <x v="51"/>
    <x v="1"/>
    <x v="6"/>
    <x v="767"/>
    <d v="2023-12-21T00:00:00"/>
    <x v="6"/>
    <x v="2"/>
    <x v="5"/>
    <x v="1417"/>
    <n v="1"/>
    <x v="1"/>
    <s v="Recovered"/>
    <x v="0"/>
    <x v="0"/>
    <s v="Cash"/>
    <n v="9"/>
    <x v="1415"/>
    <s v="No"/>
    <x v="1"/>
  </r>
  <r>
    <x v="1419"/>
    <x v="15"/>
    <x v="1"/>
    <x v="2"/>
    <x v="96"/>
    <d v="2024-04-16T00:00:00"/>
    <x v="9"/>
    <x v="5"/>
    <x v="7"/>
    <x v="1418"/>
    <n v="9"/>
    <x v="1"/>
    <s v="Under Observation"/>
    <x v="2"/>
    <x v="3"/>
    <s v="Insurance"/>
    <n v="14"/>
    <x v="1416"/>
    <s v="Yes"/>
    <x v="0"/>
  </r>
  <r>
    <x v="1420"/>
    <x v="2"/>
    <x v="1"/>
    <x v="2"/>
    <x v="482"/>
    <d v="2025-02-21T00:00:00"/>
    <x v="0"/>
    <x v="0"/>
    <x v="7"/>
    <x v="1419"/>
    <n v="16"/>
    <x v="1"/>
    <s v="Under Observation"/>
    <x v="0"/>
    <x v="0"/>
    <s v="UPI"/>
    <n v="6"/>
    <x v="1417"/>
    <s v="No"/>
    <x v="0"/>
  </r>
  <r>
    <x v="1421"/>
    <x v="5"/>
    <x v="0"/>
    <x v="5"/>
    <x v="554"/>
    <d v="2023-07-29T00:00:00"/>
    <x v="9"/>
    <x v="5"/>
    <x v="4"/>
    <x v="1420"/>
    <n v="6"/>
    <x v="1"/>
    <s v="Referred"/>
    <x v="0"/>
    <x v="3"/>
    <s v="Insurance"/>
    <n v="12"/>
    <x v="1418"/>
    <s v="Yes"/>
    <x v="0"/>
  </r>
  <r>
    <x v="1422"/>
    <x v="18"/>
    <x v="1"/>
    <x v="3"/>
    <x v="384"/>
    <d v="2024-12-07T00:00:00"/>
    <x v="6"/>
    <x v="2"/>
    <x v="7"/>
    <x v="1421"/>
    <n v="11"/>
    <x v="0"/>
    <s v="Recovered"/>
    <x v="2"/>
    <x v="0"/>
    <s v="UPI"/>
    <n v="3"/>
    <x v="1419"/>
    <s v="No"/>
    <x v="0"/>
  </r>
  <r>
    <x v="1423"/>
    <x v="51"/>
    <x v="1"/>
    <x v="4"/>
    <x v="156"/>
    <d v="2024-08-11T00:00:00"/>
    <x v="7"/>
    <x v="5"/>
    <x v="0"/>
    <x v="1422"/>
    <n v="13"/>
    <x v="0"/>
    <s v="Recovered"/>
    <x v="1"/>
    <x v="1"/>
    <s v="Card"/>
    <n v="12"/>
    <x v="1420"/>
    <s v="Yes"/>
    <x v="0"/>
  </r>
  <r>
    <x v="1424"/>
    <x v="53"/>
    <x v="1"/>
    <x v="6"/>
    <x v="768"/>
    <d v="2024-12-26T00:00:00"/>
    <x v="1"/>
    <x v="1"/>
    <x v="7"/>
    <x v="1423"/>
    <n v="18"/>
    <x v="1"/>
    <s v="Recovered"/>
    <x v="1"/>
    <x v="1"/>
    <s v="UPI"/>
    <n v="3"/>
    <x v="1421"/>
    <s v="Yes"/>
    <x v="0"/>
  </r>
  <r>
    <x v="1425"/>
    <x v="54"/>
    <x v="1"/>
    <x v="5"/>
    <x v="591"/>
    <d v="2024-03-29T00:00:00"/>
    <x v="5"/>
    <x v="4"/>
    <x v="5"/>
    <x v="1424"/>
    <n v="6"/>
    <x v="0"/>
    <s v="Recovered"/>
    <x v="2"/>
    <x v="3"/>
    <s v="UPI"/>
    <n v="8"/>
    <x v="1422"/>
    <s v="Yes"/>
    <x v="0"/>
  </r>
  <r>
    <x v="1426"/>
    <x v="10"/>
    <x v="1"/>
    <x v="7"/>
    <x v="375"/>
    <d v="2025-05-24T00:00:00"/>
    <x v="9"/>
    <x v="5"/>
    <x v="4"/>
    <x v="1425"/>
    <n v="10"/>
    <x v="0"/>
    <s v="Recovered"/>
    <x v="0"/>
    <x v="0"/>
    <s v="Card"/>
    <n v="2"/>
    <x v="1423"/>
    <s v="Yes"/>
    <x v="0"/>
  </r>
  <r>
    <x v="1427"/>
    <x v="57"/>
    <x v="0"/>
    <x v="7"/>
    <x v="769"/>
    <d v="2025-05-24T00:00:00"/>
    <x v="5"/>
    <x v="4"/>
    <x v="4"/>
    <x v="1426"/>
    <n v="15"/>
    <x v="1"/>
    <s v="Recovered"/>
    <x v="1"/>
    <x v="0"/>
    <s v="Insurance"/>
    <n v="1"/>
    <x v="1424"/>
    <s v="No"/>
    <x v="0"/>
  </r>
  <r>
    <x v="1428"/>
    <x v="69"/>
    <x v="0"/>
    <x v="0"/>
    <x v="770"/>
    <d v="2024-01-10T00:00:00"/>
    <x v="1"/>
    <x v="1"/>
    <x v="0"/>
    <x v="1427"/>
    <n v="12"/>
    <x v="1"/>
    <s v="Recovered"/>
    <x v="1"/>
    <x v="1"/>
    <s v="Card"/>
    <n v="10"/>
    <x v="1425"/>
    <s v="No"/>
    <x v="0"/>
  </r>
  <r>
    <x v="1429"/>
    <x v="13"/>
    <x v="1"/>
    <x v="2"/>
    <x v="525"/>
    <d v="2025-06-21T00:00:00"/>
    <x v="3"/>
    <x v="0"/>
    <x v="0"/>
    <x v="1428"/>
    <n v="19"/>
    <x v="1"/>
    <s v="Recovered"/>
    <x v="1"/>
    <x v="3"/>
    <s v="UPI"/>
    <n v="9"/>
    <x v="1426"/>
    <s v="Yes"/>
    <x v="0"/>
  </r>
  <r>
    <x v="1430"/>
    <x v="71"/>
    <x v="1"/>
    <x v="7"/>
    <x v="463"/>
    <d v="2024-01-01T00:00:00"/>
    <x v="6"/>
    <x v="2"/>
    <x v="3"/>
    <x v="1429"/>
    <n v="27"/>
    <x v="0"/>
    <s v="Recovered"/>
    <x v="0"/>
    <x v="2"/>
    <s v="UPI"/>
    <n v="10"/>
    <x v="1427"/>
    <s v="Yes"/>
    <x v="0"/>
  </r>
  <r>
    <x v="1431"/>
    <x v="71"/>
    <x v="0"/>
    <x v="2"/>
    <x v="771"/>
    <d v="2024-12-07T00:00:00"/>
    <x v="2"/>
    <x v="2"/>
    <x v="2"/>
    <x v="1430"/>
    <n v="4"/>
    <x v="0"/>
    <s v="Recovered"/>
    <x v="1"/>
    <x v="1"/>
    <s v="Insurance"/>
    <n v="10"/>
    <x v="1428"/>
    <s v="No"/>
    <x v="1"/>
  </r>
  <r>
    <x v="1432"/>
    <x v="15"/>
    <x v="1"/>
    <x v="7"/>
    <x v="506"/>
    <d v="2024-07-09T00:00:00"/>
    <x v="9"/>
    <x v="5"/>
    <x v="3"/>
    <x v="1431"/>
    <n v="19"/>
    <x v="0"/>
    <s v="Recovered"/>
    <x v="0"/>
    <x v="3"/>
    <s v="Card"/>
    <n v="12"/>
    <x v="1429"/>
    <s v="No"/>
    <x v="0"/>
  </r>
  <r>
    <x v="1433"/>
    <x v="29"/>
    <x v="1"/>
    <x v="4"/>
    <x v="485"/>
    <d v="2024-06-25T00:00:00"/>
    <x v="6"/>
    <x v="2"/>
    <x v="7"/>
    <x v="1432"/>
    <n v="7"/>
    <x v="0"/>
    <s v="Recovered"/>
    <x v="0"/>
    <x v="3"/>
    <s v="Card"/>
    <n v="8"/>
    <x v="1430"/>
    <s v="No"/>
    <x v="0"/>
  </r>
  <r>
    <x v="1434"/>
    <x v="43"/>
    <x v="0"/>
    <x v="2"/>
    <x v="772"/>
    <d v="2025-06-10T00:00:00"/>
    <x v="3"/>
    <x v="0"/>
    <x v="2"/>
    <x v="1433"/>
    <n v="17"/>
    <x v="0"/>
    <s v="Recovered"/>
    <x v="0"/>
    <x v="3"/>
    <s v="Cash"/>
    <n v="15"/>
    <x v="1431"/>
    <s v="Yes"/>
    <x v="0"/>
  </r>
  <r>
    <x v="1435"/>
    <x v="1"/>
    <x v="1"/>
    <x v="2"/>
    <x v="203"/>
    <d v="2024-02-01T00:00:00"/>
    <x v="2"/>
    <x v="2"/>
    <x v="5"/>
    <x v="1434"/>
    <n v="20"/>
    <x v="1"/>
    <s v="Recovered"/>
    <x v="0"/>
    <x v="3"/>
    <s v="UPI"/>
    <n v="3"/>
    <x v="1432"/>
    <s v="Yes"/>
    <x v="1"/>
  </r>
  <r>
    <x v="1436"/>
    <x v="1"/>
    <x v="1"/>
    <x v="3"/>
    <x v="286"/>
    <d v="2023-09-16T00:00:00"/>
    <x v="5"/>
    <x v="4"/>
    <x v="4"/>
    <x v="1435"/>
    <n v="5"/>
    <x v="1"/>
    <s v="Recovered"/>
    <x v="2"/>
    <x v="0"/>
    <s v="Insurance"/>
    <n v="10"/>
    <x v="1433"/>
    <s v="Yes"/>
    <x v="0"/>
  </r>
  <r>
    <x v="1437"/>
    <x v="54"/>
    <x v="1"/>
    <x v="1"/>
    <x v="240"/>
    <d v="2023-12-24T00:00:00"/>
    <x v="3"/>
    <x v="0"/>
    <x v="1"/>
    <x v="1436"/>
    <n v="2"/>
    <x v="1"/>
    <s v="Under Observation"/>
    <x v="0"/>
    <x v="3"/>
    <s v="Cash"/>
    <n v="12"/>
    <x v="1434"/>
    <s v="No"/>
    <x v="1"/>
  </r>
  <r>
    <x v="1438"/>
    <x v="44"/>
    <x v="0"/>
    <x v="7"/>
    <x v="773"/>
    <d v="2024-03-08T00:00:00"/>
    <x v="0"/>
    <x v="0"/>
    <x v="5"/>
    <x v="1437"/>
    <n v="8"/>
    <x v="0"/>
    <s v="Recovered"/>
    <x v="2"/>
    <x v="1"/>
    <s v="Cash"/>
    <n v="8"/>
    <x v="1435"/>
    <s v="Yes"/>
    <x v="0"/>
  </r>
  <r>
    <x v="1439"/>
    <x v="24"/>
    <x v="1"/>
    <x v="4"/>
    <x v="774"/>
    <d v="2024-07-08T00:00:00"/>
    <x v="3"/>
    <x v="0"/>
    <x v="2"/>
    <x v="1438"/>
    <n v="12"/>
    <x v="1"/>
    <s v="Recovered"/>
    <x v="0"/>
    <x v="3"/>
    <s v="Insurance"/>
    <n v="13"/>
    <x v="1436"/>
    <s v="No"/>
    <x v="0"/>
  </r>
  <r>
    <x v="1440"/>
    <x v="6"/>
    <x v="1"/>
    <x v="2"/>
    <x v="656"/>
    <d v="2024-11-05T00:00:00"/>
    <x v="7"/>
    <x v="5"/>
    <x v="1"/>
    <x v="1439"/>
    <n v="21"/>
    <x v="0"/>
    <s v="Recovered"/>
    <x v="1"/>
    <x v="2"/>
    <s v="Card"/>
    <n v="6"/>
    <x v="1437"/>
    <s v="No"/>
    <x v="0"/>
  </r>
  <r>
    <x v="1441"/>
    <x v="21"/>
    <x v="1"/>
    <x v="1"/>
    <x v="769"/>
    <d v="2025-05-28T00:00:00"/>
    <x v="3"/>
    <x v="0"/>
    <x v="6"/>
    <x v="1440"/>
    <n v="19"/>
    <x v="0"/>
    <s v="Recovered"/>
    <x v="1"/>
    <x v="2"/>
    <s v="Card"/>
    <n v="15"/>
    <x v="1438"/>
    <s v="Yes"/>
    <x v="0"/>
  </r>
  <r>
    <x v="1442"/>
    <x v="19"/>
    <x v="1"/>
    <x v="4"/>
    <x v="143"/>
    <d v="2024-12-01T00:00:00"/>
    <x v="3"/>
    <x v="0"/>
    <x v="5"/>
    <x v="1441"/>
    <n v="2"/>
    <x v="1"/>
    <s v="Recovered"/>
    <x v="1"/>
    <x v="3"/>
    <s v="Insurance"/>
    <n v="5"/>
    <x v="1439"/>
    <s v="No"/>
    <x v="0"/>
  </r>
  <r>
    <x v="1443"/>
    <x v="65"/>
    <x v="1"/>
    <x v="5"/>
    <x v="775"/>
    <d v="2024-08-05T00:00:00"/>
    <x v="3"/>
    <x v="0"/>
    <x v="4"/>
    <x v="1442"/>
    <n v="16"/>
    <x v="0"/>
    <s v="Recovered"/>
    <x v="1"/>
    <x v="2"/>
    <s v="UPI"/>
    <n v="6"/>
    <x v="1440"/>
    <s v="No"/>
    <x v="0"/>
  </r>
  <r>
    <x v="1444"/>
    <x v="10"/>
    <x v="1"/>
    <x v="6"/>
    <x v="776"/>
    <d v="2024-08-17T00:00:00"/>
    <x v="7"/>
    <x v="5"/>
    <x v="5"/>
    <x v="1443"/>
    <n v="14"/>
    <x v="1"/>
    <s v="Recovered"/>
    <x v="0"/>
    <x v="0"/>
    <s v="Card"/>
    <n v="4"/>
    <x v="1441"/>
    <s v="Yes"/>
    <x v="0"/>
  </r>
  <r>
    <x v="1445"/>
    <x v="9"/>
    <x v="1"/>
    <x v="7"/>
    <x v="489"/>
    <d v="2025-04-10T00:00:00"/>
    <x v="0"/>
    <x v="0"/>
    <x v="0"/>
    <x v="1444"/>
    <n v="19"/>
    <x v="0"/>
    <s v="Under Observation"/>
    <x v="2"/>
    <x v="0"/>
    <s v="Cash"/>
    <n v="2"/>
    <x v="1442"/>
    <s v="No"/>
    <x v="0"/>
  </r>
  <r>
    <x v="1446"/>
    <x v="8"/>
    <x v="1"/>
    <x v="4"/>
    <x v="56"/>
    <d v="2025-01-28T00:00:00"/>
    <x v="9"/>
    <x v="5"/>
    <x v="0"/>
    <x v="1445"/>
    <n v="16"/>
    <x v="1"/>
    <s v="Recovered"/>
    <x v="2"/>
    <x v="3"/>
    <s v="UPI"/>
    <n v="14"/>
    <x v="1443"/>
    <s v="Yes"/>
    <x v="0"/>
  </r>
  <r>
    <x v="1447"/>
    <x v="63"/>
    <x v="0"/>
    <x v="2"/>
    <x v="662"/>
    <d v="2023-07-16T00:00:00"/>
    <x v="1"/>
    <x v="1"/>
    <x v="1"/>
    <x v="1446"/>
    <n v="5"/>
    <x v="1"/>
    <s v="Under Observation"/>
    <x v="0"/>
    <x v="0"/>
    <s v="Cash"/>
    <n v="2"/>
    <x v="1444"/>
    <s v="No"/>
    <x v="0"/>
  </r>
  <r>
    <x v="1448"/>
    <x v="53"/>
    <x v="1"/>
    <x v="2"/>
    <x v="186"/>
    <d v="2023-03-24T00:00:00"/>
    <x v="2"/>
    <x v="2"/>
    <x v="3"/>
    <x v="1447"/>
    <n v="10"/>
    <x v="0"/>
    <s v="Recovered"/>
    <x v="1"/>
    <x v="2"/>
    <s v="UPI"/>
    <n v="2"/>
    <x v="1445"/>
    <s v="No"/>
    <x v="0"/>
  </r>
  <r>
    <x v="1449"/>
    <x v="20"/>
    <x v="0"/>
    <x v="7"/>
    <x v="54"/>
    <d v="2024-04-17T00:00:00"/>
    <x v="5"/>
    <x v="4"/>
    <x v="1"/>
    <x v="1448"/>
    <n v="15"/>
    <x v="0"/>
    <s v="Recovered"/>
    <x v="2"/>
    <x v="2"/>
    <s v="UPI"/>
    <n v="7"/>
    <x v="1446"/>
    <s v="Yes"/>
    <x v="0"/>
  </r>
  <r>
    <x v="1450"/>
    <x v="43"/>
    <x v="1"/>
    <x v="1"/>
    <x v="451"/>
    <d v="2024-11-28T00:00:00"/>
    <x v="9"/>
    <x v="5"/>
    <x v="5"/>
    <x v="1449"/>
    <n v="18"/>
    <x v="1"/>
    <s v="Recovered"/>
    <x v="1"/>
    <x v="1"/>
    <s v="Cash"/>
    <n v="2"/>
    <x v="1447"/>
    <s v="No"/>
    <x v="0"/>
  </r>
  <r>
    <x v="1451"/>
    <x v="55"/>
    <x v="0"/>
    <x v="7"/>
    <x v="777"/>
    <d v="2024-05-10T00:00:00"/>
    <x v="8"/>
    <x v="6"/>
    <x v="3"/>
    <x v="1450"/>
    <n v="30"/>
    <x v="1"/>
    <s v="Recovered"/>
    <x v="1"/>
    <x v="2"/>
    <s v="Cash"/>
    <n v="10"/>
    <x v="1448"/>
    <s v="No"/>
    <x v="0"/>
  </r>
  <r>
    <x v="1452"/>
    <x v="71"/>
    <x v="1"/>
    <x v="6"/>
    <x v="778"/>
    <d v="2024-07-02T00:00:00"/>
    <x v="3"/>
    <x v="0"/>
    <x v="3"/>
    <x v="1451"/>
    <n v="1"/>
    <x v="0"/>
    <s v="Recovered"/>
    <x v="1"/>
    <x v="1"/>
    <s v="Insurance"/>
    <n v="11"/>
    <x v="1449"/>
    <s v="No"/>
    <x v="0"/>
  </r>
  <r>
    <x v="1453"/>
    <x v="33"/>
    <x v="0"/>
    <x v="0"/>
    <x v="779"/>
    <d v="2024-08-12T00:00:00"/>
    <x v="4"/>
    <x v="3"/>
    <x v="4"/>
    <x v="1452"/>
    <n v="20"/>
    <x v="1"/>
    <s v="Recovered"/>
    <x v="1"/>
    <x v="1"/>
    <s v="Card"/>
    <n v="4"/>
    <x v="1450"/>
    <s v="Yes"/>
    <x v="0"/>
  </r>
  <r>
    <x v="1454"/>
    <x v="43"/>
    <x v="0"/>
    <x v="3"/>
    <x v="288"/>
    <d v="2025-05-16T00:00:00"/>
    <x v="9"/>
    <x v="5"/>
    <x v="2"/>
    <x v="1453"/>
    <n v="8"/>
    <x v="1"/>
    <s v="Recovered"/>
    <x v="2"/>
    <x v="3"/>
    <s v="Insurance"/>
    <n v="6"/>
    <x v="1451"/>
    <s v="No"/>
    <x v="0"/>
  </r>
  <r>
    <x v="1455"/>
    <x v="17"/>
    <x v="0"/>
    <x v="5"/>
    <x v="508"/>
    <d v="2024-05-09T00:00:00"/>
    <x v="8"/>
    <x v="6"/>
    <x v="6"/>
    <x v="1454"/>
    <n v="15"/>
    <x v="1"/>
    <s v="Under Observation"/>
    <x v="1"/>
    <x v="0"/>
    <s v="Card"/>
    <n v="12"/>
    <x v="1452"/>
    <s v="Yes"/>
    <x v="0"/>
  </r>
  <r>
    <x v="1456"/>
    <x v="69"/>
    <x v="1"/>
    <x v="6"/>
    <x v="780"/>
    <d v="2024-09-15T00:00:00"/>
    <x v="5"/>
    <x v="4"/>
    <x v="3"/>
    <x v="1455"/>
    <n v="4"/>
    <x v="0"/>
    <s v="Recovered"/>
    <x v="0"/>
    <x v="2"/>
    <s v="Card"/>
    <n v="12"/>
    <x v="1453"/>
    <s v="No"/>
    <x v="1"/>
  </r>
  <r>
    <x v="1457"/>
    <x v="23"/>
    <x v="1"/>
    <x v="3"/>
    <x v="586"/>
    <d v="2025-09-03T00:00:00"/>
    <x v="5"/>
    <x v="4"/>
    <x v="3"/>
    <x v="1456"/>
    <n v="2"/>
    <x v="0"/>
    <s v="Recovered"/>
    <x v="1"/>
    <x v="1"/>
    <s v="Cash"/>
    <n v="13"/>
    <x v="1454"/>
    <s v="No"/>
    <x v="0"/>
  </r>
  <r>
    <x v="1458"/>
    <x v="5"/>
    <x v="1"/>
    <x v="5"/>
    <x v="13"/>
    <d v="2023-04-07T00:00:00"/>
    <x v="4"/>
    <x v="3"/>
    <x v="0"/>
    <x v="1457"/>
    <n v="2"/>
    <x v="1"/>
    <s v="Under Observation"/>
    <x v="0"/>
    <x v="1"/>
    <s v="Cash"/>
    <n v="6"/>
    <x v="1455"/>
    <s v="No"/>
    <x v="0"/>
  </r>
  <r>
    <x v="1459"/>
    <x v="29"/>
    <x v="1"/>
    <x v="4"/>
    <x v="527"/>
    <d v="2024-04-15T00:00:00"/>
    <x v="0"/>
    <x v="0"/>
    <x v="2"/>
    <x v="1458"/>
    <n v="14"/>
    <x v="0"/>
    <s v="Recovered"/>
    <x v="1"/>
    <x v="1"/>
    <s v="Insurance"/>
    <n v="7"/>
    <x v="1456"/>
    <s v="Yes"/>
    <x v="0"/>
  </r>
  <r>
    <x v="1460"/>
    <x v="30"/>
    <x v="1"/>
    <x v="3"/>
    <x v="753"/>
    <d v="2023-05-20T00:00:00"/>
    <x v="4"/>
    <x v="3"/>
    <x v="2"/>
    <x v="1459"/>
    <n v="14"/>
    <x v="1"/>
    <s v="Recovered"/>
    <x v="0"/>
    <x v="0"/>
    <s v="Cash"/>
    <n v="11"/>
    <x v="1457"/>
    <s v="Yes"/>
    <x v="0"/>
  </r>
  <r>
    <x v="1461"/>
    <x v="15"/>
    <x v="1"/>
    <x v="0"/>
    <x v="402"/>
    <d v="2023-10-09T00:00:00"/>
    <x v="6"/>
    <x v="2"/>
    <x v="7"/>
    <x v="1460"/>
    <n v="2"/>
    <x v="0"/>
    <s v="Recovered"/>
    <x v="2"/>
    <x v="3"/>
    <s v="Card"/>
    <n v="6"/>
    <x v="1458"/>
    <s v="Yes"/>
    <x v="0"/>
  </r>
  <r>
    <x v="1462"/>
    <x v="31"/>
    <x v="0"/>
    <x v="4"/>
    <x v="229"/>
    <d v="2024-08-06T00:00:00"/>
    <x v="5"/>
    <x v="4"/>
    <x v="4"/>
    <x v="1461"/>
    <n v="22"/>
    <x v="0"/>
    <s v="Recovered"/>
    <x v="2"/>
    <x v="2"/>
    <s v="Insurance"/>
    <n v="10"/>
    <x v="1459"/>
    <s v="No"/>
    <x v="1"/>
  </r>
  <r>
    <x v="1463"/>
    <x v="31"/>
    <x v="0"/>
    <x v="3"/>
    <x v="184"/>
    <d v="2024-03-13T00:00:00"/>
    <x v="3"/>
    <x v="0"/>
    <x v="5"/>
    <x v="1462"/>
    <n v="3"/>
    <x v="0"/>
    <s v="Recovered"/>
    <x v="0"/>
    <x v="3"/>
    <s v="Card"/>
    <n v="3"/>
    <x v="1460"/>
    <s v="Yes"/>
    <x v="0"/>
  </r>
  <r>
    <x v="1464"/>
    <x v="65"/>
    <x v="0"/>
    <x v="4"/>
    <x v="578"/>
    <d v="2025-08-02T00:00:00"/>
    <x v="6"/>
    <x v="2"/>
    <x v="3"/>
    <x v="1463"/>
    <n v="5"/>
    <x v="1"/>
    <s v="Under Observation"/>
    <x v="2"/>
    <x v="2"/>
    <s v="Insurance"/>
    <n v="11"/>
    <x v="1461"/>
    <s v="Yes"/>
    <x v="0"/>
  </r>
  <r>
    <x v="1465"/>
    <x v="38"/>
    <x v="0"/>
    <x v="6"/>
    <x v="781"/>
    <d v="2025-04-08T00:00:00"/>
    <x v="8"/>
    <x v="6"/>
    <x v="1"/>
    <x v="1464"/>
    <n v="5"/>
    <x v="1"/>
    <s v="Recovered"/>
    <x v="0"/>
    <x v="2"/>
    <s v="Insurance"/>
    <n v="13"/>
    <x v="1462"/>
    <s v="No"/>
    <x v="1"/>
  </r>
  <r>
    <x v="1466"/>
    <x v="31"/>
    <x v="0"/>
    <x v="6"/>
    <x v="717"/>
    <d v="2023-02-20T00:00:00"/>
    <x v="7"/>
    <x v="5"/>
    <x v="3"/>
    <x v="1465"/>
    <n v="15"/>
    <x v="0"/>
    <s v="Recovered"/>
    <x v="2"/>
    <x v="0"/>
    <s v="Cash"/>
    <n v="12"/>
    <x v="1463"/>
    <s v="No"/>
    <x v="0"/>
  </r>
  <r>
    <x v="1467"/>
    <x v="8"/>
    <x v="1"/>
    <x v="5"/>
    <x v="36"/>
    <d v="2023-04-09T00:00:00"/>
    <x v="0"/>
    <x v="0"/>
    <x v="1"/>
    <x v="1466"/>
    <n v="9"/>
    <x v="0"/>
    <s v="Referred"/>
    <x v="2"/>
    <x v="3"/>
    <s v="Insurance"/>
    <n v="2"/>
    <x v="1464"/>
    <s v="Yes"/>
    <x v="0"/>
  </r>
  <r>
    <x v="1468"/>
    <x v="2"/>
    <x v="1"/>
    <x v="4"/>
    <x v="749"/>
    <d v="2025-08-30T00:00:00"/>
    <x v="8"/>
    <x v="6"/>
    <x v="3"/>
    <x v="1467"/>
    <n v="5"/>
    <x v="1"/>
    <s v="Recovered"/>
    <x v="2"/>
    <x v="3"/>
    <s v="Insurance"/>
    <n v="14"/>
    <x v="1465"/>
    <s v="No"/>
    <x v="1"/>
  </r>
  <r>
    <x v="1469"/>
    <x v="48"/>
    <x v="0"/>
    <x v="0"/>
    <x v="53"/>
    <d v="2024-04-05T00:00:00"/>
    <x v="9"/>
    <x v="5"/>
    <x v="7"/>
    <x v="1468"/>
    <n v="15"/>
    <x v="1"/>
    <s v="Under Observation"/>
    <x v="0"/>
    <x v="2"/>
    <s v="Cash"/>
    <n v="4"/>
    <x v="1466"/>
    <s v="No"/>
    <x v="0"/>
  </r>
  <r>
    <x v="1470"/>
    <x v="12"/>
    <x v="1"/>
    <x v="0"/>
    <x v="782"/>
    <d v="2025-05-12T00:00:00"/>
    <x v="6"/>
    <x v="2"/>
    <x v="5"/>
    <x v="1469"/>
    <n v="10"/>
    <x v="0"/>
    <s v="Recovered"/>
    <x v="2"/>
    <x v="2"/>
    <s v="UPI"/>
    <n v="8"/>
    <x v="1467"/>
    <s v="No"/>
    <x v="1"/>
  </r>
  <r>
    <x v="1471"/>
    <x v="70"/>
    <x v="1"/>
    <x v="5"/>
    <x v="783"/>
    <d v="2023-04-17T00:00:00"/>
    <x v="2"/>
    <x v="2"/>
    <x v="4"/>
    <x v="1470"/>
    <n v="15"/>
    <x v="0"/>
    <s v="Recovered"/>
    <x v="0"/>
    <x v="3"/>
    <s v="Insurance"/>
    <n v="8"/>
    <x v="1468"/>
    <s v="No"/>
    <x v="1"/>
  </r>
  <r>
    <x v="1472"/>
    <x v="39"/>
    <x v="1"/>
    <x v="6"/>
    <x v="462"/>
    <d v="2024-04-12T00:00:00"/>
    <x v="2"/>
    <x v="2"/>
    <x v="1"/>
    <x v="1471"/>
    <n v="6"/>
    <x v="0"/>
    <s v="Recovered"/>
    <x v="2"/>
    <x v="1"/>
    <s v="UPI"/>
    <n v="13"/>
    <x v="1469"/>
    <s v="Yes"/>
    <x v="0"/>
  </r>
  <r>
    <x v="1473"/>
    <x v="0"/>
    <x v="1"/>
    <x v="7"/>
    <x v="150"/>
    <d v="2023-02-25T00:00:00"/>
    <x v="4"/>
    <x v="3"/>
    <x v="6"/>
    <x v="1472"/>
    <n v="15"/>
    <x v="1"/>
    <s v="Recovered"/>
    <x v="1"/>
    <x v="1"/>
    <s v="Insurance"/>
    <n v="10"/>
    <x v="1470"/>
    <s v="Yes"/>
    <x v="0"/>
  </r>
  <r>
    <x v="1474"/>
    <x v="43"/>
    <x v="0"/>
    <x v="2"/>
    <x v="775"/>
    <d v="2024-08-10T00:00:00"/>
    <x v="4"/>
    <x v="3"/>
    <x v="6"/>
    <x v="1473"/>
    <n v="21"/>
    <x v="0"/>
    <s v="Recovered"/>
    <x v="2"/>
    <x v="2"/>
    <s v="Card"/>
    <n v="11"/>
    <x v="1471"/>
    <s v="No"/>
    <x v="0"/>
  </r>
  <r>
    <x v="1475"/>
    <x v="60"/>
    <x v="1"/>
    <x v="6"/>
    <x v="784"/>
    <d v="2024-04-11T00:00:00"/>
    <x v="4"/>
    <x v="3"/>
    <x v="0"/>
    <x v="1474"/>
    <n v="17"/>
    <x v="1"/>
    <s v="Recovered"/>
    <x v="2"/>
    <x v="0"/>
    <s v="Cash"/>
    <n v="13"/>
    <x v="1472"/>
    <s v="Yes"/>
    <x v="1"/>
  </r>
  <r>
    <x v="1476"/>
    <x v="61"/>
    <x v="0"/>
    <x v="2"/>
    <x v="785"/>
    <d v="2025-04-22T00:00:00"/>
    <x v="2"/>
    <x v="2"/>
    <x v="2"/>
    <x v="1475"/>
    <n v="9"/>
    <x v="1"/>
    <s v="Recovered"/>
    <x v="1"/>
    <x v="0"/>
    <s v="Card"/>
    <n v="10"/>
    <x v="1473"/>
    <s v="Yes"/>
    <x v="0"/>
  </r>
  <r>
    <x v="1477"/>
    <x v="7"/>
    <x v="0"/>
    <x v="5"/>
    <x v="786"/>
    <d v="2023-10-27T00:00:00"/>
    <x v="1"/>
    <x v="1"/>
    <x v="2"/>
    <x v="1476"/>
    <n v="15"/>
    <x v="1"/>
    <s v="Recovered"/>
    <x v="0"/>
    <x v="2"/>
    <s v="Cash"/>
    <n v="9"/>
    <x v="1474"/>
    <s v="No"/>
    <x v="1"/>
  </r>
  <r>
    <x v="1478"/>
    <x v="24"/>
    <x v="0"/>
    <x v="5"/>
    <x v="269"/>
    <d v="2024-08-22T00:00:00"/>
    <x v="1"/>
    <x v="1"/>
    <x v="3"/>
    <x v="1477"/>
    <n v="22"/>
    <x v="0"/>
    <s v="Under Observation"/>
    <x v="2"/>
    <x v="2"/>
    <s v="UPI"/>
    <n v="14"/>
    <x v="1475"/>
    <s v="Yes"/>
    <x v="0"/>
  </r>
  <r>
    <x v="1479"/>
    <x v="26"/>
    <x v="1"/>
    <x v="2"/>
    <x v="234"/>
    <d v="2025-08-10T00:00:00"/>
    <x v="3"/>
    <x v="0"/>
    <x v="3"/>
    <x v="1478"/>
    <n v="22"/>
    <x v="0"/>
    <s v="Recovered"/>
    <x v="1"/>
    <x v="2"/>
    <s v="Cash"/>
    <n v="5"/>
    <x v="1476"/>
    <s v="Yes"/>
    <x v="0"/>
  </r>
  <r>
    <x v="1480"/>
    <x v="41"/>
    <x v="0"/>
    <x v="5"/>
    <x v="38"/>
    <d v="2025-06-22T00:00:00"/>
    <x v="6"/>
    <x v="2"/>
    <x v="0"/>
    <x v="1479"/>
    <n v="13"/>
    <x v="1"/>
    <s v="Under Observation"/>
    <x v="1"/>
    <x v="2"/>
    <s v="UPI"/>
    <n v="15"/>
    <x v="1477"/>
    <s v="Yes"/>
    <x v="1"/>
  </r>
  <r>
    <x v="1481"/>
    <x v="9"/>
    <x v="0"/>
    <x v="0"/>
    <x v="111"/>
    <d v="2023-04-28T00:00:00"/>
    <x v="6"/>
    <x v="2"/>
    <x v="5"/>
    <x v="1480"/>
    <n v="14"/>
    <x v="0"/>
    <s v="Recovered"/>
    <x v="2"/>
    <x v="1"/>
    <s v="Card"/>
    <n v="13"/>
    <x v="1478"/>
    <s v="Yes"/>
    <x v="0"/>
  </r>
  <r>
    <x v="1482"/>
    <x v="23"/>
    <x v="0"/>
    <x v="4"/>
    <x v="359"/>
    <d v="2024-10-20T00:00:00"/>
    <x v="5"/>
    <x v="4"/>
    <x v="5"/>
    <x v="1481"/>
    <n v="12"/>
    <x v="1"/>
    <s v="Recovered"/>
    <x v="1"/>
    <x v="0"/>
    <s v="UPI"/>
    <n v="2"/>
    <x v="1479"/>
    <s v="No"/>
    <x v="0"/>
  </r>
  <r>
    <x v="1483"/>
    <x v="68"/>
    <x v="1"/>
    <x v="4"/>
    <x v="505"/>
    <d v="2024-04-19T00:00:00"/>
    <x v="4"/>
    <x v="3"/>
    <x v="6"/>
    <x v="1482"/>
    <n v="11"/>
    <x v="1"/>
    <s v="Under Observation"/>
    <x v="2"/>
    <x v="0"/>
    <s v="Cash"/>
    <n v="3"/>
    <x v="1480"/>
    <s v="Yes"/>
    <x v="0"/>
  </r>
  <r>
    <x v="1484"/>
    <x v="55"/>
    <x v="0"/>
    <x v="5"/>
    <x v="468"/>
    <d v="2025-04-27T00:00:00"/>
    <x v="7"/>
    <x v="5"/>
    <x v="3"/>
    <x v="1483"/>
    <n v="6"/>
    <x v="0"/>
    <s v="Referred"/>
    <x v="0"/>
    <x v="3"/>
    <s v="Cash"/>
    <n v="10"/>
    <x v="1481"/>
    <s v="No"/>
    <x v="0"/>
  </r>
  <r>
    <x v="1485"/>
    <x v="26"/>
    <x v="1"/>
    <x v="4"/>
    <x v="525"/>
    <d v="2025-06-12T00:00:00"/>
    <x v="1"/>
    <x v="1"/>
    <x v="5"/>
    <x v="1484"/>
    <n v="10"/>
    <x v="1"/>
    <s v="Recovered"/>
    <x v="0"/>
    <x v="3"/>
    <s v="UPI"/>
    <n v="6"/>
    <x v="1482"/>
    <s v="Yes"/>
    <x v="0"/>
  </r>
  <r>
    <x v="1486"/>
    <x v="60"/>
    <x v="0"/>
    <x v="4"/>
    <x v="291"/>
    <d v="2023-05-06T00:00:00"/>
    <x v="7"/>
    <x v="5"/>
    <x v="7"/>
    <x v="1485"/>
    <n v="2"/>
    <x v="0"/>
    <s v="Recovered"/>
    <x v="1"/>
    <x v="3"/>
    <s v="Card"/>
    <n v="11"/>
    <x v="1483"/>
    <s v="Yes"/>
    <x v="0"/>
  </r>
  <r>
    <x v="1487"/>
    <x v="46"/>
    <x v="1"/>
    <x v="1"/>
    <x v="24"/>
    <d v="2023-05-29T00:00:00"/>
    <x v="0"/>
    <x v="0"/>
    <x v="6"/>
    <x v="1486"/>
    <n v="7"/>
    <x v="0"/>
    <s v="Recovered"/>
    <x v="2"/>
    <x v="2"/>
    <s v="Insurance"/>
    <n v="13"/>
    <x v="1484"/>
    <s v="No"/>
    <x v="0"/>
  </r>
  <r>
    <x v="1488"/>
    <x v="54"/>
    <x v="1"/>
    <x v="2"/>
    <x v="566"/>
    <d v="2023-03-01T00:00:00"/>
    <x v="1"/>
    <x v="1"/>
    <x v="0"/>
    <x v="1487"/>
    <n v="18"/>
    <x v="0"/>
    <s v="Recovered"/>
    <x v="0"/>
    <x v="3"/>
    <s v="Cash"/>
    <n v="13"/>
    <x v="1485"/>
    <s v="Yes"/>
    <x v="0"/>
  </r>
  <r>
    <x v="1489"/>
    <x v="16"/>
    <x v="1"/>
    <x v="1"/>
    <x v="393"/>
    <d v="2024-01-14T00:00:00"/>
    <x v="0"/>
    <x v="0"/>
    <x v="6"/>
    <x v="1488"/>
    <n v="15"/>
    <x v="0"/>
    <s v="Recovered"/>
    <x v="1"/>
    <x v="0"/>
    <s v="Insurance"/>
    <n v="2"/>
    <x v="1486"/>
    <s v="No"/>
    <x v="0"/>
  </r>
  <r>
    <x v="1490"/>
    <x v="8"/>
    <x v="0"/>
    <x v="2"/>
    <x v="787"/>
    <d v="2023-11-21T00:00:00"/>
    <x v="5"/>
    <x v="4"/>
    <x v="1"/>
    <x v="1489"/>
    <n v="14"/>
    <x v="0"/>
    <s v="Recovered"/>
    <x v="1"/>
    <x v="3"/>
    <s v="Insurance"/>
    <n v="12"/>
    <x v="1487"/>
    <s v="No"/>
    <x v="0"/>
  </r>
  <r>
    <x v="1491"/>
    <x v="2"/>
    <x v="1"/>
    <x v="7"/>
    <x v="520"/>
    <d v="2023-08-28T00:00:00"/>
    <x v="5"/>
    <x v="4"/>
    <x v="7"/>
    <x v="1490"/>
    <n v="11"/>
    <x v="0"/>
    <s v="Recovered"/>
    <x v="1"/>
    <x v="0"/>
    <s v="Cash"/>
    <n v="14"/>
    <x v="1488"/>
    <s v="No"/>
    <x v="0"/>
  </r>
  <r>
    <x v="1492"/>
    <x v="53"/>
    <x v="0"/>
    <x v="4"/>
    <x v="513"/>
    <d v="2024-04-07T00:00:00"/>
    <x v="4"/>
    <x v="3"/>
    <x v="6"/>
    <x v="1491"/>
    <n v="20"/>
    <x v="0"/>
    <s v="Recovered"/>
    <x v="1"/>
    <x v="0"/>
    <s v="Cash"/>
    <n v="11"/>
    <x v="1489"/>
    <s v="Yes"/>
    <x v="0"/>
  </r>
  <r>
    <x v="1493"/>
    <x v="10"/>
    <x v="0"/>
    <x v="3"/>
    <x v="788"/>
    <d v="2025-07-01T00:00:00"/>
    <x v="4"/>
    <x v="3"/>
    <x v="5"/>
    <x v="1492"/>
    <n v="4"/>
    <x v="1"/>
    <s v="Recovered"/>
    <x v="2"/>
    <x v="2"/>
    <s v="UPI"/>
    <n v="2"/>
    <x v="1490"/>
    <s v="No"/>
    <x v="0"/>
  </r>
  <r>
    <x v="1494"/>
    <x v="20"/>
    <x v="1"/>
    <x v="5"/>
    <x v="741"/>
    <d v="2023-04-23T00:00:00"/>
    <x v="9"/>
    <x v="5"/>
    <x v="5"/>
    <x v="1493"/>
    <n v="5"/>
    <x v="1"/>
    <s v="Recovered"/>
    <x v="1"/>
    <x v="3"/>
    <s v="Insurance"/>
    <n v="10"/>
    <x v="1491"/>
    <s v="Yes"/>
    <x v="0"/>
  </r>
  <r>
    <x v="1495"/>
    <x v="60"/>
    <x v="1"/>
    <x v="0"/>
    <x v="357"/>
    <d v="2023-08-22T00:00:00"/>
    <x v="3"/>
    <x v="0"/>
    <x v="3"/>
    <x v="1494"/>
    <n v="8"/>
    <x v="0"/>
    <s v="Under Observation"/>
    <x v="0"/>
    <x v="0"/>
    <s v="Cash"/>
    <n v="11"/>
    <x v="1492"/>
    <s v="Yes"/>
    <x v="0"/>
  </r>
  <r>
    <x v="1496"/>
    <x v="24"/>
    <x v="1"/>
    <x v="6"/>
    <x v="522"/>
    <d v="2024-03-20T00:00:00"/>
    <x v="1"/>
    <x v="1"/>
    <x v="7"/>
    <x v="1495"/>
    <n v="12"/>
    <x v="1"/>
    <s v="Referred"/>
    <x v="0"/>
    <x v="2"/>
    <s v="Card"/>
    <n v="3"/>
    <x v="1493"/>
    <s v="No"/>
    <x v="0"/>
  </r>
  <r>
    <x v="1497"/>
    <x v="23"/>
    <x v="0"/>
    <x v="6"/>
    <x v="742"/>
    <d v="2024-08-12T00:00:00"/>
    <x v="2"/>
    <x v="2"/>
    <x v="5"/>
    <x v="1496"/>
    <n v="4"/>
    <x v="0"/>
    <s v="Under Observation"/>
    <x v="2"/>
    <x v="3"/>
    <s v="UPI"/>
    <n v="14"/>
    <x v="1494"/>
    <s v="Yes"/>
    <x v="1"/>
  </r>
  <r>
    <x v="1498"/>
    <x v="33"/>
    <x v="0"/>
    <x v="2"/>
    <x v="388"/>
    <d v="2024-05-29T00:00:00"/>
    <x v="8"/>
    <x v="6"/>
    <x v="7"/>
    <x v="1497"/>
    <n v="20"/>
    <x v="0"/>
    <s v="Recovered"/>
    <x v="1"/>
    <x v="3"/>
    <s v="Cash"/>
    <n v="3"/>
    <x v="1495"/>
    <s v="No"/>
    <x v="0"/>
  </r>
  <r>
    <x v="1499"/>
    <x v="42"/>
    <x v="1"/>
    <x v="6"/>
    <x v="523"/>
    <d v="2023-11-12T00:00:00"/>
    <x v="4"/>
    <x v="3"/>
    <x v="7"/>
    <x v="1498"/>
    <n v="19"/>
    <x v="0"/>
    <s v="Recovered"/>
    <x v="1"/>
    <x v="0"/>
    <s v="Cash"/>
    <n v="9"/>
    <x v="1496"/>
    <s v="Yes"/>
    <x v="0"/>
  </r>
  <r>
    <x v="1500"/>
    <x v="19"/>
    <x v="1"/>
    <x v="7"/>
    <x v="15"/>
    <d v="2024-01-22T00:00:00"/>
    <x v="9"/>
    <x v="5"/>
    <x v="5"/>
    <x v="1499"/>
    <n v="16"/>
    <x v="1"/>
    <s v="Recovered"/>
    <x v="1"/>
    <x v="1"/>
    <s v="Card"/>
    <n v="3"/>
    <x v="1497"/>
    <s v="No"/>
    <x v="0"/>
  </r>
  <r>
    <x v="1501"/>
    <x v="57"/>
    <x v="0"/>
    <x v="4"/>
    <x v="341"/>
    <d v="2025-05-06T00:00:00"/>
    <x v="5"/>
    <x v="4"/>
    <x v="6"/>
    <x v="1500"/>
    <n v="10"/>
    <x v="0"/>
    <s v="Referred"/>
    <x v="1"/>
    <x v="3"/>
    <s v="Cash"/>
    <n v="15"/>
    <x v="1498"/>
    <s v="Yes"/>
    <x v="1"/>
  </r>
  <r>
    <x v="1502"/>
    <x v="6"/>
    <x v="0"/>
    <x v="3"/>
    <x v="789"/>
    <d v="2024-09-18T00:00:00"/>
    <x v="4"/>
    <x v="3"/>
    <x v="3"/>
    <x v="1501"/>
    <n v="20"/>
    <x v="0"/>
    <s v="Recovered"/>
    <x v="1"/>
    <x v="0"/>
    <s v="UPI"/>
    <n v="1"/>
    <x v="1499"/>
    <s v="Yes"/>
    <x v="0"/>
  </r>
  <r>
    <x v="1503"/>
    <x v="43"/>
    <x v="0"/>
    <x v="4"/>
    <x v="58"/>
    <d v="2025-05-27T00:00:00"/>
    <x v="5"/>
    <x v="4"/>
    <x v="5"/>
    <x v="1502"/>
    <n v="6"/>
    <x v="0"/>
    <s v="Recovered"/>
    <x v="2"/>
    <x v="2"/>
    <s v="UPI"/>
    <n v="6"/>
    <x v="1500"/>
    <s v="Yes"/>
    <x v="0"/>
  </r>
  <r>
    <x v="1504"/>
    <x v="35"/>
    <x v="1"/>
    <x v="6"/>
    <x v="780"/>
    <d v="2024-09-27T00:00:00"/>
    <x v="0"/>
    <x v="0"/>
    <x v="7"/>
    <x v="1503"/>
    <n v="16"/>
    <x v="1"/>
    <s v="Recovered"/>
    <x v="0"/>
    <x v="3"/>
    <s v="Card"/>
    <n v="5"/>
    <x v="1501"/>
    <s v="No"/>
    <x v="0"/>
  </r>
  <r>
    <x v="1505"/>
    <x v="12"/>
    <x v="1"/>
    <x v="1"/>
    <x v="790"/>
    <d v="2023-07-04T00:00:00"/>
    <x v="3"/>
    <x v="0"/>
    <x v="2"/>
    <x v="1504"/>
    <n v="18"/>
    <x v="0"/>
    <s v="Under Observation"/>
    <x v="1"/>
    <x v="1"/>
    <s v="Insurance"/>
    <n v="8"/>
    <x v="1502"/>
    <s v="No"/>
    <x v="0"/>
  </r>
  <r>
    <x v="1506"/>
    <x v="40"/>
    <x v="0"/>
    <x v="4"/>
    <x v="524"/>
    <d v="2023-08-11T00:00:00"/>
    <x v="5"/>
    <x v="4"/>
    <x v="6"/>
    <x v="1505"/>
    <n v="16"/>
    <x v="0"/>
    <s v="Recovered"/>
    <x v="2"/>
    <x v="1"/>
    <s v="UPI"/>
    <n v="5"/>
    <x v="1503"/>
    <s v="Yes"/>
    <x v="0"/>
  </r>
  <r>
    <x v="1507"/>
    <x v="11"/>
    <x v="1"/>
    <x v="1"/>
    <x v="791"/>
    <d v="2024-11-07T00:00:00"/>
    <x v="5"/>
    <x v="4"/>
    <x v="7"/>
    <x v="1506"/>
    <n v="18"/>
    <x v="1"/>
    <s v="Recovered"/>
    <x v="1"/>
    <x v="3"/>
    <s v="UPI"/>
    <n v="12"/>
    <x v="1504"/>
    <s v="No"/>
    <x v="0"/>
  </r>
  <r>
    <x v="1508"/>
    <x v="29"/>
    <x v="0"/>
    <x v="5"/>
    <x v="154"/>
    <d v="2025-02-07T00:00:00"/>
    <x v="6"/>
    <x v="2"/>
    <x v="5"/>
    <x v="1507"/>
    <n v="20"/>
    <x v="1"/>
    <s v="Recovered"/>
    <x v="2"/>
    <x v="0"/>
    <s v="Insurance"/>
    <n v="7"/>
    <x v="1505"/>
    <s v="Yes"/>
    <x v="0"/>
  </r>
  <r>
    <x v="1509"/>
    <x v="37"/>
    <x v="1"/>
    <x v="6"/>
    <x v="299"/>
    <d v="2024-11-14T00:00:00"/>
    <x v="4"/>
    <x v="3"/>
    <x v="7"/>
    <x v="1508"/>
    <n v="14"/>
    <x v="0"/>
    <s v="Under Observation"/>
    <x v="1"/>
    <x v="3"/>
    <s v="Cash"/>
    <n v="10"/>
    <x v="1506"/>
    <s v="Yes"/>
    <x v="0"/>
  </r>
  <r>
    <x v="1510"/>
    <x v="63"/>
    <x v="1"/>
    <x v="7"/>
    <x v="792"/>
    <d v="2025-08-19T00:00:00"/>
    <x v="9"/>
    <x v="5"/>
    <x v="0"/>
    <x v="1509"/>
    <n v="11"/>
    <x v="1"/>
    <s v="Recovered"/>
    <x v="1"/>
    <x v="3"/>
    <s v="UPI"/>
    <n v="9"/>
    <x v="1507"/>
    <s v="No"/>
    <x v="0"/>
  </r>
  <r>
    <x v="1511"/>
    <x v="37"/>
    <x v="0"/>
    <x v="3"/>
    <x v="370"/>
    <d v="2024-11-09T00:00:00"/>
    <x v="4"/>
    <x v="3"/>
    <x v="7"/>
    <x v="1510"/>
    <n v="16"/>
    <x v="1"/>
    <s v="Recovered"/>
    <x v="2"/>
    <x v="2"/>
    <s v="UPI"/>
    <n v="14"/>
    <x v="1508"/>
    <s v="Yes"/>
    <x v="0"/>
  </r>
  <r>
    <x v="1512"/>
    <x v="51"/>
    <x v="1"/>
    <x v="2"/>
    <x v="743"/>
    <d v="2023-09-20T00:00:00"/>
    <x v="2"/>
    <x v="2"/>
    <x v="3"/>
    <x v="1511"/>
    <n v="10"/>
    <x v="1"/>
    <s v="Recovered"/>
    <x v="1"/>
    <x v="1"/>
    <s v="Cash"/>
    <n v="5"/>
    <x v="1509"/>
    <s v="Yes"/>
    <x v="1"/>
  </r>
  <r>
    <x v="1513"/>
    <x v="38"/>
    <x v="1"/>
    <x v="7"/>
    <x v="793"/>
    <d v="2023-06-20T00:00:00"/>
    <x v="9"/>
    <x v="5"/>
    <x v="7"/>
    <x v="1512"/>
    <n v="13"/>
    <x v="0"/>
    <s v="Recovered"/>
    <x v="1"/>
    <x v="1"/>
    <s v="UPI"/>
    <n v="13"/>
    <x v="1510"/>
    <s v="No"/>
    <x v="0"/>
  </r>
  <r>
    <x v="1514"/>
    <x v="49"/>
    <x v="0"/>
    <x v="3"/>
    <x v="222"/>
    <d v="2025-02-02T00:00:00"/>
    <x v="7"/>
    <x v="5"/>
    <x v="3"/>
    <x v="1513"/>
    <n v="17"/>
    <x v="1"/>
    <s v="Recovered"/>
    <x v="1"/>
    <x v="0"/>
    <s v="Insurance"/>
    <n v="15"/>
    <x v="1511"/>
    <s v="Yes"/>
    <x v="0"/>
  </r>
  <r>
    <x v="1515"/>
    <x v="67"/>
    <x v="1"/>
    <x v="2"/>
    <x v="361"/>
    <d v="2025-07-25T00:00:00"/>
    <x v="4"/>
    <x v="3"/>
    <x v="5"/>
    <x v="1514"/>
    <n v="15"/>
    <x v="1"/>
    <s v="Recovered"/>
    <x v="1"/>
    <x v="3"/>
    <s v="Insurance"/>
    <n v="12"/>
    <x v="1512"/>
    <s v="Yes"/>
    <x v="0"/>
  </r>
  <r>
    <x v="1516"/>
    <x v="49"/>
    <x v="0"/>
    <x v="5"/>
    <x v="72"/>
    <d v="2025-03-28T00:00:00"/>
    <x v="1"/>
    <x v="1"/>
    <x v="4"/>
    <x v="1515"/>
    <n v="7"/>
    <x v="0"/>
    <s v="Recovered"/>
    <x v="2"/>
    <x v="0"/>
    <s v="Cash"/>
    <n v="11"/>
    <x v="1513"/>
    <s v="Yes"/>
    <x v="0"/>
  </r>
  <r>
    <x v="1517"/>
    <x v="49"/>
    <x v="1"/>
    <x v="4"/>
    <x v="41"/>
    <d v="2023-08-31T00:00:00"/>
    <x v="0"/>
    <x v="0"/>
    <x v="5"/>
    <x v="1516"/>
    <n v="12"/>
    <x v="1"/>
    <s v="Recovered"/>
    <x v="0"/>
    <x v="1"/>
    <s v="UPI"/>
    <n v="7"/>
    <x v="1514"/>
    <s v="Yes"/>
    <x v="0"/>
  </r>
  <r>
    <x v="1518"/>
    <x v="66"/>
    <x v="1"/>
    <x v="5"/>
    <x v="459"/>
    <d v="2023-05-31T00:00:00"/>
    <x v="7"/>
    <x v="5"/>
    <x v="3"/>
    <x v="1517"/>
    <n v="12"/>
    <x v="1"/>
    <s v="Recovered"/>
    <x v="2"/>
    <x v="0"/>
    <s v="Insurance"/>
    <n v="4"/>
    <x v="1515"/>
    <s v="No"/>
    <x v="0"/>
  </r>
  <r>
    <x v="1519"/>
    <x v="56"/>
    <x v="0"/>
    <x v="0"/>
    <x v="11"/>
    <d v="2025-03-01T00:00:00"/>
    <x v="6"/>
    <x v="2"/>
    <x v="0"/>
    <x v="1518"/>
    <n v="10"/>
    <x v="1"/>
    <s v="Recovered"/>
    <x v="1"/>
    <x v="1"/>
    <s v="UPI"/>
    <n v="14"/>
    <x v="1516"/>
    <s v="No"/>
    <x v="0"/>
  </r>
  <r>
    <x v="1520"/>
    <x v="19"/>
    <x v="1"/>
    <x v="7"/>
    <x v="645"/>
    <d v="2023-03-14T00:00:00"/>
    <x v="7"/>
    <x v="5"/>
    <x v="1"/>
    <x v="1519"/>
    <n v="7"/>
    <x v="1"/>
    <s v="Deceased"/>
    <x v="2"/>
    <x v="0"/>
    <s v="Cash"/>
    <n v="4"/>
    <x v="1517"/>
    <s v="No"/>
    <x v="0"/>
  </r>
  <r>
    <x v="1521"/>
    <x v="69"/>
    <x v="0"/>
    <x v="7"/>
    <x v="476"/>
    <d v="2023-05-11T00:00:00"/>
    <x v="3"/>
    <x v="0"/>
    <x v="5"/>
    <x v="1520"/>
    <n v="19"/>
    <x v="1"/>
    <s v="Recovered"/>
    <x v="2"/>
    <x v="0"/>
    <s v="UPI"/>
    <n v="7"/>
    <x v="1518"/>
    <s v="No"/>
    <x v="0"/>
  </r>
  <r>
    <x v="1522"/>
    <x v="55"/>
    <x v="0"/>
    <x v="2"/>
    <x v="667"/>
    <d v="2023-10-17T00:00:00"/>
    <x v="1"/>
    <x v="1"/>
    <x v="4"/>
    <x v="1521"/>
    <n v="13"/>
    <x v="0"/>
    <s v="Recovered"/>
    <x v="1"/>
    <x v="2"/>
    <s v="Insurance"/>
    <n v="10"/>
    <x v="1519"/>
    <s v="Yes"/>
    <x v="0"/>
  </r>
  <r>
    <x v="1523"/>
    <x v="42"/>
    <x v="1"/>
    <x v="0"/>
    <x v="118"/>
    <d v="2025-04-09T00:00:00"/>
    <x v="1"/>
    <x v="1"/>
    <x v="5"/>
    <x v="1522"/>
    <n v="14"/>
    <x v="0"/>
    <s v="Recovered"/>
    <x v="2"/>
    <x v="0"/>
    <s v="UPI"/>
    <n v="4"/>
    <x v="1520"/>
    <s v="No"/>
    <x v="0"/>
  </r>
  <r>
    <x v="1524"/>
    <x v="53"/>
    <x v="1"/>
    <x v="7"/>
    <x v="794"/>
    <d v="2024-12-09T00:00:00"/>
    <x v="3"/>
    <x v="0"/>
    <x v="5"/>
    <x v="1523"/>
    <n v="19"/>
    <x v="1"/>
    <s v="Recovered"/>
    <x v="0"/>
    <x v="0"/>
    <s v="Insurance"/>
    <n v="2"/>
    <x v="1521"/>
    <s v="Yes"/>
    <x v="0"/>
  </r>
  <r>
    <x v="1525"/>
    <x v="23"/>
    <x v="0"/>
    <x v="0"/>
    <x v="795"/>
    <d v="2025-10-07T00:00:00"/>
    <x v="6"/>
    <x v="2"/>
    <x v="6"/>
    <x v="1524"/>
    <n v="14"/>
    <x v="0"/>
    <s v="Recovered"/>
    <x v="0"/>
    <x v="3"/>
    <s v="Card"/>
    <n v="14"/>
    <x v="1522"/>
    <s v="Yes"/>
    <x v="0"/>
  </r>
  <r>
    <x v="1526"/>
    <x v="45"/>
    <x v="0"/>
    <x v="1"/>
    <x v="365"/>
    <d v="2023-05-19T00:00:00"/>
    <x v="1"/>
    <x v="1"/>
    <x v="6"/>
    <x v="1525"/>
    <n v="10"/>
    <x v="1"/>
    <s v="Recovered"/>
    <x v="1"/>
    <x v="1"/>
    <s v="Cash"/>
    <n v="14"/>
    <x v="1523"/>
    <s v="No"/>
    <x v="0"/>
  </r>
  <r>
    <x v="1527"/>
    <x v="9"/>
    <x v="0"/>
    <x v="7"/>
    <x v="488"/>
    <d v="2023-02-16T00:00:00"/>
    <x v="1"/>
    <x v="1"/>
    <x v="6"/>
    <x v="1526"/>
    <n v="30"/>
    <x v="1"/>
    <s v="Recovered"/>
    <x v="0"/>
    <x v="2"/>
    <s v="Insurance"/>
    <n v="10"/>
    <x v="1524"/>
    <s v="No"/>
    <x v="1"/>
  </r>
  <r>
    <x v="1528"/>
    <x v="68"/>
    <x v="0"/>
    <x v="2"/>
    <x v="160"/>
    <d v="2023-04-15T00:00:00"/>
    <x v="6"/>
    <x v="2"/>
    <x v="0"/>
    <x v="1527"/>
    <n v="18"/>
    <x v="1"/>
    <s v="Recovered"/>
    <x v="1"/>
    <x v="3"/>
    <s v="UPI"/>
    <n v="10"/>
    <x v="1525"/>
    <s v="No"/>
    <x v="0"/>
  </r>
  <r>
    <x v="1529"/>
    <x v="48"/>
    <x v="1"/>
    <x v="0"/>
    <x v="796"/>
    <d v="2025-03-09T00:00:00"/>
    <x v="9"/>
    <x v="5"/>
    <x v="3"/>
    <x v="1528"/>
    <n v="5"/>
    <x v="1"/>
    <s v="Recovered"/>
    <x v="2"/>
    <x v="1"/>
    <s v="Insurance"/>
    <n v="1"/>
    <x v="1526"/>
    <s v="No"/>
    <x v="0"/>
  </r>
  <r>
    <x v="1530"/>
    <x v="54"/>
    <x v="0"/>
    <x v="6"/>
    <x v="771"/>
    <d v="2024-12-27T00:00:00"/>
    <x v="2"/>
    <x v="2"/>
    <x v="1"/>
    <x v="1529"/>
    <n v="24"/>
    <x v="1"/>
    <s v="Recovered"/>
    <x v="1"/>
    <x v="2"/>
    <s v="Insurance"/>
    <n v="6"/>
    <x v="1527"/>
    <s v="No"/>
    <x v="0"/>
  </r>
  <r>
    <x v="1531"/>
    <x v="21"/>
    <x v="1"/>
    <x v="3"/>
    <x v="230"/>
    <d v="2024-12-16T00:00:00"/>
    <x v="2"/>
    <x v="2"/>
    <x v="5"/>
    <x v="1530"/>
    <n v="18"/>
    <x v="1"/>
    <s v="Under Observation"/>
    <x v="0"/>
    <x v="3"/>
    <s v="Cash"/>
    <n v="13"/>
    <x v="1528"/>
    <s v="Yes"/>
    <x v="0"/>
  </r>
  <r>
    <x v="1532"/>
    <x v="28"/>
    <x v="1"/>
    <x v="7"/>
    <x v="797"/>
    <d v="2024-01-22T00:00:00"/>
    <x v="5"/>
    <x v="4"/>
    <x v="6"/>
    <x v="1531"/>
    <n v="19"/>
    <x v="0"/>
    <s v="Recovered"/>
    <x v="0"/>
    <x v="0"/>
    <s v="Insurance"/>
    <n v="1"/>
    <x v="1529"/>
    <s v="No"/>
    <x v="0"/>
  </r>
  <r>
    <x v="1533"/>
    <x v="36"/>
    <x v="0"/>
    <x v="0"/>
    <x v="440"/>
    <d v="2025-07-20T00:00:00"/>
    <x v="5"/>
    <x v="4"/>
    <x v="4"/>
    <x v="1532"/>
    <n v="18"/>
    <x v="0"/>
    <s v="Recovered"/>
    <x v="0"/>
    <x v="3"/>
    <s v="Insurance"/>
    <n v="7"/>
    <x v="1530"/>
    <s v="Yes"/>
    <x v="0"/>
  </r>
  <r>
    <x v="1534"/>
    <x v="27"/>
    <x v="0"/>
    <x v="4"/>
    <x v="450"/>
    <d v="2024-07-02T00:00:00"/>
    <x v="0"/>
    <x v="0"/>
    <x v="5"/>
    <x v="1533"/>
    <n v="19"/>
    <x v="0"/>
    <s v="Recovered"/>
    <x v="1"/>
    <x v="2"/>
    <s v="Cash"/>
    <n v="6"/>
    <x v="1531"/>
    <s v="Yes"/>
    <x v="0"/>
  </r>
  <r>
    <x v="1535"/>
    <x v="55"/>
    <x v="0"/>
    <x v="2"/>
    <x v="122"/>
    <d v="2025-09-20T00:00:00"/>
    <x v="3"/>
    <x v="0"/>
    <x v="5"/>
    <x v="1534"/>
    <n v="12"/>
    <x v="0"/>
    <s v="Recovered"/>
    <x v="0"/>
    <x v="1"/>
    <s v="Card"/>
    <n v="6"/>
    <x v="1532"/>
    <s v="No"/>
    <x v="1"/>
  </r>
  <r>
    <x v="1536"/>
    <x v="59"/>
    <x v="0"/>
    <x v="3"/>
    <x v="798"/>
    <d v="2024-07-20T00:00:00"/>
    <x v="5"/>
    <x v="4"/>
    <x v="1"/>
    <x v="1535"/>
    <n v="6"/>
    <x v="1"/>
    <s v="Under Observation"/>
    <x v="1"/>
    <x v="1"/>
    <s v="Insurance"/>
    <n v="15"/>
    <x v="1533"/>
    <s v="No"/>
    <x v="0"/>
  </r>
  <r>
    <x v="1537"/>
    <x v="46"/>
    <x v="1"/>
    <x v="1"/>
    <x v="343"/>
    <d v="2023-04-08T00:00:00"/>
    <x v="4"/>
    <x v="3"/>
    <x v="4"/>
    <x v="1536"/>
    <n v="9"/>
    <x v="1"/>
    <s v="Recovered"/>
    <x v="1"/>
    <x v="0"/>
    <s v="UPI"/>
    <n v="3"/>
    <x v="1534"/>
    <s v="No"/>
    <x v="0"/>
  </r>
  <r>
    <x v="1538"/>
    <x v="61"/>
    <x v="1"/>
    <x v="4"/>
    <x v="191"/>
    <d v="2023-04-11T00:00:00"/>
    <x v="4"/>
    <x v="3"/>
    <x v="6"/>
    <x v="1537"/>
    <n v="4"/>
    <x v="1"/>
    <s v="Recovered"/>
    <x v="1"/>
    <x v="0"/>
    <s v="Card"/>
    <n v="8"/>
    <x v="1535"/>
    <s v="Yes"/>
    <x v="0"/>
  </r>
  <r>
    <x v="1539"/>
    <x v="49"/>
    <x v="0"/>
    <x v="3"/>
    <x v="604"/>
    <d v="2024-01-05T00:00:00"/>
    <x v="8"/>
    <x v="6"/>
    <x v="5"/>
    <x v="1538"/>
    <n v="20"/>
    <x v="0"/>
    <s v="Recovered"/>
    <x v="1"/>
    <x v="1"/>
    <s v="Insurance"/>
    <n v="3"/>
    <x v="1536"/>
    <s v="Yes"/>
    <x v="0"/>
  </r>
  <r>
    <x v="1540"/>
    <x v="49"/>
    <x v="0"/>
    <x v="6"/>
    <x v="136"/>
    <d v="2024-05-13T00:00:00"/>
    <x v="9"/>
    <x v="5"/>
    <x v="4"/>
    <x v="1539"/>
    <n v="11"/>
    <x v="1"/>
    <s v="Recovered"/>
    <x v="1"/>
    <x v="3"/>
    <s v="Insurance"/>
    <n v="12"/>
    <x v="1537"/>
    <s v="Yes"/>
    <x v="0"/>
  </r>
  <r>
    <x v="1541"/>
    <x v="54"/>
    <x v="1"/>
    <x v="5"/>
    <x v="799"/>
    <d v="2025-05-04T00:00:00"/>
    <x v="7"/>
    <x v="5"/>
    <x v="3"/>
    <x v="1540"/>
    <n v="12"/>
    <x v="1"/>
    <s v="Recovered"/>
    <x v="0"/>
    <x v="0"/>
    <s v="Cash"/>
    <n v="14"/>
    <x v="1538"/>
    <s v="No"/>
    <x v="0"/>
  </r>
  <r>
    <x v="1542"/>
    <x v="10"/>
    <x v="1"/>
    <x v="3"/>
    <x v="800"/>
    <d v="2024-09-10T00:00:00"/>
    <x v="4"/>
    <x v="3"/>
    <x v="5"/>
    <x v="1541"/>
    <n v="10"/>
    <x v="1"/>
    <s v="Under Observation"/>
    <x v="1"/>
    <x v="2"/>
    <s v="UPI"/>
    <n v="13"/>
    <x v="1539"/>
    <s v="Yes"/>
    <x v="0"/>
  </r>
  <r>
    <x v="1543"/>
    <x v="46"/>
    <x v="1"/>
    <x v="4"/>
    <x v="705"/>
    <d v="2024-06-02T00:00:00"/>
    <x v="2"/>
    <x v="2"/>
    <x v="1"/>
    <x v="1542"/>
    <n v="15"/>
    <x v="1"/>
    <s v="Recovered"/>
    <x v="1"/>
    <x v="0"/>
    <s v="Insurance"/>
    <n v="4"/>
    <x v="1540"/>
    <s v="No"/>
    <x v="0"/>
  </r>
  <r>
    <x v="1544"/>
    <x v="53"/>
    <x v="1"/>
    <x v="3"/>
    <x v="469"/>
    <d v="2023-11-13T00:00:00"/>
    <x v="5"/>
    <x v="4"/>
    <x v="4"/>
    <x v="1543"/>
    <n v="19"/>
    <x v="0"/>
    <s v="Recovered"/>
    <x v="1"/>
    <x v="1"/>
    <s v="Insurance"/>
    <n v="3"/>
    <x v="1541"/>
    <s v="No"/>
    <x v="0"/>
  </r>
  <r>
    <x v="1545"/>
    <x v="70"/>
    <x v="1"/>
    <x v="3"/>
    <x v="386"/>
    <d v="2025-01-03T00:00:00"/>
    <x v="0"/>
    <x v="0"/>
    <x v="1"/>
    <x v="1544"/>
    <n v="8"/>
    <x v="1"/>
    <s v="Recovered"/>
    <x v="0"/>
    <x v="3"/>
    <s v="Card"/>
    <n v="6"/>
    <x v="1542"/>
    <s v="No"/>
    <x v="0"/>
  </r>
  <r>
    <x v="1546"/>
    <x v="66"/>
    <x v="1"/>
    <x v="7"/>
    <x v="215"/>
    <d v="2023-09-11T00:00:00"/>
    <x v="6"/>
    <x v="2"/>
    <x v="2"/>
    <x v="1545"/>
    <n v="13"/>
    <x v="1"/>
    <s v="Recovered"/>
    <x v="1"/>
    <x v="0"/>
    <s v="UPI"/>
    <n v="1"/>
    <x v="1543"/>
    <s v="Yes"/>
    <x v="0"/>
  </r>
  <r>
    <x v="1547"/>
    <x v="14"/>
    <x v="0"/>
    <x v="5"/>
    <x v="801"/>
    <d v="2025-05-13T00:00:00"/>
    <x v="9"/>
    <x v="5"/>
    <x v="4"/>
    <x v="1546"/>
    <n v="8"/>
    <x v="1"/>
    <s v="Recovered"/>
    <x v="2"/>
    <x v="0"/>
    <s v="Card"/>
    <n v="2"/>
    <x v="1544"/>
    <s v="Yes"/>
    <x v="0"/>
  </r>
  <r>
    <x v="1548"/>
    <x v="31"/>
    <x v="0"/>
    <x v="7"/>
    <x v="615"/>
    <d v="2023-04-03T00:00:00"/>
    <x v="1"/>
    <x v="1"/>
    <x v="1"/>
    <x v="1547"/>
    <n v="13"/>
    <x v="1"/>
    <s v="Recovered"/>
    <x v="0"/>
    <x v="1"/>
    <s v="UPI"/>
    <n v="3"/>
    <x v="1545"/>
    <s v="Yes"/>
    <x v="0"/>
  </r>
  <r>
    <x v="1549"/>
    <x v="37"/>
    <x v="1"/>
    <x v="6"/>
    <x v="802"/>
    <d v="2024-01-11T00:00:00"/>
    <x v="8"/>
    <x v="6"/>
    <x v="6"/>
    <x v="1548"/>
    <n v="18"/>
    <x v="1"/>
    <s v="Recovered"/>
    <x v="0"/>
    <x v="0"/>
    <s v="Cash"/>
    <n v="2"/>
    <x v="1546"/>
    <s v="Yes"/>
    <x v="0"/>
  </r>
  <r>
    <x v="1550"/>
    <x v="51"/>
    <x v="0"/>
    <x v="3"/>
    <x v="44"/>
    <d v="2023-06-24T00:00:00"/>
    <x v="1"/>
    <x v="1"/>
    <x v="6"/>
    <x v="1549"/>
    <n v="30"/>
    <x v="0"/>
    <s v="Under Observation"/>
    <x v="0"/>
    <x v="2"/>
    <s v="Cash"/>
    <n v="11"/>
    <x v="1547"/>
    <s v="No"/>
    <x v="0"/>
  </r>
  <r>
    <x v="1551"/>
    <x v="12"/>
    <x v="1"/>
    <x v="5"/>
    <x v="510"/>
    <d v="2025-04-09T00:00:00"/>
    <x v="0"/>
    <x v="0"/>
    <x v="7"/>
    <x v="1550"/>
    <n v="10"/>
    <x v="1"/>
    <s v="Recovered"/>
    <x v="1"/>
    <x v="3"/>
    <s v="Card"/>
    <n v="5"/>
    <x v="1548"/>
    <s v="No"/>
    <x v="0"/>
  </r>
  <r>
    <x v="1552"/>
    <x v="54"/>
    <x v="0"/>
    <x v="2"/>
    <x v="77"/>
    <d v="2023-04-20T00:00:00"/>
    <x v="3"/>
    <x v="0"/>
    <x v="3"/>
    <x v="1551"/>
    <n v="11"/>
    <x v="1"/>
    <s v="Under Observation"/>
    <x v="0"/>
    <x v="1"/>
    <s v="Card"/>
    <n v="7"/>
    <x v="1549"/>
    <s v="No"/>
    <x v="0"/>
  </r>
  <r>
    <x v="1553"/>
    <x v="43"/>
    <x v="1"/>
    <x v="0"/>
    <x v="662"/>
    <d v="2023-07-13T00:00:00"/>
    <x v="6"/>
    <x v="2"/>
    <x v="0"/>
    <x v="1552"/>
    <n v="2"/>
    <x v="1"/>
    <s v="Recovered"/>
    <x v="2"/>
    <x v="0"/>
    <s v="Insurance"/>
    <n v="11"/>
    <x v="1550"/>
    <s v="Yes"/>
    <x v="0"/>
  </r>
  <r>
    <x v="1554"/>
    <x v="52"/>
    <x v="0"/>
    <x v="1"/>
    <x v="803"/>
    <d v="2025-07-14T00:00:00"/>
    <x v="0"/>
    <x v="0"/>
    <x v="5"/>
    <x v="1553"/>
    <n v="24"/>
    <x v="0"/>
    <s v="Under Observation"/>
    <x v="2"/>
    <x v="2"/>
    <s v="Card"/>
    <n v="10"/>
    <x v="1551"/>
    <s v="Yes"/>
    <x v="0"/>
  </r>
  <r>
    <x v="1555"/>
    <x v="45"/>
    <x v="0"/>
    <x v="4"/>
    <x v="804"/>
    <d v="2023-06-01T00:00:00"/>
    <x v="5"/>
    <x v="4"/>
    <x v="5"/>
    <x v="1554"/>
    <n v="15"/>
    <x v="1"/>
    <s v="Recovered"/>
    <x v="2"/>
    <x v="3"/>
    <s v="UPI"/>
    <n v="14"/>
    <x v="1552"/>
    <s v="Yes"/>
    <x v="0"/>
  </r>
  <r>
    <x v="1556"/>
    <x v="12"/>
    <x v="0"/>
    <x v="4"/>
    <x v="805"/>
    <d v="2025-04-29T00:00:00"/>
    <x v="7"/>
    <x v="5"/>
    <x v="5"/>
    <x v="1555"/>
    <n v="14"/>
    <x v="1"/>
    <s v="Deceased"/>
    <x v="0"/>
    <x v="3"/>
    <s v="UPI"/>
    <n v="8"/>
    <x v="1553"/>
    <s v="Yes"/>
    <x v="0"/>
  </r>
  <r>
    <x v="1557"/>
    <x v="42"/>
    <x v="1"/>
    <x v="6"/>
    <x v="806"/>
    <d v="2023-12-06T00:00:00"/>
    <x v="8"/>
    <x v="6"/>
    <x v="1"/>
    <x v="1556"/>
    <n v="12"/>
    <x v="1"/>
    <s v="Recovered"/>
    <x v="0"/>
    <x v="0"/>
    <s v="UPI"/>
    <n v="10"/>
    <x v="1554"/>
    <s v="Yes"/>
    <x v="0"/>
  </r>
  <r>
    <x v="1558"/>
    <x v="35"/>
    <x v="0"/>
    <x v="5"/>
    <x v="807"/>
    <d v="2025-09-28T00:00:00"/>
    <x v="8"/>
    <x v="6"/>
    <x v="4"/>
    <x v="1557"/>
    <n v="17"/>
    <x v="1"/>
    <s v="Recovered"/>
    <x v="1"/>
    <x v="3"/>
    <s v="Card"/>
    <n v="14"/>
    <x v="1555"/>
    <s v="Yes"/>
    <x v="0"/>
  </r>
  <r>
    <x v="1559"/>
    <x v="24"/>
    <x v="0"/>
    <x v="0"/>
    <x v="808"/>
    <d v="2025-07-28T00:00:00"/>
    <x v="8"/>
    <x v="6"/>
    <x v="1"/>
    <x v="1558"/>
    <n v="19"/>
    <x v="1"/>
    <s v="Recovered"/>
    <x v="1"/>
    <x v="3"/>
    <s v="Card"/>
    <n v="4"/>
    <x v="1556"/>
    <s v="No"/>
    <x v="0"/>
  </r>
  <r>
    <x v="1560"/>
    <x v="19"/>
    <x v="0"/>
    <x v="6"/>
    <x v="258"/>
    <d v="2023-08-18T00:00:00"/>
    <x v="3"/>
    <x v="0"/>
    <x v="5"/>
    <x v="1559"/>
    <n v="2"/>
    <x v="0"/>
    <s v="Recovered"/>
    <x v="0"/>
    <x v="0"/>
    <s v="UPI"/>
    <n v="4"/>
    <x v="1557"/>
    <s v="No"/>
    <x v="0"/>
  </r>
  <r>
    <x v="1561"/>
    <x v="52"/>
    <x v="0"/>
    <x v="7"/>
    <x v="451"/>
    <d v="2024-11-23T00:00:00"/>
    <x v="5"/>
    <x v="4"/>
    <x v="6"/>
    <x v="1560"/>
    <n v="13"/>
    <x v="1"/>
    <s v="Deceased"/>
    <x v="1"/>
    <x v="3"/>
    <s v="UPI"/>
    <n v="6"/>
    <x v="1558"/>
    <s v="Yes"/>
    <x v="0"/>
  </r>
  <r>
    <x v="1562"/>
    <x v="19"/>
    <x v="0"/>
    <x v="4"/>
    <x v="78"/>
    <d v="2025-03-21T00:00:00"/>
    <x v="4"/>
    <x v="3"/>
    <x v="0"/>
    <x v="1561"/>
    <n v="29"/>
    <x v="1"/>
    <s v="Recovered"/>
    <x v="0"/>
    <x v="2"/>
    <s v="Cash"/>
    <n v="2"/>
    <x v="1559"/>
    <s v="Yes"/>
    <x v="0"/>
  </r>
  <r>
    <x v="1563"/>
    <x v="59"/>
    <x v="1"/>
    <x v="2"/>
    <x v="196"/>
    <d v="2024-11-04T00:00:00"/>
    <x v="0"/>
    <x v="0"/>
    <x v="2"/>
    <x v="1562"/>
    <n v="8"/>
    <x v="1"/>
    <s v="Recovered"/>
    <x v="1"/>
    <x v="3"/>
    <s v="Cash"/>
    <n v="1"/>
    <x v="1560"/>
    <s v="Yes"/>
    <x v="1"/>
  </r>
  <r>
    <x v="1564"/>
    <x v="12"/>
    <x v="1"/>
    <x v="0"/>
    <x v="211"/>
    <d v="2024-07-19T00:00:00"/>
    <x v="4"/>
    <x v="3"/>
    <x v="2"/>
    <x v="1563"/>
    <n v="12"/>
    <x v="0"/>
    <s v="Recovered"/>
    <x v="2"/>
    <x v="0"/>
    <s v="Insurance"/>
    <n v="5"/>
    <x v="1561"/>
    <s v="Yes"/>
    <x v="0"/>
  </r>
  <r>
    <x v="1565"/>
    <x v="18"/>
    <x v="1"/>
    <x v="0"/>
    <x v="425"/>
    <d v="2023-04-27T00:00:00"/>
    <x v="0"/>
    <x v="0"/>
    <x v="5"/>
    <x v="1564"/>
    <n v="19"/>
    <x v="1"/>
    <s v="Recovered"/>
    <x v="0"/>
    <x v="2"/>
    <s v="UPI"/>
    <n v="3"/>
    <x v="1562"/>
    <s v="No"/>
    <x v="0"/>
  </r>
  <r>
    <x v="1566"/>
    <x v="43"/>
    <x v="1"/>
    <x v="7"/>
    <x v="365"/>
    <d v="2023-05-21T00:00:00"/>
    <x v="4"/>
    <x v="3"/>
    <x v="3"/>
    <x v="1565"/>
    <n v="12"/>
    <x v="1"/>
    <s v="Recovered"/>
    <x v="0"/>
    <x v="3"/>
    <s v="UPI"/>
    <n v="3"/>
    <x v="1563"/>
    <s v="Yes"/>
    <x v="0"/>
  </r>
  <r>
    <x v="1567"/>
    <x v="56"/>
    <x v="0"/>
    <x v="1"/>
    <x v="354"/>
    <d v="2023-06-02T00:00:00"/>
    <x v="6"/>
    <x v="2"/>
    <x v="7"/>
    <x v="1566"/>
    <n v="19"/>
    <x v="0"/>
    <s v="Under Observation"/>
    <x v="0"/>
    <x v="0"/>
    <s v="UPI"/>
    <n v="8"/>
    <x v="1564"/>
    <s v="No"/>
    <x v="0"/>
  </r>
  <r>
    <x v="1568"/>
    <x v="12"/>
    <x v="1"/>
    <x v="7"/>
    <x v="307"/>
    <d v="2024-06-27T00:00:00"/>
    <x v="0"/>
    <x v="0"/>
    <x v="5"/>
    <x v="1567"/>
    <n v="10"/>
    <x v="1"/>
    <s v="Recovered"/>
    <x v="2"/>
    <x v="3"/>
    <s v="UPI"/>
    <n v="11"/>
    <x v="1565"/>
    <s v="No"/>
    <x v="0"/>
  </r>
  <r>
    <x v="1569"/>
    <x v="29"/>
    <x v="1"/>
    <x v="5"/>
    <x v="286"/>
    <d v="2023-09-23T00:00:00"/>
    <x v="4"/>
    <x v="3"/>
    <x v="3"/>
    <x v="1568"/>
    <n v="12"/>
    <x v="0"/>
    <s v="Under Observation"/>
    <x v="1"/>
    <x v="1"/>
    <s v="Insurance"/>
    <n v="15"/>
    <x v="1566"/>
    <s v="No"/>
    <x v="0"/>
  </r>
  <r>
    <x v="1570"/>
    <x v="9"/>
    <x v="1"/>
    <x v="1"/>
    <x v="809"/>
    <d v="2023-04-14T00:00:00"/>
    <x v="4"/>
    <x v="3"/>
    <x v="7"/>
    <x v="1569"/>
    <n v="11"/>
    <x v="0"/>
    <s v="Recovered"/>
    <x v="2"/>
    <x v="3"/>
    <s v="Insurance"/>
    <n v="6"/>
    <x v="1567"/>
    <s v="Yes"/>
    <x v="0"/>
  </r>
  <r>
    <x v="1571"/>
    <x v="53"/>
    <x v="0"/>
    <x v="4"/>
    <x v="53"/>
    <d v="2024-03-30T00:00:00"/>
    <x v="8"/>
    <x v="6"/>
    <x v="2"/>
    <x v="1570"/>
    <n v="9"/>
    <x v="0"/>
    <s v="Recovered"/>
    <x v="0"/>
    <x v="1"/>
    <s v="Insurance"/>
    <n v="5"/>
    <x v="1568"/>
    <s v="No"/>
    <x v="0"/>
  </r>
  <r>
    <x v="1572"/>
    <x v="44"/>
    <x v="0"/>
    <x v="3"/>
    <x v="646"/>
    <d v="2023-12-10T00:00:00"/>
    <x v="5"/>
    <x v="4"/>
    <x v="1"/>
    <x v="1571"/>
    <n v="19"/>
    <x v="0"/>
    <s v="Recovered"/>
    <x v="0"/>
    <x v="1"/>
    <s v="Card"/>
    <n v="11"/>
    <x v="1569"/>
    <s v="Yes"/>
    <x v="0"/>
  </r>
  <r>
    <x v="1573"/>
    <x v="61"/>
    <x v="1"/>
    <x v="4"/>
    <x v="191"/>
    <d v="2023-05-05T00:00:00"/>
    <x v="7"/>
    <x v="5"/>
    <x v="1"/>
    <x v="1572"/>
    <n v="28"/>
    <x v="1"/>
    <s v="Recovered"/>
    <x v="2"/>
    <x v="2"/>
    <s v="Insurance"/>
    <n v="6"/>
    <x v="1570"/>
    <s v="No"/>
    <x v="0"/>
  </r>
  <r>
    <x v="1574"/>
    <x v="46"/>
    <x v="0"/>
    <x v="5"/>
    <x v="573"/>
    <d v="2024-12-26T00:00:00"/>
    <x v="9"/>
    <x v="5"/>
    <x v="6"/>
    <x v="1573"/>
    <n v="15"/>
    <x v="1"/>
    <s v="Recovered"/>
    <x v="0"/>
    <x v="0"/>
    <s v="UPI"/>
    <n v="15"/>
    <x v="235"/>
    <s v="Yes"/>
    <x v="0"/>
  </r>
  <r>
    <x v="1575"/>
    <x v="25"/>
    <x v="1"/>
    <x v="1"/>
    <x v="234"/>
    <d v="2025-07-29T00:00:00"/>
    <x v="4"/>
    <x v="3"/>
    <x v="2"/>
    <x v="1574"/>
    <n v="10"/>
    <x v="0"/>
    <s v="Recovered"/>
    <x v="1"/>
    <x v="2"/>
    <s v="Card"/>
    <n v="14"/>
    <x v="1571"/>
    <s v="Yes"/>
    <x v="0"/>
  </r>
  <r>
    <x v="1576"/>
    <x v="58"/>
    <x v="0"/>
    <x v="4"/>
    <x v="606"/>
    <d v="2025-03-03T00:00:00"/>
    <x v="7"/>
    <x v="5"/>
    <x v="1"/>
    <x v="1575"/>
    <n v="13"/>
    <x v="1"/>
    <s v="Under Observation"/>
    <x v="2"/>
    <x v="1"/>
    <s v="Card"/>
    <n v="15"/>
    <x v="1572"/>
    <s v="No"/>
    <x v="0"/>
  </r>
  <r>
    <x v="1577"/>
    <x v="42"/>
    <x v="1"/>
    <x v="6"/>
    <x v="99"/>
    <d v="2023-12-13T00:00:00"/>
    <x v="5"/>
    <x v="4"/>
    <x v="7"/>
    <x v="1576"/>
    <n v="1"/>
    <x v="1"/>
    <s v="Recovered"/>
    <x v="2"/>
    <x v="1"/>
    <s v="Cash"/>
    <n v="10"/>
    <x v="1573"/>
    <s v="Yes"/>
    <x v="0"/>
  </r>
  <r>
    <x v="1578"/>
    <x v="70"/>
    <x v="1"/>
    <x v="1"/>
    <x v="287"/>
    <d v="2024-06-15T00:00:00"/>
    <x v="7"/>
    <x v="5"/>
    <x v="1"/>
    <x v="1577"/>
    <n v="15"/>
    <x v="0"/>
    <s v="Recovered"/>
    <x v="0"/>
    <x v="3"/>
    <s v="UPI"/>
    <n v="7"/>
    <x v="1574"/>
    <s v="Yes"/>
    <x v="0"/>
  </r>
  <r>
    <x v="1579"/>
    <x v="47"/>
    <x v="0"/>
    <x v="5"/>
    <x v="319"/>
    <d v="2023-02-28T00:00:00"/>
    <x v="0"/>
    <x v="0"/>
    <x v="0"/>
    <x v="1578"/>
    <n v="9"/>
    <x v="1"/>
    <s v="Recovered"/>
    <x v="0"/>
    <x v="3"/>
    <s v="UPI"/>
    <n v="13"/>
    <x v="1575"/>
    <s v="No"/>
    <x v="0"/>
  </r>
  <r>
    <x v="1580"/>
    <x v="0"/>
    <x v="1"/>
    <x v="0"/>
    <x v="739"/>
    <d v="2024-03-03T00:00:00"/>
    <x v="7"/>
    <x v="5"/>
    <x v="2"/>
    <x v="1579"/>
    <n v="14"/>
    <x v="1"/>
    <s v="Referred"/>
    <x v="0"/>
    <x v="1"/>
    <s v="Cash"/>
    <n v="12"/>
    <x v="1576"/>
    <s v="No"/>
    <x v="0"/>
  </r>
  <r>
    <x v="1581"/>
    <x v="38"/>
    <x v="1"/>
    <x v="4"/>
    <x v="484"/>
    <d v="2024-11-11T00:00:00"/>
    <x v="3"/>
    <x v="0"/>
    <x v="3"/>
    <x v="1580"/>
    <n v="13"/>
    <x v="0"/>
    <s v="Recovered"/>
    <x v="1"/>
    <x v="3"/>
    <s v="Card"/>
    <n v="4"/>
    <x v="1577"/>
    <s v="Yes"/>
    <x v="0"/>
  </r>
  <r>
    <x v="1582"/>
    <x v="61"/>
    <x v="1"/>
    <x v="4"/>
    <x v="810"/>
    <d v="2024-10-26T00:00:00"/>
    <x v="1"/>
    <x v="1"/>
    <x v="7"/>
    <x v="1581"/>
    <n v="5"/>
    <x v="1"/>
    <s v="Recovered"/>
    <x v="0"/>
    <x v="3"/>
    <s v="UPI"/>
    <n v="1"/>
    <x v="1578"/>
    <s v="Yes"/>
    <x v="0"/>
  </r>
  <r>
    <x v="1583"/>
    <x v="42"/>
    <x v="1"/>
    <x v="5"/>
    <x v="746"/>
    <d v="2024-05-10T00:00:00"/>
    <x v="7"/>
    <x v="5"/>
    <x v="6"/>
    <x v="1582"/>
    <n v="11"/>
    <x v="0"/>
    <s v="Recovered"/>
    <x v="2"/>
    <x v="2"/>
    <s v="UPI"/>
    <n v="14"/>
    <x v="1579"/>
    <s v="Yes"/>
    <x v="0"/>
  </r>
  <r>
    <x v="1584"/>
    <x v="66"/>
    <x v="1"/>
    <x v="2"/>
    <x v="350"/>
    <d v="2023-01-29T00:00:00"/>
    <x v="3"/>
    <x v="0"/>
    <x v="7"/>
    <x v="1583"/>
    <n v="8"/>
    <x v="0"/>
    <s v="Recovered"/>
    <x v="1"/>
    <x v="0"/>
    <s v="UPI"/>
    <n v="15"/>
    <x v="1580"/>
    <s v="Yes"/>
    <x v="0"/>
  </r>
  <r>
    <x v="1585"/>
    <x v="32"/>
    <x v="1"/>
    <x v="6"/>
    <x v="506"/>
    <d v="2024-07-08T00:00:00"/>
    <x v="6"/>
    <x v="2"/>
    <x v="4"/>
    <x v="1584"/>
    <n v="18"/>
    <x v="0"/>
    <s v="Under Observation"/>
    <x v="1"/>
    <x v="0"/>
    <s v="Card"/>
    <n v="12"/>
    <x v="1581"/>
    <s v="No"/>
    <x v="0"/>
  </r>
  <r>
    <x v="1586"/>
    <x v="19"/>
    <x v="1"/>
    <x v="4"/>
    <x v="742"/>
    <d v="2024-08-25T00:00:00"/>
    <x v="3"/>
    <x v="0"/>
    <x v="5"/>
    <x v="1585"/>
    <n v="17"/>
    <x v="1"/>
    <s v="Under Observation"/>
    <x v="2"/>
    <x v="1"/>
    <s v="Insurance"/>
    <n v="12"/>
    <x v="1582"/>
    <s v="No"/>
    <x v="1"/>
  </r>
  <r>
    <x v="1587"/>
    <x v="20"/>
    <x v="1"/>
    <x v="5"/>
    <x v="514"/>
    <d v="2024-10-11T00:00:00"/>
    <x v="8"/>
    <x v="6"/>
    <x v="3"/>
    <x v="1586"/>
    <n v="19"/>
    <x v="1"/>
    <s v="Recovered"/>
    <x v="2"/>
    <x v="2"/>
    <s v="Cash"/>
    <n v="5"/>
    <x v="1583"/>
    <s v="No"/>
    <x v="0"/>
  </r>
  <r>
    <x v="1588"/>
    <x v="9"/>
    <x v="0"/>
    <x v="3"/>
    <x v="617"/>
    <d v="2024-05-15T00:00:00"/>
    <x v="7"/>
    <x v="5"/>
    <x v="1"/>
    <x v="1587"/>
    <n v="8"/>
    <x v="0"/>
    <s v="Recovered"/>
    <x v="1"/>
    <x v="0"/>
    <s v="Insurance"/>
    <n v="5"/>
    <x v="1584"/>
    <s v="No"/>
    <x v="0"/>
  </r>
  <r>
    <x v="1589"/>
    <x v="56"/>
    <x v="0"/>
    <x v="2"/>
    <x v="222"/>
    <d v="2025-02-04T00:00:00"/>
    <x v="9"/>
    <x v="5"/>
    <x v="5"/>
    <x v="1588"/>
    <n v="19"/>
    <x v="1"/>
    <s v="Recovered"/>
    <x v="0"/>
    <x v="2"/>
    <s v="Card"/>
    <n v="15"/>
    <x v="1585"/>
    <s v="No"/>
    <x v="0"/>
  </r>
  <r>
    <x v="1590"/>
    <x v="25"/>
    <x v="0"/>
    <x v="3"/>
    <x v="584"/>
    <d v="2024-10-12T00:00:00"/>
    <x v="8"/>
    <x v="6"/>
    <x v="5"/>
    <x v="1589"/>
    <n v="12"/>
    <x v="1"/>
    <s v="Recovered"/>
    <x v="0"/>
    <x v="1"/>
    <s v="Card"/>
    <n v="11"/>
    <x v="1586"/>
    <s v="Yes"/>
    <x v="0"/>
  </r>
  <r>
    <x v="1591"/>
    <x v="52"/>
    <x v="0"/>
    <x v="0"/>
    <x v="25"/>
    <d v="2024-10-02T00:00:00"/>
    <x v="7"/>
    <x v="5"/>
    <x v="3"/>
    <x v="1590"/>
    <n v="12"/>
    <x v="1"/>
    <s v="Recovered"/>
    <x v="1"/>
    <x v="3"/>
    <s v="Insurance"/>
    <n v="9"/>
    <x v="1587"/>
    <s v="Yes"/>
    <x v="1"/>
  </r>
  <r>
    <x v="1592"/>
    <x v="29"/>
    <x v="0"/>
    <x v="1"/>
    <x v="237"/>
    <d v="2025-07-03T00:00:00"/>
    <x v="9"/>
    <x v="5"/>
    <x v="6"/>
    <x v="1591"/>
    <n v="17"/>
    <x v="1"/>
    <s v="Recovered"/>
    <x v="0"/>
    <x v="2"/>
    <s v="UPI"/>
    <n v="4"/>
    <x v="1588"/>
    <s v="No"/>
    <x v="1"/>
  </r>
  <r>
    <x v="1593"/>
    <x v="9"/>
    <x v="0"/>
    <x v="1"/>
    <x v="637"/>
    <d v="2023-01-19T00:00:00"/>
    <x v="0"/>
    <x v="0"/>
    <x v="4"/>
    <x v="1592"/>
    <n v="9"/>
    <x v="1"/>
    <s v="Recovered"/>
    <x v="2"/>
    <x v="1"/>
    <s v="Card"/>
    <n v="3"/>
    <x v="1589"/>
    <s v="Yes"/>
    <x v="0"/>
  </r>
  <r>
    <x v="1594"/>
    <x v="69"/>
    <x v="0"/>
    <x v="6"/>
    <x v="277"/>
    <d v="2025-02-26T00:00:00"/>
    <x v="3"/>
    <x v="0"/>
    <x v="4"/>
    <x v="1593"/>
    <n v="13"/>
    <x v="1"/>
    <s v="Under Observation"/>
    <x v="0"/>
    <x v="2"/>
    <s v="UPI"/>
    <n v="10"/>
    <x v="1590"/>
    <s v="Yes"/>
    <x v="0"/>
  </r>
  <r>
    <x v="1595"/>
    <x v="17"/>
    <x v="0"/>
    <x v="1"/>
    <x v="466"/>
    <d v="2023-01-05T00:00:00"/>
    <x v="4"/>
    <x v="3"/>
    <x v="4"/>
    <x v="1594"/>
    <n v="1"/>
    <x v="0"/>
    <s v="Recovered"/>
    <x v="0"/>
    <x v="3"/>
    <s v="Cash"/>
    <n v="6"/>
    <x v="1591"/>
    <s v="Yes"/>
    <x v="0"/>
  </r>
  <r>
    <x v="1596"/>
    <x v="32"/>
    <x v="0"/>
    <x v="5"/>
    <x v="58"/>
    <d v="2025-06-06T00:00:00"/>
    <x v="2"/>
    <x v="2"/>
    <x v="2"/>
    <x v="1595"/>
    <n v="16"/>
    <x v="0"/>
    <s v="Under Observation"/>
    <x v="2"/>
    <x v="3"/>
    <s v="UPI"/>
    <n v="10"/>
    <x v="1592"/>
    <s v="No"/>
    <x v="0"/>
  </r>
  <r>
    <x v="1597"/>
    <x v="34"/>
    <x v="1"/>
    <x v="1"/>
    <x v="283"/>
    <d v="2024-08-23T00:00:00"/>
    <x v="7"/>
    <x v="5"/>
    <x v="3"/>
    <x v="1596"/>
    <n v="18"/>
    <x v="1"/>
    <s v="Recovered"/>
    <x v="0"/>
    <x v="3"/>
    <s v="Card"/>
    <n v="1"/>
    <x v="1593"/>
    <s v="Yes"/>
    <x v="0"/>
  </r>
  <r>
    <x v="1598"/>
    <x v="21"/>
    <x v="1"/>
    <x v="4"/>
    <x v="398"/>
    <d v="2024-12-04T00:00:00"/>
    <x v="4"/>
    <x v="3"/>
    <x v="0"/>
    <x v="1597"/>
    <n v="15"/>
    <x v="0"/>
    <s v="Recovered"/>
    <x v="0"/>
    <x v="3"/>
    <s v="UPI"/>
    <n v="9"/>
    <x v="1594"/>
    <s v="No"/>
    <x v="0"/>
  </r>
  <r>
    <x v="1599"/>
    <x v="12"/>
    <x v="0"/>
    <x v="2"/>
    <x v="407"/>
    <d v="2023-02-25T00:00:00"/>
    <x v="9"/>
    <x v="5"/>
    <x v="3"/>
    <x v="1598"/>
    <n v="4"/>
    <x v="0"/>
    <s v="Recovered"/>
    <x v="2"/>
    <x v="1"/>
    <s v="Cash"/>
    <n v="8"/>
    <x v="1595"/>
    <s v="Yes"/>
    <x v="0"/>
  </r>
  <r>
    <x v="1600"/>
    <x v="7"/>
    <x v="1"/>
    <x v="5"/>
    <x v="552"/>
    <d v="2023-05-02T00:00:00"/>
    <x v="4"/>
    <x v="3"/>
    <x v="0"/>
    <x v="1599"/>
    <n v="17"/>
    <x v="0"/>
    <s v="Recovered"/>
    <x v="2"/>
    <x v="1"/>
    <s v="Insurance"/>
    <n v="10"/>
    <x v="1596"/>
    <s v="Yes"/>
    <x v="0"/>
  </r>
  <r>
    <x v="1601"/>
    <x v="54"/>
    <x v="0"/>
    <x v="6"/>
    <x v="575"/>
    <d v="2023-07-23T00:00:00"/>
    <x v="1"/>
    <x v="1"/>
    <x v="0"/>
    <x v="1600"/>
    <n v="4"/>
    <x v="1"/>
    <s v="Under Observation"/>
    <x v="2"/>
    <x v="2"/>
    <s v="Card"/>
    <n v="1"/>
    <x v="1597"/>
    <s v="Yes"/>
    <x v="0"/>
  </r>
  <r>
    <x v="1602"/>
    <x v="1"/>
    <x v="1"/>
    <x v="3"/>
    <x v="626"/>
    <d v="2025-05-20T00:00:00"/>
    <x v="0"/>
    <x v="0"/>
    <x v="6"/>
    <x v="1601"/>
    <n v="8"/>
    <x v="0"/>
    <s v="Recovered"/>
    <x v="2"/>
    <x v="0"/>
    <s v="UPI"/>
    <n v="3"/>
    <x v="1598"/>
    <s v="No"/>
    <x v="0"/>
  </r>
  <r>
    <x v="1603"/>
    <x v="8"/>
    <x v="0"/>
    <x v="7"/>
    <x v="788"/>
    <d v="2025-07-15T00:00:00"/>
    <x v="7"/>
    <x v="5"/>
    <x v="6"/>
    <x v="1602"/>
    <n v="18"/>
    <x v="1"/>
    <s v="Recovered"/>
    <x v="2"/>
    <x v="0"/>
    <s v="Insurance"/>
    <n v="15"/>
    <x v="1599"/>
    <s v="Yes"/>
    <x v="0"/>
  </r>
  <r>
    <x v="1604"/>
    <x v="39"/>
    <x v="1"/>
    <x v="4"/>
    <x v="323"/>
    <d v="2024-09-20T00:00:00"/>
    <x v="2"/>
    <x v="2"/>
    <x v="5"/>
    <x v="1603"/>
    <n v="19"/>
    <x v="0"/>
    <s v="Recovered"/>
    <x v="2"/>
    <x v="2"/>
    <s v="Card"/>
    <n v="12"/>
    <x v="1600"/>
    <s v="No"/>
    <x v="1"/>
  </r>
  <r>
    <x v="1605"/>
    <x v="31"/>
    <x v="1"/>
    <x v="3"/>
    <x v="467"/>
    <d v="2023-12-28T00:00:00"/>
    <x v="3"/>
    <x v="0"/>
    <x v="7"/>
    <x v="1604"/>
    <n v="2"/>
    <x v="1"/>
    <s v="Recovered"/>
    <x v="1"/>
    <x v="0"/>
    <s v="Cash"/>
    <n v="5"/>
    <x v="1601"/>
    <s v="Yes"/>
    <x v="0"/>
  </r>
  <r>
    <x v="1606"/>
    <x v="41"/>
    <x v="0"/>
    <x v="2"/>
    <x v="811"/>
    <d v="2023-11-28T00:00:00"/>
    <x v="5"/>
    <x v="4"/>
    <x v="6"/>
    <x v="1605"/>
    <n v="14"/>
    <x v="1"/>
    <s v="Recovered"/>
    <x v="0"/>
    <x v="2"/>
    <s v="UPI"/>
    <n v="5"/>
    <x v="1602"/>
    <s v="No"/>
    <x v="0"/>
  </r>
  <r>
    <x v="1607"/>
    <x v="18"/>
    <x v="0"/>
    <x v="5"/>
    <x v="368"/>
    <d v="2023-06-18T00:00:00"/>
    <x v="5"/>
    <x v="4"/>
    <x v="2"/>
    <x v="1606"/>
    <n v="14"/>
    <x v="1"/>
    <s v="Recovered"/>
    <x v="0"/>
    <x v="2"/>
    <s v="Insurance"/>
    <n v="5"/>
    <x v="1603"/>
    <s v="Yes"/>
    <x v="0"/>
  </r>
  <r>
    <x v="1608"/>
    <x v="17"/>
    <x v="1"/>
    <x v="0"/>
    <x v="620"/>
    <d v="2025-06-06T00:00:00"/>
    <x v="9"/>
    <x v="5"/>
    <x v="1"/>
    <x v="1607"/>
    <n v="3"/>
    <x v="0"/>
    <s v="Recovered"/>
    <x v="0"/>
    <x v="1"/>
    <s v="Cash"/>
    <n v="9"/>
    <x v="1604"/>
    <s v="No"/>
    <x v="0"/>
  </r>
  <r>
    <x v="1609"/>
    <x v="36"/>
    <x v="1"/>
    <x v="4"/>
    <x v="812"/>
    <d v="2023-03-27T00:00:00"/>
    <x v="8"/>
    <x v="6"/>
    <x v="5"/>
    <x v="1608"/>
    <n v="10"/>
    <x v="1"/>
    <s v="Recovered"/>
    <x v="0"/>
    <x v="0"/>
    <s v="Insurance"/>
    <n v="3"/>
    <x v="1605"/>
    <s v="No"/>
    <x v="0"/>
  </r>
  <r>
    <x v="1610"/>
    <x v="69"/>
    <x v="0"/>
    <x v="5"/>
    <x v="221"/>
    <d v="2023-09-10T00:00:00"/>
    <x v="8"/>
    <x v="6"/>
    <x v="1"/>
    <x v="1609"/>
    <n v="3"/>
    <x v="1"/>
    <s v="Under Observation"/>
    <x v="2"/>
    <x v="3"/>
    <s v="Insurance"/>
    <n v="7"/>
    <x v="1606"/>
    <s v="No"/>
    <x v="0"/>
  </r>
  <r>
    <x v="1611"/>
    <x v="67"/>
    <x v="0"/>
    <x v="5"/>
    <x v="404"/>
    <d v="2024-02-07T00:00:00"/>
    <x v="3"/>
    <x v="0"/>
    <x v="7"/>
    <x v="1610"/>
    <n v="25"/>
    <x v="0"/>
    <s v="Recovered"/>
    <x v="2"/>
    <x v="2"/>
    <s v="Card"/>
    <n v="6"/>
    <x v="1607"/>
    <s v="No"/>
    <x v="0"/>
  </r>
  <r>
    <x v="1612"/>
    <x v="64"/>
    <x v="1"/>
    <x v="7"/>
    <x v="210"/>
    <d v="2023-12-12T00:00:00"/>
    <x v="6"/>
    <x v="2"/>
    <x v="7"/>
    <x v="1611"/>
    <n v="2"/>
    <x v="1"/>
    <s v="Recovered"/>
    <x v="0"/>
    <x v="3"/>
    <s v="UPI"/>
    <n v="13"/>
    <x v="1608"/>
    <s v="No"/>
    <x v="0"/>
  </r>
  <r>
    <x v="1613"/>
    <x v="27"/>
    <x v="0"/>
    <x v="5"/>
    <x v="89"/>
    <d v="2025-06-28T00:00:00"/>
    <x v="1"/>
    <x v="1"/>
    <x v="1"/>
    <x v="1612"/>
    <n v="13"/>
    <x v="0"/>
    <s v="Recovered"/>
    <x v="0"/>
    <x v="3"/>
    <s v="Insurance"/>
    <n v="7"/>
    <x v="1609"/>
    <s v="No"/>
    <x v="0"/>
  </r>
  <r>
    <x v="1614"/>
    <x v="44"/>
    <x v="1"/>
    <x v="0"/>
    <x v="653"/>
    <d v="2023-10-14T00:00:00"/>
    <x v="3"/>
    <x v="0"/>
    <x v="3"/>
    <x v="1613"/>
    <n v="17"/>
    <x v="0"/>
    <s v="Recovered"/>
    <x v="2"/>
    <x v="0"/>
    <s v="Card"/>
    <n v="7"/>
    <x v="1610"/>
    <s v="Yes"/>
    <x v="0"/>
  </r>
  <r>
    <x v="1615"/>
    <x v="48"/>
    <x v="1"/>
    <x v="7"/>
    <x v="813"/>
    <d v="2024-02-02T00:00:00"/>
    <x v="4"/>
    <x v="3"/>
    <x v="0"/>
    <x v="1614"/>
    <n v="3"/>
    <x v="1"/>
    <s v="Recovered"/>
    <x v="0"/>
    <x v="0"/>
    <s v="Cash"/>
    <n v="4"/>
    <x v="1611"/>
    <s v="Yes"/>
    <x v="1"/>
  </r>
  <r>
    <x v="1616"/>
    <x v="70"/>
    <x v="0"/>
    <x v="1"/>
    <x v="327"/>
    <d v="2025-01-26T00:00:00"/>
    <x v="9"/>
    <x v="5"/>
    <x v="7"/>
    <x v="1615"/>
    <n v="18"/>
    <x v="0"/>
    <s v="Recovered"/>
    <x v="2"/>
    <x v="3"/>
    <s v="Card"/>
    <n v="8"/>
    <x v="1612"/>
    <s v="Yes"/>
    <x v="0"/>
  </r>
  <r>
    <x v="1617"/>
    <x v="40"/>
    <x v="1"/>
    <x v="4"/>
    <x v="406"/>
    <d v="2023-06-22T00:00:00"/>
    <x v="0"/>
    <x v="0"/>
    <x v="4"/>
    <x v="1616"/>
    <n v="19"/>
    <x v="0"/>
    <s v="Recovered"/>
    <x v="2"/>
    <x v="1"/>
    <s v="Insurance"/>
    <n v="14"/>
    <x v="1613"/>
    <s v="No"/>
    <x v="0"/>
  </r>
  <r>
    <x v="1618"/>
    <x v="26"/>
    <x v="0"/>
    <x v="0"/>
    <x v="299"/>
    <d v="2024-11-09T00:00:00"/>
    <x v="0"/>
    <x v="0"/>
    <x v="5"/>
    <x v="1617"/>
    <n v="9"/>
    <x v="1"/>
    <s v="Under Observation"/>
    <x v="2"/>
    <x v="0"/>
    <s v="Cash"/>
    <n v="14"/>
    <x v="1614"/>
    <s v="Yes"/>
    <x v="0"/>
  </r>
  <r>
    <x v="1619"/>
    <x v="48"/>
    <x v="1"/>
    <x v="1"/>
    <x v="719"/>
    <d v="2024-06-22T00:00:00"/>
    <x v="1"/>
    <x v="1"/>
    <x v="1"/>
    <x v="1618"/>
    <n v="14"/>
    <x v="0"/>
    <s v="Recovered"/>
    <x v="2"/>
    <x v="0"/>
    <s v="Card"/>
    <n v="1"/>
    <x v="1615"/>
    <s v="No"/>
    <x v="0"/>
  </r>
  <r>
    <x v="1620"/>
    <x v="65"/>
    <x v="1"/>
    <x v="1"/>
    <x v="653"/>
    <d v="2023-10-13T00:00:00"/>
    <x v="1"/>
    <x v="1"/>
    <x v="1"/>
    <x v="1619"/>
    <n v="16"/>
    <x v="0"/>
    <s v="Recovered"/>
    <x v="1"/>
    <x v="2"/>
    <s v="Card"/>
    <n v="9"/>
    <x v="1616"/>
    <s v="Yes"/>
    <x v="1"/>
  </r>
  <r>
    <x v="1621"/>
    <x v="71"/>
    <x v="0"/>
    <x v="0"/>
    <x v="198"/>
    <d v="2023-09-19T00:00:00"/>
    <x v="9"/>
    <x v="5"/>
    <x v="2"/>
    <x v="1620"/>
    <n v="6"/>
    <x v="1"/>
    <s v="Recovered"/>
    <x v="1"/>
    <x v="1"/>
    <s v="Card"/>
    <n v="1"/>
    <x v="1617"/>
    <s v="No"/>
    <x v="0"/>
  </r>
  <r>
    <x v="1622"/>
    <x v="69"/>
    <x v="1"/>
    <x v="3"/>
    <x v="814"/>
    <d v="2025-09-12T00:00:00"/>
    <x v="9"/>
    <x v="5"/>
    <x v="1"/>
    <x v="1621"/>
    <n v="9"/>
    <x v="1"/>
    <s v="Recovered"/>
    <x v="0"/>
    <x v="1"/>
    <s v="Cash"/>
    <n v="12"/>
    <x v="1618"/>
    <s v="Yes"/>
    <x v="0"/>
  </r>
  <r>
    <x v="1623"/>
    <x v="40"/>
    <x v="1"/>
    <x v="7"/>
    <x v="719"/>
    <d v="2024-06-20T00:00:00"/>
    <x v="3"/>
    <x v="0"/>
    <x v="3"/>
    <x v="1622"/>
    <n v="12"/>
    <x v="1"/>
    <s v="Recovered"/>
    <x v="2"/>
    <x v="3"/>
    <s v="Card"/>
    <n v="1"/>
    <x v="1619"/>
    <s v="No"/>
    <x v="0"/>
  </r>
  <r>
    <x v="1624"/>
    <x v="69"/>
    <x v="1"/>
    <x v="3"/>
    <x v="528"/>
    <d v="2023-06-05T00:00:00"/>
    <x v="9"/>
    <x v="5"/>
    <x v="6"/>
    <x v="1623"/>
    <n v="8"/>
    <x v="0"/>
    <s v="Deceased"/>
    <x v="0"/>
    <x v="0"/>
    <s v="Insurance"/>
    <n v="1"/>
    <x v="1620"/>
    <s v="Yes"/>
    <x v="0"/>
  </r>
  <r>
    <x v="1625"/>
    <x v="19"/>
    <x v="1"/>
    <x v="2"/>
    <x v="26"/>
    <d v="2023-10-17T00:00:00"/>
    <x v="9"/>
    <x v="5"/>
    <x v="2"/>
    <x v="1624"/>
    <n v="18"/>
    <x v="1"/>
    <s v="Recovered"/>
    <x v="2"/>
    <x v="0"/>
    <s v="Cash"/>
    <n v="6"/>
    <x v="1621"/>
    <s v="No"/>
    <x v="0"/>
  </r>
  <r>
    <x v="1626"/>
    <x v="10"/>
    <x v="0"/>
    <x v="2"/>
    <x v="172"/>
    <d v="2023-07-08T00:00:00"/>
    <x v="1"/>
    <x v="1"/>
    <x v="3"/>
    <x v="1625"/>
    <n v="6"/>
    <x v="1"/>
    <s v="Recovered"/>
    <x v="0"/>
    <x v="0"/>
    <s v="UPI"/>
    <n v="15"/>
    <x v="1622"/>
    <s v="Yes"/>
    <x v="0"/>
  </r>
  <r>
    <x v="1627"/>
    <x v="59"/>
    <x v="1"/>
    <x v="0"/>
    <x v="638"/>
    <d v="2023-10-28T00:00:00"/>
    <x v="7"/>
    <x v="5"/>
    <x v="6"/>
    <x v="1626"/>
    <n v="15"/>
    <x v="0"/>
    <s v="Under Observation"/>
    <x v="0"/>
    <x v="0"/>
    <s v="Card"/>
    <n v="12"/>
    <x v="1623"/>
    <s v="Yes"/>
    <x v="0"/>
  </r>
  <r>
    <x v="1628"/>
    <x v="54"/>
    <x v="1"/>
    <x v="2"/>
    <x v="815"/>
    <d v="2024-02-11T00:00:00"/>
    <x v="6"/>
    <x v="2"/>
    <x v="1"/>
    <x v="1627"/>
    <n v="9"/>
    <x v="0"/>
    <s v="Recovered"/>
    <x v="1"/>
    <x v="3"/>
    <s v="Card"/>
    <n v="10"/>
    <x v="1624"/>
    <s v="Yes"/>
    <x v="0"/>
  </r>
  <r>
    <x v="1629"/>
    <x v="37"/>
    <x v="1"/>
    <x v="3"/>
    <x v="33"/>
    <d v="2025-08-27T00:00:00"/>
    <x v="7"/>
    <x v="5"/>
    <x v="5"/>
    <x v="1628"/>
    <n v="3"/>
    <x v="1"/>
    <s v="Recovered"/>
    <x v="0"/>
    <x v="0"/>
    <s v="Insurance"/>
    <n v="15"/>
    <x v="1625"/>
    <s v="Yes"/>
    <x v="0"/>
  </r>
  <r>
    <x v="1630"/>
    <x v="72"/>
    <x v="1"/>
    <x v="0"/>
    <x v="185"/>
    <d v="2024-02-10T00:00:00"/>
    <x v="5"/>
    <x v="4"/>
    <x v="2"/>
    <x v="1629"/>
    <n v="4"/>
    <x v="1"/>
    <s v="Under Observation"/>
    <x v="0"/>
    <x v="0"/>
    <s v="Cash"/>
    <n v="4"/>
    <x v="1626"/>
    <s v="Yes"/>
    <x v="0"/>
  </r>
  <r>
    <x v="1631"/>
    <x v="5"/>
    <x v="0"/>
    <x v="7"/>
    <x v="816"/>
    <d v="2024-08-21T00:00:00"/>
    <x v="6"/>
    <x v="2"/>
    <x v="1"/>
    <x v="1630"/>
    <n v="17"/>
    <x v="1"/>
    <s v="Under Observation"/>
    <x v="2"/>
    <x v="1"/>
    <s v="UPI"/>
    <n v="15"/>
    <x v="1627"/>
    <s v="No"/>
    <x v="0"/>
  </r>
  <r>
    <x v="1632"/>
    <x v="18"/>
    <x v="1"/>
    <x v="5"/>
    <x v="798"/>
    <d v="2024-07-29T00:00:00"/>
    <x v="9"/>
    <x v="5"/>
    <x v="6"/>
    <x v="1631"/>
    <n v="15"/>
    <x v="1"/>
    <s v="Under Observation"/>
    <x v="2"/>
    <x v="3"/>
    <s v="Cash"/>
    <n v="13"/>
    <x v="1628"/>
    <s v="No"/>
    <x v="0"/>
  </r>
  <r>
    <x v="1633"/>
    <x v="57"/>
    <x v="1"/>
    <x v="0"/>
    <x v="817"/>
    <d v="2025-06-16T00:00:00"/>
    <x v="6"/>
    <x v="2"/>
    <x v="7"/>
    <x v="1632"/>
    <n v="5"/>
    <x v="1"/>
    <s v="Referred"/>
    <x v="1"/>
    <x v="0"/>
    <s v="Card"/>
    <n v="7"/>
    <x v="1629"/>
    <s v="No"/>
    <x v="0"/>
  </r>
  <r>
    <x v="1634"/>
    <x v="50"/>
    <x v="0"/>
    <x v="2"/>
    <x v="805"/>
    <d v="2025-04-28T00:00:00"/>
    <x v="3"/>
    <x v="0"/>
    <x v="4"/>
    <x v="1633"/>
    <n v="13"/>
    <x v="0"/>
    <s v="Recovered"/>
    <x v="2"/>
    <x v="0"/>
    <s v="Cash"/>
    <n v="8"/>
    <x v="1630"/>
    <s v="No"/>
    <x v="0"/>
  </r>
  <r>
    <x v="1635"/>
    <x v="53"/>
    <x v="0"/>
    <x v="4"/>
    <x v="686"/>
    <d v="2025-09-11T00:00:00"/>
    <x v="1"/>
    <x v="1"/>
    <x v="0"/>
    <x v="1634"/>
    <n v="19"/>
    <x v="0"/>
    <s v="Recovered"/>
    <x v="0"/>
    <x v="1"/>
    <s v="UPI"/>
    <n v="10"/>
    <x v="1631"/>
    <s v="Yes"/>
    <x v="0"/>
  </r>
  <r>
    <x v="1636"/>
    <x v="50"/>
    <x v="0"/>
    <x v="6"/>
    <x v="444"/>
    <d v="2025-05-19T00:00:00"/>
    <x v="9"/>
    <x v="5"/>
    <x v="2"/>
    <x v="1635"/>
    <n v="8"/>
    <x v="0"/>
    <s v="Recovered"/>
    <x v="2"/>
    <x v="3"/>
    <s v="Insurance"/>
    <n v="9"/>
    <x v="1632"/>
    <s v="Yes"/>
    <x v="0"/>
  </r>
  <r>
    <x v="1637"/>
    <x v="65"/>
    <x v="0"/>
    <x v="5"/>
    <x v="191"/>
    <d v="2023-04-27T00:00:00"/>
    <x v="7"/>
    <x v="5"/>
    <x v="2"/>
    <x v="1636"/>
    <n v="20"/>
    <x v="0"/>
    <s v="Recovered"/>
    <x v="0"/>
    <x v="3"/>
    <s v="UPI"/>
    <n v="11"/>
    <x v="1633"/>
    <s v="No"/>
    <x v="1"/>
  </r>
  <r>
    <x v="1638"/>
    <x v="5"/>
    <x v="0"/>
    <x v="3"/>
    <x v="471"/>
    <d v="2025-08-13T00:00:00"/>
    <x v="4"/>
    <x v="3"/>
    <x v="0"/>
    <x v="1637"/>
    <n v="19"/>
    <x v="0"/>
    <s v="Recovered"/>
    <x v="2"/>
    <x v="1"/>
    <s v="Cash"/>
    <n v="2"/>
    <x v="1634"/>
    <s v="Yes"/>
    <x v="0"/>
  </r>
  <r>
    <x v="1639"/>
    <x v="1"/>
    <x v="1"/>
    <x v="5"/>
    <x v="41"/>
    <d v="2023-08-24T00:00:00"/>
    <x v="9"/>
    <x v="5"/>
    <x v="5"/>
    <x v="1638"/>
    <n v="5"/>
    <x v="0"/>
    <s v="Under Observation"/>
    <x v="2"/>
    <x v="3"/>
    <s v="UPI"/>
    <n v="4"/>
    <x v="1635"/>
    <s v="No"/>
    <x v="0"/>
  </r>
  <r>
    <x v="1640"/>
    <x v="38"/>
    <x v="1"/>
    <x v="4"/>
    <x v="603"/>
    <d v="2024-10-08T00:00:00"/>
    <x v="4"/>
    <x v="3"/>
    <x v="2"/>
    <x v="1639"/>
    <n v="2"/>
    <x v="1"/>
    <s v="Recovered"/>
    <x v="2"/>
    <x v="0"/>
    <s v="Card"/>
    <n v="4"/>
    <x v="1636"/>
    <s v="No"/>
    <x v="1"/>
  </r>
  <r>
    <x v="1641"/>
    <x v="5"/>
    <x v="1"/>
    <x v="3"/>
    <x v="418"/>
    <d v="2023-07-30T00:00:00"/>
    <x v="7"/>
    <x v="5"/>
    <x v="7"/>
    <x v="1640"/>
    <n v="12"/>
    <x v="1"/>
    <s v="Recovered"/>
    <x v="1"/>
    <x v="1"/>
    <s v="Insurance"/>
    <n v="9"/>
    <x v="686"/>
    <s v="No"/>
    <x v="1"/>
  </r>
  <r>
    <x v="1642"/>
    <x v="34"/>
    <x v="1"/>
    <x v="7"/>
    <x v="818"/>
    <d v="2024-09-25T00:00:00"/>
    <x v="6"/>
    <x v="2"/>
    <x v="5"/>
    <x v="1641"/>
    <n v="20"/>
    <x v="0"/>
    <s v="Referred"/>
    <x v="1"/>
    <x v="1"/>
    <s v="Card"/>
    <n v="2"/>
    <x v="1637"/>
    <s v="No"/>
    <x v="0"/>
  </r>
  <r>
    <x v="1643"/>
    <x v="38"/>
    <x v="0"/>
    <x v="3"/>
    <x v="306"/>
    <d v="2023-04-12T00:00:00"/>
    <x v="6"/>
    <x v="2"/>
    <x v="3"/>
    <x v="1642"/>
    <n v="11"/>
    <x v="0"/>
    <s v="Under Observation"/>
    <x v="1"/>
    <x v="0"/>
    <s v="UPI"/>
    <n v="3"/>
    <x v="1638"/>
    <s v="No"/>
    <x v="0"/>
  </r>
  <r>
    <x v="1644"/>
    <x v="33"/>
    <x v="0"/>
    <x v="2"/>
    <x v="609"/>
    <d v="2025-10-19T00:00:00"/>
    <x v="7"/>
    <x v="5"/>
    <x v="1"/>
    <x v="1643"/>
    <n v="28"/>
    <x v="1"/>
    <s v="Deceased"/>
    <x v="2"/>
    <x v="2"/>
    <s v="Cash"/>
    <n v="1"/>
    <x v="1639"/>
    <s v="No"/>
    <x v="0"/>
  </r>
  <r>
    <x v="1645"/>
    <x v="19"/>
    <x v="0"/>
    <x v="0"/>
    <x v="245"/>
    <d v="2024-01-28T00:00:00"/>
    <x v="2"/>
    <x v="2"/>
    <x v="5"/>
    <x v="1644"/>
    <n v="7"/>
    <x v="1"/>
    <s v="Recovered"/>
    <x v="2"/>
    <x v="3"/>
    <s v="Insurance"/>
    <n v="2"/>
    <x v="1640"/>
    <s v="Yes"/>
    <x v="0"/>
  </r>
  <r>
    <x v="1646"/>
    <x v="58"/>
    <x v="1"/>
    <x v="2"/>
    <x v="327"/>
    <d v="2025-01-15T00:00:00"/>
    <x v="4"/>
    <x v="3"/>
    <x v="5"/>
    <x v="1645"/>
    <n v="7"/>
    <x v="1"/>
    <s v="Recovered"/>
    <x v="1"/>
    <x v="0"/>
    <s v="UPI"/>
    <n v="3"/>
    <x v="1641"/>
    <s v="No"/>
    <x v="0"/>
  </r>
  <r>
    <x v="1647"/>
    <x v="66"/>
    <x v="1"/>
    <x v="6"/>
    <x v="367"/>
    <d v="2023-10-29T00:00:00"/>
    <x v="5"/>
    <x v="4"/>
    <x v="2"/>
    <x v="1646"/>
    <n v="6"/>
    <x v="0"/>
    <s v="Referred"/>
    <x v="1"/>
    <x v="0"/>
    <s v="Card"/>
    <n v="14"/>
    <x v="1642"/>
    <s v="No"/>
    <x v="0"/>
  </r>
  <r>
    <x v="1648"/>
    <x v="38"/>
    <x v="1"/>
    <x v="3"/>
    <x v="444"/>
    <d v="2025-05-14T00:00:00"/>
    <x v="3"/>
    <x v="0"/>
    <x v="3"/>
    <x v="1647"/>
    <n v="3"/>
    <x v="0"/>
    <s v="Recovered"/>
    <x v="1"/>
    <x v="0"/>
    <s v="Card"/>
    <n v="4"/>
    <x v="1643"/>
    <s v="Yes"/>
    <x v="0"/>
  </r>
  <r>
    <x v="1649"/>
    <x v="37"/>
    <x v="1"/>
    <x v="0"/>
    <x v="440"/>
    <d v="2025-07-12T00:00:00"/>
    <x v="6"/>
    <x v="2"/>
    <x v="1"/>
    <x v="1648"/>
    <n v="10"/>
    <x v="0"/>
    <s v="Recovered"/>
    <x v="1"/>
    <x v="1"/>
    <s v="Cash"/>
    <n v="10"/>
    <x v="1644"/>
    <s v="No"/>
    <x v="0"/>
  </r>
  <r>
    <x v="1650"/>
    <x v="13"/>
    <x v="1"/>
    <x v="4"/>
    <x v="520"/>
    <d v="2023-08-31T00:00:00"/>
    <x v="2"/>
    <x v="2"/>
    <x v="3"/>
    <x v="1649"/>
    <n v="14"/>
    <x v="0"/>
    <s v="Referred"/>
    <x v="2"/>
    <x v="1"/>
    <s v="Cash"/>
    <n v="7"/>
    <x v="1645"/>
    <s v="No"/>
    <x v="0"/>
  </r>
  <r>
    <x v="1651"/>
    <x v="58"/>
    <x v="0"/>
    <x v="0"/>
    <x v="451"/>
    <d v="2024-11-11T00:00:00"/>
    <x v="7"/>
    <x v="5"/>
    <x v="0"/>
    <x v="1650"/>
    <n v="1"/>
    <x v="1"/>
    <s v="Recovered"/>
    <x v="2"/>
    <x v="0"/>
    <s v="Insurance"/>
    <n v="15"/>
    <x v="1646"/>
    <s v="Yes"/>
    <x v="0"/>
  </r>
  <r>
    <x v="1652"/>
    <x v="1"/>
    <x v="0"/>
    <x v="0"/>
    <x v="665"/>
    <d v="2023-12-13T00:00:00"/>
    <x v="9"/>
    <x v="5"/>
    <x v="0"/>
    <x v="1651"/>
    <n v="4"/>
    <x v="1"/>
    <s v="Recovered"/>
    <x v="1"/>
    <x v="1"/>
    <s v="Card"/>
    <n v="12"/>
    <x v="1647"/>
    <s v="Yes"/>
    <x v="0"/>
  </r>
  <r>
    <x v="1653"/>
    <x v="47"/>
    <x v="1"/>
    <x v="4"/>
    <x v="209"/>
    <d v="2024-10-15T00:00:00"/>
    <x v="2"/>
    <x v="2"/>
    <x v="1"/>
    <x v="1652"/>
    <n v="11"/>
    <x v="1"/>
    <s v="Recovered"/>
    <x v="2"/>
    <x v="0"/>
    <s v="Insurance"/>
    <n v="1"/>
    <x v="1648"/>
    <s v="No"/>
    <x v="0"/>
  </r>
  <r>
    <x v="1654"/>
    <x v="6"/>
    <x v="1"/>
    <x v="4"/>
    <x v="57"/>
    <d v="2023-07-02T00:00:00"/>
    <x v="8"/>
    <x v="6"/>
    <x v="7"/>
    <x v="1653"/>
    <n v="22"/>
    <x v="1"/>
    <s v="Recovered"/>
    <x v="1"/>
    <x v="2"/>
    <s v="Insurance"/>
    <n v="1"/>
    <x v="1649"/>
    <s v="Yes"/>
    <x v="0"/>
  </r>
  <r>
    <x v="1655"/>
    <x v="66"/>
    <x v="0"/>
    <x v="2"/>
    <x v="247"/>
    <d v="2024-11-05T00:00:00"/>
    <x v="1"/>
    <x v="1"/>
    <x v="7"/>
    <x v="1654"/>
    <n v="19"/>
    <x v="0"/>
    <s v="Recovered"/>
    <x v="1"/>
    <x v="0"/>
    <s v="Cash"/>
    <n v="12"/>
    <x v="1650"/>
    <s v="Yes"/>
    <x v="0"/>
  </r>
  <r>
    <x v="1656"/>
    <x v="7"/>
    <x v="0"/>
    <x v="3"/>
    <x v="819"/>
    <d v="2024-08-28T00:00:00"/>
    <x v="2"/>
    <x v="2"/>
    <x v="2"/>
    <x v="1655"/>
    <n v="3"/>
    <x v="1"/>
    <s v="Recovered"/>
    <x v="0"/>
    <x v="0"/>
    <s v="Cash"/>
    <n v="8"/>
    <x v="1651"/>
    <s v="No"/>
    <x v="0"/>
  </r>
  <r>
    <x v="1657"/>
    <x v="56"/>
    <x v="1"/>
    <x v="6"/>
    <x v="90"/>
    <d v="2024-07-18T00:00:00"/>
    <x v="7"/>
    <x v="5"/>
    <x v="1"/>
    <x v="1656"/>
    <n v="6"/>
    <x v="0"/>
    <s v="Recovered"/>
    <x v="2"/>
    <x v="0"/>
    <s v="UPI"/>
    <n v="1"/>
    <x v="1652"/>
    <s v="Yes"/>
    <x v="0"/>
  </r>
  <r>
    <x v="1658"/>
    <x v="33"/>
    <x v="1"/>
    <x v="3"/>
    <x v="739"/>
    <d v="2024-02-23T00:00:00"/>
    <x v="4"/>
    <x v="3"/>
    <x v="4"/>
    <x v="1657"/>
    <n v="5"/>
    <x v="1"/>
    <s v="Recovered"/>
    <x v="2"/>
    <x v="0"/>
    <s v="UPI"/>
    <n v="4"/>
    <x v="1653"/>
    <s v="Yes"/>
    <x v="0"/>
  </r>
  <r>
    <x v="1659"/>
    <x v="56"/>
    <x v="0"/>
    <x v="3"/>
    <x v="762"/>
    <d v="2023-12-21T00:00:00"/>
    <x v="4"/>
    <x v="3"/>
    <x v="7"/>
    <x v="1658"/>
    <n v="21"/>
    <x v="0"/>
    <s v="Recovered"/>
    <x v="1"/>
    <x v="2"/>
    <s v="Cash"/>
    <n v="9"/>
    <x v="1654"/>
    <s v="Yes"/>
    <x v="0"/>
  </r>
  <r>
    <x v="1660"/>
    <x v="31"/>
    <x v="1"/>
    <x v="5"/>
    <x v="619"/>
    <d v="2025-02-03T00:00:00"/>
    <x v="4"/>
    <x v="3"/>
    <x v="2"/>
    <x v="1659"/>
    <n v="15"/>
    <x v="1"/>
    <s v="Recovered"/>
    <x v="2"/>
    <x v="3"/>
    <s v="UPI"/>
    <n v="10"/>
    <x v="1655"/>
    <s v="No"/>
    <x v="1"/>
  </r>
  <r>
    <x v="1661"/>
    <x v="26"/>
    <x v="0"/>
    <x v="1"/>
    <x v="820"/>
    <d v="2024-01-10T00:00:00"/>
    <x v="7"/>
    <x v="5"/>
    <x v="2"/>
    <x v="1660"/>
    <n v="8"/>
    <x v="0"/>
    <s v="Recovered"/>
    <x v="2"/>
    <x v="2"/>
    <s v="Insurance"/>
    <n v="11"/>
    <x v="1656"/>
    <s v="No"/>
    <x v="0"/>
  </r>
  <r>
    <x v="1662"/>
    <x v="12"/>
    <x v="1"/>
    <x v="3"/>
    <x v="197"/>
    <d v="2024-07-15T00:00:00"/>
    <x v="5"/>
    <x v="4"/>
    <x v="0"/>
    <x v="1661"/>
    <n v="12"/>
    <x v="1"/>
    <s v="Recovered"/>
    <x v="0"/>
    <x v="2"/>
    <s v="Cash"/>
    <n v="8"/>
    <x v="1657"/>
    <s v="No"/>
    <x v="1"/>
  </r>
  <r>
    <x v="1663"/>
    <x v="41"/>
    <x v="0"/>
    <x v="6"/>
    <x v="446"/>
    <d v="2025-07-13T00:00:00"/>
    <x v="0"/>
    <x v="0"/>
    <x v="4"/>
    <x v="1662"/>
    <n v="6"/>
    <x v="1"/>
    <s v="Recovered"/>
    <x v="0"/>
    <x v="3"/>
    <s v="Cash"/>
    <n v="14"/>
    <x v="1658"/>
    <s v="Yes"/>
    <x v="0"/>
  </r>
  <r>
    <x v="1664"/>
    <x v="70"/>
    <x v="1"/>
    <x v="4"/>
    <x v="821"/>
    <d v="2024-09-26T00:00:00"/>
    <x v="2"/>
    <x v="2"/>
    <x v="7"/>
    <x v="1663"/>
    <n v="10"/>
    <x v="1"/>
    <s v="Recovered"/>
    <x v="1"/>
    <x v="1"/>
    <s v="UPI"/>
    <n v="15"/>
    <x v="1659"/>
    <s v="Yes"/>
    <x v="0"/>
  </r>
  <r>
    <x v="1665"/>
    <x v="67"/>
    <x v="0"/>
    <x v="4"/>
    <x v="275"/>
    <d v="2023-03-26T00:00:00"/>
    <x v="4"/>
    <x v="3"/>
    <x v="6"/>
    <x v="1664"/>
    <n v="7"/>
    <x v="1"/>
    <s v="Recovered"/>
    <x v="1"/>
    <x v="2"/>
    <s v="UPI"/>
    <n v="8"/>
    <x v="1660"/>
    <s v="Yes"/>
    <x v="0"/>
  </r>
  <r>
    <x v="1666"/>
    <x v="13"/>
    <x v="0"/>
    <x v="7"/>
    <x v="290"/>
    <d v="2023-01-26T00:00:00"/>
    <x v="8"/>
    <x v="6"/>
    <x v="3"/>
    <x v="1665"/>
    <n v="2"/>
    <x v="0"/>
    <s v="Recovered"/>
    <x v="1"/>
    <x v="1"/>
    <s v="UPI"/>
    <n v="6"/>
    <x v="1661"/>
    <s v="Yes"/>
    <x v="0"/>
  </r>
  <r>
    <x v="1667"/>
    <x v="27"/>
    <x v="1"/>
    <x v="3"/>
    <x v="818"/>
    <d v="2024-09-22T00:00:00"/>
    <x v="3"/>
    <x v="0"/>
    <x v="0"/>
    <x v="1666"/>
    <n v="17"/>
    <x v="0"/>
    <s v="Recovered"/>
    <x v="1"/>
    <x v="2"/>
    <s v="UPI"/>
    <n v="5"/>
    <x v="1662"/>
    <s v="Yes"/>
    <x v="0"/>
  </r>
  <r>
    <x v="1668"/>
    <x v="67"/>
    <x v="0"/>
    <x v="7"/>
    <x v="822"/>
    <d v="2024-03-30T00:00:00"/>
    <x v="9"/>
    <x v="5"/>
    <x v="4"/>
    <x v="1667"/>
    <n v="16"/>
    <x v="1"/>
    <s v="Recovered"/>
    <x v="2"/>
    <x v="0"/>
    <s v="UPI"/>
    <n v="15"/>
    <x v="1663"/>
    <s v="No"/>
    <x v="0"/>
  </r>
  <r>
    <x v="1669"/>
    <x v="5"/>
    <x v="1"/>
    <x v="0"/>
    <x v="821"/>
    <d v="2024-10-06T00:00:00"/>
    <x v="4"/>
    <x v="3"/>
    <x v="5"/>
    <x v="1668"/>
    <n v="20"/>
    <x v="1"/>
    <s v="Under Observation"/>
    <x v="1"/>
    <x v="3"/>
    <s v="Cash"/>
    <n v="8"/>
    <x v="1664"/>
    <s v="Yes"/>
    <x v="1"/>
  </r>
  <r>
    <x v="1670"/>
    <x v="22"/>
    <x v="1"/>
    <x v="7"/>
    <x v="655"/>
    <d v="2024-08-24T00:00:00"/>
    <x v="7"/>
    <x v="5"/>
    <x v="5"/>
    <x v="1669"/>
    <n v="9"/>
    <x v="0"/>
    <s v="Recovered"/>
    <x v="1"/>
    <x v="2"/>
    <s v="Cash"/>
    <n v="2"/>
    <x v="1665"/>
    <s v="Yes"/>
    <x v="0"/>
  </r>
  <r>
    <x v="1671"/>
    <x v="52"/>
    <x v="0"/>
    <x v="7"/>
    <x v="823"/>
    <d v="2025-07-02T00:00:00"/>
    <x v="6"/>
    <x v="2"/>
    <x v="5"/>
    <x v="1670"/>
    <n v="19"/>
    <x v="0"/>
    <s v="Recovered"/>
    <x v="1"/>
    <x v="0"/>
    <s v="UPI"/>
    <n v="3"/>
    <x v="1666"/>
    <s v="No"/>
    <x v="0"/>
  </r>
  <r>
    <x v="1672"/>
    <x v="50"/>
    <x v="0"/>
    <x v="3"/>
    <x v="805"/>
    <d v="2025-04-24T00:00:00"/>
    <x v="0"/>
    <x v="0"/>
    <x v="3"/>
    <x v="1671"/>
    <n v="9"/>
    <x v="0"/>
    <s v="Recovered"/>
    <x v="2"/>
    <x v="3"/>
    <s v="Card"/>
    <n v="3"/>
    <x v="1667"/>
    <s v="Yes"/>
    <x v="0"/>
  </r>
  <r>
    <x v="1673"/>
    <x v="27"/>
    <x v="0"/>
    <x v="3"/>
    <x v="408"/>
    <d v="2024-03-27T00:00:00"/>
    <x v="8"/>
    <x v="6"/>
    <x v="6"/>
    <x v="1672"/>
    <n v="11"/>
    <x v="1"/>
    <s v="Deceased"/>
    <x v="2"/>
    <x v="2"/>
    <s v="Card"/>
    <n v="10"/>
    <x v="1668"/>
    <s v="No"/>
    <x v="0"/>
  </r>
  <r>
    <x v="1674"/>
    <x v="45"/>
    <x v="1"/>
    <x v="2"/>
    <x v="546"/>
    <d v="2025-01-29T00:00:00"/>
    <x v="2"/>
    <x v="2"/>
    <x v="3"/>
    <x v="1673"/>
    <n v="12"/>
    <x v="1"/>
    <s v="Recovered"/>
    <x v="0"/>
    <x v="0"/>
    <s v="UPI"/>
    <n v="12"/>
    <x v="1669"/>
    <s v="Yes"/>
    <x v="0"/>
  </r>
  <r>
    <x v="1675"/>
    <x v="48"/>
    <x v="0"/>
    <x v="3"/>
    <x v="709"/>
    <d v="2023-09-19T00:00:00"/>
    <x v="5"/>
    <x v="4"/>
    <x v="1"/>
    <x v="1674"/>
    <n v="16"/>
    <x v="0"/>
    <s v="Recovered"/>
    <x v="0"/>
    <x v="3"/>
    <s v="Card"/>
    <n v="12"/>
    <x v="1670"/>
    <s v="No"/>
    <x v="0"/>
  </r>
  <r>
    <x v="1676"/>
    <x v="51"/>
    <x v="1"/>
    <x v="4"/>
    <x v="824"/>
    <d v="2025-06-01T00:00:00"/>
    <x v="1"/>
    <x v="1"/>
    <x v="0"/>
    <x v="1675"/>
    <n v="17"/>
    <x v="0"/>
    <s v="Deceased"/>
    <x v="1"/>
    <x v="3"/>
    <s v="Cash"/>
    <n v="1"/>
    <x v="1671"/>
    <s v="No"/>
    <x v="0"/>
  </r>
  <r>
    <x v="1677"/>
    <x v="55"/>
    <x v="1"/>
    <x v="2"/>
    <x v="640"/>
    <d v="2023-02-13T00:00:00"/>
    <x v="7"/>
    <x v="5"/>
    <x v="4"/>
    <x v="1676"/>
    <n v="16"/>
    <x v="0"/>
    <s v="Recovered"/>
    <x v="1"/>
    <x v="0"/>
    <s v="Insurance"/>
    <n v="10"/>
    <x v="1672"/>
    <s v="Yes"/>
    <x v="0"/>
  </r>
  <r>
    <x v="1678"/>
    <x v="20"/>
    <x v="0"/>
    <x v="6"/>
    <x v="370"/>
    <d v="2024-11-01T00:00:00"/>
    <x v="1"/>
    <x v="1"/>
    <x v="7"/>
    <x v="1677"/>
    <n v="8"/>
    <x v="1"/>
    <s v="Recovered"/>
    <x v="0"/>
    <x v="3"/>
    <s v="Cash"/>
    <n v="8"/>
    <x v="1673"/>
    <s v="Yes"/>
    <x v="0"/>
  </r>
  <r>
    <x v="1679"/>
    <x v="31"/>
    <x v="0"/>
    <x v="3"/>
    <x v="825"/>
    <d v="2023-06-06T00:00:00"/>
    <x v="1"/>
    <x v="1"/>
    <x v="4"/>
    <x v="1678"/>
    <n v="19"/>
    <x v="1"/>
    <s v="Recovered"/>
    <x v="2"/>
    <x v="0"/>
    <s v="Insurance"/>
    <n v="9"/>
    <x v="1674"/>
    <s v="Yes"/>
    <x v="0"/>
  </r>
  <r>
    <x v="1680"/>
    <x v="6"/>
    <x v="0"/>
    <x v="2"/>
    <x v="372"/>
    <d v="2024-08-25T00:00:00"/>
    <x v="8"/>
    <x v="6"/>
    <x v="3"/>
    <x v="1679"/>
    <n v="24"/>
    <x v="1"/>
    <s v="Recovered"/>
    <x v="1"/>
    <x v="2"/>
    <s v="UPI"/>
    <n v="4"/>
    <x v="1675"/>
    <s v="Yes"/>
    <x v="0"/>
  </r>
  <r>
    <x v="1681"/>
    <x v="66"/>
    <x v="1"/>
    <x v="0"/>
    <x v="700"/>
    <d v="2024-11-16T00:00:00"/>
    <x v="0"/>
    <x v="0"/>
    <x v="5"/>
    <x v="1680"/>
    <n v="13"/>
    <x v="1"/>
    <s v="Recovered"/>
    <x v="0"/>
    <x v="3"/>
    <s v="UPI"/>
    <n v="9"/>
    <x v="1676"/>
    <s v="No"/>
    <x v="0"/>
  </r>
  <r>
    <x v="1682"/>
    <x v="56"/>
    <x v="1"/>
    <x v="0"/>
    <x v="156"/>
    <d v="2024-08-17T00:00:00"/>
    <x v="1"/>
    <x v="1"/>
    <x v="4"/>
    <x v="1681"/>
    <n v="19"/>
    <x v="1"/>
    <s v="Under Observation"/>
    <x v="1"/>
    <x v="2"/>
    <s v="UPI"/>
    <n v="4"/>
    <x v="1677"/>
    <s v="No"/>
    <x v="1"/>
  </r>
  <r>
    <x v="1683"/>
    <x v="32"/>
    <x v="1"/>
    <x v="0"/>
    <x v="363"/>
    <d v="2025-06-28T00:00:00"/>
    <x v="4"/>
    <x v="3"/>
    <x v="1"/>
    <x v="1682"/>
    <n v="29"/>
    <x v="0"/>
    <s v="Recovered"/>
    <x v="2"/>
    <x v="2"/>
    <s v="Insurance"/>
    <n v="6"/>
    <x v="1678"/>
    <s v="Yes"/>
    <x v="0"/>
  </r>
  <r>
    <x v="1684"/>
    <x v="21"/>
    <x v="1"/>
    <x v="1"/>
    <x v="826"/>
    <d v="2024-06-11T00:00:00"/>
    <x v="5"/>
    <x v="4"/>
    <x v="1"/>
    <x v="1683"/>
    <n v="2"/>
    <x v="0"/>
    <s v="Recovered"/>
    <x v="1"/>
    <x v="3"/>
    <s v="UPI"/>
    <n v="8"/>
    <x v="1679"/>
    <s v="No"/>
    <x v="0"/>
  </r>
  <r>
    <x v="1685"/>
    <x v="47"/>
    <x v="0"/>
    <x v="4"/>
    <x v="408"/>
    <d v="2024-03-28T00:00:00"/>
    <x v="3"/>
    <x v="0"/>
    <x v="6"/>
    <x v="1684"/>
    <n v="12"/>
    <x v="1"/>
    <s v="Under Observation"/>
    <x v="2"/>
    <x v="0"/>
    <s v="UPI"/>
    <n v="9"/>
    <x v="1680"/>
    <s v="No"/>
    <x v="0"/>
  </r>
  <r>
    <x v="1686"/>
    <x v="27"/>
    <x v="0"/>
    <x v="5"/>
    <x v="673"/>
    <d v="2025-03-18T00:00:00"/>
    <x v="3"/>
    <x v="0"/>
    <x v="4"/>
    <x v="1685"/>
    <n v="19"/>
    <x v="1"/>
    <s v="Recovered"/>
    <x v="2"/>
    <x v="3"/>
    <s v="UPI"/>
    <n v="13"/>
    <x v="1681"/>
    <s v="No"/>
    <x v="0"/>
  </r>
  <r>
    <x v="1687"/>
    <x v="66"/>
    <x v="0"/>
    <x v="4"/>
    <x v="321"/>
    <d v="2023-07-30T00:00:00"/>
    <x v="0"/>
    <x v="0"/>
    <x v="1"/>
    <x v="1686"/>
    <n v="16"/>
    <x v="0"/>
    <s v="Recovered"/>
    <x v="0"/>
    <x v="2"/>
    <s v="UPI"/>
    <n v="7"/>
    <x v="1682"/>
    <s v="Yes"/>
    <x v="0"/>
  </r>
  <r>
    <x v="1688"/>
    <x v="32"/>
    <x v="0"/>
    <x v="5"/>
    <x v="606"/>
    <d v="2025-03-11T00:00:00"/>
    <x v="4"/>
    <x v="3"/>
    <x v="6"/>
    <x v="1687"/>
    <n v="21"/>
    <x v="1"/>
    <s v="Recovered"/>
    <x v="1"/>
    <x v="2"/>
    <s v="UPI"/>
    <n v="13"/>
    <x v="1683"/>
    <s v="Yes"/>
    <x v="0"/>
  </r>
  <r>
    <x v="1689"/>
    <x v="67"/>
    <x v="1"/>
    <x v="5"/>
    <x v="827"/>
    <d v="2023-06-20T00:00:00"/>
    <x v="2"/>
    <x v="2"/>
    <x v="6"/>
    <x v="1688"/>
    <n v="18"/>
    <x v="1"/>
    <s v="Recovered"/>
    <x v="2"/>
    <x v="2"/>
    <s v="Card"/>
    <n v="12"/>
    <x v="1684"/>
    <s v="No"/>
    <x v="0"/>
  </r>
  <r>
    <x v="1690"/>
    <x v="39"/>
    <x v="1"/>
    <x v="4"/>
    <x v="59"/>
    <d v="2024-09-25T00:00:00"/>
    <x v="9"/>
    <x v="5"/>
    <x v="5"/>
    <x v="1689"/>
    <n v="22"/>
    <x v="1"/>
    <s v="Referred"/>
    <x v="0"/>
    <x v="2"/>
    <s v="UPI"/>
    <n v="1"/>
    <x v="1685"/>
    <s v="Yes"/>
    <x v="0"/>
  </r>
  <r>
    <x v="1691"/>
    <x v="21"/>
    <x v="0"/>
    <x v="6"/>
    <x v="26"/>
    <d v="2023-10-17T00:00:00"/>
    <x v="5"/>
    <x v="4"/>
    <x v="2"/>
    <x v="1690"/>
    <n v="18"/>
    <x v="1"/>
    <s v="Recovered"/>
    <x v="1"/>
    <x v="0"/>
    <s v="UPI"/>
    <n v="13"/>
    <x v="1686"/>
    <s v="No"/>
    <x v="0"/>
  </r>
  <r>
    <x v="1692"/>
    <x v="16"/>
    <x v="1"/>
    <x v="3"/>
    <x v="52"/>
    <d v="2024-08-18T00:00:00"/>
    <x v="7"/>
    <x v="5"/>
    <x v="7"/>
    <x v="1691"/>
    <n v="16"/>
    <x v="0"/>
    <s v="Recovered"/>
    <x v="1"/>
    <x v="1"/>
    <s v="Cash"/>
    <n v="8"/>
    <x v="1687"/>
    <s v="No"/>
    <x v="0"/>
  </r>
  <r>
    <x v="1693"/>
    <x v="26"/>
    <x v="0"/>
    <x v="7"/>
    <x v="336"/>
    <d v="2023-06-15T00:00:00"/>
    <x v="1"/>
    <x v="1"/>
    <x v="2"/>
    <x v="1692"/>
    <n v="19"/>
    <x v="0"/>
    <s v="Recovered"/>
    <x v="2"/>
    <x v="3"/>
    <s v="Insurance"/>
    <n v="11"/>
    <x v="1688"/>
    <s v="No"/>
    <x v="0"/>
  </r>
  <r>
    <x v="1694"/>
    <x v="39"/>
    <x v="1"/>
    <x v="2"/>
    <x v="186"/>
    <d v="2023-03-19T00:00:00"/>
    <x v="2"/>
    <x v="2"/>
    <x v="6"/>
    <x v="1693"/>
    <n v="5"/>
    <x v="0"/>
    <s v="Recovered"/>
    <x v="0"/>
    <x v="3"/>
    <s v="Insurance"/>
    <n v="5"/>
    <x v="1689"/>
    <s v="Yes"/>
    <x v="0"/>
  </r>
  <r>
    <x v="1695"/>
    <x v="61"/>
    <x v="1"/>
    <x v="3"/>
    <x v="828"/>
    <d v="2025-05-14T00:00:00"/>
    <x v="6"/>
    <x v="2"/>
    <x v="5"/>
    <x v="1694"/>
    <n v="4"/>
    <x v="1"/>
    <s v="Recovered"/>
    <x v="1"/>
    <x v="0"/>
    <s v="Cash"/>
    <n v="10"/>
    <x v="1690"/>
    <s v="No"/>
    <x v="1"/>
  </r>
  <r>
    <x v="1696"/>
    <x v="60"/>
    <x v="1"/>
    <x v="7"/>
    <x v="771"/>
    <d v="2024-12-16T00:00:00"/>
    <x v="2"/>
    <x v="2"/>
    <x v="4"/>
    <x v="1695"/>
    <n v="13"/>
    <x v="1"/>
    <s v="Recovered"/>
    <x v="0"/>
    <x v="0"/>
    <s v="UPI"/>
    <n v="6"/>
    <x v="1691"/>
    <s v="Yes"/>
    <x v="0"/>
  </r>
  <r>
    <x v="1697"/>
    <x v="0"/>
    <x v="1"/>
    <x v="7"/>
    <x v="529"/>
    <d v="2023-04-19T00:00:00"/>
    <x v="4"/>
    <x v="3"/>
    <x v="0"/>
    <x v="1696"/>
    <n v="13"/>
    <x v="1"/>
    <s v="Recovered"/>
    <x v="0"/>
    <x v="3"/>
    <s v="Insurance"/>
    <n v="4"/>
    <x v="1692"/>
    <s v="No"/>
    <x v="1"/>
  </r>
  <r>
    <x v="1698"/>
    <x v="23"/>
    <x v="1"/>
    <x v="3"/>
    <x v="241"/>
    <d v="2025-03-21T00:00:00"/>
    <x v="7"/>
    <x v="5"/>
    <x v="5"/>
    <x v="1697"/>
    <n v="13"/>
    <x v="0"/>
    <s v="Recovered"/>
    <x v="0"/>
    <x v="2"/>
    <s v="Cash"/>
    <n v="9"/>
    <x v="1693"/>
    <s v="Yes"/>
    <x v="1"/>
  </r>
  <r>
    <x v="1699"/>
    <x v="22"/>
    <x v="0"/>
    <x v="0"/>
    <x v="731"/>
    <d v="2025-01-23T00:00:00"/>
    <x v="7"/>
    <x v="5"/>
    <x v="0"/>
    <x v="1698"/>
    <n v="9"/>
    <x v="1"/>
    <s v="Referred"/>
    <x v="2"/>
    <x v="2"/>
    <s v="Card"/>
    <n v="2"/>
    <x v="1694"/>
    <s v="Yes"/>
    <x v="0"/>
  </r>
  <r>
    <x v="1700"/>
    <x v="4"/>
    <x v="1"/>
    <x v="7"/>
    <x v="681"/>
    <d v="2025-09-16T00:00:00"/>
    <x v="1"/>
    <x v="1"/>
    <x v="6"/>
    <x v="1699"/>
    <n v="6"/>
    <x v="1"/>
    <s v="Recovered"/>
    <x v="0"/>
    <x v="2"/>
    <s v="Card"/>
    <n v="4"/>
    <x v="1695"/>
    <s v="No"/>
    <x v="0"/>
  </r>
  <r>
    <x v="1701"/>
    <x v="50"/>
    <x v="0"/>
    <x v="2"/>
    <x v="796"/>
    <d v="2025-03-11T00:00:00"/>
    <x v="4"/>
    <x v="3"/>
    <x v="2"/>
    <x v="1700"/>
    <n v="7"/>
    <x v="0"/>
    <s v="Recovered"/>
    <x v="0"/>
    <x v="0"/>
    <s v="Card"/>
    <n v="5"/>
    <x v="1696"/>
    <s v="Yes"/>
    <x v="0"/>
  </r>
  <r>
    <x v="1702"/>
    <x v="65"/>
    <x v="0"/>
    <x v="5"/>
    <x v="78"/>
    <d v="2025-02-27T00:00:00"/>
    <x v="2"/>
    <x v="2"/>
    <x v="5"/>
    <x v="1701"/>
    <n v="7"/>
    <x v="1"/>
    <s v="Recovered"/>
    <x v="0"/>
    <x v="3"/>
    <s v="Insurance"/>
    <n v="7"/>
    <x v="1697"/>
    <s v="Yes"/>
    <x v="0"/>
  </r>
  <r>
    <x v="1703"/>
    <x v="47"/>
    <x v="0"/>
    <x v="7"/>
    <x v="829"/>
    <d v="2023-04-15T00:00:00"/>
    <x v="8"/>
    <x v="6"/>
    <x v="5"/>
    <x v="1702"/>
    <n v="5"/>
    <x v="1"/>
    <s v="Recovered"/>
    <x v="1"/>
    <x v="1"/>
    <s v="UPI"/>
    <n v="12"/>
    <x v="1698"/>
    <s v="No"/>
    <x v="0"/>
  </r>
  <r>
    <x v="1704"/>
    <x v="15"/>
    <x v="0"/>
    <x v="0"/>
    <x v="570"/>
    <d v="2024-05-04T00:00:00"/>
    <x v="2"/>
    <x v="2"/>
    <x v="5"/>
    <x v="1703"/>
    <n v="15"/>
    <x v="1"/>
    <s v="Recovered"/>
    <x v="0"/>
    <x v="1"/>
    <s v="UPI"/>
    <n v="2"/>
    <x v="1699"/>
    <s v="Yes"/>
    <x v="0"/>
  </r>
  <r>
    <x v="1705"/>
    <x v="20"/>
    <x v="0"/>
    <x v="2"/>
    <x v="597"/>
    <d v="2023-05-14T00:00:00"/>
    <x v="8"/>
    <x v="6"/>
    <x v="1"/>
    <x v="1704"/>
    <n v="6"/>
    <x v="0"/>
    <s v="Referred"/>
    <x v="1"/>
    <x v="3"/>
    <s v="UPI"/>
    <n v="12"/>
    <x v="1700"/>
    <s v="Yes"/>
    <x v="0"/>
  </r>
  <r>
    <x v="1706"/>
    <x v="34"/>
    <x v="0"/>
    <x v="3"/>
    <x v="505"/>
    <d v="2024-04-09T00:00:00"/>
    <x v="6"/>
    <x v="2"/>
    <x v="6"/>
    <x v="1705"/>
    <n v="1"/>
    <x v="1"/>
    <s v="Recovered"/>
    <x v="0"/>
    <x v="0"/>
    <s v="Cash"/>
    <n v="11"/>
    <x v="1701"/>
    <s v="No"/>
    <x v="0"/>
  </r>
  <r>
    <x v="1707"/>
    <x v="23"/>
    <x v="1"/>
    <x v="7"/>
    <x v="8"/>
    <d v="2023-03-09T00:00:00"/>
    <x v="2"/>
    <x v="2"/>
    <x v="6"/>
    <x v="1706"/>
    <n v="17"/>
    <x v="1"/>
    <s v="Under Observation"/>
    <x v="2"/>
    <x v="0"/>
    <s v="Insurance"/>
    <n v="6"/>
    <x v="1702"/>
    <s v="No"/>
    <x v="0"/>
  </r>
  <r>
    <x v="1708"/>
    <x v="32"/>
    <x v="0"/>
    <x v="4"/>
    <x v="537"/>
    <d v="2024-02-03T00:00:00"/>
    <x v="8"/>
    <x v="6"/>
    <x v="5"/>
    <x v="1707"/>
    <n v="26"/>
    <x v="1"/>
    <s v="Recovered"/>
    <x v="0"/>
    <x v="2"/>
    <s v="Card"/>
    <n v="13"/>
    <x v="1703"/>
    <s v="Yes"/>
    <x v="0"/>
  </r>
  <r>
    <x v="1709"/>
    <x v="44"/>
    <x v="1"/>
    <x v="2"/>
    <x v="830"/>
    <d v="2024-01-25T00:00:00"/>
    <x v="7"/>
    <x v="5"/>
    <x v="5"/>
    <x v="1708"/>
    <n v="10"/>
    <x v="0"/>
    <s v="Under Observation"/>
    <x v="1"/>
    <x v="3"/>
    <s v="UPI"/>
    <n v="12"/>
    <x v="1704"/>
    <s v="No"/>
    <x v="0"/>
  </r>
  <r>
    <x v="1710"/>
    <x v="40"/>
    <x v="1"/>
    <x v="7"/>
    <x v="831"/>
    <d v="2023-05-04T00:00:00"/>
    <x v="4"/>
    <x v="3"/>
    <x v="7"/>
    <x v="1709"/>
    <n v="8"/>
    <x v="0"/>
    <s v="Recovered"/>
    <x v="2"/>
    <x v="0"/>
    <s v="UPI"/>
    <n v="15"/>
    <x v="1705"/>
    <s v="No"/>
    <x v="0"/>
  </r>
  <r>
    <x v="1711"/>
    <x v="60"/>
    <x v="0"/>
    <x v="7"/>
    <x v="778"/>
    <d v="2024-07-18T00:00:00"/>
    <x v="7"/>
    <x v="5"/>
    <x v="5"/>
    <x v="1710"/>
    <n v="17"/>
    <x v="1"/>
    <s v="Recovered"/>
    <x v="0"/>
    <x v="1"/>
    <s v="Insurance"/>
    <n v="4"/>
    <x v="1706"/>
    <s v="No"/>
    <x v="0"/>
  </r>
  <r>
    <x v="1712"/>
    <x v="4"/>
    <x v="1"/>
    <x v="5"/>
    <x v="832"/>
    <d v="2024-02-19T00:00:00"/>
    <x v="5"/>
    <x v="4"/>
    <x v="1"/>
    <x v="1711"/>
    <n v="15"/>
    <x v="0"/>
    <s v="Recovered"/>
    <x v="2"/>
    <x v="3"/>
    <s v="Insurance"/>
    <n v="5"/>
    <x v="1707"/>
    <s v="No"/>
    <x v="0"/>
  </r>
  <r>
    <x v="1713"/>
    <x v="31"/>
    <x v="0"/>
    <x v="0"/>
    <x v="214"/>
    <d v="2024-08-05T00:00:00"/>
    <x v="6"/>
    <x v="2"/>
    <x v="0"/>
    <x v="1712"/>
    <n v="15"/>
    <x v="1"/>
    <s v="Recovered"/>
    <x v="2"/>
    <x v="1"/>
    <s v="Cash"/>
    <n v="14"/>
    <x v="1708"/>
    <s v="No"/>
    <x v="0"/>
  </r>
  <r>
    <x v="1714"/>
    <x v="67"/>
    <x v="1"/>
    <x v="2"/>
    <x v="439"/>
    <d v="2024-10-22T00:00:00"/>
    <x v="4"/>
    <x v="3"/>
    <x v="6"/>
    <x v="1713"/>
    <n v="13"/>
    <x v="1"/>
    <s v="Deceased"/>
    <x v="0"/>
    <x v="3"/>
    <s v="Card"/>
    <n v="4"/>
    <x v="1709"/>
    <s v="Yes"/>
    <x v="0"/>
  </r>
  <r>
    <x v="1715"/>
    <x v="40"/>
    <x v="0"/>
    <x v="6"/>
    <x v="589"/>
    <d v="2024-08-27T00:00:00"/>
    <x v="2"/>
    <x v="2"/>
    <x v="0"/>
    <x v="1714"/>
    <n v="17"/>
    <x v="1"/>
    <s v="Recovered"/>
    <x v="2"/>
    <x v="2"/>
    <s v="Cash"/>
    <n v="5"/>
    <x v="1710"/>
    <s v="No"/>
    <x v="0"/>
  </r>
  <r>
    <x v="1716"/>
    <x v="13"/>
    <x v="0"/>
    <x v="4"/>
    <x v="512"/>
    <d v="2023-12-15T00:00:00"/>
    <x v="7"/>
    <x v="5"/>
    <x v="4"/>
    <x v="1715"/>
    <n v="9"/>
    <x v="1"/>
    <s v="Under Observation"/>
    <x v="1"/>
    <x v="0"/>
    <s v="Card"/>
    <n v="4"/>
    <x v="1711"/>
    <s v="No"/>
    <x v="0"/>
  </r>
  <r>
    <x v="1717"/>
    <x v="64"/>
    <x v="1"/>
    <x v="1"/>
    <x v="833"/>
    <d v="2023-02-09T00:00:00"/>
    <x v="0"/>
    <x v="0"/>
    <x v="2"/>
    <x v="1716"/>
    <n v="18"/>
    <x v="1"/>
    <s v="Under Observation"/>
    <x v="0"/>
    <x v="3"/>
    <s v="Card"/>
    <n v="10"/>
    <x v="1712"/>
    <s v="Yes"/>
    <x v="0"/>
  </r>
  <r>
    <x v="1718"/>
    <x v="13"/>
    <x v="0"/>
    <x v="5"/>
    <x v="400"/>
    <d v="2023-04-13T00:00:00"/>
    <x v="2"/>
    <x v="2"/>
    <x v="2"/>
    <x v="1717"/>
    <n v="18"/>
    <x v="0"/>
    <s v="Recovered"/>
    <x v="2"/>
    <x v="2"/>
    <s v="Insurance"/>
    <n v="4"/>
    <x v="1713"/>
    <s v="Yes"/>
    <x v="0"/>
  </r>
  <r>
    <x v="1719"/>
    <x v="51"/>
    <x v="1"/>
    <x v="7"/>
    <x v="789"/>
    <d v="2024-08-31T00:00:00"/>
    <x v="6"/>
    <x v="2"/>
    <x v="6"/>
    <x v="1718"/>
    <n v="2"/>
    <x v="1"/>
    <s v="Recovered"/>
    <x v="0"/>
    <x v="3"/>
    <s v="Card"/>
    <n v="15"/>
    <x v="1714"/>
    <s v="Yes"/>
    <x v="1"/>
  </r>
  <r>
    <x v="1720"/>
    <x v="2"/>
    <x v="0"/>
    <x v="6"/>
    <x v="558"/>
    <d v="2024-01-02T00:00:00"/>
    <x v="6"/>
    <x v="2"/>
    <x v="4"/>
    <x v="1719"/>
    <n v="19"/>
    <x v="1"/>
    <s v="Under Observation"/>
    <x v="2"/>
    <x v="0"/>
    <s v="Cash"/>
    <n v="9"/>
    <x v="1715"/>
    <s v="No"/>
    <x v="0"/>
  </r>
  <r>
    <x v="1721"/>
    <x v="55"/>
    <x v="1"/>
    <x v="1"/>
    <x v="834"/>
    <d v="2024-12-13T00:00:00"/>
    <x v="6"/>
    <x v="2"/>
    <x v="4"/>
    <x v="1720"/>
    <n v="18"/>
    <x v="0"/>
    <s v="Recovered"/>
    <x v="1"/>
    <x v="0"/>
    <s v="Card"/>
    <n v="2"/>
    <x v="1716"/>
    <s v="Yes"/>
    <x v="0"/>
  </r>
  <r>
    <x v="1722"/>
    <x v="61"/>
    <x v="1"/>
    <x v="3"/>
    <x v="707"/>
    <d v="2024-10-10T00:00:00"/>
    <x v="5"/>
    <x v="4"/>
    <x v="6"/>
    <x v="1721"/>
    <n v="13"/>
    <x v="0"/>
    <s v="Recovered"/>
    <x v="2"/>
    <x v="2"/>
    <s v="UPI"/>
    <n v="12"/>
    <x v="1717"/>
    <s v="No"/>
    <x v="0"/>
  </r>
  <r>
    <x v="1723"/>
    <x v="12"/>
    <x v="1"/>
    <x v="4"/>
    <x v="256"/>
    <d v="2024-08-04T00:00:00"/>
    <x v="7"/>
    <x v="5"/>
    <x v="5"/>
    <x v="1722"/>
    <n v="17"/>
    <x v="1"/>
    <s v="Recovered"/>
    <x v="1"/>
    <x v="2"/>
    <s v="Cash"/>
    <n v="2"/>
    <x v="1718"/>
    <s v="No"/>
    <x v="0"/>
  </r>
  <r>
    <x v="1724"/>
    <x v="50"/>
    <x v="1"/>
    <x v="7"/>
    <x v="134"/>
    <d v="2024-11-15T00:00:00"/>
    <x v="4"/>
    <x v="3"/>
    <x v="4"/>
    <x v="1723"/>
    <n v="16"/>
    <x v="1"/>
    <s v="Recovered"/>
    <x v="2"/>
    <x v="0"/>
    <s v="UPI"/>
    <n v="6"/>
    <x v="1719"/>
    <s v="No"/>
    <x v="0"/>
  </r>
  <r>
    <x v="1725"/>
    <x v="38"/>
    <x v="0"/>
    <x v="0"/>
    <x v="341"/>
    <d v="2025-05-13T00:00:00"/>
    <x v="4"/>
    <x v="3"/>
    <x v="4"/>
    <x v="1724"/>
    <n v="17"/>
    <x v="0"/>
    <s v="Recovered"/>
    <x v="1"/>
    <x v="2"/>
    <s v="UPI"/>
    <n v="10"/>
    <x v="1720"/>
    <s v="Yes"/>
    <x v="0"/>
  </r>
  <r>
    <x v="1726"/>
    <x v="58"/>
    <x v="0"/>
    <x v="6"/>
    <x v="658"/>
    <d v="2024-01-17T00:00:00"/>
    <x v="9"/>
    <x v="5"/>
    <x v="3"/>
    <x v="1725"/>
    <n v="20"/>
    <x v="0"/>
    <s v="Recovered"/>
    <x v="0"/>
    <x v="0"/>
    <s v="Card"/>
    <n v="2"/>
    <x v="1721"/>
    <s v="No"/>
    <x v="0"/>
  </r>
  <r>
    <x v="1727"/>
    <x v="42"/>
    <x v="0"/>
    <x v="6"/>
    <x v="515"/>
    <d v="2024-05-26T00:00:00"/>
    <x v="3"/>
    <x v="0"/>
    <x v="4"/>
    <x v="1726"/>
    <n v="12"/>
    <x v="1"/>
    <s v="Recovered"/>
    <x v="0"/>
    <x v="1"/>
    <s v="Cash"/>
    <n v="14"/>
    <x v="1722"/>
    <s v="Yes"/>
    <x v="0"/>
  </r>
  <r>
    <x v="1728"/>
    <x v="19"/>
    <x v="1"/>
    <x v="4"/>
    <x v="817"/>
    <d v="2025-06-24T00:00:00"/>
    <x v="6"/>
    <x v="2"/>
    <x v="4"/>
    <x v="1727"/>
    <n v="13"/>
    <x v="0"/>
    <s v="Recovered"/>
    <x v="0"/>
    <x v="2"/>
    <s v="Insurance"/>
    <n v="8"/>
    <x v="1723"/>
    <s v="Yes"/>
    <x v="0"/>
  </r>
  <r>
    <x v="1729"/>
    <x v="8"/>
    <x v="0"/>
    <x v="2"/>
    <x v="340"/>
    <d v="2025-07-21T00:00:00"/>
    <x v="6"/>
    <x v="2"/>
    <x v="1"/>
    <x v="1728"/>
    <n v="4"/>
    <x v="1"/>
    <s v="Recovered"/>
    <x v="1"/>
    <x v="3"/>
    <s v="UPI"/>
    <n v="7"/>
    <x v="1724"/>
    <s v="Yes"/>
    <x v="0"/>
  </r>
  <r>
    <x v="1730"/>
    <x v="55"/>
    <x v="1"/>
    <x v="1"/>
    <x v="577"/>
    <d v="2024-03-13T00:00:00"/>
    <x v="7"/>
    <x v="5"/>
    <x v="6"/>
    <x v="1729"/>
    <n v="16"/>
    <x v="0"/>
    <s v="Recovered"/>
    <x v="0"/>
    <x v="0"/>
    <s v="UPI"/>
    <n v="3"/>
    <x v="1725"/>
    <s v="No"/>
    <x v="0"/>
  </r>
  <r>
    <x v="1731"/>
    <x v="43"/>
    <x v="1"/>
    <x v="2"/>
    <x v="4"/>
    <d v="2025-08-18T00:00:00"/>
    <x v="4"/>
    <x v="3"/>
    <x v="5"/>
    <x v="1730"/>
    <n v="1"/>
    <x v="1"/>
    <s v="Recovered"/>
    <x v="2"/>
    <x v="1"/>
    <s v="UPI"/>
    <n v="11"/>
    <x v="1726"/>
    <s v="Yes"/>
    <x v="0"/>
  </r>
  <r>
    <x v="1732"/>
    <x v="46"/>
    <x v="1"/>
    <x v="1"/>
    <x v="327"/>
    <d v="2025-01-31T00:00:00"/>
    <x v="0"/>
    <x v="0"/>
    <x v="2"/>
    <x v="1731"/>
    <n v="23"/>
    <x v="1"/>
    <s v="Under Observation"/>
    <x v="0"/>
    <x v="2"/>
    <s v="Insurance"/>
    <n v="5"/>
    <x v="1727"/>
    <s v="Yes"/>
    <x v="0"/>
  </r>
  <r>
    <x v="1733"/>
    <x v="16"/>
    <x v="0"/>
    <x v="1"/>
    <x v="793"/>
    <d v="2023-06-28T00:00:00"/>
    <x v="4"/>
    <x v="3"/>
    <x v="0"/>
    <x v="1732"/>
    <n v="21"/>
    <x v="1"/>
    <s v="Recovered"/>
    <x v="1"/>
    <x v="2"/>
    <s v="Card"/>
    <n v="6"/>
    <x v="1728"/>
    <s v="Yes"/>
    <x v="0"/>
  </r>
  <r>
    <x v="1734"/>
    <x v="32"/>
    <x v="0"/>
    <x v="6"/>
    <x v="225"/>
    <d v="2025-01-01T00:00:00"/>
    <x v="7"/>
    <x v="5"/>
    <x v="0"/>
    <x v="1733"/>
    <n v="16"/>
    <x v="1"/>
    <s v="Recovered"/>
    <x v="0"/>
    <x v="3"/>
    <s v="Card"/>
    <n v="8"/>
    <x v="1729"/>
    <s v="No"/>
    <x v="0"/>
  </r>
  <r>
    <x v="1735"/>
    <x v="55"/>
    <x v="1"/>
    <x v="4"/>
    <x v="807"/>
    <d v="2025-09-19T00:00:00"/>
    <x v="6"/>
    <x v="2"/>
    <x v="7"/>
    <x v="1734"/>
    <n v="8"/>
    <x v="1"/>
    <s v="Referred"/>
    <x v="0"/>
    <x v="2"/>
    <s v="Card"/>
    <n v="12"/>
    <x v="1730"/>
    <s v="No"/>
    <x v="0"/>
  </r>
  <r>
    <x v="1736"/>
    <x v="21"/>
    <x v="1"/>
    <x v="2"/>
    <x v="94"/>
    <d v="2023-01-17T00:00:00"/>
    <x v="7"/>
    <x v="5"/>
    <x v="3"/>
    <x v="1735"/>
    <n v="8"/>
    <x v="1"/>
    <s v="Recovered"/>
    <x v="2"/>
    <x v="0"/>
    <s v="Insurance"/>
    <n v="7"/>
    <x v="1731"/>
    <s v="Yes"/>
    <x v="0"/>
  </r>
  <r>
    <x v="1737"/>
    <x v="55"/>
    <x v="1"/>
    <x v="6"/>
    <x v="126"/>
    <d v="2025-05-12T00:00:00"/>
    <x v="8"/>
    <x v="6"/>
    <x v="1"/>
    <x v="1736"/>
    <n v="8"/>
    <x v="0"/>
    <s v="Recovered"/>
    <x v="1"/>
    <x v="1"/>
    <s v="Cash"/>
    <n v="14"/>
    <x v="1732"/>
    <s v="No"/>
    <x v="0"/>
  </r>
  <r>
    <x v="1738"/>
    <x v="59"/>
    <x v="1"/>
    <x v="2"/>
    <x v="562"/>
    <d v="2024-08-12T00:00:00"/>
    <x v="4"/>
    <x v="3"/>
    <x v="7"/>
    <x v="1737"/>
    <n v="16"/>
    <x v="1"/>
    <s v="Under Observation"/>
    <x v="1"/>
    <x v="0"/>
    <s v="Card"/>
    <n v="12"/>
    <x v="1733"/>
    <s v="No"/>
    <x v="0"/>
  </r>
  <r>
    <x v="1739"/>
    <x v="41"/>
    <x v="0"/>
    <x v="0"/>
    <x v="618"/>
    <d v="2023-03-20T00:00:00"/>
    <x v="4"/>
    <x v="3"/>
    <x v="0"/>
    <x v="1738"/>
    <n v="15"/>
    <x v="1"/>
    <s v="Recovered"/>
    <x v="2"/>
    <x v="0"/>
    <s v="Card"/>
    <n v="9"/>
    <x v="1734"/>
    <s v="Yes"/>
    <x v="0"/>
  </r>
  <r>
    <x v="1740"/>
    <x v="56"/>
    <x v="0"/>
    <x v="7"/>
    <x v="5"/>
    <d v="2023-08-19T00:00:00"/>
    <x v="5"/>
    <x v="4"/>
    <x v="2"/>
    <x v="1739"/>
    <n v="12"/>
    <x v="1"/>
    <s v="Recovered"/>
    <x v="1"/>
    <x v="3"/>
    <s v="UPI"/>
    <n v="5"/>
    <x v="1735"/>
    <s v="No"/>
    <x v="0"/>
  </r>
  <r>
    <x v="1741"/>
    <x v="61"/>
    <x v="0"/>
    <x v="2"/>
    <x v="266"/>
    <d v="2024-12-25T00:00:00"/>
    <x v="9"/>
    <x v="5"/>
    <x v="3"/>
    <x v="1740"/>
    <n v="10"/>
    <x v="1"/>
    <s v="Recovered"/>
    <x v="2"/>
    <x v="2"/>
    <s v="Cash"/>
    <n v="10"/>
    <x v="1736"/>
    <s v="Yes"/>
    <x v="0"/>
  </r>
  <r>
    <x v="1742"/>
    <x v="43"/>
    <x v="1"/>
    <x v="1"/>
    <x v="591"/>
    <d v="2024-03-25T00:00:00"/>
    <x v="2"/>
    <x v="2"/>
    <x v="0"/>
    <x v="1741"/>
    <n v="2"/>
    <x v="0"/>
    <s v="Recovered"/>
    <x v="2"/>
    <x v="1"/>
    <s v="Insurance"/>
    <n v="3"/>
    <x v="1737"/>
    <s v="Yes"/>
    <x v="0"/>
  </r>
  <r>
    <x v="1743"/>
    <x v="39"/>
    <x v="0"/>
    <x v="5"/>
    <x v="675"/>
    <d v="2024-06-18T00:00:00"/>
    <x v="5"/>
    <x v="4"/>
    <x v="6"/>
    <x v="1742"/>
    <n v="14"/>
    <x v="0"/>
    <s v="Recovered"/>
    <x v="1"/>
    <x v="0"/>
    <s v="Insurance"/>
    <n v="7"/>
    <x v="1738"/>
    <s v="Yes"/>
    <x v="0"/>
  </r>
  <r>
    <x v="1744"/>
    <x v="8"/>
    <x v="1"/>
    <x v="3"/>
    <x v="115"/>
    <d v="2023-06-20T00:00:00"/>
    <x v="4"/>
    <x v="3"/>
    <x v="6"/>
    <x v="1743"/>
    <n v="8"/>
    <x v="1"/>
    <s v="Recovered"/>
    <x v="0"/>
    <x v="3"/>
    <s v="Cash"/>
    <n v="6"/>
    <x v="1739"/>
    <s v="No"/>
    <x v="0"/>
  </r>
  <r>
    <x v="1745"/>
    <x v="44"/>
    <x v="1"/>
    <x v="3"/>
    <x v="731"/>
    <d v="2025-02-10T00:00:00"/>
    <x v="7"/>
    <x v="5"/>
    <x v="1"/>
    <x v="1744"/>
    <n v="27"/>
    <x v="0"/>
    <s v="Deceased"/>
    <x v="1"/>
    <x v="2"/>
    <s v="Card"/>
    <n v="6"/>
    <x v="1740"/>
    <s v="No"/>
    <x v="0"/>
  </r>
  <r>
    <x v="1746"/>
    <x v="8"/>
    <x v="1"/>
    <x v="6"/>
    <x v="712"/>
    <d v="2024-03-01T00:00:00"/>
    <x v="7"/>
    <x v="5"/>
    <x v="3"/>
    <x v="1745"/>
    <n v="13"/>
    <x v="1"/>
    <s v="Deceased"/>
    <x v="1"/>
    <x v="0"/>
    <s v="Card"/>
    <n v="1"/>
    <x v="1741"/>
    <s v="Yes"/>
    <x v="0"/>
  </r>
  <r>
    <x v="1747"/>
    <x v="21"/>
    <x v="1"/>
    <x v="1"/>
    <x v="835"/>
    <d v="2024-10-29T00:00:00"/>
    <x v="7"/>
    <x v="5"/>
    <x v="0"/>
    <x v="1746"/>
    <n v="18"/>
    <x v="0"/>
    <s v="Recovered"/>
    <x v="2"/>
    <x v="0"/>
    <s v="Cash"/>
    <n v="4"/>
    <x v="1742"/>
    <s v="Yes"/>
    <x v="0"/>
  </r>
  <r>
    <x v="1748"/>
    <x v="36"/>
    <x v="1"/>
    <x v="5"/>
    <x v="142"/>
    <d v="2025-07-13T00:00:00"/>
    <x v="8"/>
    <x v="6"/>
    <x v="5"/>
    <x v="1747"/>
    <n v="2"/>
    <x v="0"/>
    <s v="Referred"/>
    <x v="0"/>
    <x v="0"/>
    <s v="UPI"/>
    <n v="12"/>
    <x v="1743"/>
    <s v="Yes"/>
    <x v="0"/>
  </r>
  <r>
    <x v="1749"/>
    <x v="70"/>
    <x v="0"/>
    <x v="4"/>
    <x v="479"/>
    <d v="2025-06-14T00:00:00"/>
    <x v="4"/>
    <x v="3"/>
    <x v="7"/>
    <x v="1748"/>
    <n v="6"/>
    <x v="0"/>
    <s v="Under Observation"/>
    <x v="2"/>
    <x v="3"/>
    <s v="Insurance"/>
    <n v="11"/>
    <x v="1744"/>
    <s v="No"/>
    <x v="0"/>
  </r>
  <r>
    <x v="1750"/>
    <x v="4"/>
    <x v="0"/>
    <x v="4"/>
    <x v="644"/>
    <d v="2024-02-19T00:00:00"/>
    <x v="8"/>
    <x v="6"/>
    <x v="5"/>
    <x v="1749"/>
    <n v="9"/>
    <x v="1"/>
    <s v="Recovered"/>
    <x v="1"/>
    <x v="0"/>
    <s v="Insurance"/>
    <n v="12"/>
    <x v="1745"/>
    <s v="Yes"/>
    <x v="0"/>
  </r>
  <r>
    <x v="1751"/>
    <x v="64"/>
    <x v="1"/>
    <x v="6"/>
    <x v="527"/>
    <d v="2024-04-09T00:00:00"/>
    <x v="6"/>
    <x v="2"/>
    <x v="4"/>
    <x v="1750"/>
    <n v="8"/>
    <x v="1"/>
    <s v="Recovered"/>
    <x v="1"/>
    <x v="1"/>
    <s v="Insurance"/>
    <n v="10"/>
    <x v="1746"/>
    <s v="No"/>
    <x v="0"/>
  </r>
  <r>
    <x v="1752"/>
    <x v="59"/>
    <x v="1"/>
    <x v="5"/>
    <x v="394"/>
    <d v="2023-11-15T00:00:00"/>
    <x v="2"/>
    <x v="2"/>
    <x v="6"/>
    <x v="1751"/>
    <n v="4"/>
    <x v="1"/>
    <s v="Recovered"/>
    <x v="0"/>
    <x v="3"/>
    <s v="Insurance"/>
    <n v="10"/>
    <x v="1747"/>
    <s v="Yes"/>
    <x v="0"/>
  </r>
  <r>
    <x v="1753"/>
    <x v="46"/>
    <x v="0"/>
    <x v="3"/>
    <x v="697"/>
    <d v="2024-11-05T00:00:00"/>
    <x v="4"/>
    <x v="3"/>
    <x v="2"/>
    <x v="1752"/>
    <n v="20"/>
    <x v="0"/>
    <s v="Recovered"/>
    <x v="1"/>
    <x v="2"/>
    <s v="Card"/>
    <n v="12"/>
    <x v="1748"/>
    <s v="No"/>
    <x v="0"/>
  </r>
  <r>
    <x v="1754"/>
    <x v="37"/>
    <x v="0"/>
    <x v="2"/>
    <x v="836"/>
    <d v="2024-09-25T00:00:00"/>
    <x v="2"/>
    <x v="2"/>
    <x v="3"/>
    <x v="1753"/>
    <n v="8"/>
    <x v="0"/>
    <s v="Recovered"/>
    <x v="2"/>
    <x v="2"/>
    <s v="Card"/>
    <n v="8"/>
    <x v="1749"/>
    <s v="Yes"/>
    <x v="0"/>
  </r>
  <r>
    <x v="1755"/>
    <x v="11"/>
    <x v="0"/>
    <x v="1"/>
    <x v="245"/>
    <d v="2024-01-28T00:00:00"/>
    <x v="2"/>
    <x v="2"/>
    <x v="1"/>
    <x v="1754"/>
    <n v="7"/>
    <x v="0"/>
    <s v="Recovered"/>
    <x v="0"/>
    <x v="3"/>
    <s v="Insurance"/>
    <n v="1"/>
    <x v="1750"/>
    <s v="Yes"/>
    <x v="0"/>
  </r>
  <r>
    <x v="1756"/>
    <x v="34"/>
    <x v="0"/>
    <x v="4"/>
    <x v="373"/>
    <d v="2024-04-16T00:00:00"/>
    <x v="6"/>
    <x v="2"/>
    <x v="4"/>
    <x v="1755"/>
    <n v="2"/>
    <x v="0"/>
    <s v="Recovered"/>
    <x v="0"/>
    <x v="3"/>
    <s v="UPI"/>
    <n v="14"/>
    <x v="1751"/>
    <s v="No"/>
    <x v="0"/>
  </r>
  <r>
    <x v="1757"/>
    <x v="34"/>
    <x v="1"/>
    <x v="3"/>
    <x v="94"/>
    <d v="2023-01-16T00:00:00"/>
    <x v="7"/>
    <x v="5"/>
    <x v="1"/>
    <x v="1756"/>
    <n v="7"/>
    <x v="1"/>
    <s v="Recovered"/>
    <x v="2"/>
    <x v="1"/>
    <s v="UPI"/>
    <n v="10"/>
    <x v="1752"/>
    <s v="No"/>
    <x v="0"/>
  </r>
  <r>
    <x v="1758"/>
    <x v="38"/>
    <x v="1"/>
    <x v="0"/>
    <x v="238"/>
    <d v="2025-06-28T00:00:00"/>
    <x v="4"/>
    <x v="3"/>
    <x v="0"/>
    <x v="1757"/>
    <n v="14"/>
    <x v="1"/>
    <s v="Recovered"/>
    <x v="0"/>
    <x v="2"/>
    <s v="Cash"/>
    <n v="9"/>
    <x v="1753"/>
    <s v="No"/>
    <x v="0"/>
  </r>
  <r>
    <x v="1759"/>
    <x v="48"/>
    <x v="1"/>
    <x v="7"/>
    <x v="837"/>
    <d v="2023-03-10T00:00:00"/>
    <x v="1"/>
    <x v="1"/>
    <x v="0"/>
    <x v="1758"/>
    <n v="16"/>
    <x v="0"/>
    <s v="Referred"/>
    <x v="2"/>
    <x v="2"/>
    <s v="Cash"/>
    <n v="11"/>
    <x v="1754"/>
    <s v="No"/>
    <x v="0"/>
  </r>
  <r>
    <x v="1760"/>
    <x v="40"/>
    <x v="0"/>
    <x v="7"/>
    <x v="529"/>
    <d v="2023-04-19T00:00:00"/>
    <x v="1"/>
    <x v="1"/>
    <x v="3"/>
    <x v="1759"/>
    <n v="13"/>
    <x v="1"/>
    <s v="Recovered"/>
    <x v="0"/>
    <x v="1"/>
    <s v="Card"/>
    <n v="10"/>
    <x v="1755"/>
    <s v="No"/>
    <x v="0"/>
  </r>
  <r>
    <x v="1761"/>
    <x v="12"/>
    <x v="0"/>
    <x v="3"/>
    <x v="440"/>
    <d v="2025-07-04T00:00:00"/>
    <x v="8"/>
    <x v="6"/>
    <x v="6"/>
    <x v="1760"/>
    <n v="2"/>
    <x v="0"/>
    <s v="Under Observation"/>
    <x v="0"/>
    <x v="3"/>
    <s v="UPI"/>
    <n v="9"/>
    <x v="1756"/>
    <s v="No"/>
    <x v="0"/>
  </r>
  <r>
    <x v="1762"/>
    <x v="27"/>
    <x v="1"/>
    <x v="5"/>
    <x v="838"/>
    <d v="2023-03-11T00:00:00"/>
    <x v="8"/>
    <x v="6"/>
    <x v="7"/>
    <x v="1761"/>
    <n v="24"/>
    <x v="0"/>
    <s v="Recovered"/>
    <x v="1"/>
    <x v="2"/>
    <s v="Card"/>
    <n v="7"/>
    <x v="1757"/>
    <s v="Yes"/>
    <x v="1"/>
  </r>
  <r>
    <x v="1763"/>
    <x v="14"/>
    <x v="1"/>
    <x v="1"/>
    <x v="53"/>
    <d v="2024-03-22T00:00:00"/>
    <x v="0"/>
    <x v="0"/>
    <x v="2"/>
    <x v="1762"/>
    <n v="1"/>
    <x v="1"/>
    <s v="Recovered"/>
    <x v="0"/>
    <x v="3"/>
    <s v="Insurance"/>
    <n v="1"/>
    <x v="1758"/>
    <s v="No"/>
    <x v="0"/>
  </r>
  <r>
    <x v="1764"/>
    <x v="17"/>
    <x v="1"/>
    <x v="3"/>
    <x v="234"/>
    <d v="2025-08-03T00:00:00"/>
    <x v="6"/>
    <x v="2"/>
    <x v="5"/>
    <x v="1763"/>
    <n v="15"/>
    <x v="0"/>
    <s v="Recovered"/>
    <x v="1"/>
    <x v="3"/>
    <s v="UPI"/>
    <n v="5"/>
    <x v="1759"/>
    <s v="No"/>
    <x v="0"/>
  </r>
  <r>
    <x v="1765"/>
    <x v="33"/>
    <x v="1"/>
    <x v="4"/>
    <x v="377"/>
    <d v="2024-05-20T00:00:00"/>
    <x v="8"/>
    <x v="6"/>
    <x v="7"/>
    <x v="1764"/>
    <n v="3"/>
    <x v="1"/>
    <s v="Recovered"/>
    <x v="0"/>
    <x v="1"/>
    <s v="Insurance"/>
    <n v="12"/>
    <x v="1760"/>
    <s v="No"/>
    <x v="0"/>
  </r>
  <r>
    <x v="1766"/>
    <x v="60"/>
    <x v="1"/>
    <x v="3"/>
    <x v="839"/>
    <d v="2023-05-04T00:00:00"/>
    <x v="4"/>
    <x v="3"/>
    <x v="0"/>
    <x v="1765"/>
    <n v="7"/>
    <x v="0"/>
    <s v="Recovered"/>
    <x v="1"/>
    <x v="1"/>
    <s v="Card"/>
    <n v="14"/>
    <x v="1761"/>
    <s v="Yes"/>
    <x v="1"/>
  </r>
  <r>
    <x v="1767"/>
    <x v="46"/>
    <x v="1"/>
    <x v="7"/>
    <x v="205"/>
    <d v="2025-05-03T00:00:00"/>
    <x v="1"/>
    <x v="1"/>
    <x v="7"/>
    <x v="1766"/>
    <n v="5"/>
    <x v="1"/>
    <s v="Under Observation"/>
    <x v="1"/>
    <x v="3"/>
    <s v="Card"/>
    <n v="4"/>
    <x v="1762"/>
    <s v="No"/>
    <x v="0"/>
  </r>
  <r>
    <x v="1768"/>
    <x v="6"/>
    <x v="1"/>
    <x v="5"/>
    <x v="124"/>
    <d v="2025-08-21T00:00:00"/>
    <x v="9"/>
    <x v="5"/>
    <x v="7"/>
    <x v="1767"/>
    <n v="17"/>
    <x v="1"/>
    <s v="Recovered"/>
    <x v="1"/>
    <x v="3"/>
    <s v="Card"/>
    <n v="10"/>
    <x v="1763"/>
    <s v="Yes"/>
    <x v="0"/>
  </r>
  <r>
    <x v="1769"/>
    <x v="15"/>
    <x v="0"/>
    <x v="0"/>
    <x v="165"/>
    <d v="2023-04-07T00:00:00"/>
    <x v="6"/>
    <x v="2"/>
    <x v="3"/>
    <x v="1768"/>
    <n v="13"/>
    <x v="1"/>
    <s v="Recovered"/>
    <x v="0"/>
    <x v="3"/>
    <s v="Insurance"/>
    <n v="2"/>
    <x v="1764"/>
    <s v="No"/>
    <x v="1"/>
  </r>
  <r>
    <x v="1770"/>
    <x v="6"/>
    <x v="0"/>
    <x v="6"/>
    <x v="840"/>
    <d v="2023-12-03T00:00:00"/>
    <x v="4"/>
    <x v="3"/>
    <x v="6"/>
    <x v="1769"/>
    <n v="14"/>
    <x v="0"/>
    <s v="Recovered"/>
    <x v="2"/>
    <x v="2"/>
    <s v="Card"/>
    <n v="2"/>
    <x v="1765"/>
    <s v="No"/>
    <x v="0"/>
  </r>
  <r>
    <x v="1771"/>
    <x v="42"/>
    <x v="1"/>
    <x v="1"/>
    <x v="638"/>
    <d v="2023-10-31T00:00:00"/>
    <x v="0"/>
    <x v="0"/>
    <x v="6"/>
    <x v="1770"/>
    <n v="18"/>
    <x v="0"/>
    <s v="Recovered"/>
    <x v="2"/>
    <x v="1"/>
    <s v="Cash"/>
    <n v="5"/>
    <x v="1766"/>
    <s v="No"/>
    <x v="0"/>
  </r>
  <r>
    <x v="1772"/>
    <x v="37"/>
    <x v="1"/>
    <x v="7"/>
    <x v="449"/>
    <d v="2023-02-24T00:00:00"/>
    <x v="0"/>
    <x v="0"/>
    <x v="7"/>
    <x v="1771"/>
    <n v="8"/>
    <x v="0"/>
    <s v="Recovered"/>
    <x v="0"/>
    <x v="1"/>
    <s v="UPI"/>
    <n v="11"/>
    <x v="1767"/>
    <s v="No"/>
    <x v="0"/>
  </r>
  <r>
    <x v="1773"/>
    <x v="0"/>
    <x v="0"/>
    <x v="5"/>
    <x v="339"/>
    <d v="2023-05-10T00:00:00"/>
    <x v="5"/>
    <x v="4"/>
    <x v="2"/>
    <x v="1772"/>
    <n v="5"/>
    <x v="0"/>
    <s v="Recovered"/>
    <x v="1"/>
    <x v="1"/>
    <s v="Card"/>
    <n v="4"/>
    <x v="1768"/>
    <s v="No"/>
    <x v="0"/>
  </r>
  <r>
    <x v="1774"/>
    <x v="36"/>
    <x v="1"/>
    <x v="6"/>
    <x v="348"/>
    <d v="2024-02-14T00:00:00"/>
    <x v="1"/>
    <x v="1"/>
    <x v="4"/>
    <x v="1773"/>
    <n v="3"/>
    <x v="1"/>
    <s v="Under Observation"/>
    <x v="1"/>
    <x v="1"/>
    <s v="Cash"/>
    <n v="3"/>
    <x v="1769"/>
    <s v="Yes"/>
    <x v="0"/>
  </r>
  <r>
    <x v="1775"/>
    <x v="45"/>
    <x v="0"/>
    <x v="4"/>
    <x v="211"/>
    <d v="2024-07-21T00:00:00"/>
    <x v="6"/>
    <x v="2"/>
    <x v="5"/>
    <x v="1774"/>
    <n v="14"/>
    <x v="0"/>
    <s v="Recovered"/>
    <x v="0"/>
    <x v="0"/>
    <s v="Cash"/>
    <n v="1"/>
    <x v="1770"/>
    <s v="No"/>
    <x v="0"/>
  </r>
  <r>
    <x v="1776"/>
    <x v="49"/>
    <x v="1"/>
    <x v="4"/>
    <x v="731"/>
    <d v="2025-01-27T00:00:00"/>
    <x v="6"/>
    <x v="2"/>
    <x v="2"/>
    <x v="1775"/>
    <n v="13"/>
    <x v="0"/>
    <s v="Recovered"/>
    <x v="0"/>
    <x v="2"/>
    <s v="UPI"/>
    <n v="6"/>
    <x v="1771"/>
    <s v="Yes"/>
    <x v="0"/>
  </r>
  <r>
    <x v="1777"/>
    <x v="51"/>
    <x v="0"/>
    <x v="3"/>
    <x v="643"/>
    <d v="2024-02-20T00:00:00"/>
    <x v="3"/>
    <x v="0"/>
    <x v="7"/>
    <x v="1776"/>
    <n v="13"/>
    <x v="0"/>
    <s v="Under Observation"/>
    <x v="1"/>
    <x v="1"/>
    <s v="Insurance"/>
    <n v="12"/>
    <x v="1772"/>
    <s v="No"/>
    <x v="0"/>
  </r>
  <r>
    <x v="1778"/>
    <x v="9"/>
    <x v="1"/>
    <x v="2"/>
    <x v="237"/>
    <d v="2025-06-27T00:00:00"/>
    <x v="7"/>
    <x v="5"/>
    <x v="7"/>
    <x v="1777"/>
    <n v="11"/>
    <x v="1"/>
    <s v="Recovered"/>
    <x v="2"/>
    <x v="0"/>
    <s v="Insurance"/>
    <n v="7"/>
    <x v="1773"/>
    <s v="No"/>
    <x v="0"/>
  </r>
  <r>
    <x v="1779"/>
    <x v="59"/>
    <x v="1"/>
    <x v="3"/>
    <x v="719"/>
    <d v="2024-06-24T00:00:00"/>
    <x v="1"/>
    <x v="1"/>
    <x v="0"/>
    <x v="1778"/>
    <n v="16"/>
    <x v="1"/>
    <s v="Recovered"/>
    <x v="0"/>
    <x v="1"/>
    <s v="Insurance"/>
    <n v="14"/>
    <x v="1774"/>
    <s v="No"/>
    <x v="0"/>
  </r>
  <r>
    <x v="1780"/>
    <x v="16"/>
    <x v="1"/>
    <x v="3"/>
    <x v="841"/>
    <d v="2023-04-29T00:00:00"/>
    <x v="2"/>
    <x v="2"/>
    <x v="2"/>
    <x v="1779"/>
    <n v="10"/>
    <x v="1"/>
    <s v="Recovered"/>
    <x v="0"/>
    <x v="0"/>
    <s v="Cash"/>
    <n v="12"/>
    <x v="1775"/>
    <s v="No"/>
    <x v="0"/>
  </r>
  <r>
    <x v="1781"/>
    <x v="35"/>
    <x v="0"/>
    <x v="3"/>
    <x v="842"/>
    <d v="2024-05-05T00:00:00"/>
    <x v="7"/>
    <x v="5"/>
    <x v="3"/>
    <x v="1780"/>
    <n v="19"/>
    <x v="1"/>
    <s v="Recovered"/>
    <x v="1"/>
    <x v="1"/>
    <s v="UPI"/>
    <n v="5"/>
    <x v="1776"/>
    <s v="No"/>
    <x v="0"/>
  </r>
  <r>
    <x v="1782"/>
    <x v="29"/>
    <x v="1"/>
    <x v="2"/>
    <x v="50"/>
    <d v="2023-12-23T00:00:00"/>
    <x v="1"/>
    <x v="1"/>
    <x v="6"/>
    <x v="1781"/>
    <n v="8"/>
    <x v="0"/>
    <s v="Recovered"/>
    <x v="0"/>
    <x v="3"/>
    <s v="Card"/>
    <n v="10"/>
    <x v="1777"/>
    <s v="No"/>
    <x v="0"/>
  </r>
  <r>
    <x v="1783"/>
    <x v="27"/>
    <x v="1"/>
    <x v="1"/>
    <x v="778"/>
    <d v="2024-07-16T00:00:00"/>
    <x v="6"/>
    <x v="2"/>
    <x v="2"/>
    <x v="1782"/>
    <n v="15"/>
    <x v="1"/>
    <s v="Referred"/>
    <x v="2"/>
    <x v="2"/>
    <s v="Insurance"/>
    <n v="2"/>
    <x v="1778"/>
    <s v="No"/>
    <x v="0"/>
  </r>
  <r>
    <x v="1784"/>
    <x v="36"/>
    <x v="1"/>
    <x v="3"/>
    <x v="843"/>
    <d v="2023-05-10T00:00:00"/>
    <x v="8"/>
    <x v="6"/>
    <x v="2"/>
    <x v="1783"/>
    <n v="16"/>
    <x v="1"/>
    <s v="Referred"/>
    <x v="2"/>
    <x v="1"/>
    <s v="Insurance"/>
    <n v="8"/>
    <x v="1779"/>
    <s v="No"/>
    <x v="1"/>
  </r>
  <r>
    <x v="1785"/>
    <x v="71"/>
    <x v="0"/>
    <x v="5"/>
    <x v="394"/>
    <d v="2023-11-12T00:00:00"/>
    <x v="1"/>
    <x v="1"/>
    <x v="7"/>
    <x v="1784"/>
    <n v="1"/>
    <x v="0"/>
    <s v="Recovered"/>
    <x v="1"/>
    <x v="3"/>
    <s v="Cash"/>
    <n v="13"/>
    <x v="1780"/>
    <s v="Yes"/>
    <x v="0"/>
  </r>
  <r>
    <x v="1786"/>
    <x v="0"/>
    <x v="1"/>
    <x v="7"/>
    <x v="577"/>
    <d v="2024-02-29T00:00:00"/>
    <x v="7"/>
    <x v="5"/>
    <x v="3"/>
    <x v="1785"/>
    <n v="3"/>
    <x v="0"/>
    <s v="Under Observation"/>
    <x v="1"/>
    <x v="1"/>
    <s v="Card"/>
    <n v="8"/>
    <x v="1781"/>
    <s v="Yes"/>
    <x v="0"/>
  </r>
  <r>
    <x v="1787"/>
    <x v="25"/>
    <x v="0"/>
    <x v="1"/>
    <x v="122"/>
    <d v="2025-09-17T00:00:00"/>
    <x v="4"/>
    <x v="3"/>
    <x v="2"/>
    <x v="1786"/>
    <n v="9"/>
    <x v="0"/>
    <s v="Under Observation"/>
    <x v="2"/>
    <x v="0"/>
    <s v="Card"/>
    <n v="1"/>
    <x v="1782"/>
    <s v="Yes"/>
    <x v="1"/>
  </r>
  <r>
    <x v="1788"/>
    <x v="71"/>
    <x v="1"/>
    <x v="7"/>
    <x v="697"/>
    <d v="2024-10-22T00:00:00"/>
    <x v="7"/>
    <x v="5"/>
    <x v="1"/>
    <x v="1787"/>
    <n v="6"/>
    <x v="0"/>
    <s v="Recovered"/>
    <x v="0"/>
    <x v="1"/>
    <s v="Cash"/>
    <n v="2"/>
    <x v="1783"/>
    <s v="No"/>
    <x v="1"/>
  </r>
  <r>
    <x v="1789"/>
    <x v="51"/>
    <x v="0"/>
    <x v="4"/>
    <x v="844"/>
    <d v="2025-01-23T00:00:00"/>
    <x v="8"/>
    <x v="6"/>
    <x v="2"/>
    <x v="1788"/>
    <n v="23"/>
    <x v="1"/>
    <s v="Recovered"/>
    <x v="0"/>
    <x v="2"/>
    <s v="UPI"/>
    <n v="10"/>
    <x v="1784"/>
    <s v="No"/>
    <x v="0"/>
  </r>
  <r>
    <x v="1790"/>
    <x v="63"/>
    <x v="1"/>
    <x v="6"/>
    <x v="300"/>
    <d v="2024-03-23T00:00:00"/>
    <x v="5"/>
    <x v="4"/>
    <x v="5"/>
    <x v="1789"/>
    <n v="11"/>
    <x v="1"/>
    <s v="Recovered"/>
    <x v="1"/>
    <x v="0"/>
    <s v="Cash"/>
    <n v="9"/>
    <x v="1785"/>
    <s v="No"/>
    <x v="0"/>
  </r>
  <r>
    <x v="1791"/>
    <x v="70"/>
    <x v="0"/>
    <x v="4"/>
    <x v="555"/>
    <d v="2024-12-13T00:00:00"/>
    <x v="4"/>
    <x v="3"/>
    <x v="4"/>
    <x v="1790"/>
    <n v="9"/>
    <x v="1"/>
    <s v="Recovered"/>
    <x v="1"/>
    <x v="0"/>
    <s v="Cash"/>
    <n v="11"/>
    <x v="1786"/>
    <s v="No"/>
    <x v="0"/>
  </r>
  <r>
    <x v="1792"/>
    <x v="17"/>
    <x v="1"/>
    <x v="7"/>
    <x v="845"/>
    <d v="2024-08-28T00:00:00"/>
    <x v="5"/>
    <x v="4"/>
    <x v="7"/>
    <x v="1791"/>
    <n v="12"/>
    <x v="1"/>
    <s v="Recovered"/>
    <x v="2"/>
    <x v="0"/>
    <s v="UPI"/>
    <n v="15"/>
    <x v="1787"/>
    <s v="No"/>
    <x v="0"/>
  </r>
  <r>
    <x v="1793"/>
    <x v="69"/>
    <x v="0"/>
    <x v="5"/>
    <x v="846"/>
    <d v="2024-06-02T00:00:00"/>
    <x v="5"/>
    <x v="4"/>
    <x v="3"/>
    <x v="1792"/>
    <n v="5"/>
    <x v="1"/>
    <s v="Recovered"/>
    <x v="2"/>
    <x v="2"/>
    <s v="Insurance"/>
    <n v="13"/>
    <x v="1788"/>
    <s v="No"/>
    <x v="0"/>
  </r>
  <r>
    <x v="1794"/>
    <x v="57"/>
    <x v="0"/>
    <x v="4"/>
    <x v="847"/>
    <d v="2024-02-29T00:00:00"/>
    <x v="6"/>
    <x v="2"/>
    <x v="1"/>
    <x v="1793"/>
    <n v="7"/>
    <x v="1"/>
    <s v="Recovered"/>
    <x v="2"/>
    <x v="1"/>
    <s v="Cash"/>
    <n v="3"/>
    <x v="1789"/>
    <s v="Yes"/>
    <x v="0"/>
  </r>
  <r>
    <x v="1795"/>
    <x v="19"/>
    <x v="1"/>
    <x v="6"/>
    <x v="848"/>
    <d v="2023-11-05T00:00:00"/>
    <x v="5"/>
    <x v="4"/>
    <x v="7"/>
    <x v="1794"/>
    <n v="9"/>
    <x v="1"/>
    <s v="Under Observation"/>
    <x v="2"/>
    <x v="2"/>
    <s v="Cash"/>
    <n v="3"/>
    <x v="1790"/>
    <s v="No"/>
    <x v="0"/>
  </r>
  <r>
    <x v="1796"/>
    <x v="21"/>
    <x v="1"/>
    <x v="5"/>
    <x v="211"/>
    <d v="2024-07-10T00:00:00"/>
    <x v="6"/>
    <x v="2"/>
    <x v="0"/>
    <x v="1795"/>
    <n v="3"/>
    <x v="1"/>
    <s v="Deceased"/>
    <x v="1"/>
    <x v="1"/>
    <s v="Insurance"/>
    <n v="3"/>
    <x v="1791"/>
    <s v="Yes"/>
    <x v="0"/>
  </r>
  <r>
    <x v="1797"/>
    <x v="38"/>
    <x v="0"/>
    <x v="1"/>
    <x v="849"/>
    <d v="2024-07-06T00:00:00"/>
    <x v="9"/>
    <x v="5"/>
    <x v="6"/>
    <x v="1796"/>
    <n v="4"/>
    <x v="1"/>
    <s v="Under Observation"/>
    <x v="2"/>
    <x v="2"/>
    <s v="Insurance"/>
    <n v="15"/>
    <x v="1792"/>
    <s v="No"/>
    <x v="0"/>
  </r>
  <r>
    <x v="1798"/>
    <x v="38"/>
    <x v="0"/>
    <x v="1"/>
    <x v="215"/>
    <d v="2023-09-04T00:00:00"/>
    <x v="8"/>
    <x v="6"/>
    <x v="3"/>
    <x v="1797"/>
    <n v="6"/>
    <x v="0"/>
    <s v="Recovered"/>
    <x v="0"/>
    <x v="3"/>
    <s v="Insurance"/>
    <n v="8"/>
    <x v="1793"/>
    <s v="No"/>
    <x v="1"/>
  </r>
  <r>
    <x v="1799"/>
    <x v="4"/>
    <x v="0"/>
    <x v="2"/>
    <x v="442"/>
    <d v="2024-02-22T00:00:00"/>
    <x v="4"/>
    <x v="3"/>
    <x v="0"/>
    <x v="1798"/>
    <n v="6"/>
    <x v="0"/>
    <s v="Referred"/>
    <x v="0"/>
    <x v="3"/>
    <s v="Cash"/>
    <n v="9"/>
    <x v="1794"/>
    <s v="Yes"/>
    <x v="0"/>
  </r>
  <r>
    <x v="1800"/>
    <x v="58"/>
    <x v="1"/>
    <x v="1"/>
    <x v="297"/>
    <d v="2024-04-14T00:00:00"/>
    <x v="6"/>
    <x v="2"/>
    <x v="6"/>
    <x v="1799"/>
    <n v="16"/>
    <x v="1"/>
    <s v="Recovered"/>
    <x v="0"/>
    <x v="3"/>
    <s v="Cash"/>
    <n v="13"/>
    <x v="1795"/>
    <s v="Yes"/>
    <x v="0"/>
  </r>
  <r>
    <x v="1801"/>
    <x v="33"/>
    <x v="0"/>
    <x v="6"/>
    <x v="158"/>
    <d v="2023-06-24T00:00:00"/>
    <x v="7"/>
    <x v="5"/>
    <x v="5"/>
    <x v="1800"/>
    <n v="19"/>
    <x v="1"/>
    <s v="Recovered"/>
    <x v="0"/>
    <x v="0"/>
    <s v="Cash"/>
    <n v="8"/>
    <x v="1796"/>
    <s v="No"/>
    <x v="0"/>
  </r>
  <r>
    <x v="1802"/>
    <x v="16"/>
    <x v="0"/>
    <x v="7"/>
    <x v="784"/>
    <d v="2024-03-30T00:00:00"/>
    <x v="6"/>
    <x v="2"/>
    <x v="4"/>
    <x v="1801"/>
    <n v="5"/>
    <x v="0"/>
    <s v="Recovered"/>
    <x v="2"/>
    <x v="0"/>
    <s v="UPI"/>
    <n v="3"/>
    <x v="1797"/>
    <s v="No"/>
    <x v="0"/>
  </r>
  <r>
    <x v="1803"/>
    <x v="53"/>
    <x v="0"/>
    <x v="5"/>
    <x v="789"/>
    <d v="2024-09-07T00:00:00"/>
    <x v="4"/>
    <x v="3"/>
    <x v="7"/>
    <x v="1802"/>
    <n v="9"/>
    <x v="1"/>
    <s v="Recovered"/>
    <x v="1"/>
    <x v="0"/>
    <s v="UPI"/>
    <n v="4"/>
    <x v="1798"/>
    <s v="No"/>
    <x v="1"/>
  </r>
  <r>
    <x v="1804"/>
    <x v="55"/>
    <x v="0"/>
    <x v="0"/>
    <x v="754"/>
    <d v="2023-06-25T00:00:00"/>
    <x v="6"/>
    <x v="2"/>
    <x v="4"/>
    <x v="1803"/>
    <n v="3"/>
    <x v="0"/>
    <s v="Recovered"/>
    <x v="1"/>
    <x v="3"/>
    <s v="Card"/>
    <n v="10"/>
    <x v="1799"/>
    <s v="No"/>
    <x v="0"/>
  </r>
  <r>
    <x v="1805"/>
    <x v="14"/>
    <x v="1"/>
    <x v="7"/>
    <x v="201"/>
    <d v="2024-08-27T00:00:00"/>
    <x v="1"/>
    <x v="1"/>
    <x v="6"/>
    <x v="1804"/>
    <n v="6"/>
    <x v="1"/>
    <s v="Recovered"/>
    <x v="1"/>
    <x v="3"/>
    <s v="Insurance"/>
    <n v="8"/>
    <x v="1800"/>
    <s v="Yes"/>
    <x v="1"/>
  </r>
  <r>
    <x v="1806"/>
    <x v="44"/>
    <x v="0"/>
    <x v="7"/>
    <x v="86"/>
    <d v="2025-02-19T00:00:00"/>
    <x v="3"/>
    <x v="0"/>
    <x v="0"/>
    <x v="1805"/>
    <n v="9"/>
    <x v="0"/>
    <s v="Recovered"/>
    <x v="2"/>
    <x v="0"/>
    <s v="Insurance"/>
    <n v="9"/>
    <x v="1801"/>
    <s v="No"/>
    <x v="0"/>
  </r>
  <r>
    <x v="1807"/>
    <x v="27"/>
    <x v="0"/>
    <x v="1"/>
    <x v="727"/>
    <d v="2024-04-10T00:00:00"/>
    <x v="4"/>
    <x v="3"/>
    <x v="0"/>
    <x v="1806"/>
    <n v="13"/>
    <x v="1"/>
    <s v="Recovered"/>
    <x v="0"/>
    <x v="2"/>
    <s v="Insurance"/>
    <n v="10"/>
    <x v="1802"/>
    <s v="No"/>
    <x v="0"/>
  </r>
  <r>
    <x v="1808"/>
    <x v="53"/>
    <x v="0"/>
    <x v="5"/>
    <x v="301"/>
    <d v="2024-02-05T00:00:00"/>
    <x v="5"/>
    <x v="4"/>
    <x v="6"/>
    <x v="1807"/>
    <n v="5"/>
    <x v="0"/>
    <s v="Under Observation"/>
    <x v="1"/>
    <x v="2"/>
    <s v="Cash"/>
    <n v="4"/>
    <x v="1803"/>
    <s v="Yes"/>
    <x v="0"/>
  </r>
  <r>
    <x v="1809"/>
    <x v="5"/>
    <x v="0"/>
    <x v="7"/>
    <x v="850"/>
    <d v="2025-08-16T00:00:00"/>
    <x v="0"/>
    <x v="0"/>
    <x v="4"/>
    <x v="1808"/>
    <n v="17"/>
    <x v="1"/>
    <s v="Recovered"/>
    <x v="2"/>
    <x v="2"/>
    <s v="Insurance"/>
    <n v="15"/>
    <x v="1804"/>
    <s v="No"/>
    <x v="1"/>
  </r>
  <r>
    <x v="1810"/>
    <x v="19"/>
    <x v="1"/>
    <x v="4"/>
    <x v="110"/>
    <d v="2024-12-02T00:00:00"/>
    <x v="4"/>
    <x v="3"/>
    <x v="1"/>
    <x v="1809"/>
    <n v="14"/>
    <x v="1"/>
    <s v="Referred"/>
    <x v="0"/>
    <x v="3"/>
    <s v="UPI"/>
    <n v="1"/>
    <x v="1805"/>
    <s v="Yes"/>
    <x v="0"/>
  </r>
  <r>
    <x v="1811"/>
    <x v="14"/>
    <x v="1"/>
    <x v="6"/>
    <x v="851"/>
    <d v="2024-09-24T00:00:00"/>
    <x v="4"/>
    <x v="3"/>
    <x v="3"/>
    <x v="1810"/>
    <n v="18"/>
    <x v="0"/>
    <s v="Recovered"/>
    <x v="0"/>
    <x v="2"/>
    <s v="Card"/>
    <n v="3"/>
    <x v="1806"/>
    <s v="Yes"/>
    <x v="0"/>
  </r>
  <r>
    <x v="1812"/>
    <x v="46"/>
    <x v="1"/>
    <x v="0"/>
    <x v="808"/>
    <d v="2025-07-27T00:00:00"/>
    <x v="3"/>
    <x v="0"/>
    <x v="2"/>
    <x v="1811"/>
    <n v="18"/>
    <x v="1"/>
    <s v="Recovered"/>
    <x v="0"/>
    <x v="1"/>
    <s v="Card"/>
    <n v="1"/>
    <x v="1807"/>
    <s v="No"/>
    <x v="0"/>
  </r>
  <r>
    <x v="1813"/>
    <x v="28"/>
    <x v="1"/>
    <x v="7"/>
    <x v="13"/>
    <d v="2023-04-09T00:00:00"/>
    <x v="3"/>
    <x v="0"/>
    <x v="2"/>
    <x v="1812"/>
    <n v="4"/>
    <x v="0"/>
    <s v="Recovered"/>
    <x v="1"/>
    <x v="3"/>
    <s v="Card"/>
    <n v="15"/>
    <x v="1808"/>
    <s v="No"/>
    <x v="0"/>
  </r>
  <r>
    <x v="1814"/>
    <x v="6"/>
    <x v="0"/>
    <x v="0"/>
    <x v="796"/>
    <d v="2025-03-06T00:00:00"/>
    <x v="9"/>
    <x v="5"/>
    <x v="1"/>
    <x v="1813"/>
    <n v="2"/>
    <x v="1"/>
    <s v="Recovered"/>
    <x v="0"/>
    <x v="3"/>
    <s v="Card"/>
    <n v="10"/>
    <x v="1809"/>
    <s v="No"/>
    <x v="0"/>
  </r>
  <r>
    <x v="1815"/>
    <x v="67"/>
    <x v="0"/>
    <x v="2"/>
    <x v="852"/>
    <d v="2025-09-11T00:00:00"/>
    <x v="3"/>
    <x v="0"/>
    <x v="6"/>
    <x v="1814"/>
    <n v="30"/>
    <x v="0"/>
    <s v="Recovered"/>
    <x v="0"/>
    <x v="2"/>
    <s v="UPI"/>
    <n v="13"/>
    <x v="1810"/>
    <s v="Yes"/>
    <x v="1"/>
  </r>
  <r>
    <x v="1816"/>
    <x v="70"/>
    <x v="0"/>
    <x v="4"/>
    <x v="499"/>
    <d v="2025-08-07T00:00:00"/>
    <x v="7"/>
    <x v="5"/>
    <x v="3"/>
    <x v="1815"/>
    <n v="12"/>
    <x v="0"/>
    <s v="Recovered"/>
    <x v="0"/>
    <x v="0"/>
    <s v="Card"/>
    <n v="2"/>
    <x v="1811"/>
    <s v="Yes"/>
    <x v="0"/>
  </r>
  <r>
    <x v="1817"/>
    <x v="22"/>
    <x v="1"/>
    <x v="2"/>
    <x v="640"/>
    <d v="2023-02-10T00:00:00"/>
    <x v="5"/>
    <x v="4"/>
    <x v="4"/>
    <x v="1816"/>
    <n v="13"/>
    <x v="1"/>
    <s v="Recovered"/>
    <x v="1"/>
    <x v="0"/>
    <s v="Card"/>
    <n v="1"/>
    <x v="1812"/>
    <s v="Yes"/>
    <x v="1"/>
  </r>
  <r>
    <x v="1818"/>
    <x v="42"/>
    <x v="0"/>
    <x v="6"/>
    <x v="483"/>
    <d v="2024-08-30T00:00:00"/>
    <x v="2"/>
    <x v="2"/>
    <x v="7"/>
    <x v="1817"/>
    <n v="4"/>
    <x v="1"/>
    <s v="Recovered"/>
    <x v="0"/>
    <x v="2"/>
    <s v="Insurance"/>
    <n v="8"/>
    <x v="1813"/>
    <s v="Yes"/>
    <x v="1"/>
  </r>
  <r>
    <x v="1819"/>
    <x v="34"/>
    <x v="1"/>
    <x v="1"/>
    <x v="528"/>
    <d v="2023-06-14T00:00:00"/>
    <x v="3"/>
    <x v="0"/>
    <x v="5"/>
    <x v="1818"/>
    <n v="17"/>
    <x v="1"/>
    <s v="Recovered"/>
    <x v="0"/>
    <x v="0"/>
    <s v="UPI"/>
    <n v="3"/>
    <x v="1814"/>
    <s v="No"/>
    <x v="0"/>
  </r>
  <r>
    <x v="1820"/>
    <x v="29"/>
    <x v="1"/>
    <x v="6"/>
    <x v="66"/>
    <d v="2023-10-15T00:00:00"/>
    <x v="0"/>
    <x v="0"/>
    <x v="4"/>
    <x v="1819"/>
    <n v="12"/>
    <x v="0"/>
    <s v="Recovered"/>
    <x v="0"/>
    <x v="0"/>
    <s v="Cash"/>
    <n v="15"/>
    <x v="1815"/>
    <s v="Yes"/>
    <x v="0"/>
  </r>
  <r>
    <x v="1821"/>
    <x v="61"/>
    <x v="1"/>
    <x v="7"/>
    <x v="27"/>
    <d v="2023-06-19T00:00:00"/>
    <x v="9"/>
    <x v="5"/>
    <x v="2"/>
    <x v="1820"/>
    <n v="13"/>
    <x v="1"/>
    <s v="Recovered"/>
    <x v="2"/>
    <x v="1"/>
    <s v="Card"/>
    <n v="13"/>
    <x v="1816"/>
    <s v="Yes"/>
    <x v="0"/>
  </r>
  <r>
    <x v="1822"/>
    <x v="70"/>
    <x v="0"/>
    <x v="0"/>
    <x v="372"/>
    <d v="2024-08-20T00:00:00"/>
    <x v="6"/>
    <x v="2"/>
    <x v="1"/>
    <x v="1821"/>
    <n v="19"/>
    <x v="1"/>
    <s v="Recovered"/>
    <x v="1"/>
    <x v="2"/>
    <s v="Insurance"/>
    <n v="11"/>
    <x v="1817"/>
    <s v="Yes"/>
    <x v="1"/>
  </r>
  <r>
    <x v="1823"/>
    <x v="10"/>
    <x v="1"/>
    <x v="4"/>
    <x v="267"/>
    <d v="2023-09-18T00:00:00"/>
    <x v="9"/>
    <x v="5"/>
    <x v="4"/>
    <x v="1822"/>
    <n v="29"/>
    <x v="1"/>
    <s v="Recovered"/>
    <x v="0"/>
    <x v="2"/>
    <s v="UPI"/>
    <n v="8"/>
    <x v="1818"/>
    <s v="No"/>
    <x v="0"/>
  </r>
  <r>
    <x v="1824"/>
    <x v="37"/>
    <x v="0"/>
    <x v="0"/>
    <x v="777"/>
    <d v="2024-04-18T00:00:00"/>
    <x v="0"/>
    <x v="0"/>
    <x v="4"/>
    <x v="1823"/>
    <n v="8"/>
    <x v="0"/>
    <s v="Recovered"/>
    <x v="1"/>
    <x v="2"/>
    <s v="Cash"/>
    <n v="13"/>
    <x v="1819"/>
    <s v="Yes"/>
    <x v="0"/>
  </r>
  <r>
    <x v="1825"/>
    <x v="42"/>
    <x v="1"/>
    <x v="2"/>
    <x v="558"/>
    <d v="2023-12-23T00:00:00"/>
    <x v="5"/>
    <x v="4"/>
    <x v="4"/>
    <x v="1824"/>
    <n v="9"/>
    <x v="0"/>
    <s v="Recovered"/>
    <x v="1"/>
    <x v="1"/>
    <s v="Insurance"/>
    <n v="4"/>
    <x v="1820"/>
    <s v="Yes"/>
    <x v="0"/>
  </r>
  <r>
    <x v="1826"/>
    <x v="62"/>
    <x v="0"/>
    <x v="7"/>
    <x v="732"/>
    <d v="2025-06-04T00:00:00"/>
    <x v="2"/>
    <x v="2"/>
    <x v="3"/>
    <x v="1825"/>
    <n v="12"/>
    <x v="0"/>
    <s v="Referred"/>
    <x v="2"/>
    <x v="3"/>
    <s v="Card"/>
    <n v="10"/>
    <x v="1821"/>
    <s v="Yes"/>
    <x v="0"/>
  </r>
  <r>
    <x v="1827"/>
    <x v="30"/>
    <x v="1"/>
    <x v="1"/>
    <x v="614"/>
    <d v="2025-08-20T00:00:00"/>
    <x v="7"/>
    <x v="5"/>
    <x v="7"/>
    <x v="1826"/>
    <n v="15"/>
    <x v="1"/>
    <s v="Recovered"/>
    <x v="1"/>
    <x v="1"/>
    <s v="Cash"/>
    <n v="7"/>
    <x v="1822"/>
    <s v="No"/>
    <x v="0"/>
  </r>
  <r>
    <x v="1828"/>
    <x v="31"/>
    <x v="1"/>
    <x v="3"/>
    <x v="853"/>
    <d v="2023-08-20T00:00:00"/>
    <x v="7"/>
    <x v="5"/>
    <x v="6"/>
    <x v="1827"/>
    <n v="11"/>
    <x v="0"/>
    <s v="Recovered"/>
    <x v="1"/>
    <x v="2"/>
    <s v="UPI"/>
    <n v="4"/>
    <x v="1823"/>
    <s v="Yes"/>
    <x v="0"/>
  </r>
  <r>
    <x v="1829"/>
    <x v="30"/>
    <x v="0"/>
    <x v="7"/>
    <x v="758"/>
    <d v="2025-07-27T00:00:00"/>
    <x v="2"/>
    <x v="2"/>
    <x v="3"/>
    <x v="1828"/>
    <n v="3"/>
    <x v="1"/>
    <s v="Recovered"/>
    <x v="0"/>
    <x v="3"/>
    <s v="UPI"/>
    <n v="11"/>
    <x v="1824"/>
    <s v="No"/>
    <x v="0"/>
  </r>
  <r>
    <x v="1830"/>
    <x v="44"/>
    <x v="1"/>
    <x v="4"/>
    <x v="854"/>
    <d v="2025-07-22T00:00:00"/>
    <x v="2"/>
    <x v="2"/>
    <x v="3"/>
    <x v="1829"/>
    <n v="1"/>
    <x v="1"/>
    <s v="Recovered"/>
    <x v="1"/>
    <x v="3"/>
    <s v="Insurance"/>
    <n v="1"/>
    <x v="1825"/>
    <s v="No"/>
    <x v="0"/>
  </r>
  <r>
    <x v="1831"/>
    <x v="8"/>
    <x v="1"/>
    <x v="6"/>
    <x v="681"/>
    <d v="2025-09-16T00:00:00"/>
    <x v="9"/>
    <x v="5"/>
    <x v="6"/>
    <x v="1830"/>
    <n v="6"/>
    <x v="1"/>
    <s v="Referred"/>
    <x v="0"/>
    <x v="0"/>
    <s v="Insurance"/>
    <n v="5"/>
    <x v="1826"/>
    <s v="No"/>
    <x v="0"/>
  </r>
  <r>
    <x v="1832"/>
    <x v="33"/>
    <x v="0"/>
    <x v="4"/>
    <x v="368"/>
    <d v="2023-06-13T00:00:00"/>
    <x v="3"/>
    <x v="0"/>
    <x v="2"/>
    <x v="1831"/>
    <n v="9"/>
    <x v="0"/>
    <s v="Recovered"/>
    <x v="1"/>
    <x v="1"/>
    <s v="Card"/>
    <n v="14"/>
    <x v="1827"/>
    <s v="Yes"/>
    <x v="0"/>
  </r>
  <r>
    <x v="1833"/>
    <x v="50"/>
    <x v="1"/>
    <x v="6"/>
    <x v="717"/>
    <d v="2023-02-08T00:00:00"/>
    <x v="6"/>
    <x v="2"/>
    <x v="2"/>
    <x v="1832"/>
    <n v="3"/>
    <x v="0"/>
    <s v="Recovered"/>
    <x v="1"/>
    <x v="2"/>
    <s v="Cash"/>
    <n v="6"/>
    <x v="1828"/>
    <s v="No"/>
    <x v="0"/>
  </r>
  <r>
    <x v="1834"/>
    <x v="64"/>
    <x v="1"/>
    <x v="3"/>
    <x v="855"/>
    <d v="2024-01-25T00:00:00"/>
    <x v="1"/>
    <x v="1"/>
    <x v="5"/>
    <x v="1833"/>
    <n v="15"/>
    <x v="1"/>
    <s v="Recovered"/>
    <x v="0"/>
    <x v="0"/>
    <s v="Cash"/>
    <n v="5"/>
    <x v="1829"/>
    <s v="No"/>
    <x v="0"/>
  </r>
  <r>
    <x v="1835"/>
    <x v="62"/>
    <x v="0"/>
    <x v="4"/>
    <x v="855"/>
    <d v="2024-01-17T00:00:00"/>
    <x v="8"/>
    <x v="6"/>
    <x v="4"/>
    <x v="1834"/>
    <n v="7"/>
    <x v="1"/>
    <s v="Recovered"/>
    <x v="2"/>
    <x v="0"/>
    <s v="Cash"/>
    <n v="8"/>
    <x v="1830"/>
    <s v="Yes"/>
    <x v="0"/>
  </r>
  <r>
    <x v="1836"/>
    <x v="41"/>
    <x v="0"/>
    <x v="4"/>
    <x v="360"/>
    <d v="2023-08-06T00:00:00"/>
    <x v="4"/>
    <x v="3"/>
    <x v="5"/>
    <x v="1835"/>
    <n v="20"/>
    <x v="0"/>
    <s v="Recovered"/>
    <x v="2"/>
    <x v="1"/>
    <s v="Card"/>
    <n v="2"/>
    <x v="1831"/>
    <s v="No"/>
    <x v="0"/>
  </r>
  <r>
    <x v="1837"/>
    <x v="65"/>
    <x v="0"/>
    <x v="0"/>
    <x v="301"/>
    <d v="2024-02-28T00:00:00"/>
    <x v="0"/>
    <x v="0"/>
    <x v="5"/>
    <x v="1836"/>
    <n v="28"/>
    <x v="0"/>
    <s v="Recovered"/>
    <x v="0"/>
    <x v="2"/>
    <s v="Cash"/>
    <n v="7"/>
    <x v="1832"/>
    <s v="No"/>
    <x v="1"/>
  </r>
  <r>
    <x v="1838"/>
    <x v="7"/>
    <x v="0"/>
    <x v="0"/>
    <x v="414"/>
    <d v="2024-06-06T00:00:00"/>
    <x v="1"/>
    <x v="1"/>
    <x v="6"/>
    <x v="1837"/>
    <n v="18"/>
    <x v="0"/>
    <s v="Referred"/>
    <x v="0"/>
    <x v="1"/>
    <s v="UPI"/>
    <n v="6"/>
    <x v="1833"/>
    <s v="No"/>
    <x v="0"/>
  </r>
  <r>
    <x v="1839"/>
    <x v="11"/>
    <x v="0"/>
    <x v="2"/>
    <x v="537"/>
    <d v="2024-01-11T00:00:00"/>
    <x v="5"/>
    <x v="4"/>
    <x v="3"/>
    <x v="1838"/>
    <n v="3"/>
    <x v="0"/>
    <s v="Recovered"/>
    <x v="2"/>
    <x v="3"/>
    <s v="Insurance"/>
    <n v="2"/>
    <x v="1834"/>
    <s v="Yes"/>
    <x v="0"/>
  </r>
  <r>
    <x v="1840"/>
    <x v="55"/>
    <x v="1"/>
    <x v="5"/>
    <x v="733"/>
    <d v="2024-02-11T00:00:00"/>
    <x v="2"/>
    <x v="2"/>
    <x v="0"/>
    <x v="1839"/>
    <n v="15"/>
    <x v="0"/>
    <s v="Recovered"/>
    <x v="0"/>
    <x v="2"/>
    <s v="UPI"/>
    <n v="1"/>
    <x v="1835"/>
    <s v="No"/>
    <x v="0"/>
  </r>
  <r>
    <x v="1841"/>
    <x v="19"/>
    <x v="1"/>
    <x v="6"/>
    <x v="856"/>
    <d v="2023-01-10T00:00:00"/>
    <x v="3"/>
    <x v="0"/>
    <x v="6"/>
    <x v="1840"/>
    <n v="3"/>
    <x v="0"/>
    <s v="Recovered"/>
    <x v="0"/>
    <x v="3"/>
    <s v="Cash"/>
    <n v="6"/>
    <x v="1836"/>
    <s v="No"/>
    <x v="0"/>
  </r>
  <r>
    <x v="1842"/>
    <x v="40"/>
    <x v="1"/>
    <x v="0"/>
    <x v="857"/>
    <d v="2024-06-18T00:00:00"/>
    <x v="5"/>
    <x v="4"/>
    <x v="5"/>
    <x v="1841"/>
    <n v="13"/>
    <x v="0"/>
    <s v="Under Observation"/>
    <x v="0"/>
    <x v="2"/>
    <s v="UPI"/>
    <n v="13"/>
    <x v="1837"/>
    <s v="No"/>
    <x v="0"/>
  </r>
  <r>
    <x v="1843"/>
    <x v="37"/>
    <x v="0"/>
    <x v="7"/>
    <x v="120"/>
    <d v="2025-08-23T00:00:00"/>
    <x v="0"/>
    <x v="0"/>
    <x v="5"/>
    <x v="1842"/>
    <n v="1"/>
    <x v="0"/>
    <s v="Recovered"/>
    <x v="2"/>
    <x v="1"/>
    <s v="Insurance"/>
    <n v="1"/>
    <x v="1838"/>
    <s v="No"/>
    <x v="1"/>
  </r>
  <r>
    <x v="1844"/>
    <x v="29"/>
    <x v="0"/>
    <x v="0"/>
    <x v="415"/>
    <d v="2025-10-05T00:00:00"/>
    <x v="3"/>
    <x v="0"/>
    <x v="7"/>
    <x v="1843"/>
    <n v="8"/>
    <x v="0"/>
    <s v="Referred"/>
    <x v="2"/>
    <x v="0"/>
    <s v="UPI"/>
    <n v="9"/>
    <x v="1839"/>
    <s v="No"/>
    <x v="0"/>
  </r>
  <r>
    <x v="1845"/>
    <x v="6"/>
    <x v="0"/>
    <x v="4"/>
    <x v="263"/>
    <d v="2023-08-22T00:00:00"/>
    <x v="9"/>
    <x v="5"/>
    <x v="7"/>
    <x v="1844"/>
    <n v="7"/>
    <x v="0"/>
    <s v="Under Observation"/>
    <x v="1"/>
    <x v="3"/>
    <s v="UPI"/>
    <n v="2"/>
    <x v="1840"/>
    <s v="Yes"/>
    <x v="1"/>
  </r>
  <r>
    <x v="1846"/>
    <x v="45"/>
    <x v="0"/>
    <x v="4"/>
    <x v="698"/>
    <d v="2023-05-07T00:00:00"/>
    <x v="4"/>
    <x v="3"/>
    <x v="1"/>
    <x v="1845"/>
    <n v="8"/>
    <x v="0"/>
    <s v="Recovered"/>
    <x v="2"/>
    <x v="1"/>
    <s v="Cash"/>
    <n v="10"/>
    <x v="1841"/>
    <s v="No"/>
    <x v="0"/>
  </r>
  <r>
    <x v="1847"/>
    <x v="47"/>
    <x v="0"/>
    <x v="6"/>
    <x v="184"/>
    <d v="2024-03-16T00:00:00"/>
    <x v="6"/>
    <x v="2"/>
    <x v="2"/>
    <x v="1846"/>
    <n v="6"/>
    <x v="1"/>
    <s v="Recovered"/>
    <x v="0"/>
    <x v="3"/>
    <s v="Card"/>
    <n v="1"/>
    <x v="1842"/>
    <s v="Yes"/>
    <x v="0"/>
  </r>
  <r>
    <x v="1848"/>
    <x v="37"/>
    <x v="0"/>
    <x v="0"/>
    <x v="720"/>
    <d v="2023-09-01T00:00:00"/>
    <x v="5"/>
    <x v="4"/>
    <x v="5"/>
    <x v="1847"/>
    <n v="29"/>
    <x v="0"/>
    <s v="Recovered"/>
    <x v="0"/>
    <x v="2"/>
    <s v="Card"/>
    <n v="15"/>
    <x v="1843"/>
    <s v="No"/>
    <x v="0"/>
  </r>
  <r>
    <x v="1849"/>
    <x v="28"/>
    <x v="0"/>
    <x v="5"/>
    <x v="275"/>
    <d v="2023-04-01T00:00:00"/>
    <x v="8"/>
    <x v="6"/>
    <x v="5"/>
    <x v="1848"/>
    <n v="13"/>
    <x v="1"/>
    <s v="Recovered"/>
    <x v="0"/>
    <x v="1"/>
    <s v="Card"/>
    <n v="10"/>
    <x v="1844"/>
    <s v="Yes"/>
    <x v="0"/>
  </r>
  <r>
    <x v="1850"/>
    <x v="30"/>
    <x v="1"/>
    <x v="0"/>
    <x v="247"/>
    <d v="2024-10-31T00:00:00"/>
    <x v="1"/>
    <x v="1"/>
    <x v="0"/>
    <x v="1849"/>
    <n v="14"/>
    <x v="1"/>
    <s v="Recovered"/>
    <x v="2"/>
    <x v="3"/>
    <s v="Insurance"/>
    <n v="6"/>
    <x v="1845"/>
    <s v="Yes"/>
    <x v="0"/>
  </r>
  <r>
    <x v="1851"/>
    <x v="43"/>
    <x v="1"/>
    <x v="5"/>
    <x v="858"/>
    <d v="2025-08-21T00:00:00"/>
    <x v="9"/>
    <x v="5"/>
    <x v="7"/>
    <x v="1850"/>
    <n v="1"/>
    <x v="0"/>
    <s v="Under Observation"/>
    <x v="2"/>
    <x v="0"/>
    <s v="Cash"/>
    <n v="13"/>
    <x v="1846"/>
    <s v="Yes"/>
    <x v="0"/>
  </r>
  <r>
    <x v="1852"/>
    <x v="50"/>
    <x v="1"/>
    <x v="6"/>
    <x v="859"/>
    <d v="2024-02-09T00:00:00"/>
    <x v="0"/>
    <x v="0"/>
    <x v="2"/>
    <x v="1851"/>
    <n v="1"/>
    <x v="1"/>
    <s v="Recovered"/>
    <x v="1"/>
    <x v="1"/>
    <s v="Cash"/>
    <n v="8"/>
    <x v="1847"/>
    <s v="Yes"/>
    <x v="0"/>
  </r>
  <r>
    <x v="1853"/>
    <x v="72"/>
    <x v="0"/>
    <x v="2"/>
    <x v="593"/>
    <d v="2024-11-21T00:00:00"/>
    <x v="4"/>
    <x v="3"/>
    <x v="6"/>
    <x v="1852"/>
    <n v="6"/>
    <x v="1"/>
    <s v="Deceased"/>
    <x v="2"/>
    <x v="1"/>
    <s v="Cash"/>
    <n v="10"/>
    <x v="1848"/>
    <s v="No"/>
    <x v="0"/>
  </r>
  <r>
    <x v="1854"/>
    <x v="43"/>
    <x v="0"/>
    <x v="3"/>
    <x v="469"/>
    <d v="2023-11-01T00:00:00"/>
    <x v="3"/>
    <x v="0"/>
    <x v="5"/>
    <x v="1853"/>
    <n v="7"/>
    <x v="1"/>
    <s v="Recovered"/>
    <x v="0"/>
    <x v="2"/>
    <s v="UPI"/>
    <n v="4"/>
    <x v="1849"/>
    <s v="Yes"/>
    <x v="0"/>
  </r>
  <r>
    <x v="1855"/>
    <x v="66"/>
    <x v="0"/>
    <x v="4"/>
    <x v="298"/>
    <d v="2023-10-24T00:00:00"/>
    <x v="9"/>
    <x v="5"/>
    <x v="3"/>
    <x v="1854"/>
    <n v="13"/>
    <x v="1"/>
    <s v="Recovered"/>
    <x v="0"/>
    <x v="3"/>
    <s v="UPI"/>
    <n v="13"/>
    <x v="1850"/>
    <s v="Yes"/>
    <x v="0"/>
  </r>
  <r>
    <x v="1856"/>
    <x v="32"/>
    <x v="0"/>
    <x v="6"/>
    <x v="235"/>
    <d v="2023-07-18T00:00:00"/>
    <x v="9"/>
    <x v="5"/>
    <x v="1"/>
    <x v="1855"/>
    <n v="8"/>
    <x v="1"/>
    <s v="Recovered"/>
    <x v="2"/>
    <x v="0"/>
    <s v="UPI"/>
    <n v="12"/>
    <x v="1851"/>
    <s v="No"/>
    <x v="0"/>
  </r>
  <r>
    <x v="1857"/>
    <x v="55"/>
    <x v="0"/>
    <x v="2"/>
    <x v="119"/>
    <d v="2025-01-23T00:00:00"/>
    <x v="5"/>
    <x v="4"/>
    <x v="3"/>
    <x v="1856"/>
    <n v="13"/>
    <x v="1"/>
    <s v="Recovered"/>
    <x v="1"/>
    <x v="1"/>
    <s v="UPI"/>
    <n v="9"/>
    <x v="1852"/>
    <s v="Yes"/>
    <x v="0"/>
  </r>
  <r>
    <x v="1858"/>
    <x v="13"/>
    <x v="1"/>
    <x v="4"/>
    <x v="705"/>
    <d v="2024-05-30T00:00:00"/>
    <x v="2"/>
    <x v="2"/>
    <x v="4"/>
    <x v="1857"/>
    <n v="12"/>
    <x v="0"/>
    <s v="Recovered"/>
    <x v="2"/>
    <x v="0"/>
    <s v="Insurance"/>
    <n v="4"/>
    <x v="1853"/>
    <s v="Yes"/>
    <x v="0"/>
  </r>
  <r>
    <x v="1859"/>
    <x v="69"/>
    <x v="1"/>
    <x v="4"/>
    <x v="860"/>
    <d v="2024-10-10T00:00:00"/>
    <x v="3"/>
    <x v="0"/>
    <x v="2"/>
    <x v="1858"/>
    <n v="22"/>
    <x v="0"/>
    <s v="Under Observation"/>
    <x v="1"/>
    <x v="2"/>
    <s v="Cash"/>
    <n v="11"/>
    <x v="1854"/>
    <s v="No"/>
    <x v="0"/>
  </r>
  <r>
    <x v="1860"/>
    <x v="42"/>
    <x v="1"/>
    <x v="1"/>
    <x v="395"/>
    <d v="2024-12-22T00:00:00"/>
    <x v="3"/>
    <x v="0"/>
    <x v="7"/>
    <x v="1859"/>
    <n v="8"/>
    <x v="0"/>
    <s v="Under Observation"/>
    <x v="2"/>
    <x v="3"/>
    <s v="Cash"/>
    <n v="8"/>
    <x v="1855"/>
    <s v="Yes"/>
    <x v="0"/>
  </r>
  <r>
    <x v="1861"/>
    <x v="65"/>
    <x v="1"/>
    <x v="6"/>
    <x v="536"/>
    <d v="2024-01-23T00:00:00"/>
    <x v="4"/>
    <x v="3"/>
    <x v="2"/>
    <x v="1860"/>
    <n v="27"/>
    <x v="1"/>
    <s v="Referred"/>
    <x v="0"/>
    <x v="2"/>
    <s v="Insurance"/>
    <n v="2"/>
    <x v="1856"/>
    <s v="No"/>
    <x v="0"/>
  </r>
  <r>
    <x v="1862"/>
    <x v="17"/>
    <x v="0"/>
    <x v="1"/>
    <x v="861"/>
    <d v="2023-08-01T00:00:00"/>
    <x v="2"/>
    <x v="2"/>
    <x v="3"/>
    <x v="1861"/>
    <n v="3"/>
    <x v="0"/>
    <s v="Referred"/>
    <x v="0"/>
    <x v="2"/>
    <s v="UPI"/>
    <n v="2"/>
    <x v="1857"/>
    <s v="No"/>
    <x v="0"/>
  </r>
  <r>
    <x v="1863"/>
    <x v="61"/>
    <x v="1"/>
    <x v="7"/>
    <x v="782"/>
    <d v="2025-05-14T00:00:00"/>
    <x v="0"/>
    <x v="0"/>
    <x v="7"/>
    <x v="1862"/>
    <n v="12"/>
    <x v="0"/>
    <s v="Recovered"/>
    <x v="2"/>
    <x v="1"/>
    <s v="Card"/>
    <n v="9"/>
    <x v="1858"/>
    <s v="Yes"/>
    <x v="0"/>
  </r>
  <r>
    <x v="1864"/>
    <x v="25"/>
    <x v="1"/>
    <x v="6"/>
    <x v="714"/>
    <d v="2025-02-21T00:00:00"/>
    <x v="2"/>
    <x v="2"/>
    <x v="7"/>
    <x v="1863"/>
    <n v="21"/>
    <x v="1"/>
    <s v="Referred"/>
    <x v="1"/>
    <x v="2"/>
    <s v="Card"/>
    <n v="2"/>
    <x v="1859"/>
    <s v="Yes"/>
    <x v="1"/>
  </r>
  <r>
    <x v="1865"/>
    <x v="4"/>
    <x v="1"/>
    <x v="0"/>
    <x v="133"/>
    <d v="2023-03-23T00:00:00"/>
    <x v="0"/>
    <x v="0"/>
    <x v="5"/>
    <x v="1864"/>
    <n v="20"/>
    <x v="1"/>
    <s v="Recovered"/>
    <x v="1"/>
    <x v="1"/>
    <s v="Insurance"/>
    <n v="10"/>
    <x v="1860"/>
    <s v="Yes"/>
    <x v="0"/>
  </r>
  <r>
    <x v="1866"/>
    <x v="48"/>
    <x v="1"/>
    <x v="2"/>
    <x v="175"/>
    <d v="2024-10-23T00:00:00"/>
    <x v="1"/>
    <x v="1"/>
    <x v="4"/>
    <x v="1865"/>
    <n v="13"/>
    <x v="1"/>
    <s v="Referred"/>
    <x v="1"/>
    <x v="3"/>
    <s v="Insurance"/>
    <n v="13"/>
    <x v="1861"/>
    <s v="No"/>
    <x v="0"/>
  </r>
  <r>
    <x v="1867"/>
    <x v="43"/>
    <x v="1"/>
    <x v="5"/>
    <x v="410"/>
    <d v="2025-04-03T00:00:00"/>
    <x v="5"/>
    <x v="4"/>
    <x v="3"/>
    <x v="1866"/>
    <n v="19"/>
    <x v="0"/>
    <s v="Recovered"/>
    <x v="2"/>
    <x v="0"/>
    <s v="Card"/>
    <n v="4"/>
    <x v="1862"/>
    <s v="Yes"/>
    <x v="0"/>
  </r>
  <r>
    <x v="1868"/>
    <x v="43"/>
    <x v="1"/>
    <x v="6"/>
    <x v="162"/>
    <d v="2024-06-01T00:00:00"/>
    <x v="1"/>
    <x v="1"/>
    <x v="6"/>
    <x v="1867"/>
    <n v="2"/>
    <x v="1"/>
    <s v="Recovered"/>
    <x v="1"/>
    <x v="3"/>
    <s v="Insurance"/>
    <n v="5"/>
    <x v="1863"/>
    <s v="Yes"/>
    <x v="1"/>
  </r>
  <r>
    <x v="1869"/>
    <x v="64"/>
    <x v="1"/>
    <x v="7"/>
    <x v="749"/>
    <d v="2025-09-13T00:00:00"/>
    <x v="4"/>
    <x v="3"/>
    <x v="2"/>
    <x v="1868"/>
    <n v="19"/>
    <x v="1"/>
    <s v="Recovered"/>
    <x v="1"/>
    <x v="1"/>
    <s v="Card"/>
    <n v="4"/>
    <x v="1864"/>
    <s v="No"/>
    <x v="0"/>
  </r>
  <r>
    <x v="1870"/>
    <x v="10"/>
    <x v="0"/>
    <x v="5"/>
    <x v="710"/>
    <d v="2024-05-01T00:00:00"/>
    <x v="0"/>
    <x v="0"/>
    <x v="2"/>
    <x v="1869"/>
    <n v="16"/>
    <x v="0"/>
    <s v="Recovered"/>
    <x v="2"/>
    <x v="0"/>
    <s v="Insurance"/>
    <n v="9"/>
    <x v="1865"/>
    <s v="Yes"/>
    <x v="1"/>
  </r>
  <r>
    <x v="1871"/>
    <x v="66"/>
    <x v="0"/>
    <x v="1"/>
    <x v="117"/>
    <d v="2023-01-10T00:00:00"/>
    <x v="2"/>
    <x v="2"/>
    <x v="6"/>
    <x v="1870"/>
    <n v="9"/>
    <x v="0"/>
    <s v="Recovered"/>
    <x v="0"/>
    <x v="0"/>
    <s v="UPI"/>
    <n v="6"/>
    <x v="1866"/>
    <s v="No"/>
    <x v="0"/>
  </r>
  <r>
    <x v="1872"/>
    <x v="15"/>
    <x v="1"/>
    <x v="7"/>
    <x v="123"/>
    <d v="2024-09-25T00:00:00"/>
    <x v="7"/>
    <x v="5"/>
    <x v="7"/>
    <x v="1871"/>
    <n v="6"/>
    <x v="1"/>
    <s v="Recovered"/>
    <x v="1"/>
    <x v="2"/>
    <s v="Card"/>
    <n v="14"/>
    <x v="1867"/>
    <s v="Yes"/>
    <x v="0"/>
  </r>
  <r>
    <x v="1873"/>
    <x v="31"/>
    <x v="0"/>
    <x v="6"/>
    <x v="348"/>
    <d v="2024-02-21T00:00:00"/>
    <x v="3"/>
    <x v="0"/>
    <x v="4"/>
    <x v="1872"/>
    <n v="10"/>
    <x v="0"/>
    <s v="Recovered"/>
    <x v="2"/>
    <x v="0"/>
    <s v="Card"/>
    <n v="15"/>
    <x v="1868"/>
    <s v="Yes"/>
    <x v="0"/>
  </r>
  <r>
    <x v="1874"/>
    <x v="64"/>
    <x v="0"/>
    <x v="1"/>
    <x v="113"/>
    <d v="2025-08-24T00:00:00"/>
    <x v="2"/>
    <x v="2"/>
    <x v="2"/>
    <x v="1873"/>
    <n v="15"/>
    <x v="1"/>
    <s v="Recovered"/>
    <x v="2"/>
    <x v="3"/>
    <s v="Insurance"/>
    <n v="10"/>
    <x v="1869"/>
    <s v="Yes"/>
    <x v="0"/>
  </r>
  <r>
    <x v="1875"/>
    <x v="19"/>
    <x v="0"/>
    <x v="4"/>
    <x v="544"/>
    <d v="2023-02-20T00:00:00"/>
    <x v="7"/>
    <x v="5"/>
    <x v="4"/>
    <x v="1874"/>
    <n v="8"/>
    <x v="0"/>
    <s v="Recovered"/>
    <x v="0"/>
    <x v="2"/>
    <s v="UPI"/>
    <n v="11"/>
    <x v="1870"/>
    <s v="Yes"/>
    <x v="0"/>
  </r>
  <r>
    <x v="1876"/>
    <x v="71"/>
    <x v="0"/>
    <x v="7"/>
    <x v="734"/>
    <d v="2024-03-11T00:00:00"/>
    <x v="8"/>
    <x v="6"/>
    <x v="0"/>
    <x v="1875"/>
    <n v="12"/>
    <x v="0"/>
    <s v="Recovered"/>
    <x v="1"/>
    <x v="2"/>
    <s v="UPI"/>
    <n v="3"/>
    <x v="1871"/>
    <s v="No"/>
    <x v="0"/>
  </r>
  <r>
    <x v="1877"/>
    <x v="39"/>
    <x v="1"/>
    <x v="1"/>
    <x v="590"/>
    <d v="2025-09-14T00:00:00"/>
    <x v="5"/>
    <x v="4"/>
    <x v="5"/>
    <x v="1876"/>
    <n v="14"/>
    <x v="1"/>
    <s v="Recovered"/>
    <x v="1"/>
    <x v="0"/>
    <s v="UPI"/>
    <n v="15"/>
    <x v="1872"/>
    <s v="Yes"/>
    <x v="0"/>
  </r>
  <r>
    <x v="1878"/>
    <x v="51"/>
    <x v="1"/>
    <x v="2"/>
    <x v="727"/>
    <d v="2024-03-30T00:00:00"/>
    <x v="1"/>
    <x v="1"/>
    <x v="6"/>
    <x v="1877"/>
    <n v="2"/>
    <x v="1"/>
    <s v="Recovered"/>
    <x v="2"/>
    <x v="1"/>
    <s v="Cash"/>
    <n v="9"/>
    <x v="1873"/>
    <s v="Yes"/>
    <x v="0"/>
  </r>
  <r>
    <x v="1879"/>
    <x v="53"/>
    <x v="0"/>
    <x v="1"/>
    <x v="247"/>
    <d v="2024-11-01T00:00:00"/>
    <x v="6"/>
    <x v="2"/>
    <x v="6"/>
    <x v="1878"/>
    <n v="15"/>
    <x v="1"/>
    <s v="Recovered"/>
    <x v="0"/>
    <x v="3"/>
    <s v="Cash"/>
    <n v="6"/>
    <x v="1874"/>
    <s v="Yes"/>
    <x v="0"/>
  </r>
  <r>
    <x v="1880"/>
    <x v="1"/>
    <x v="0"/>
    <x v="3"/>
    <x v="600"/>
    <d v="2025-07-24T00:00:00"/>
    <x v="1"/>
    <x v="1"/>
    <x v="7"/>
    <x v="1879"/>
    <n v="19"/>
    <x v="0"/>
    <s v="Recovered"/>
    <x v="1"/>
    <x v="1"/>
    <s v="Card"/>
    <n v="10"/>
    <x v="1875"/>
    <s v="Yes"/>
    <x v="0"/>
  </r>
  <r>
    <x v="1881"/>
    <x v="10"/>
    <x v="1"/>
    <x v="1"/>
    <x v="429"/>
    <d v="2024-05-24T00:00:00"/>
    <x v="3"/>
    <x v="0"/>
    <x v="3"/>
    <x v="1880"/>
    <n v="19"/>
    <x v="1"/>
    <s v="Recovered"/>
    <x v="0"/>
    <x v="0"/>
    <s v="Cash"/>
    <n v="2"/>
    <x v="1876"/>
    <s v="No"/>
    <x v="0"/>
  </r>
  <r>
    <x v="1882"/>
    <x v="18"/>
    <x v="1"/>
    <x v="0"/>
    <x v="466"/>
    <d v="2023-01-19T00:00:00"/>
    <x v="0"/>
    <x v="0"/>
    <x v="4"/>
    <x v="1881"/>
    <n v="15"/>
    <x v="1"/>
    <s v="Recovered"/>
    <x v="2"/>
    <x v="1"/>
    <s v="Insurance"/>
    <n v="9"/>
    <x v="1877"/>
    <s v="No"/>
    <x v="1"/>
  </r>
  <r>
    <x v="1883"/>
    <x v="31"/>
    <x v="0"/>
    <x v="5"/>
    <x v="193"/>
    <d v="2024-07-01T00:00:00"/>
    <x v="4"/>
    <x v="3"/>
    <x v="3"/>
    <x v="1882"/>
    <n v="17"/>
    <x v="0"/>
    <s v="Recovered"/>
    <x v="0"/>
    <x v="1"/>
    <s v="UPI"/>
    <n v="6"/>
    <x v="1878"/>
    <s v="Yes"/>
    <x v="0"/>
  </r>
  <r>
    <x v="1884"/>
    <x v="26"/>
    <x v="1"/>
    <x v="1"/>
    <x v="298"/>
    <d v="2023-10-19T00:00:00"/>
    <x v="0"/>
    <x v="0"/>
    <x v="5"/>
    <x v="1883"/>
    <n v="8"/>
    <x v="0"/>
    <s v="Recovered"/>
    <x v="0"/>
    <x v="3"/>
    <s v="UPI"/>
    <n v="5"/>
    <x v="1879"/>
    <s v="Yes"/>
    <x v="0"/>
  </r>
  <r>
    <x v="1885"/>
    <x v="2"/>
    <x v="0"/>
    <x v="1"/>
    <x v="782"/>
    <d v="2025-05-12T00:00:00"/>
    <x v="2"/>
    <x v="2"/>
    <x v="7"/>
    <x v="1884"/>
    <n v="10"/>
    <x v="1"/>
    <s v="Recovered"/>
    <x v="2"/>
    <x v="3"/>
    <s v="UPI"/>
    <n v="7"/>
    <x v="1880"/>
    <s v="No"/>
    <x v="0"/>
  </r>
  <r>
    <x v="1886"/>
    <x v="35"/>
    <x v="0"/>
    <x v="3"/>
    <x v="51"/>
    <d v="2024-02-26T00:00:00"/>
    <x v="3"/>
    <x v="0"/>
    <x v="4"/>
    <x v="1885"/>
    <n v="14"/>
    <x v="0"/>
    <s v="Recovered"/>
    <x v="0"/>
    <x v="3"/>
    <s v="Cash"/>
    <n v="12"/>
    <x v="1881"/>
    <s v="Yes"/>
    <x v="0"/>
  </r>
  <r>
    <x v="1887"/>
    <x v="15"/>
    <x v="0"/>
    <x v="2"/>
    <x v="201"/>
    <d v="2024-09-09T00:00:00"/>
    <x v="1"/>
    <x v="1"/>
    <x v="4"/>
    <x v="1886"/>
    <n v="19"/>
    <x v="0"/>
    <s v="Recovered"/>
    <x v="1"/>
    <x v="0"/>
    <s v="Cash"/>
    <n v="13"/>
    <x v="1882"/>
    <s v="Yes"/>
    <x v="0"/>
  </r>
  <r>
    <x v="1888"/>
    <x v="2"/>
    <x v="0"/>
    <x v="5"/>
    <x v="862"/>
    <d v="2023-02-24T00:00:00"/>
    <x v="0"/>
    <x v="0"/>
    <x v="5"/>
    <x v="1887"/>
    <n v="18"/>
    <x v="0"/>
    <s v="Recovered"/>
    <x v="0"/>
    <x v="1"/>
    <s v="Cash"/>
    <n v="14"/>
    <x v="1883"/>
    <s v="No"/>
    <x v="0"/>
  </r>
  <r>
    <x v="1889"/>
    <x v="63"/>
    <x v="1"/>
    <x v="4"/>
    <x v="487"/>
    <d v="2025-08-06T00:00:00"/>
    <x v="4"/>
    <x v="3"/>
    <x v="2"/>
    <x v="1888"/>
    <n v="4"/>
    <x v="1"/>
    <s v="Referred"/>
    <x v="2"/>
    <x v="1"/>
    <s v="Card"/>
    <n v="14"/>
    <x v="1884"/>
    <s v="No"/>
    <x v="0"/>
  </r>
  <r>
    <x v="1890"/>
    <x v="22"/>
    <x v="1"/>
    <x v="7"/>
    <x v="766"/>
    <d v="2024-10-28T00:00:00"/>
    <x v="2"/>
    <x v="2"/>
    <x v="6"/>
    <x v="1889"/>
    <n v="2"/>
    <x v="0"/>
    <s v="Recovered"/>
    <x v="0"/>
    <x v="0"/>
    <s v="Insurance"/>
    <n v="12"/>
    <x v="1885"/>
    <s v="Yes"/>
    <x v="0"/>
  </r>
  <r>
    <x v="1891"/>
    <x v="19"/>
    <x v="0"/>
    <x v="5"/>
    <x v="46"/>
    <d v="2025-02-08T00:00:00"/>
    <x v="8"/>
    <x v="6"/>
    <x v="4"/>
    <x v="1890"/>
    <n v="19"/>
    <x v="0"/>
    <s v="Recovered"/>
    <x v="1"/>
    <x v="3"/>
    <s v="UPI"/>
    <n v="4"/>
    <x v="1886"/>
    <s v="No"/>
    <x v="0"/>
  </r>
  <r>
    <x v="1892"/>
    <x v="53"/>
    <x v="1"/>
    <x v="2"/>
    <x v="778"/>
    <d v="2024-07-08T00:00:00"/>
    <x v="8"/>
    <x v="6"/>
    <x v="7"/>
    <x v="1891"/>
    <n v="7"/>
    <x v="0"/>
    <s v="Recovered"/>
    <x v="1"/>
    <x v="2"/>
    <s v="Card"/>
    <n v="4"/>
    <x v="1887"/>
    <s v="No"/>
    <x v="0"/>
  </r>
  <r>
    <x v="1893"/>
    <x v="19"/>
    <x v="1"/>
    <x v="7"/>
    <x v="597"/>
    <d v="2023-05-12T00:00:00"/>
    <x v="7"/>
    <x v="5"/>
    <x v="1"/>
    <x v="1892"/>
    <n v="4"/>
    <x v="1"/>
    <s v="Recovered"/>
    <x v="1"/>
    <x v="0"/>
    <s v="Insurance"/>
    <n v="1"/>
    <x v="1888"/>
    <s v="No"/>
    <x v="0"/>
  </r>
  <r>
    <x v="1894"/>
    <x v="7"/>
    <x v="0"/>
    <x v="4"/>
    <x v="668"/>
    <d v="2025-01-30T00:00:00"/>
    <x v="7"/>
    <x v="5"/>
    <x v="1"/>
    <x v="1893"/>
    <n v="4"/>
    <x v="1"/>
    <s v="Recovered"/>
    <x v="1"/>
    <x v="2"/>
    <s v="UPI"/>
    <n v="4"/>
    <x v="1889"/>
    <s v="No"/>
    <x v="0"/>
  </r>
  <r>
    <x v="1895"/>
    <x v="9"/>
    <x v="1"/>
    <x v="2"/>
    <x v="662"/>
    <d v="2023-08-09T00:00:00"/>
    <x v="2"/>
    <x v="2"/>
    <x v="3"/>
    <x v="1894"/>
    <n v="29"/>
    <x v="0"/>
    <s v="Recovered"/>
    <x v="0"/>
    <x v="2"/>
    <s v="Card"/>
    <n v="10"/>
    <x v="1890"/>
    <s v="Yes"/>
    <x v="0"/>
  </r>
  <r>
    <x v="1896"/>
    <x v="15"/>
    <x v="1"/>
    <x v="6"/>
    <x v="519"/>
    <d v="2025-03-15T00:00:00"/>
    <x v="0"/>
    <x v="0"/>
    <x v="0"/>
    <x v="1895"/>
    <n v="14"/>
    <x v="0"/>
    <s v="Recovered"/>
    <x v="2"/>
    <x v="3"/>
    <s v="Cash"/>
    <n v="12"/>
    <x v="1891"/>
    <s v="Yes"/>
    <x v="0"/>
  </r>
  <r>
    <x v="1897"/>
    <x v="6"/>
    <x v="0"/>
    <x v="6"/>
    <x v="863"/>
    <d v="2024-03-27T00:00:00"/>
    <x v="5"/>
    <x v="4"/>
    <x v="1"/>
    <x v="1896"/>
    <n v="5"/>
    <x v="0"/>
    <s v="Recovered"/>
    <x v="2"/>
    <x v="2"/>
    <s v="Cash"/>
    <n v="14"/>
    <x v="1892"/>
    <s v="No"/>
    <x v="0"/>
  </r>
  <r>
    <x v="1898"/>
    <x v="66"/>
    <x v="0"/>
    <x v="0"/>
    <x v="749"/>
    <d v="2025-09-09T00:00:00"/>
    <x v="6"/>
    <x v="2"/>
    <x v="3"/>
    <x v="1897"/>
    <n v="15"/>
    <x v="0"/>
    <s v="Recovered"/>
    <x v="2"/>
    <x v="3"/>
    <s v="Insurance"/>
    <n v="4"/>
    <x v="1893"/>
    <s v="No"/>
    <x v="0"/>
  </r>
  <r>
    <x v="1899"/>
    <x v="3"/>
    <x v="0"/>
    <x v="2"/>
    <x v="478"/>
    <d v="2023-09-29T00:00:00"/>
    <x v="0"/>
    <x v="0"/>
    <x v="2"/>
    <x v="1898"/>
    <n v="14"/>
    <x v="1"/>
    <s v="Recovered"/>
    <x v="2"/>
    <x v="3"/>
    <s v="Insurance"/>
    <n v="9"/>
    <x v="1894"/>
    <s v="Yes"/>
    <x v="0"/>
  </r>
  <r>
    <x v="1900"/>
    <x v="0"/>
    <x v="0"/>
    <x v="6"/>
    <x v="250"/>
    <d v="2024-02-07T00:00:00"/>
    <x v="0"/>
    <x v="0"/>
    <x v="6"/>
    <x v="1899"/>
    <n v="12"/>
    <x v="0"/>
    <s v="Under Observation"/>
    <x v="1"/>
    <x v="1"/>
    <s v="Cash"/>
    <n v="9"/>
    <x v="1895"/>
    <s v="Yes"/>
    <x v="0"/>
  </r>
  <r>
    <x v="1901"/>
    <x v="67"/>
    <x v="0"/>
    <x v="3"/>
    <x v="207"/>
    <d v="2023-08-14T00:00:00"/>
    <x v="8"/>
    <x v="6"/>
    <x v="0"/>
    <x v="1900"/>
    <n v="17"/>
    <x v="0"/>
    <s v="Under Observation"/>
    <x v="1"/>
    <x v="3"/>
    <s v="Cash"/>
    <n v="5"/>
    <x v="1896"/>
    <s v="No"/>
    <x v="0"/>
  </r>
  <r>
    <x v="1902"/>
    <x v="6"/>
    <x v="1"/>
    <x v="0"/>
    <x v="292"/>
    <d v="2024-10-15T00:00:00"/>
    <x v="4"/>
    <x v="3"/>
    <x v="5"/>
    <x v="1901"/>
    <n v="3"/>
    <x v="1"/>
    <s v="Recovered"/>
    <x v="1"/>
    <x v="0"/>
    <s v="Card"/>
    <n v="11"/>
    <x v="1897"/>
    <s v="Yes"/>
    <x v="0"/>
  </r>
  <r>
    <x v="1903"/>
    <x v="34"/>
    <x v="0"/>
    <x v="2"/>
    <x v="306"/>
    <d v="2023-04-15T00:00:00"/>
    <x v="9"/>
    <x v="5"/>
    <x v="0"/>
    <x v="1902"/>
    <n v="14"/>
    <x v="1"/>
    <s v="Recovered"/>
    <x v="0"/>
    <x v="0"/>
    <s v="Card"/>
    <n v="8"/>
    <x v="1898"/>
    <s v="No"/>
    <x v="1"/>
  </r>
  <r>
    <x v="1904"/>
    <x v="30"/>
    <x v="1"/>
    <x v="5"/>
    <x v="864"/>
    <d v="2023-10-19T00:00:00"/>
    <x v="0"/>
    <x v="0"/>
    <x v="6"/>
    <x v="1903"/>
    <n v="9"/>
    <x v="1"/>
    <s v="Recovered"/>
    <x v="0"/>
    <x v="3"/>
    <s v="UPI"/>
    <n v="11"/>
    <x v="1899"/>
    <s v="No"/>
    <x v="0"/>
  </r>
  <r>
    <x v="1905"/>
    <x v="2"/>
    <x v="0"/>
    <x v="6"/>
    <x v="609"/>
    <d v="2025-09-24T00:00:00"/>
    <x v="6"/>
    <x v="2"/>
    <x v="3"/>
    <x v="1904"/>
    <n v="3"/>
    <x v="1"/>
    <s v="Recovered"/>
    <x v="2"/>
    <x v="0"/>
    <s v="Cash"/>
    <n v="8"/>
    <x v="1900"/>
    <s v="Yes"/>
    <x v="1"/>
  </r>
  <r>
    <x v="1906"/>
    <x v="71"/>
    <x v="0"/>
    <x v="5"/>
    <x v="13"/>
    <d v="2023-04-28T00:00:00"/>
    <x v="8"/>
    <x v="6"/>
    <x v="3"/>
    <x v="1905"/>
    <n v="23"/>
    <x v="1"/>
    <s v="Recovered"/>
    <x v="0"/>
    <x v="2"/>
    <s v="Insurance"/>
    <n v="8"/>
    <x v="1901"/>
    <s v="No"/>
    <x v="1"/>
  </r>
  <r>
    <x v="1907"/>
    <x v="55"/>
    <x v="0"/>
    <x v="2"/>
    <x v="294"/>
    <d v="2024-08-29T00:00:00"/>
    <x v="6"/>
    <x v="2"/>
    <x v="0"/>
    <x v="1906"/>
    <n v="10"/>
    <x v="1"/>
    <s v="Under Observation"/>
    <x v="0"/>
    <x v="1"/>
    <s v="Insurance"/>
    <n v="3"/>
    <x v="1902"/>
    <s v="Yes"/>
    <x v="0"/>
  </r>
  <r>
    <x v="1908"/>
    <x v="57"/>
    <x v="0"/>
    <x v="7"/>
    <x v="242"/>
    <d v="2024-10-03T00:00:00"/>
    <x v="9"/>
    <x v="5"/>
    <x v="4"/>
    <x v="1907"/>
    <n v="4"/>
    <x v="1"/>
    <s v="Recovered"/>
    <x v="0"/>
    <x v="1"/>
    <s v="UPI"/>
    <n v="8"/>
    <x v="1903"/>
    <s v="No"/>
    <x v="0"/>
  </r>
  <r>
    <x v="1909"/>
    <x v="63"/>
    <x v="0"/>
    <x v="3"/>
    <x v="132"/>
    <d v="2024-12-24T00:00:00"/>
    <x v="3"/>
    <x v="0"/>
    <x v="6"/>
    <x v="1908"/>
    <n v="18"/>
    <x v="1"/>
    <s v="Recovered"/>
    <x v="0"/>
    <x v="2"/>
    <s v="Insurance"/>
    <n v="11"/>
    <x v="1904"/>
    <s v="Yes"/>
    <x v="0"/>
  </r>
  <r>
    <x v="1910"/>
    <x v="34"/>
    <x v="1"/>
    <x v="2"/>
    <x v="147"/>
    <d v="2024-09-15T00:00:00"/>
    <x v="0"/>
    <x v="0"/>
    <x v="4"/>
    <x v="1909"/>
    <n v="11"/>
    <x v="0"/>
    <s v="Recovered"/>
    <x v="1"/>
    <x v="3"/>
    <s v="Cash"/>
    <n v="10"/>
    <x v="1905"/>
    <s v="No"/>
    <x v="0"/>
  </r>
  <r>
    <x v="1911"/>
    <x v="42"/>
    <x v="0"/>
    <x v="3"/>
    <x v="474"/>
    <d v="2023-03-04T00:00:00"/>
    <x v="0"/>
    <x v="0"/>
    <x v="4"/>
    <x v="1910"/>
    <n v="3"/>
    <x v="0"/>
    <s v="Under Observation"/>
    <x v="1"/>
    <x v="0"/>
    <s v="Insurance"/>
    <n v="13"/>
    <x v="1906"/>
    <s v="No"/>
    <x v="0"/>
  </r>
  <r>
    <x v="1912"/>
    <x v="30"/>
    <x v="1"/>
    <x v="4"/>
    <x v="223"/>
    <d v="2025-01-25T00:00:00"/>
    <x v="9"/>
    <x v="5"/>
    <x v="4"/>
    <x v="1911"/>
    <n v="12"/>
    <x v="1"/>
    <s v="Recovered"/>
    <x v="2"/>
    <x v="3"/>
    <s v="Cash"/>
    <n v="6"/>
    <x v="1907"/>
    <s v="No"/>
    <x v="0"/>
  </r>
  <r>
    <x v="1913"/>
    <x v="22"/>
    <x v="1"/>
    <x v="1"/>
    <x v="241"/>
    <d v="2025-03-25T00:00:00"/>
    <x v="9"/>
    <x v="5"/>
    <x v="0"/>
    <x v="1912"/>
    <n v="17"/>
    <x v="0"/>
    <s v="Deceased"/>
    <x v="0"/>
    <x v="0"/>
    <s v="Cash"/>
    <n v="4"/>
    <x v="1908"/>
    <s v="Yes"/>
    <x v="1"/>
  </r>
  <r>
    <x v="1914"/>
    <x v="9"/>
    <x v="1"/>
    <x v="0"/>
    <x v="474"/>
    <d v="2023-03-09T00:00:00"/>
    <x v="0"/>
    <x v="0"/>
    <x v="0"/>
    <x v="1913"/>
    <n v="8"/>
    <x v="1"/>
    <s v="Recovered"/>
    <x v="0"/>
    <x v="0"/>
    <s v="UPI"/>
    <n v="2"/>
    <x v="1909"/>
    <s v="Yes"/>
    <x v="0"/>
  </r>
  <r>
    <x v="1915"/>
    <x v="25"/>
    <x v="1"/>
    <x v="6"/>
    <x v="849"/>
    <d v="2024-07-09T00:00:00"/>
    <x v="0"/>
    <x v="0"/>
    <x v="1"/>
    <x v="1914"/>
    <n v="7"/>
    <x v="0"/>
    <s v="Recovered"/>
    <x v="2"/>
    <x v="2"/>
    <s v="Card"/>
    <n v="11"/>
    <x v="1910"/>
    <s v="Yes"/>
    <x v="0"/>
  </r>
  <r>
    <x v="1916"/>
    <x v="46"/>
    <x v="1"/>
    <x v="4"/>
    <x v="747"/>
    <d v="2024-02-02T00:00:00"/>
    <x v="6"/>
    <x v="2"/>
    <x v="2"/>
    <x v="1915"/>
    <n v="17"/>
    <x v="1"/>
    <s v="Recovered"/>
    <x v="0"/>
    <x v="2"/>
    <s v="Cash"/>
    <n v="1"/>
    <x v="1911"/>
    <s v="No"/>
    <x v="0"/>
  </r>
  <r>
    <x v="1917"/>
    <x v="24"/>
    <x v="0"/>
    <x v="4"/>
    <x v="843"/>
    <d v="2023-05-01T00:00:00"/>
    <x v="7"/>
    <x v="5"/>
    <x v="5"/>
    <x v="1916"/>
    <n v="7"/>
    <x v="1"/>
    <s v="Under Observation"/>
    <x v="0"/>
    <x v="2"/>
    <s v="Insurance"/>
    <n v="12"/>
    <x v="1912"/>
    <s v="No"/>
    <x v="0"/>
  </r>
  <r>
    <x v="1918"/>
    <x v="48"/>
    <x v="0"/>
    <x v="2"/>
    <x v="644"/>
    <d v="2024-02-19T00:00:00"/>
    <x v="8"/>
    <x v="6"/>
    <x v="3"/>
    <x v="1917"/>
    <n v="9"/>
    <x v="1"/>
    <s v="Recovered"/>
    <x v="1"/>
    <x v="3"/>
    <s v="Insurance"/>
    <n v="9"/>
    <x v="1913"/>
    <s v="No"/>
    <x v="1"/>
  </r>
  <r>
    <x v="1919"/>
    <x v="26"/>
    <x v="0"/>
    <x v="1"/>
    <x v="510"/>
    <d v="2025-04-13T00:00:00"/>
    <x v="5"/>
    <x v="4"/>
    <x v="1"/>
    <x v="1918"/>
    <n v="14"/>
    <x v="0"/>
    <s v="Recovered"/>
    <x v="0"/>
    <x v="0"/>
    <s v="Cash"/>
    <n v="9"/>
    <x v="1914"/>
    <s v="Yes"/>
    <x v="1"/>
  </r>
  <r>
    <x v="1920"/>
    <x v="29"/>
    <x v="1"/>
    <x v="0"/>
    <x v="695"/>
    <d v="2023-12-08T00:00:00"/>
    <x v="0"/>
    <x v="0"/>
    <x v="1"/>
    <x v="1919"/>
    <n v="4"/>
    <x v="0"/>
    <s v="Recovered"/>
    <x v="2"/>
    <x v="2"/>
    <s v="Card"/>
    <n v="14"/>
    <x v="1915"/>
    <s v="No"/>
    <x v="0"/>
  </r>
  <r>
    <x v="1921"/>
    <x v="51"/>
    <x v="1"/>
    <x v="0"/>
    <x v="404"/>
    <d v="2024-02-07T00:00:00"/>
    <x v="8"/>
    <x v="6"/>
    <x v="7"/>
    <x v="1920"/>
    <n v="25"/>
    <x v="1"/>
    <s v="Recovered"/>
    <x v="2"/>
    <x v="2"/>
    <s v="Insurance"/>
    <n v="7"/>
    <x v="1916"/>
    <s v="Yes"/>
    <x v="0"/>
  </r>
  <r>
    <x v="1922"/>
    <x v="64"/>
    <x v="0"/>
    <x v="5"/>
    <x v="646"/>
    <d v="2023-12-11T00:00:00"/>
    <x v="6"/>
    <x v="2"/>
    <x v="1"/>
    <x v="1921"/>
    <n v="20"/>
    <x v="0"/>
    <s v="Recovered"/>
    <x v="2"/>
    <x v="1"/>
    <s v="Card"/>
    <n v="5"/>
    <x v="1917"/>
    <s v="No"/>
    <x v="0"/>
  </r>
  <r>
    <x v="1923"/>
    <x v="41"/>
    <x v="1"/>
    <x v="0"/>
    <x v="652"/>
    <d v="2024-01-25T00:00:00"/>
    <x v="7"/>
    <x v="5"/>
    <x v="4"/>
    <x v="1922"/>
    <n v="8"/>
    <x v="0"/>
    <s v="Recovered"/>
    <x v="1"/>
    <x v="0"/>
    <s v="Insurance"/>
    <n v="9"/>
    <x v="1918"/>
    <s v="No"/>
    <x v="0"/>
  </r>
  <r>
    <x v="1924"/>
    <x v="42"/>
    <x v="1"/>
    <x v="0"/>
    <x v="795"/>
    <d v="2025-10-07T00:00:00"/>
    <x v="6"/>
    <x v="2"/>
    <x v="7"/>
    <x v="1923"/>
    <n v="14"/>
    <x v="0"/>
    <s v="Recovered"/>
    <x v="1"/>
    <x v="1"/>
    <s v="Cash"/>
    <n v="11"/>
    <x v="1919"/>
    <s v="Yes"/>
    <x v="0"/>
  </r>
  <r>
    <x v="1925"/>
    <x v="62"/>
    <x v="0"/>
    <x v="2"/>
    <x v="94"/>
    <d v="2023-01-26T00:00:00"/>
    <x v="3"/>
    <x v="0"/>
    <x v="7"/>
    <x v="1924"/>
    <n v="17"/>
    <x v="0"/>
    <s v="Under Observation"/>
    <x v="0"/>
    <x v="1"/>
    <s v="Cash"/>
    <n v="1"/>
    <x v="1920"/>
    <s v="No"/>
    <x v="0"/>
  </r>
  <r>
    <x v="1926"/>
    <x v="64"/>
    <x v="1"/>
    <x v="7"/>
    <x v="284"/>
    <d v="2023-09-02T00:00:00"/>
    <x v="5"/>
    <x v="4"/>
    <x v="2"/>
    <x v="1925"/>
    <n v="1"/>
    <x v="1"/>
    <s v="Recovered"/>
    <x v="1"/>
    <x v="3"/>
    <s v="Cash"/>
    <n v="6"/>
    <x v="1921"/>
    <s v="Yes"/>
    <x v="0"/>
  </r>
  <r>
    <x v="1927"/>
    <x v="38"/>
    <x v="0"/>
    <x v="3"/>
    <x v="89"/>
    <d v="2025-06-30T00:00:00"/>
    <x v="8"/>
    <x v="6"/>
    <x v="7"/>
    <x v="1926"/>
    <n v="15"/>
    <x v="1"/>
    <s v="Recovered"/>
    <x v="0"/>
    <x v="3"/>
    <s v="Insurance"/>
    <n v="8"/>
    <x v="1922"/>
    <s v="Yes"/>
    <x v="1"/>
  </r>
  <r>
    <x v="1928"/>
    <x v="0"/>
    <x v="0"/>
    <x v="3"/>
    <x v="324"/>
    <d v="2023-02-28T00:00:00"/>
    <x v="1"/>
    <x v="1"/>
    <x v="0"/>
    <x v="1927"/>
    <n v="2"/>
    <x v="1"/>
    <s v="Recovered"/>
    <x v="2"/>
    <x v="3"/>
    <s v="UPI"/>
    <n v="9"/>
    <x v="1923"/>
    <s v="Yes"/>
    <x v="0"/>
  </r>
  <r>
    <x v="1929"/>
    <x v="30"/>
    <x v="1"/>
    <x v="3"/>
    <x v="865"/>
    <d v="2025-07-02T00:00:00"/>
    <x v="7"/>
    <x v="5"/>
    <x v="3"/>
    <x v="1928"/>
    <n v="1"/>
    <x v="0"/>
    <s v="Referred"/>
    <x v="1"/>
    <x v="1"/>
    <s v="Insurance"/>
    <n v="6"/>
    <x v="1924"/>
    <s v="No"/>
    <x v="0"/>
  </r>
  <r>
    <x v="1930"/>
    <x v="20"/>
    <x v="1"/>
    <x v="4"/>
    <x v="866"/>
    <d v="2023-07-17T00:00:00"/>
    <x v="0"/>
    <x v="0"/>
    <x v="5"/>
    <x v="1929"/>
    <n v="10"/>
    <x v="1"/>
    <s v="Recovered"/>
    <x v="1"/>
    <x v="1"/>
    <s v="Card"/>
    <n v="5"/>
    <x v="1925"/>
    <s v="No"/>
    <x v="0"/>
  </r>
  <r>
    <x v="1931"/>
    <x v="24"/>
    <x v="1"/>
    <x v="4"/>
    <x v="599"/>
    <d v="2024-07-02T00:00:00"/>
    <x v="1"/>
    <x v="1"/>
    <x v="4"/>
    <x v="1930"/>
    <n v="13"/>
    <x v="0"/>
    <s v="Recovered"/>
    <x v="1"/>
    <x v="0"/>
    <s v="Card"/>
    <n v="2"/>
    <x v="1926"/>
    <s v="Yes"/>
    <x v="0"/>
  </r>
  <r>
    <x v="1932"/>
    <x v="37"/>
    <x v="1"/>
    <x v="7"/>
    <x v="867"/>
    <d v="2023-02-01T00:00:00"/>
    <x v="5"/>
    <x v="4"/>
    <x v="5"/>
    <x v="1931"/>
    <n v="14"/>
    <x v="1"/>
    <s v="Under Observation"/>
    <x v="0"/>
    <x v="1"/>
    <s v="Insurance"/>
    <n v="15"/>
    <x v="1927"/>
    <s v="No"/>
    <x v="0"/>
  </r>
  <r>
    <x v="1933"/>
    <x v="49"/>
    <x v="1"/>
    <x v="4"/>
    <x v="455"/>
    <d v="2024-10-22T00:00:00"/>
    <x v="5"/>
    <x v="4"/>
    <x v="5"/>
    <x v="1932"/>
    <n v="19"/>
    <x v="1"/>
    <s v="Recovered"/>
    <x v="1"/>
    <x v="1"/>
    <s v="Card"/>
    <n v="3"/>
    <x v="1928"/>
    <s v="No"/>
    <x v="0"/>
  </r>
  <r>
    <x v="1934"/>
    <x v="37"/>
    <x v="0"/>
    <x v="7"/>
    <x v="821"/>
    <d v="2024-09-23T00:00:00"/>
    <x v="8"/>
    <x v="6"/>
    <x v="2"/>
    <x v="1933"/>
    <n v="7"/>
    <x v="0"/>
    <s v="Recovered"/>
    <x v="1"/>
    <x v="0"/>
    <s v="Cash"/>
    <n v="14"/>
    <x v="1929"/>
    <s v="No"/>
    <x v="0"/>
  </r>
  <r>
    <x v="1935"/>
    <x v="67"/>
    <x v="0"/>
    <x v="3"/>
    <x v="868"/>
    <d v="2025-06-03T00:00:00"/>
    <x v="1"/>
    <x v="1"/>
    <x v="7"/>
    <x v="1934"/>
    <n v="18"/>
    <x v="1"/>
    <s v="Under Observation"/>
    <x v="0"/>
    <x v="0"/>
    <s v="UPI"/>
    <n v="2"/>
    <x v="1930"/>
    <s v="Yes"/>
    <x v="0"/>
  </r>
  <r>
    <x v="1936"/>
    <x v="19"/>
    <x v="0"/>
    <x v="4"/>
    <x v="859"/>
    <d v="2024-02-25T00:00:00"/>
    <x v="0"/>
    <x v="0"/>
    <x v="5"/>
    <x v="1935"/>
    <n v="17"/>
    <x v="1"/>
    <s v="Recovered"/>
    <x v="0"/>
    <x v="0"/>
    <s v="Cash"/>
    <n v="11"/>
    <x v="1931"/>
    <s v="Yes"/>
    <x v="0"/>
  </r>
  <r>
    <x v="1937"/>
    <x v="46"/>
    <x v="1"/>
    <x v="0"/>
    <x v="824"/>
    <d v="2025-05-26T00:00:00"/>
    <x v="4"/>
    <x v="3"/>
    <x v="5"/>
    <x v="1936"/>
    <n v="11"/>
    <x v="1"/>
    <s v="Recovered"/>
    <x v="1"/>
    <x v="2"/>
    <s v="UPI"/>
    <n v="2"/>
    <x v="1932"/>
    <s v="Yes"/>
    <x v="0"/>
  </r>
  <r>
    <x v="1938"/>
    <x v="51"/>
    <x v="0"/>
    <x v="0"/>
    <x v="275"/>
    <d v="2023-03-25T00:00:00"/>
    <x v="5"/>
    <x v="4"/>
    <x v="7"/>
    <x v="1937"/>
    <n v="6"/>
    <x v="0"/>
    <s v="Recovered"/>
    <x v="2"/>
    <x v="0"/>
    <s v="UPI"/>
    <n v="13"/>
    <x v="1933"/>
    <s v="Yes"/>
    <x v="0"/>
  </r>
  <r>
    <x v="1939"/>
    <x v="30"/>
    <x v="0"/>
    <x v="0"/>
    <x v="721"/>
    <d v="2024-03-10T00:00:00"/>
    <x v="2"/>
    <x v="2"/>
    <x v="3"/>
    <x v="1938"/>
    <n v="14"/>
    <x v="1"/>
    <s v="Recovered"/>
    <x v="2"/>
    <x v="0"/>
    <s v="Insurance"/>
    <n v="9"/>
    <x v="1934"/>
    <s v="Yes"/>
    <x v="0"/>
  </r>
  <r>
    <x v="1940"/>
    <x v="50"/>
    <x v="1"/>
    <x v="3"/>
    <x v="849"/>
    <d v="2024-07-18T00:00:00"/>
    <x v="2"/>
    <x v="2"/>
    <x v="7"/>
    <x v="1939"/>
    <n v="16"/>
    <x v="0"/>
    <s v="Recovered"/>
    <x v="0"/>
    <x v="1"/>
    <s v="Card"/>
    <n v="1"/>
    <x v="1935"/>
    <s v="No"/>
    <x v="0"/>
  </r>
  <r>
    <x v="1941"/>
    <x v="25"/>
    <x v="1"/>
    <x v="3"/>
    <x v="62"/>
    <d v="2025-04-05T00:00:00"/>
    <x v="4"/>
    <x v="3"/>
    <x v="1"/>
    <x v="1940"/>
    <n v="27"/>
    <x v="1"/>
    <s v="Recovered"/>
    <x v="1"/>
    <x v="2"/>
    <s v="Card"/>
    <n v="9"/>
    <x v="1936"/>
    <s v="No"/>
    <x v="0"/>
  </r>
  <r>
    <x v="1942"/>
    <x v="29"/>
    <x v="1"/>
    <x v="4"/>
    <x v="869"/>
    <d v="2023-11-21T00:00:00"/>
    <x v="5"/>
    <x v="4"/>
    <x v="3"/>
    <x v="1941"/>
    <n v="15"/>
    <x v="0"/>
    <s v="Recovered"/>
    <x v="2"/>
    <x v="2"/>
    <s v="Insurance"/>
    <n v="3"/>
    <x v="1937"/>
    <s v="Yes"/>
    <x v="0"/>
  </r>
  <r>
    <x v="1943"/>
    <x v="64"/>
    <x v="1"/>
    <x v="2"/>
    <x v="442"/>
    <d v="2024-02-28T00:00:00"/>
    <x v="6"/>
    <x v="2"/>
    <x v="7"/>
    <x v="1942"/>
    <n v="12"/>
    <x v="1"/>
    <s v="Under Observation"/>
    <x v="1"/>
    <x v="3"/>
    <s v="UPI"/>
    <n v="2"/>
    <x v="1938"/>
    <s v="No"/>
    <x v="0"/>
  </r>
  <r>
    <x v="1944"/>
    <x v="26"/>
    <x v="1"/>
    <x v="2"/>
    <x v="564"/>
    <d v="2024-01-24T00:00:00"/>
    <x v="4"/>
    <x v="3"/>
    <x v="4"/>
    <x v="1943"/>
    <n v="2"/>
    <x v="1"/>
    <s v="Recovered"/>
    <x v="0"/>
    <x v="3"/>
    <s v="UPI"/>
    <n v="1"/>
    <x v="1939"/>
    <s v="Yes"/>
    <x v="1"/>
  </r>
  <r>
    <x v="1945"/>
    <x v="45"/>
    <x v="0"/>
    <x v="0"/>
    <x v="65"/>
    <d v="2023-06-25T00:00:00"/>
    <x v="1"/>
    <x v="1"/>
    <x v="2"/>
    <x v="1944"/>
    <n v="17"/>
    <x v="0"/>
    <s v="Deceased"/>
    <x v="0"/>
    <x v="0"/>
    <s v="UPI"/>
    <n v="11"/>
    <x v="1940"/>
    <s v="Yes"/>
    <x v="1"/>
  </r>
  <r>
    <x v="1946"/>
    <x v="13"/>
    <x v="1"/>
    <x v="6"/>
    <x v="434"/>
    <d v="2023-07-17T00:00:00"/>
    <x v="6"/>
    <x v="2"/>
    <x v="7"/>
    <x v="1945"/>
    <n v="12"/>
    <x v="0"/>
    <s v="Referred"/>
    <x v="0"/>
    <x v="1"/>
    <s v="Cash"/>
    <n v="6"/>
    <x v="1941"/>
    <s v="No"/>
    <x v="0"/>
  </r>
  <r>
    <x v="1947"/>
    <x v="62"/>
    <x v="1"/>
    <x v="1"/>
    <x v="681"/>
    <d v="2025-09-29T00:00:00"/>
    <x v="4"/>
    <x v="3"/>
    <x v="1"/>
    <x v="1946"/>
    <n v="19"/>
    <x v="0"/>
    <s v="Under Observation"/>
    <x v="1"/>
    <x v="2"/>
    <s v="Cash"/>
    <n v="4"/>
    <x v="1942"/>
    <s v="No"/>
    <x v="1"/>
  </r>
  <r>
    <x v="1948"/>
    <x v="68"/>
    <x v="0"/>
    <x v="0"/>
    <x v="448"/>
    <d v="2023-11-29T00:00:00"/>
    <x v="7"/>
    <x v="5"/>
    <x v="4"/>
    <x v="1947"/>
    <n v="1"/>
    <x v="0"/>
    <s v="Recovered"/>
    <x v="1"/>
    <x v="0"/>
    <s v="Insurance"/>
    <n v="8"/>
    <x v="1943"/>
    <s v="Yes"/>
    <x v="0"/>
  </r>
  <r>
    <x v="1949"/>
    <x v="14"/>
    <x v="0"/>
    <x v="3"/>
    <x v="830"/>
    <d v="2024-01-30T00:00:00"/>
    <x v="8"/>
    <x v="6"/>
    <x v="4"/>
    <x v="1948"/>
    <n v="15"/>
    <x v="0"/>
    <s v="Recovered"/>
    <x v="0"/>
    <x v="3"/>
    <s v="Insurance"/>
    <n v="5"/>
    <x v="1944"/>
    <s v="No"/>
    <x v="0"/>
  </r>
  <r>
    <x v="1950"/>
    <x v="14"/>
    <x v="1"/>
    <x v="6"/>
    <x v="814"/>
    <d v="2025-09-19T00:00:00"/>
    <x v="8"/>
    <x v="6"/>
    <x v="2"/>
    <x v="1949"/>
    <n v="16"/>
    <x v="0"/>
    <s v="Recovered"/>
    <x v="1"/>
    <x v="0"/>
    <s v="Cash"/>
    <n v="12"/>
    <x v="1945"/>
    <s v="No"/>
    <x v="0"/>
  </r>
  <r>
    <x v="1951"/>
    <x v="3"/>
    <x v="1"/>
    <x v="2"/>
    <x v="615"/>
    <d v="2023-04-08T00:00:00"/>
    <x v="0"/>
    <x v="0"/>
    <x v="4"/>
    <x v="1950"/>
    <n v="18"/>
    <x v="0"/>
    <s v="Recovered"/>
    <x v="2"/>
    <x v="0"/>
    <s v="Cash"/>
    <n v="9"/>
    <x v="1946"/>
    <s v="Yes"/>
    <x v="0"/>
  </r>
  <r>
    <x v="1952"/>
    <x v="34"/>
    <x v="0"/>
    <x v="2"/>
    <x v="626"/>
    <d v="2025-05-27T00:00:00"/>
    <x v="5"/>
    <x v="4"/>
    <x v="6"/>
    <x v="1951"/>
    <n v="15"/>
    <x v="0"/>
    <s v="Recovered"/>
    <x v="0"/>
    <x v="2"/>
    <s v="Cash"/>
    <n v="5"/>
    <x v="1947"/>
    <s v="Yes"/>
    <x v="0"/>
  </r>
  <r>
    <x v="1953"/>
    <x v="59"/>
    <x v="1"/>
    <x v="4"/>
    <x v="154"/>
    <d v="2025-02-05T00:00:00"/>
    <x v="6"/>
    <x v="2"/>
    <x v="2"/>
    <x v="1952"/>
    <n v="18"/>
    <x v="1"/>
    <s v="Recovered"/>
    <x v="2"/>
    <x v="0"/>
    <s v="Card"/>
    <n v="12"/>
    <x v="1948"/>
    <s v="No"/>
    <x v="0"/>
  </r>
  <r>
    <x v="1954"/>
    <x v="48"/>
    <x v="1"/>
    <x v="0"/>
    <x v="235"/>
    <d v="2023-07-28T00:00:00"/>
    <x v="5"/>
    <x v="4"/>
    <x v="7"/>
    <x v="1953"/>
    <n v="18"/>
    <x v="1"/>
    <s v="Under Observation"/>
    <x v="2"/>
    <x v="1"/>
    <s v="Card"/>
    <n v="8"/>
    <x v="1949"/>
    <s v="No"/>
    <x v="0"/>
  </r>
  <r>
    <x v="1955"/>
    <x v="3"/>
    <x v="0"/>
    <x v="4"/>
    <x v="665"/>
    <d v="2023-12-10T00:00:00"/>
    <x v="7"/>
    <x v="5"/>
    <x v="5"/>
    <x v="1954"/>
    <n v="1"/>
    <x v="0"/>
    <s v="Recovered"/>
    <x v="1"/>
    <x v="3"/>
    <s v="Card"/>
    <n v="11"/>
    <x v="1950"/>
    <s v="Yes"/>
    <x v="0"/>
  </r>
  <r>
    <x v="1956"/>
    <x v="57"/>
    <x v="0"/>
    <x v="0"/>
    <x v="228"/>
    <d v="2024-05-27T00:00:00"/>
    <x v="2"/>
    <x v="2"/>
    <x v="7"/>
    <x v="1955"/>
    <n v="4"/>
    <x v="0"/>
    <s v="Recovered"/>
    <x v="0"/>
    <x v="2"/>
    <s v="Card"/>
    <n v="1"/>
    <x v="1951"/>
    <s v="No"/>
    <x v="0"/>
  </r>
  <r>
    <x v="1957"/>
    <x v="50"/>
    <x v="1"/>
    <x v="5"/>
    <x v="557"/>
    <d v="2025-08-12T00:00:00"/>
    <x v="4"/>
    <x v="3"/>
    <x v="5"/>
    <x v="1956"/>
    <n v="20"/>
    <x v="1"/>
    <s v="Recovered"/>
    <x v="1"/>
    <x v="1"/>
    <s v="Cash"/>
    <n v="7"/>
    <x v="1952"/>
    <s v="Yes"/>
    <x v="0"/>
  </r>
  <r>
    <x v="1958"/>
    <x v="9"/>
    <x v="0"/>
    <x v="6"/>
    <x v="775"/>
    <d v="2024-07-30T00:00:00"/>
    <x v="4"/>
    <x v="3"/>
    <x v="2"/>
    <x v="1957"/>
    <n v="10"/>
    <x v="0"/>
    <s v="Recovered"/>
    <x v="2"/>
    <x v="2"/>
    <s v="Card"/>
    <n v="7"/>
    <x v="1953"/>
    <s v="No"/>
    <x v="0"/>
  </r>
  <r>
    <x v="1959"/>
    <x v="35"/>
    <x v="0"/>
    <x v="3"/>
    <x v="540"/>
    <d v="2024-07-23T00:00:00"/>
    <x v="2"/>
    <x v="2"/>
    <x v="4"/>
    <x v="1958"/>
    <n v="12"/>
    <x v="0"/>
    <s v="Recovered"/>
    <x v="2"/>
    <x v="2"/>
    <s v="UPI"/>
    <n v="12"/>
    <x v="1954"/>
    <s v="No"/>
    <x v="0"/>
  </r>
  <r>
    <x v="1960"/>
    <x v="67"/>
    <x v="0"/>
    <x v="4"/>
    <x v="137"/>
    <d v="2024-06-19T00:00:00"/>
    <x v="0"/>
    <x v="0"/>
    <x v="4"/>
    <x v="1959"/>
    <n v="30"/>
    <x v="0"/>
    <s v="Recovered"/>
    <x v="1"/>
    <x v="2"/>
    <s v="Insurance"/>
    <n v="2"/>
    <x v="1955"/>
    <s v="Yes"/>
    <x v="0"/>
  </r>
  <r>
    <x v="1961"/>
    <x v="10"/>
    <x v="0"/>
    <x v="5"/>
    <x v="567"/>
    <d v="2025-08-01T00:00:00"/>
    <x v="1"/>
    <x v="1"/>
    <x v="1"/>
    <x v="1960"/>
    <n v="10"/>
    <x v="1"/>
    <s v="Recovered"/>
    <x v="2"/>
    <x v="3"/>
    <s v="UPI"/>
    <n v="13"/>
    <x v="1956"/>
    <s v="No"/>
    <x v="0"/>
  </r>
  <r>
    <x v="1962"/>
    <x v="4"/>
    <x v="0"/>
    <x v="2"/>
    <x v="225"/>
    <d v="2025-01-05T00:00:00"/>
    <x v="7"/>
    <x v="5"/>
    <x v="1"/>
    <x v="1961"/>
    <n v="20"/>
    <x v="0"/>
    <s v="Recovered"/>
    <x v="0"/>
    <x v="3"/>
    <s v="Cash"/>
    <n v="3"/>
    <x v="1957"/>
    <s v="No"/>
    <x v="0"/>
  </r>
  <r>
    <x v="1963"/>
    <x v="55"/>
    <x v="0"/>
    <x v="3"/>
    <x v="254"/>
    <d v="2025-07-04T00:00:00"/>
    <x v="2"/>
    <x v="2"/>
    <x v="5"/>
    <x v="1962"/>
    <n v="12"/>
    <x v="1"/>
    <s v="Recovered"/>
    <x v="2"/>
    <x v="3"/>
    <s v="Card"/>
    <n v="2"/>
    <x v="1958"/>
    <s v="No"/>
    <x v="0"/>
  </r>
  <r>
    <x v="1964"/>
    <x v="36"/>
    <x v="0"/>
    <x v="0"/>
    <x v="682"/>
    <d v="2025-01-07T00:00:00"/>
    <x v="4"/>
    <x v="3"/>
    <x v="1"/>
    <x v="1963"/>
    <n v="20"/>
    <x v="0"/>
    <s v="Recovered"/>
    <x v="1"/>
    <x v="0"/>
    <s v="Card"/>
    <n v="14"/>
    <x v="775"/>
    <s v="Yes"/>
    <x v="0"/>
  </r>
  <r>
    <x v="1965"/>
    <x v="47"/>
    <x v="1"/>
    <x v="5"/>
    <x v="272"/>
    <d v="2024-12-31T00:00:00"/>
    <x v="2"/>
    <x v="2"/>
    <x v="7"/>
    <x v="1964"/>
    <n v="10"/>
    <x v="1"/>
    <s v="Recovered"/>
    <x v="0"/>
    <x v="1"/>
    <s v="UPI"/>
    <n v="13"/>
    <x v="1959"/>
    <s v="Yes"/>
    <x v="0"/>
  </r>
  <r>
    <x v="1966"/>
    <x v="1"/>
    <x v="0"/>
    <x v="4"/>
    <x v="115"/>
    <d v="2023-06-23T00:00:00"/>
    <x v="8"/>
    <x v="6"/>
    <x v="1"/>
    <x v="1965"/>
    <n v="11"/>
    <x v="1"/>
    <s v="Recovered"/>
    <x v="0"/>
    <x v="3"/>
    <s v="Card"/>
    <n v="12"/>
    <x v="1960"/>
    <s v="No"/>
    <x v="1"/>
  </r>
  <r>
    <x v="1967"/>
    <x v="33"/>
    <x v="1"/>
    <x v="7"/>
    <x v="379"/>
    <d v="2023-12-16T00:00:00"/>
    <x v="5"/>
    <x v="4"/>
    <x v="1"/>
    <x v="1966"/>
    <n v="15"/>
    <x v="0"/>
    <s v="Recovered"/>
    <x v="0"/>
    <x v="2"/>
    <s v="Insurance"/>
    <n v="15"/>
    <x v="1961"/>
    <s v="No"/>
    <x v="0"/>
  </r>
  <r>
    <x v="1968"/>
    <x v="5"/>
    <x v="0"/>
    <x v="1"/>
    <x v="620"/>
    <d v="2025-06-11T00:00:00"/>
    <x v="3"/>
    <x v="0"/>
    <x v="4"/>
    <x v="1967"/>
    <n v="8"/>
    <x v="0"/>
    <s v="Recovered"/>
    <x v="2"/>
    <x v="3"/>
    <s v="Insurance"/>
    <n v="10"/>
    <x v="1962"/>
    <s v="Yes"/>
    <x v="0"/>
  </r>
  <r>
    <x v="1969"/>
    <x v="24"/>
    <x v="0"/>
    <x v="2"/>
    <x v="3"/>
    <d v="2023-12-08T00:00:00"/>
    <x v="6"/>
    <x v="2"/>
    <x v="5"/>
    <x v="1968"/>
    <n v="15"/>
    <x v="0"/>
    <s v="Recovered"/>
    <x v="2"/>
    <x v="3"/>
    <s v="UPI"/>
    <n v="12"/>
    <x v="1963"/>
    <s v="Yes"/>
    <x v="0"/>
  </r>
  <r>
    <x v="1970"/>
    <x v="36"/>
    <x v="0"/>
    <x v="1"/>
    <x v="229"/>
    <d v="2024-07-23T00:00:00"/>
    <x v="1"/>
    <x v="1"/>
    <x v="3"/>
    <x v="1969"/>
    <n v="8"/>
    <x v="1"/>
    <s v="Recovered"/>
    <x v="2"/>
    <x v="1"/>
    <s v="Card"/>
    <n v="3"/>
    <x v="1964"/>
    <s v="No"/>
    <x v="0"/>
  </r>
  <r>
    <x v="1971"/>
    <x v="3"/>
    <x v="0"/>
    <x v="7"/>
    <x v="870"/>
    <d v="2023-02-11T00:00:00"/>
    <x v="9"/>
    <x v="5"/>
    <x v="7"/>
    <x v="1970"/>
    <n v="15"/>
    <x v="0"/>
    <s v="Recovered"/>
    <x v="2"/>
    <x v="0"/>
    <s v="Cash"/>
    <n v="4"/>
    <x v="1965"/>
    <s v="No"/>
    <x v="0"/>
  </r>
  <r>
    <x v="1972"/>
    <x v="28"/>
    <x v="0"/>
    <x v="2"/>
    <x v="597"/>
    <d v="2023-05-15T00:00:00"/>
    <x v="2"/>
    <x v="2"/>
    <x v="1"/>
    <x v="1971"/>
    <n v="7"/>
    <x v="1"/>
    <s v="Recovered"/>
    <x v="0"/>
    <x v="1"/>
    <s v="Card"/>
    <n v="4"/>
    <x v="1966"/>
    <s v="Yes"/>
    <x v="0"/>
  </r>
  <r>
    <x v="1973"/>
    <x v="8"/>
    <x v="0"/>
    <x v="0"/>
    <x v="724"/>
    <d v="2024-07-14T00:00:00"/>
    <x v="7"/>
    <x v="5"/>
    <x v="0"/>
    <x v="1972"/>
    <n v="6"/>
    <x v="0"/>
    <s v="Recovered"/>
    <x v="2"/>
    <x v="2"/>
    <s v="Cash"/>
    <n v="1"/>
    <x v="1967"/>
    <s v="No"/>
    <x v="0"/>
  </r>
  <r>
    <x v="1974"/>
    <x v="13"/>
    <x v="0"/>
    <x v="3"/>
    <x v="732"/>
    <d v="2025-05-26T00:00:00"/>
    <x v="1"/>
    <x v="1"/>
    <x v="6"/>
    <x v="1973"/>
    <n v="3"/>
    <x v="1"/>
    <s v="Recovered"/>
    <x v="2"/>
    <x v="2"/>
    <s v="Card"/>
    <n v="1"/>
    <x v="1968"/>
    <s v="No"/>
    <x v="1"/>
  </r>
  <r>
    <x v="1975"/>
    <x v="35"/>
    <x v="0"/>
    <x v="5"/>
    <x v="612"/>
    <d v="2024-02-01T00:00:00"/>
    <x v="3"/>
    <x v="0"/>
    <x v="6"/>
    <x v="1974"/>
    <n v="9"/>
    <x v="0"/>
    <s v="Recovered"/>
    <x v="0"/>
    <x v="0"/>
    <s v="Insurance"/>
    <n v="6"/>
    <x v="1969"/>
    <s v="Yes"/>
    <x v="0"/>
  </r>
  <r>
    <x v="1976"/>
    <x v="22"/>
    <x v="1"/>
    <x v="5"/>
    <x v="797"/>
    <d v="2024-01-20T00:00:00"/>
    <x v="9"/>
    <x v="5"/>
    <x v="4"/>
    <x v="1975"/>
    <n v="17"/>
    <x v="0"/>
    <s v="Recovered"/>
    <x v="2"/>
    <x v="2"/>
    <s v="Insurance"/>
    <n v="8"/>
    <x v="1970"/>
    <s v="Yes"/>
    <x v="0"/>
  </r>
  <r>
    <x v="1977"/>
    <x v="27"/>
    <x v="1"/>
    <x v="3"/>
    <x v="46"/>
    <d v="2025-02-09T00:00:00"/>
    <x v="2"/>
    <x v="2"/>
    <x v="6"/>
    <x v="1976"/>
    <n v="20"/>
    <x v="0"/>
    <s v="Recovered"/>
    <x v="0"/>
    <x v="2"/>
    <s v="Card"/>
    <n v="14"/>
    <x v="1971"/>
    <s v="Yes"/>
    <x v="0"/>
  </r>
  <r>
    <x v="1978"/>
    <x v="49"/>
    <x v="1"/>
    <x v="2"/>
    <x v="851"/>
    <d v="2024-09-19T00:00:00"/>
    <x v="9"/>
    <x v="5"/>
    <x v="4"/>
    <x v="1977"/>
    <n v="13"/>
    <x v="0"/>
    <s v="Referred"/>
    <x v="0"/>
    <x v="3"/>
    <s v="UPI"/>
    <n v="7"/>
    <x v="1972"/>
    <s v="Yes"/>
    <x v="1"/>
  </r>
  <r>
    <x v="1979"/>
    <x v="71"/>
    <x v="0"/>
    <x v="7"/>
    <x v="237"/>
    <d v="2025-06-22T00:00:00"/>
    <x v="0"/>
    <x v="0"/>
    <x v="6"/>
    <x v="1978"/>
    <n v="6"/>
    <x v="0"/>
    <s v="Recovered"/>
    <x v="2"/>
    <x v="1"/>
    <s v="Insurance"/>
    <n v="10"/>
    <x v="1973"/>
    <s v="No"/>
    <x v="0"/>
  </r>
  <r>
    <x v="1980"/>
    <x v="53"/>
    <x v="0"/>
    <x v="1"/>
    <x v="139"/>
    <d v="2023-10-02T00:00:00"/>
    <x v="2"/>
    <x v="2"/>
    <x v="2"/>
    <x v="1979"/>
    <n v="7"/>
    <x v="1"/>
    <s v="Recovered"/>
    <x v="1"/>
    <x v="0"/>
    <s v="Insurance"/>
    <n v="11"/>
    <x v="1974"/>
    <s v="Yes"/>
    <x v="0"/>
  </r>
  <r>
    <x v="1981"/>
    <x v="55"/>
    <x v="1"/>
    <x v="3"/>
    <x v="871"/>
    <d v="2023-07-02T00:00:00"/>
    <x v="5"/>
    <x v="4"/>
    <x v="3"/>
    <x v="1980"/>
    <n v="17"/>
    <x v="0"/>
    <s v="Recovered"/>
    <x v="2"/>
    <x v="3"/>
    <s v="Insurance"/>
    <n v="2"/>
    <x v="1975"/>
    <s v="No"/>
    <x v="0"/>
  </r>
  <r>
    <x v="1982"/>
    <x v="52"/>
    <x v="0"/>
    <x v="2"/>
    <x v="723"/>
    <d v="2025-07-13T00:00:00"/>
    <x v="7"/>
    <x v="5"/>
    <x v="4"/>
    <x v="1981"/>
    <n v="18"/>
    <x v="0"/>
    <s v="Recovered"/>
    <x v="0"/>
    <x v="1"/>
    <s v="Cash"/>
    <n v="3"/>
    <x v="1976"/>
    <s v="Yes"/>
    <x v="1"/>
  </r>
  <r>
    <x v="1983"/>
    <x v="17"/>
    <x v="1"/>
    <x v="3"/>
    <x v="759"/>
    <d v="2025-05-15T00:00:00"/>
    <x v="7"/>
    <x v="5"/>
    <x v="1"/>
    <x v="1982"/>
    <n v="8"/>
    <x v="1"/>
    <s v="Recovered"/>
    <x v="2"/>
    <x v="3"/>
    <s v="Card"/>
    <n v="7"/>
    <x v="1977"/>
    <s v="No"/>
    <x v="0"/>
  </r>
  <r>
    <x v="1984"/>
    <x v="47"/>
    <x v="0"/>
    <x v="7"/>
    <x v="858"/>
    <d v="2025-09-02T00:00:00"/>
    <x v="3"/>
    <x v="0"/>
    <x v="4"/>
    <x v="1983"/>
    <n v="13"/>
    <x v="0"/>
    <s v="Recovered"/>
    <x v="1"/>
    <x v="0"/>
    <s v="UPI"/>
    <n v="3"/>
    <x v="1978"/>
    <s v="No"/>
    <x v="0"/>
  </r>
  <r>
    <x v="1985"/>
    <x v="3"/>
    <x v="0"/>
    <x v="0"/>
    <x v="369"/>
    <d v="2023-12-11T00:00:00"/>
    <x v="8"/>
    <x v="6"/>
    <x v="4"/>
    <x v="1984"/>
    <n v="12"/>
    <x v="1"/>
    <s v="Recovered"/>
    <x v="0"/>
    <x v="1"/>
    <s v="Insurance"/>
    <n v="11"/>
    <x v="1979"/>
    <s v="Yes"/>
    <x v="0"/>
  </r>
  <r>
    <x v="1986"/>
    <x v="17"/>
    <x v="1"/>
    <x v="6"/>
    <x v="390"/>
    <d v="2023-11-14T00:00:00"/>
    <x v="2"/>
    <x v="2"/>
    <x v="0"/>
    <x v="1985"/>
    <n v="15"/>
    <x v="1"/>
    <s v="Recovered"/>
    <x v="1"/>
    <x v="3"/>
    <s v="Cash"/>
    <n v="1"/>
    <x v="1980"/>
    <s v="Yes"/>
    <x v="0"/>
  </r>
  <r>
    <x v="1987"/>
    <x v="43"/>
    <x v="0"/>
    <x v="0"/>
    <x v="94"/>
    <d v="2023-02-02T00:00:00"/>
    <x v="4"/>
    <x v="3"/>
    <x v="3"/>
    <x v="1986"/>
    <n v="24"/>
    <x v="1"/>
    <s v="Recovered"/>
    <x v="2"/>
    <x v="2"/>
    <s v="Insurance"/>
    <n v="10"/>
    <x v="1981"/>
    <s v="Yes"/>
    <x v="0"/>
  </r>
  <r>
    <x v="1988"/>
    <x v="0"/>
    <x v="0"/>
    <x v="6"/>
    <x v="832"/>
    <d v="2024-02-17T00:00:00"/>
    <x v="8"/>
    <x v="6"/>
    <x v="1"/>
    <x v="1987"/>
    <n v="13"/>
    <x v="0"/>
    <s v="Recovered"/>
    <x v="1"/>
    <x v="2"/>
    <s v="Insurance"/>
    <n v="1"/>
    <x v="1982"/>
    <s v="Yes"/>
    <x v="0"/>
  </r>
  <r>
    <x v="1989"/>
    <x v="65"/>
    <x v="1"/>
    <x v="3"/>
    <x v="872"/>
    <d v="2023-08-17T00:00:00"/>
    <x v="2"/>
    <x v="2"/>
    <x v="5"/>
    <x v="1988"/>
    <n v="5"/>
    <x v="0"/>
    <s v="Under Observation"/>
    <x v="1"/>
    <x v="2"/>
    <s v="Cash"/>
    <n v="8"/>
    <x v="1983"/>
    <s v="No"/>
    <x v="0"/>
  </r>
  <r>
    <x v="1990"/>
    <x v="26"/>
    <x v="1"/>
    <x v="5"/>
    <x v="257"/>
    <d v="2023-10-10T00:00:00"/>
    <x v="4"/>
    <x v="3"/>
    <x v="1"/>
    <x v="1989"/>
    <n v="24"/>
    <x v="0"/>
    <s v="Referred"/>
    <x v="1"/>
    <x v="2"/>
    <s v="Insurance"/>
    <n v="7"/>
    <x v="1984"/>
    <s v="No"/>
    <x v="1"/>
  </r>
  <r>
    <x v="1991"/>
    <x v="3"/>
    <x v="1"/>
    <x v="3"/>
    <x v="873"/>
    <d v="2025-03-19T00:00:00"/>
    <x v="6"/>
    <x v="2"/>
    <x v="1"/>
    <x v="1990"/>
    <n v="25"/>
    <x v="1"/>
    <s v="Recovered"/>
    <x v="0"/>
    <x v="2"/>
    <s v="Card"/>
    <n v="15"/>
    <x v="1985"/>
    <s v="Yes"/>
    <x v="1"/>
  </r>
  <r>
    <x v="1992"/>
    <x v="27"/>
    <x v="1"/>
    <x v="2"/>
    <x v="712"/>
    <d v="2024-03-15T00:00:00"/>
    <x v="3"/>
    <x v="0"/>
    <x v="7"/>
    <x v="1991"/>
    <n v="27"/>
    <x v="1"/>
    <s v="Recovered"/>
    <x v="1"/>
    <x v="2"/>
    <s v="Card"/>
    <n v="6"/>
    <x v="1986"/>
    <s v="No"/>
    <x v="0"/>
  </r>
  <r>
    <x v="1993"/>
    <x v="32"/>
    <x v="1"/>
    <x v="1"/>
    <x v="623"/>
    <d v="2024-11-17T00:00:00"/>
    <x v="0"/>
    <x v="0"/>
    <x v="4"/>
    <x v="1992"/>
    <n v="12"/>
    <x v="1"/>
    <s v="Recovered"/>
    <x v="0"/>
    <x v="3"/>
    <s v="Cash"/>
    <n v="9"/>
    <x v="1987"/>
    <s v="No"/>
    <x v="0"/>
  </r>
  <r>
    <x v="1994"/>
    <x v="11"/>
    <x v="0"/>
    <x v="6"/>
    <x v="850"/>
    <d v="2025-08-03T00:00:00"/>
    <x v="6"/>
    <x v="2"/>
    <x v="5"/>
    <x v="1993"/>
    <n v="4"/>
    <x v="1"/>
    <s v="Recovered"/>
    <x v="1"/>
    <x v="0"/>
    <s v="UPI"/>
    <n v="6"/>
    <x v="1988"/>
    <s v="No"/>
    <x v="0"/>
  </r>
  <r>
    <x v="1995"/>
    <x v="44"/>
    <x v="1"/>
    <x v="7"/>
    <x v="354"/>
    <d v="2023-05-21T00:00:00"/>
    <x v="7"/>
    <x v="5"/>
    <x v="6"/>
    <x v="1994"/>
    <n v="7"/>
    <x v="0"/>
    <s v="Recovered"/>
    <x v="0"/>
    <x v="1"/>
    <s v="Card"/>
    <n v="11"/>
    <x v="1989"/>
    <s v="Yes"/>
    <x v="0"/>
  </r>
  <r>
    <x v="1996"/>
    <x v="15"/>
    <x v="1"/>
    <x v="3"/>
    <x v="676"/>
    <d v="2024-03-22T00:00:00"/>
    <x v="8"/>
    <x v="6"/>
    <x v="0"/>
    <x v="1995"/>
    <n v="30"/>
    <x v="0"/>
    <s v="Recovered"/>
    <x v="2"/>
    <x v="2"/>
    <s v="UPI"/>
    <n v="12"/>
    <x v="1990"/>
    <s v="Yes"/>
    <x v="0"/>
  </r>
  <r>
    <x v="1997"/>
    <x v="28"/>
    <x v="1"/>
    <x v="5"/>
    <x v="57"/>
    <d v="2023-06-13T00:00:00"/>
    <x v="2"/>
    <x v="2"/>
    <x v="2"/>
    <x v="1996"/>
    <n v="3"/>
    <x v="1"/>
    <s v="Recovered"/>
    <x v="1"/>
    <x v="0"/>
    <s v="Cash"/>
    <n v="5"/>
    <x v="1991"/>
    <s v="No"/>
    <x v="0"/>
  </r>
  <r>
    <x v="1998"/>
    <x v="43"/>
    <x v="0"/>
    <x v="7"/>
    <x v="667"/>
    <d v="2023-10-17T00:00:00"/>
    <x v="4"/>
    <x v="3"/>
    <x v="7"/>
    <x v="1997"/>
    <n v="13"/>
    <x v="1"/>
    <s v="Recovered"/>
    <x v="2"/>
    <x v="1"/>
    <s v="Card"/>
    <n v="5"/>
    <x v="1992"/>
    <s v="No"/>
    <x v="0"/>
  </r>
  <r>
    <x v="1999"/>
    <x v="40"/>
    <x v="0"/>
    <x v="5"/>
    <x v="653"/>
    <d v="2023-10-13T00:00:00"/>
    <x v="5"/>
    <x v="4"/>
    <x v="2"/>
    <x v="1998"/>
    <n v="16"/>
    <x v="1"/>
    <s v="Recovered"/>
    <x v="2"/>
    <x v="0"/>
    <s v="UPI"/>
    <n v="15"/>
    <x v="1993"/>
    <s v="No"/>
    <x v="0"/>
  </r>
  <r>
    <x v="2000"/>
    <x v="49"/>
    <x v="1"/>
    <x v="4"/>
    <x v="874"/>
    <d v="2024-05-12T00:00:00"/>
    <x v="4"/>
    <x v="3"/>
    <x v="6"/>
    <x v="1999"/>
    <n v="2"/>
    <x v="1"/>
    <s v="Under Observation"/>
    <x v="0"/>
    <x v="0"/>
    <s v="UPI"/>
    <n v="3"/>
    <x v="1994"/>
    <s v="No"/>
    <x v="0"/>
  </r>
  <r>
    <x v="2001"/>
    <x v="72"/>
    <x v="0"/>
    <x v="3"/>
    <x v="875"/>
    <d v="2023-06-01T00:00:00"/>
    <x v="4"/>
    <x v="3"/>
    <x v="1"/>
    <x v="2000"/>
    <n v="12"/>
    <x v="0"/>
    <s v="Under Observation"/>
    <x v="0"/>
    <x v="1"/>
    <s v="Cash"/>
    <n v="12"/>
    <x v="1995"/>
    <s v="No"/>
    <x v="1"/>
  </r>
  <r>
    <x v="2002"/>
    <x v="29"/>
    <x v="1"/>
    <x v="5"/>
    <x v="228"/>
    <d v="2024-06-01T00:00:00"/>
    <x v="6"/>
    <x v="2"/>
    <x v="5"/>
    <x v="2001"/>
    <n v="9"/>
    <x v="1"/>
    <s v="Recovered"/>
    <x v="0"/>
    <x v="3"/>
    <s v="UPI"/>
    <n v="5"/>
    <x v="1996"/>
    <s v="No"/>
    <x v="1"/>
  </r>
  <r>
    <x v="2003"/>
    <x v="71"/>
    <x v="1"/>
    <x v="0"/>
    <x v="384"/>
    <d v="2024-12-15T00:00:00"/>
    <x v="7"/>
    <x v="5"/>
    <x v="0"/>
    <x v="2002"/>
    <n v="19"/>
    <x v="1"/>
    <s v="Recovered"/>
    <x v="1"/>
    <x v="0"/>
    <s v="Cash"/>
    <n v="12"/>
    <x v="1997"/>
    <s v="Yes"/>
    <x v="0"/>
  </r>
  <r>
    <x v="2004"/>
    <x v="39"/>
    <x v="0"/>
    <x v="4"/>
    <x v="44"/>
    <d v="2023-05-31T00:00:00"/>
    <x v="8"/>
    <x v="6"/>
    <x v="5"/>
    <x v="2003"/>
    <n v="6"/>
    <x v="0"/>
    <s v="Under Observation"/>
    <x v="1"/>
    <x v="1"/>
    <s v="Cash"/>
    <n v="15"/>
    <x v="1998"/>
    <s v="Yes"/>
    <x v="0"/>
  </r>
  <r>
    <x v="2005"/>
    <x v="42"/>
    <x v="0"/>
    <x v="2"/>
    <x v="376"/>
    <d v="2025-01-26T00:00:00"/>
    <x v="8"/>
    <x v="6"/>
    <x v="2"/>
    <x v="2004"/>
    <n v="17"/>
    <x v="0"/>
    <s v="Recovered"/>
    <x v="0"/>
    <x v="2"/>
    <s v="Cash"/>
    <n v="4"/>
    <x v="1999"/>
    <s v="No"/>
    <x v="0"/>
  </r>
  <r>
    <x v="2006"/>
    <x v="37"/>
    <x v="1"/>
    <x v="1"/>
    <x v="387"/>
    <d v="2025-04-26T00:00:00"/>
    <x v="4"/>
    <x v="3"/>
    <x v="1"/>
    <x v="2005"/>
    <n v="19"/>
    <x v="1"/>
    <s v="Under Observation"/>
    <x v="1"/>
    <x v="0"/>
    <s v="Insurance"/>
    <n v="9"/>
    <x v="2000"/>
    <s v="Yes"/>
    <x v="0"/>
  </r>
  <r>
    <x v="2007"/>
    <x v="69"/>
    <x v="1"/>
    <x v="3"/>
    <x v="48"/>
    <d v="2025-09-06T00:00:00"/>
    <x v="4"/>
    <x v="3"/>
    <x v="4"/>
    <x v="2006"/>
    <n v="18"/>
    <x v="0"/>
    <s v="Recovered"/>
    <x v="2"/>
    <x v="3"/>
    <s v="Insurance"/>
    <n v="12"/>
    <x v="2001"/>
    <s v="Yes"/>
    <x v="0"/>
  </r>
  <r>
    <x v="2008"/>
    <x v="25"/>
    <x v="1"/>
    <x v="0"/>
    <x v="122"/>
    <d v="2025-09-19T00:00:00"/>
    <x v="7"/>
    <x v="5"/>
    <x v="0"/>
    <x v="2007"/>
    <n v="11"/>
    <x v="1"/>
    <s v="Recovered"/>
    <x v="2"/>
    <x v="0"/>
    <s v="Card"/>
    <n v="2"/>
    <x v="2002"/>
    <s v="No"/>
    <x v="0"/>
  </r>
  <r>
    <x v="2009"/>
    <x v="33"/>
    <x v="0"/>
    <x v="5"/>
    <x v="701"/>
    <d v="2024-05-17T00:00:00"/>
    <x v="1"/>
    <x v="1"/>
    <x v="3"/>
    <x v="2008"/>
    <n v="2"/>
    <x v="0"/>
    <s v="Recovered"/>
    <x v="2"/>
    <x v="3"/>
    <s v="Card"/>
    <n v="11"/>
    <x v="2003"/>
    <s v="No"/>
    <x v="0"/>
  </r>
  <r>
    <x v="2010"/>
    <x v="60"/>
    <x v="0"/>
    <x v="4"/>
    <x v="567"/>
    <d v="2025-07-26T00:00:00"/>
    <x v="1"/>
    <x v="1"/>
    <x v="5"/>
    <x v="2009"/>
    <n v="4"/>
    <x v="0"/>
    <s v="Recovered"/>
    <x v="1"/>
    <x v="1"/>
    <s v="Insurance"/>
    <n v="9"/>
    <x v="2004"/>
    <s v="No"/>
    <x v="0"/>
  </r>
  <r>
    <x v="2011"/>
    <x v="25"/>
    <x v="0"/>
    <x v="1"/>
    <x v="431"/>
    <d v="2025-09-13T00:00:00"/>
    <x v="6"/>
    <x v="2"/>
    <x v="6"/>
    <x v="2010"/>
    <n v="17"/>
    <x v="1"/>
    <s v="Recovered"/>
    <x v="0"/>
    <x v="0"/>
    <s v="UPI"/>
    <n v="9"/>
    <x v="2005"/>
    <s v="No"/>
    <x v="0"/>
  </r>
  <r>
    <x v="2012"/>
    <x v="19"/>
    <x v="0"/>
    <x v="4"/>
    <x v="104"/>
    <d v="2023-02-04T00:00:00"/>
    <x v="0"/>
    <x v="0"/>
    <x v="5"/>
    <x v="2011"/>
    <n v="9"/>
    <x v="1"/>
    <s v="Under Observation"/>
    <x v="2"/>
    <x v="3"/>
    <s v="UPI"/>
    <n v="1"/>
    <x v="2006"/>
    <s v="No"/>
    <x v="0"/>
  </r>
  <r>
    <x v="2013"/>
    <x v="25"/>
    <x v="1"/>
    <x v="6"/>
    <x v="223"/>
    <d v="2025-01-18T00:00:00"/>
    <x v="6"/>
    <x v="2"/>
    <x v="2"/>
    <x v="2012"/>
    <n v="5"/>
    <x v="1"/>
    <s v="Recovered"/>
    <x v="1"/>
    <x v="3"/>
    <s v="Cash"/>
    <n v="2"/>
    <x v="2007"/>
    <s v="No"/>
    <x v="0"/>
  </r>
  <r>
    <x v="2014"/>
    <x v="30"/>
    <x v="0"/>
    <x v="1"/>
    <x v="330"/>
    <d v="2024-03-13T00:00:00"/>
    <x v="5"/>
    <x v="4"/>
    <x v="5"/>
    <x v="2013"/>
    <n v="11"/>
    <x v="0"/>
    <s v="Recovered"/>
    <x v="1"/>
    <x v="1"/>
    <s v="Card"/>
    <n v="9"/>
    <x v="2008"/>
    <s v="Yes"/>
    <x v="0"/>
  </r>
  <r>
    <x v="2015"/>
    <x v="16"/>
    <x v="0"/>
    <x v="4"/>
    <x v="368"/>
    <d v="2023-06-14T00:00:00"/>
    <x v="5"/>
    <x v="4"/>
    <x v="6"/>
    <x v="2014"/>
    <n v="10"/>
    <x v="0"/>
    <s v="Referred"/>
    <x v="1"/>
    <x v="3"/>
    <s v="UPI"/>
    <n v="14"/>
    <x v="2009"/>
    <s v="No"/>
    <x v="0"/>
  </r>
  <r>
    <x v="2016"/>
    <x v="36"/>
    <x v="1"/>
    <x v="2"/>
    <x v="486"/>
    <d v="2025-02-17T00:00:00"/>
    <x v="8"/>
    <x v="6"/>
    <x v="1"/>
    <x v="2015"/>
    <n v="1"/>
    <x v="1"/>
    <s v="Recovered"/>
    <x v="1"/>
    <x v="3"/>
    <s v="Insurance"/>
    <n v="5"/>
    <x v="2010"/>
    <s v="Yes"/>
    <x v="0"/>
  </r>
  <r>
    <x v="2017"/>
    <x v="47"/>
    <x v="1"/>
    <x v="5"/>
    <x v="69"/>
    <d v="2023-06-02T00:00:00"/>
    <x v="0"/>
    <x v="0"/>
    <x v="3"/>
    <x v="2016"/>
    <n v="20"/>
    <x v="0"/>
    <s v="Recovered"/>
    <x v="2"/>
    <x v="2"/>
    <s v="UPI"/>
    <n v="8"/>
    <x v="2011"/>
    <s v="Yes"/>
    <x v="0"/>
  </r>
  <r>
    <x v="2018"/>
    <x v="31"/>
    <x v="1"/>
    <x v="7"/>
    <x v="148"/>
    <d v="2025-07-21T00:00:00"/>
    <x v="3"/>
    <x v="0"/>
    <x v="2"/>
    <x v="2017"/>
    <n v="17"/>
    <x v="0"/>
    <s v="Recovered"/>
    <x v="0"/>
    <x v="1"/>
    <s v="Card"/>
    <n v="8"/>
    <x v="2012"/>
    <s v="No"/>
    <x v="0"/>
  </r>
  <r>
    <x v="2019"/>
    <x v="37"/>
    <x v="0"/>
    <x v="2"/>
    <x v="224"/>
    <d v="2023-10-11T00:00:00"/>
    <x v="7"/>
    <x v="5"/>
    <x v="2"/>
    <x v="2018"/>
    <n v="2"/>
    <x v="0"/>
    <s v="Recovered"/>
    <x v="1"/>
    <x v="3"/>
    <s v="Card"/>
    <n v="5"/>
    <x v="2013"/>
    <s v="Yes"/>
    <x v="0"/>
  </r>
  <r>
    <x v="2020"/>
    <x v="62"/>
    <x v="0"/>
    <x v="1"/>
    <x v="380"/>
    <d v="2024-09-28T00:00:00"/>
    <x v="8"/>
    <x v="6"/>
    <x v="5"/>
    <x v="2019"/>
    <n v="16"/>
    <x v="0"/>
    <s v="Recovered"/>
    <x v="2"/>
    <x v="0"/>
    <s v="Card"/>
    <n v="7"/>
    <x v="2014"/>
    <s v="Yes"/>
    <x v="0"/>
  </r>
  <r>
    <x v="2021"/>
    <x v="24"/>
    <x v="1"/>
    <x v="0"/>
    <x v="339"/>
    <d v="2023-05-18T00:00:00"/>
    <x v="3"/>
    <x v="0"/>
    <x v="4"/>
    <x v="2020"/>
    <n v="13"/>
    <x v="1"/>
    <s v="Recovered"/>
    <x v="1"/>
    <x v="3"/>
    <s v="Card"/>
    <n v="4"/>
    <x v="2015"/>
    <s v="Yes"/>
    <x v="0"/>
  </r>
  <r>
    <x v="2022"/>
    <x v="12"/>
    <x v="0"/>
    <x v="6"/>
    <x v="828"/>
    <d v="2025-05-20T00:00:00"/>
    <x v="2"/>
    <x v="2"/>
    <x v="7"/>
    <x v="2021"/>
    <n v="10"/>
    <x v="1"/>
    <s v="Recovered"/>
    <x v="0"/>
    <x v="3"/>
    <s v="Card"/>
    <n v="7"/>
    <x v="2016"/>
    <s v="Yes"/>
    <x v="0"/>
  </r>
  <r>
    <x v="2023"/>
    <x v="39"/>
    <x v="0"/>
    <x v="6"/>
    <x v="229"/>
    <d v="2024-07-16T00:00:00"/>
    <x v="3"/>
    <x v="0"/>
    <x v="7"/>
    <x v="2022"/>
    <n v="1"/>
    <x v="1"/>
    <s v="Recovered"/>
    <x v="1"/>
    <x v="3"/>
    <s v="Insurance"/>
    <n v="8"/>
    <x v="2017"/>
    <s v="No"/>
    <x v="0"/>
  </r>
  <r>
    <x v="2024"/>
    <x v="6"/>
    <x v="1"/>
    <x v="5"/>
    <x v="876"/>
    <d v="2023-05-12T00:00:00"/>
    <x v="9"/>
    <x v="5"/>
    <x v="7"/>
    <x v="2023"/>
    <n v="10"/>
    <x v="1"/>
    <s v="Recovered"/>
    <x v="0"/>
    <x v="0"/>
    <s v="Card"/>
    <n v="6"/>
    <x v="2018"/>
    <s v="No"/>
    <x v="0"/>
  </r>
  <r>
    <x v="2025"/>
    <x v="58"/>
    <x v="1"/>
    <x v="5"/>
    <x v="565"/>
    <d v="2023-08-20T00:00:00"/>
    <x v="5"/>
    <x v="4"/>
    <x v="7"/>
    <x v="2024"/>
    <n v="10"/>
    <x v="0"/>
    <s v="Recovered"/>
    <x v="1"/>
    <x v="2"/>
    <s v="Cash"/>
    <n v="13"/>
    <x v="2019"/>
    <s v="Yes"/>
    <x v="0"/>
  </r>
  <r>
    <x v="2026"/>
    <x v="64"/>
    <x v="0"/>
    <x v="7"/>
    <x v="877"/>
    <d v="2025-05-01T00:00:00"/>
    <x v="6"/>
    <x v="2"/>
    <x v="0"/>
    <x v="2025"/>
    <n v="7"/>
    <x v="0"/>
    <s v="Recovered"/>
    <x v="1"/>
    <x v="1"/>
    <s v="Cash"/>
    <n v="6"/>
    <x v="2020"/>
    <s v="No"/>
    <x v="0"/>
  </r>
  <r>
    <x v="2027"/>
    <x v="58"/>
    <x v="1"/>
    <x v="3"/>
    <x v="878"/>
    <d v="2025-02-02T00:00:00"/>
    <x v="3"/>
    <x v="0"/>
    <x v="7"/>
    <x v="2026"/>
    <n v="18"/>
    <x v="0"/>
    <s v="Recovered"/>
    <x v="2"/>
    <x v="1"/>
    <s v="Card"/>
    <n v="2"/>
    <x v="2021"/>
    <s v="No"/>
    <x v="0"/>
  </r>
  <r>
    <x v="2028"/>
    <x v="30"/>
    <x v="1"/>
    <x v="0"/>
    <x v="879"/>
    <d v="2023-05-01T00:00:00"/>
    <x v="2"/>
    <x v="2"/>
    <x v="5"/>
    <x v="2027"/>
    <n v="19"/>
    <x v="0"/>
    <s v="Under Observation"/>
    <x v="1"/>
    <x v="1"/>
    <s v="Card"/>
    <n v="4"/>
    <x v="2022"/>
    <s v="No"/>
    <x v="0"/>
  </r>
  <r>
    <x v="2029"/>
    <x v="1"/>
    <x v="1"/>
    <x v="0"/>
    <x v="107"/>
    <d v="2024-12-02T00:00:00"/>
    <x v="2"/>
    <x v="2"/>
    <x v="0"/>
    <x v="2028"/>
    <n v="20"/>
    <x v="0"/>
    <s v="Recovered"/>
    <x v="1"/>
    <x v="3"/>
    <s v="Card"/>
    <n v="15"/>
    <x v="2023"/>
    <s v="No"/>
    <x v="1"/>
  </r>
  <r>
    <x v="2030"/>
    <x v="43"/>
    <x v="1"/>
    <x v="5"/>
    <x v="416"/>
    <d v="2024-09-08T00:00:00"/>
    <x v="7"/>
    <x v="5"/>
    <x v="2"/>
    <x v="2029"/>
    <n v="11"/>
    <x v="1"/>
    <s v="Under Observation"/>
    <x v="2"/>
    <x v="3"/>
    <s v="Card"/>
    <n v="8"/>
    <x v="2024"/>
    <s v="No"/>
    <x v="0"/>
  </r>
  <r>
    <x v="2031"/>
    <x v="6"/>
    <x v="0"/>
    <x v="7"/>
    <x v="115"/>
    <d v="2023-06-22T00:00:00"/>
    <x v="4"/>
    <x v="3"/>
    <x v="0"/>
    <x v="2030"/>
    <n v="10"/>
    <x v="0"/>
    <s v="Recovered"/>
    <x v="2"/>
    <x v="3"/>
    <s v="Cash"/>
    <n v="1"/>
    <x v="2025"/>
    <s v="Yes"/>
    <x v="1"/>
  </r>
  <r>
    <x v="2032"/>
    <x v="54"/>
    <x v="0"/>
    <x v="6"/>
    <x v="349"/>
    <d v="2025-04-15T00:00:00"/>
    <x v="7"/>
    <x v="5"/>
    <x v="5"/>
    <x v="2031"/>
    <n v="10"/>
    <x v="1"/>
    <s v="Recovered"/>
    <x v="2"/>
    <x v="3"/>
    <s v="Cash"/>
    <n v="10"/>
    <x v="2026"/>
    <s v="No"/>
    <x v="0"/>
  </r>
  <r>
    <x v="2033"/>
    <x v="13"/>
    <x v="0"/>
    <x v="1"/>
    <x v="624"/>
    <d v="2025-02-24T00:00:00"/>
    <x v="9"/>
    <x v="5"/>
    <x v="1"/>
    <x v="2032"/>
    <n v="10"/>
    <x v="0"/>
    <s v="Recovered"/>
    <x v="2"/>
    <x v="1"/>
    <s v="UPI"/>
    <n v="7"/>
    <x v="2027"/>
    <s v="Yes"/>
    <x v="0"/>
  </r>
  <r>
    <x v="2034"/>
    <x v="60"/>
    <x v="1"/>
    <x v="2"/>
    <x v="670"/>
    <d v="2024-12-07T00:00:00"/>
    <x v="1"/>
    <x v="1"/>
    <x v="7"/>
    <x v="2033"/>
    <n v="16"/>
    <x v="0"/>
    <s v="Under Observation"/>
    <x v="2"/>
    <x v="0"/>
    <s v="UPI"/>
    <n v="8"/>
    <x v="2028"/>
    <s v="No"/>
    <x v="0"/>
  </r>
  <r>
    <x v="2035"/>
    <x v="12"/>
    <x v="0"/>
    <x v="1"/>
    <x v="79"/>
    <d v="2023-05-01T00:00:00"/>
    <x v="8"/>
    <x v="6"/>
    <x v="7"/>
    <x v="2034"/>
    <n v="6"/>
    <x v="0"/>
    <s v="Recovered"/>
    <x v="0"/>
    <x v="3"/>
    <s v="Cash"/>
    <n v="9"/>
    <x v="2029"/>
    <s v="No"/>
    <x v="0"/>
  </r>
  <r>
    <x v="2036"/>
    <x v="4"/>
    <x v="1"/>
    <x v="5"/>
    <x v="880"/>
    <d v="2023-11-09T00:00:00"/>
    <x v="6"/>
    <x v="2"/>
    <x v="3"/>
    <x v="2035"/>
    <n v="14"/>
    <x v="1"/>
    <s v="Recovered"/>
    <x v="1"/>
    <x v="2"/>
    <s v="UPI"/>
    <n v="1"/>
    <x v="2030"/>
    <s v="Yes"/>
    <x v="0"/>
  </r>
  <r>
    <x v="2037"/>
    <x v="44"/>
    <x v="0"/>
    <x v="5"/>
    <x v="470"/>
    <d v="2023-08-01T00:00:00"/>
    <x v="3"/>
    <x v="0"/>
    <x v="0"/>
    <x v="2036"/>
    <n v="19"/>
    <x v="0"/>
    <s v="Recovered"/>
    <x v="1"/>
    <x v="1"/>
    <s v="Card"/>
    <n v="2"/>
    <x v="2031"/>
    <s v="Yes"/>
    <x v="0"/>
  </r>
  <r>
    <x v="2038"/>
    <x v="50"/>
    <x v="1"/>
    <x v="7"/>
    <x v="371"/>
    <d v="2024-03-13T00:00:00"/>
    <x v="6"/>
    <x v="2"/>
    <x v="4"/>
    <x v="2037"/>
    <n v="7"/>
    <x v="1"/>
    <s v="Recovered"/>
    <x v="2"/>
    <x v="3"/>
    <s v="UPI"/>
    <n v="3"/>
    <x v="2032"/>
    <s v="No"/>
    <x v="0"/>
  </r>
  <r>
    <x v="2039"/>
    <x v="25"/>
    <x v="1"/>
    <x v="4"/>
    <x v="46"/>
    <d v="2025-02-03T00:00:00"/>
    <x v="2"/>
    <x v="2"/>
    <x v="4"/>
    <x v="2038"/>
    <n v="14"/>
    <x v="0"/>
    <s v="Recovered"/>
    <x v="0"/>
    <x v="3"/>
    <s v="Insurance"/>
    <n v="8"/>
    <x v="2033"/>
    <s v="Yes"/>
    <x v="0"/>
  </r>
  <r>
    <x v="2040"/>
    <x v="1"/>
    <x v="0"/>
    <x v="5"/>
    <x v="191"/>
    <d v="2023-04-16T00:00:00"/>
    <x v="4"/>
    <x v="3"/>
    <x v="2"/>
    <x v="2039"/>
    <n v="9"/>
    <x v="0"/>
    <s v="Under Observation"/>
    <x v="1"/>
    <x v="3"/>
    <s v="Card"/>
    <n v="5"/>
    <x v="2034"/>
    <s v="Yes"/>
    <x v="0"/>
  </r>
  <r>
    <x v="2041"/>
    <x v="17"/>
    <x v="0"/>
    <x v="6"/>
    <x v="522"/>
    <d v="2024-04-06T00:00:00"/>
    <x v="9"/>
    <x v="5"/>
    <x v="0"/>
    <x v="2040"/>
    <n v="29"/>
    <x v="0"/>
    <s v="Recovered"/>
    <x v="1"/>
    <x v="2"/>
    <s v="UPI"/>
    <n v="9"/>
    <x v="2035"/>
    <s v="Yes"/>
    <x v="0"/>
  </r>
  <r>
    <x v="2042"/>
    <x v="71"/>
    <x v="1"/>
    <x v="3"/>
    <x v="111"/>
    <d v="2023-05-12T00:00:00"/>
    <x v="4"/>
    <x v="3"/>
    <x v="1"/>
    <x v="2041"/>
    <n v="28"/>
    <x v="0"/>
    <s v="Recovered"/>
    <x v="1"/>
    <x v="2"/>
    <s v="Insurance"/>
    <n v="13"/>
    <x v="2036"/>
    <s v="Yes"/>
    <x v="0"/>
  </r>
  <r>
    <x v="2043"/>
    <x v="11"/>
    <x v="0"/>
    <x v="4"/>
    <x v="881"/>
    <d v="2025-04-02T00:00:00"/>
    <x v="7"/>
    <x v="5"/>
    <x v="3"/>
    <x v="2042"/>
    <n v="6"/>
    <x v="0"/>
    <s v="Referred"/>
    <x v="2"/>
    <x v="3"/>
    <s v="Insurance"/>
    <n v="3"/>
    <x v="2037"/>
    <s v="Yes"/>
    <x v="0"/>
  </r>
  <r>
    <x v="2044"/>
    <x v="15"/>
    <x v="1"/>
    <x v="5"/>
    <x v="320"/>
    <d v="2024-08-30T00:00:00"/>
    <x v="2"/>
    <x v="2"/>
    <x v="5"/>
    <x v="2043"/>
    <n v="7"/>
    <x v="1"/>
    <s v="Recovered"/>
    <x v="1"/>
    <x v="1"/>
    <s v="Cash"/>
    <n v="5"/>
    <x v="2038"/>
    <s v="Yes"/>
    <x v="0"/>
  </r>
  <r>
    <x v="2045"/>
    <x v="65"/>
    <x v="1"/>
    <x v="5"/>
    <x v="594"/>
    <d v="2025-06-24T00:00:00"/>
    <x v="5"/>
    <x v="4"/>
    <x v="2"/>
    <x v="2044"/>
    <n v="6"/>
    <x v="0"/>
    <s v="Recovered"/>
    <x v="1"/>
    <x v="3"/>
    <s v="Cash"/>
    <n v="4"/>
    <x v="2039"/>
    <s v="No"/>
    <x v="0"/>
  </r>
  <r>
    <x v="2046"/>
    <x v="11"/>
    <x v="0"/>
    <x v="1"/>
    <x v="798"/>
    <d v="2024-07-17T00:00:00"/>
    <x v="1"/>
    <x v="1"/>
    <x v="4"/>
    <x v="2045"/>
    <n v="3"/>
    <x v="0"/>
    <s v="Recovered"/>
    <x v="2"/>
    <x v="1"/>
    <s v="Insurance"/>
    <n v="14"/>
    <x v="2040"/>
    <s v="Yes"/>
    <x v="0"/>
  </r>
  <r>
    <x v="2047"/>
    <x v="53"/>
    <x v="1"/>
    <x v="1"/>
    <x v="881"/>
    <d v="2025-04-05T00:00:00"/>
    <x v="6"/>
    <x v="2"/>
    <x v="5"/>
    <x v="2046"/>
    <n v="9"/>
    <x v="0"/>
    <s v="Referred"/>
    <x v="1"/>
    <x v="3"/>
    <s v="Insurance"/>
    <n v="12"/>
    <x v="2041"/>
    <s v="No"/>
    <x v="0"/>
  </r>
  <r>
    <x v="2048"/>
    <x v="55"/>
    <x v="0"/>
    <x v="0"/>
    <x v="24"/>
    <d v="2023-06-07T00:00:00"/>
    <x v="8"/>
    <x v="6"/>
    <x v="4"/>
    <x v="2047"/>
    <n v="16"/>
    <x v="1"/>
    <s v="Referred"/>
    <x v="2"/>
    <x v="1"/>
    <s v="Insurance"/>
    <n v="7"/>
    <x v="2042"/>
    <s v="No"/>
    <x v="0"/>
  </r>
  <r>
    <x v="2049"/>
    <x v="9"/>
    <x v="1"/>
    <x v="4"/>
    <x v="882"/>
    <d v="2024-10-11T00:00:00"/>
    <x v="2"/>
    <x v="2"/>
    <x v="4"/>
    <x v="2048"/>
    <n v="20"/>
    <x v="0"/>
    <s v="Recovered"/>
    <x v="2"/>
    <x v="1"/>
    <s v="Insurance"/>
    <n v="2"/>
    <x v="2043"/>
    <s v="Yes"/>
    <x v="0"/>
  </r>
  <r>
    <x v="2050"/>
    <x v="4"/>
    <x v="0"/>
    <x v="5"/>
    <x v="117"/>
    <d v="2023-01-06T00:00:00"/>
    <x v="8"/>
    <x v="6"/>
    <x v="7"/>
    <x v="2049"/>
    <n v="5"/>
    <x v="1"/>
    <s v="Recovered"/>
    <x v="1"/>
    <x v="2"/>
    <s v="UPI"/>
    <n v="4"/>
    <x v="2044"/>
    <s v="Yes"/>
    <x v="0"/>
  </r>
  <r>
    <x v="2051"/>
    <x v="7"/>
    <x v="1"/>
    <x v="2"/>
    <x v="234"/>
    <d v="2025-07-28T00:00:00"/>
    <x v="4"/>
    <x v="3"/>
    <x v="7"/>
    <x v="2050"/>
    <n v="9"/>
    <x v="1"/>
    <s v="Recovered"/>
    <x v="2"/>
    <x v="0"/>
    <s v="Cash"/>
    <n v="5"/>
    <x v="2045"/>
    <s v="No"/>
    <x v="0"/>
  </r>
  <r>
    <x v="2052"/>
    <x v="26"/>
    <x v="0"/>
    <x v="5"/>
    <x v="715"/>
    <d v="2023-07-29T00:00:00"/>
    <x v="8"/>
    <x v="6"/>
    <x v="7"/>
    <x v="2051"/>
    <n v="7"/>
    <x v="1"/>
    <s v="Recovered"/>
    <x v="0"/>
    <x v="1"/>
    <s v="Insurance"/>
    <n v="9"/>
    <x v="2046"/>
    <s v="No"/>
    <x v="0"/>
  </r>
  <r>
    <x v="2053"/>
    <x v="26"/>
    <x v="1"/>
    <x v="7"/>
    <x v="520"/>
    <d v="2023-08-26T00:00:00"/>
    <x v="0"/>
    <x v="0"/>
    <x v="4"/>
    <x v="2052"/>
    <n v="9"/>
    <x v="0"/>
    <s v="Recovered"/>
    <x v="2"/>
    <x v="3"/>
    <s v="Insurance"/>
    <n v="11"/>
    <x v="2047"/>
    <s v="Yes"/>
    <x v="1"/>
  </r>
  <r>
    <x v="2054"/>
    <x v="18"/>
    <x v="0"/>
    <x v="7"/>
    <x v="113"/>
    <d v="2025-08-24T00:00:00"/>
    <x v="4"/>
    <x v="3"/>
    <x v="6"/>
    <x v="2053"/>
    <n v="15"/>
    <x v="0"/>
    <s v="Recovered"/>
    <x v="0"/>
    <x v="1"/>
    <s v="Card"/>
    <n v="10"/>
    <x v="2048"/>
    <s v="Yes"/>
    <x v="1"/>
  </r>
  <r>
    <x v="2055"/>
    <x v="50"/>
    <x v="1"/>
    <x v="5"/>
    <x v="165"/>
    <d v="2023-04-09T00:00:00"/>
    <x v="7"/>
    <x v="5"/>
    <x v="6"/>
    <x v="2054"/>
    <n v="15"/>
    <x v="1"/>
    <s v="Recovered"/>
    <x v="1"/>
    <x v="1"/>
    <s v="Cash"/>
    <n v="11"/>
    <x v="2049"/>
    <s v="Yes"/>
    <x v="0"/>
  </r>
  <r>
    <x v="2056"/>
    <x v="52"/>
    <x v="0"/>
    <x v="6"/>
    <x v="486"/>
    <d v="2025-03-02T00:00:00"/>
    <x v="0"/>
    <x v="0"/>
    <x v="6"/>
    <x v="2055"/>
    <n v="14"/>
    <x v="1"/>
    <s v="Recovered"/>
    <x v="1"/>
    <x v="3"/>
    <s v="Card"/>
    <n v="1"/>
    <x v="2050"/>
    <s v="No"/>
    <x v="0"/>
  </r>
  <r>
    <x v="2057"/>
    <x v="35"/>
    <x v="0"/>
    <x v="4"/>
    <x v="554"/>
    <d v="2023-07-31T00:00:00"/>
    <x v="7"/>
    <x v="5"/>
    <x v="2"/>
    <x v="2056"/>
    <n v="8"/>
    <x v="0"/>
    <s v="Recovered"/>
    <x v="2"/>
    <x v="0"/>
    <s v="Cash"/>
    <n v="10"/>
    <x v="2051"/>
    <s v="Yes"/>
    <x v="0"/>
  </r>
  <r>
    <x v="2058"/>
    <x v="16"/>
    <x v="1"/>
    <x v="6"/>
    <x v="883"/>
    <d v="2025-06-06T00:00:00"/>
    <x v="0"/>
    <x v="0"/>
    <x v="1"/>
    <x v="2057"/>
    <n v="15"/>
    <x v="1"/>
    <s v="Recovered"/>
    <x v="0"/>
    <x v="1"/>
    <s v="UPI"/>
    <n v="12"/>
    <x v="2052"/>
    <s v="No"/>
    <x v="0"/>
  </r>
  <r>
    <x v="2059"/>
    <x v="8"/>
    <x v="0"/>
    <x v="4"/>
    <x v="510"/>
    <d v="2025-04-10T00:00:00"/>
    <x v="7"/>
    <x v="5"/>
    <x v="1"/>
    <x v="2058"/>
    <n v="11"/>
    <x v="1"/>
    <s v="Recovered"/>
    <x v="0"/>
    <x v="1"/>
    <s v="Card"/>
    <n v="12"/>
    <x v="2053"/>
    <s v="Yes"/>
    <x v="0"/>
  </r>
  <r>
    <x v="2060"/>
    <x v="15"/>
    <x v="0"/>
    <x v="6"/>
    <x v="532"/>
    <d v="2023-06-07T00:00:00"/>
    <x v="9"/>
    <x v="5"/>
    <x v="4"/>
    <x v="2059"/>
    <n v="23"/>
    <x v="0"/>
    <s v="Recovered"/>
    <x v="2"/>
    <x v="2"/>
    <s v="Insurance"/>
    <n v="3"/>
    <x v="2054"/>
    <s v="Yes"/>
    <x v="0"/>
  </r>
  <r>
    <x v="2061"/>
    <x v="70"/>
    <x v="0"/>
    <x v="3"/>
    <x v="773"/>
    <d v="2024-03-18T00:00:00"/>
    <x v="3"/>
    <x v="0"/>
    <x v="2"/>
    <x v="2060"/>
    <n v="18"/>
    <x v="1"/>
    <s v="Recovered"/>
    <x v="2"/>
    <x v="0"/>
    <s v="Cash"/>
    <n v="14"/>
    <x v="2055"/>
    <s v="No"/>
    <x v="0"/>
  </r>
  <r>
    <x v="2062"/>
    <x v="54"/>
    <x v="0"/>
    <x v="1"/>
    <x v="726"/>
    <d v="2024-03-26T00:00:00"/>
    <x v="5"/>
    <x v="4"/>
    <x v="6"/>
    <x v="2061"/>
    <n v="13"/>
    <x v="0"/>
    <s v="Recovered"/>
    <x v="2"/>
    <x v="1"/>
    <s v="UPI"/>
    <n v="1"/>
    <x v="2056"/>
    <s v="Yes"/>
    <x v="1"/>
  </r>
  <r>
    <x v="2063"/>
    <x v="61"/>
    <x v="1"/>
    <x v="2"/>
    <x v="34"/>
    <d v="2024-02-16T00:00:00"/>
    <x v="2"/>
    <x v="2"/>
    <x v="1"/>
    <x v="2062"/>
    <n v="13"/>
    <x v="1"/>
    <s v="Recovered"/>
    <x v="2"/>
    <x v="2"/>
    <s v="Cash"/>
    <n v="11"/>
    <x v="2057"/>
    <s v="No"/>
    <x v="0"/>
  </r>
  <r>
    <x v="2064"/>
    <x v="24"/>
    <x v="1"/>
    <x v="2"/>
    <x v="306"/>
    <d v="2023-04-15T00:00:00"/>
    <x v="2"/>
    <x v="2"/>
    <x v="4"/>
    <x v="2063"/>
    <n v="14"/>
    <x v="1"/>
    <s v="Referred"/>
    <x v="1"/>
    <x v="2"/>
    <s v="Insurance"/>
    <n v="8"/>
    <x v="2058"/>
    <s v="Yes"/>
    <x v="0"/>
  </r>
  <r>
    <x v="2065"/>
    <x v="38"/>
    <x v="1"/>
    <x v="2"/>
    <x v="769"/>
    <d v="2025-05-14T00:00:00"/>
    <x v="1"/>
    <x v="1"/>
    <x v="1"/>
    <x v="2064"/>
    <n v="5"/>
    <x v="0"/>
    <s v="Recovered"/>
    <x v="0"/>
    <x v="0"/>
    <s v="Cash"/>
    <n v="11"/>
    <x v="2059"/>
    <s v="No"/>
    <x v="0"/>
  </r>
  <r>
    <x v="2066"/>
    <x v="5"/>
    <x v="0"/>
    <x v="5"/>
    <x v="604"/>
    <d v="2024-01-03T00:00:00"/>
    <x v="1"/>
    <x v="1"/>
    <x v="5"/>
    <x v="2065"/>
    <n v="18"/>
    <x v="0"/>
    <s v="Recovered"/>
    <x v="2"/>
    <x v="0"/>
    <s v="Insurance"/>
    <n v="1"/>
    <x v="2060"/>
    <s v="No"/>
    <x v="0"/>
  </r>
  <r>
    <x v="2067"/>
    <x v="53"/>
    <x v="0"/>
    <x v="5"/>
    <x v="553"/>
    <d v="2023-01-28T00:00:00"/>
    <x v="2"/>
    <x v="2"/>
    <x v="0"/>
    <x v="2066"/>
    <n v="14"/>
    <x v="0"/>
    <s v="Recovered"/>
    <x v="0"/>
    <x v="1"/>
    <s v="UPI"/>
    <n v="11"/>
    <x v="2061"/>
    <s v="Yes"/>
    <x v="1"/>
  </r>
  <r>
    <x v="2068"/>
    <x v="24"/>
    <x v="0"/>
    <x v="1"/>
    <x v="618"/>
    <d v="2023-03-29T00:00:00"/>
    <x v="1"/>
    <x v="1"/>
    <x v="4"/>
    <x v="2067"/>
    <n v="24"/>
    <x v="1"/>
    <s v="Recovered"/>
    <x v="1"/>
    <x v="2"/>
    <s v="UPI"/>
    <n v="2"/>
    <x v="2062"/>
    <s v="No"/>
    <x v="0"/>
  </r>
  <r>
    <x v="2069"/>
    <x v="67"/>
    <x v="1"/>
    <x v="0"/>
    <x v="622"/>
    <d v="2024-10-14T00:00:00"/>
    <x v="6"/>
    <x v="2"/>
    <x v="7"/>
    <x v="2068"/>
    <n v="1"/>
    <x v="1"/>
    <s v="Recovered"/>
    <x v="2"/>
    <x v="1"/>
    <s v="UPI"/>
    <n v="13"/>
    <x v="2063"/>
    <s v="No"/>
    <x v="0"/>
  </r>
  <r>
    <x v="2070"/>
    <x v="48"/>
    <x v="0"/>
    <x v="7"/>
    <x v="829"/>
    <d v="2023-04-17T00:00:00"/>
    <x v="3"/>
    <x v="0"/>
    <x v="3"/>
    <x v="2069"/>
    <n v="7"/>
    <x v="0"/>
    <s v="Recovered"/>
    <x v="1"/>
    <x v="2"/>
    <s v="Insurance"/>
    <n v="2"/>
    <x v="2064"/>
    <s v="No"/>
    <x v="0"/>
  </r>
  <r>
    <x v="2071"/>
    <x v="13"/>
    <x v="0"/>
    <x v="2"/>
    <x v="308"/>
    <d v="2025-09-13T00:00:00"/>
    <x v="0"/>
    <x v="0"/>
    <x v="0"/>
    <x v="2070"/>
    <n v="18"/>
    <x v="1"/>
    <s v="Recovered"/>
    <x v="0"/>
    <x v="3"/>
    <s v="Cash"/>
    <n v="5"/>
    <x v="2065"/>
    <s v="Yes"/>
    <x v="0"/>
  </r>
  <r>
    <x v="2072"/>
    <x v="47"/>
    <x v="0"/>
    <x v="0"/>
    <x v="821"/>
    <d v="2024-09-17T00:00:00"/>
    <x v="4"/>
    <x v="3"/>
    <x v="7"/>
    <x v="2071"/>
    <n v="1"/>
    <x v="1"/>
    <s v="Deceased"/>
    <x v="2"/>
    <x v="1"/>
    <s v="Cash"/>
    <n v="4"/>
    <x v="2066"/>
    <s v="No"/>
    <x v="1"/>
  </r>
  <r>
    <x v="2073"/>
    <x v="47"/>
    <x v="0"/>
    <x v="0"/>
    <x v="884"/>
    <d v="2024-07-08T00:00:00"/>
    <x v="8"/>
    <x v="6"/>
    <x v="0"/>
    <x v="2072"/>
    <n v="26"/>
    <x v="1"/>
    <s v="Recovered"/>
    <x v="0"/>
    <x v="2"/>
    <s v="Cash"/>
    <n v="6"/>
    <x v="2067"/>
    <s v="No"/>
    <x v="0"/>
  </r>
  <r>
    <x v="2074"/>
    <x v="64"/>
    <x v="1"/>
    <x v="6"/>
    <x v="242"/>
    <d v="2024-10-24T00:00:00"/>
    <x v="8"/>
    <x v="6"/>
    <x v="3"/>
    <x v="2073"/>
    <n v="25"/>
    <x v="1"/>
    <s v="Recovered"/>
    <x v="1"/>
    <x v="2"/>
    <s v="Insurance"/>
    <n v="12"/>
    <x v="2068"/>
    <s v="Yes"/>
    <x v="0"/>
  </r>
  <r>
    <x v="2075"/>
    <x v="9"/>
    <x v="0"/>
    <x v="0"/>
    <x v="885"/>
    <d v="2024-02-17T00:00:00"/>
    <x v="6"/>
    <x v="2"/>
    <x v="7"/>
    <x v="2074"/>
    <n v="8"/>
    <x v="1"/>
    <s v="Under Observation"/>
    <x v="0"/>
    <x v="3"/>
    <s v="Insurance"/>
    <n v="13"/>
    <x v="2069"/>
    <s v="No"/>
    <x v="0"/>
  </r>
  <r>
    <x v="2076"/>
    <x v="49"/>
    <x v="1"/>
    <x v="7"/>
    <x v="528"/>
    <d v="2023-06-12T00:00:00"/>
    <x v="3"/>
    <x v="0"/>
    <x v="0"/>
    <x v="2075"/>
    <n v="15"/>
    <x v="0"/>
    <s v="Recovered"/>
    <x v="0"/>
    <x v="2"/>
    <s v="Insurance"/>
    <n v="6"/>
    <x v="2070"/>
    <s v="No"/>
    <x v="0"/>
  </r>
  <r>
    <x v="2077"/>
    <x v="56"/>
    <x v="0"/>
    <x v="5"/>
    <x v="528"/>
    <d v="2023-06-12T00:00:00"/>
    <x v="5"/>
    <x v="4"/>
    <x v="4"/>
    <x v="2076"/>
    <n v="15"/>
    <x v="1"/>
    <s v="Recovered"/>
    <x v="0"/>
    <x v="3"/>
    <s v="Card"/>
    <n v="1"/>
    <x v="2071"/>
    <s v="Yes"/>
    <x v="1"/>
  </r>
  <r>
    <x v="2078"/>
    <x v="47"/>
    <x v="0"/>
    <x v="6"/>
    <x v="886"/>
    <d v="2024-11-07T00:00:00"/>
    <x v="0"/>
    <x v="0"/>
    <x v="1"/>
    <x v="2077"/>
    <n v="13"/>
    <x v="0"/>
    <s v="Under Observation"/>
    <x v="0"/>
    <x v="3"/>
    <s v="Cash"/>
    <n v="12"/>
    <x v="2072"/>
    <s v="No"/>
    <x v="0"/>
  </r>
  <r>
    <x v="2079"/>
    <x v="68"/>
    <x v="0"/>
    <x v="0"/>
    <x v="710"/>
    <d v="2024-04-25T00:00:00"/>
    <x v="1"/>
    <x v="1"/>
    <x v="1"/>
    <x v="2078"/>
    <n v="10"/>
    <x v="0"/>
    <s v="Recovered"/>
    <x v="2"/>
    <x v="1"/>
    <s v="Cash"/>
    <n v="10"/>
    <x v="2073"/>
    <s v="Yes"/>
    <x v="0"/>
  </r>
  <r>
    <x v="2080"/>
    <x v="30"/>
    <x v="0"/>
    <x v="7"/>
    <x v="587"/>
    <d v="2024-01-26T00:00:00"/>
    <x v="9"/>
    <x v="5"/>
    <x v="4"/>
    <x v="2079"/>
    <n v="2"/>
    <x v="1"/>
    <s v="Under Observation"/>
    <x v="0"/>
    <x v="0"/>
    <s v="UPI"/>
    <n v="1"/>
    <x v="2074"/>
    <s v="No"/>
    <x v="0"/>
  </r>
  <r>
    <x v="2081"/>
    <x v="5"/>
    <x v="0"/>
    <x v="3"/>
    <x v="692"/>
    <d v="2024-06-18T00:00:00"/>
    <x v="5"/>
    <x v="4"/>
    <x v="5"/>
    <x v="2080"/>
    <n v="8"/>
    <x v="1"/>
    <s v="Recovered"/>
    <x v="2"/>
    <x v="1"/>
    <s v="Card"/>
    <n v="3"/>
    <x v="2075"/>
    <s v="No"/>
    <x v="0"/>
  </r>
  <r>
    <x v="2082"/>
    <x v="67"/>
    <x v="0"/>
    <x v="6"/>
    <x v="879"/>
    <d v="2023-04-26T00:00:00"/>
    <x v="5"/>
    <x v="4"/>
    <x v="2"/>
    <x v="2081"/>
    <n v="14"/>
    <x v="0"/>
    <s v="Referred"/>
    <x v="0"/>
    <x v="0"/>
    <s v="Card"/>
    <n v="4"/>
    <x v="2076"/>
    <s v="Yes"/>
    <x v="0"/>
  </r>
  <r>
    <x v="2083"/>
    <x v="52"/>
    <x v="0"/>
    <x v="3"/>
    <x v="535"/>
    <d v="2024-09-02T00:00:00"/>
    <x v="7"/>
    <x v="5"/>
    <x v="3"/>
    <x v="2082"/>
    <n v="24"/>
    <x v="0"/>
    <s v="Deceased"/>
    <x v="2"/>
    <x v="2"/>
    <s v="Cash"/>
    <n v="15"/>
    <x v="2077"/>
    <s v="No"/>
    <x v="1"/>
  </r>
  <r>
    <x v="2084"/>
    <x v="9"/>
    <x v="0"/>
    <x v="0"/>
    <x v="580"/>
    <d v="2023-03-09T00:00:00"/>
    <x v="0"/>
    <x v="0"/>
    <x v="0"/>
    <x v="2083"/>
    <n v="10"/>
    <x v="0"/>
    <s v="Under Observation"/>
    <x v="0"/>
    <x v="2"/>
    <s v="Card"/>
    <n v="15"/>
    <x v="2078"/>
    <s v="No"/>
    <x v="1"/>
  </r>
  <r>
    <x v="2085"/>
    <x v="20"/>
    <x v="1"/>
    <x v="0"/>
    <x v="839"/>
    <d v="2023-05-01T00:00:00"/>
    <x v="0"/>
    <x v="0"/>
    <x v="4"/>
    <x v="2084"/>
    <n v="4"/>
    <x v="1"/>
    <s v="Recovered"/>
    <x v="1"/>
    <x v="0"/>
    <s v="UPI"/>
    <n v="1"/>
    <x v="2079"/>
    <s v="No"/>
    <x v="0"/>
  </r>
  <r>
    <x v="2086"/>
    <x v="5"/>
    <x v="1"/>
    <x v="7"/>
    <x v="588"/>
    <d v="2025-04-28T00:00:00"/>
    <x v="8"/>
    <x v="6"/>
    <x v="4"/>
    <x v="2085"/>
    <n v="5"/>
    <x v="1"/>
    <s v="Recovered"/>
    <x v="0"/>
    <x v="1"/>
    <s v="Insurance"/>
    <n v="5"/>
    <x v="2080"/>
    <s v="Yes"/>
    <x v="0"/>
  </r>
  <r>
    <x v="2087"/>
    <x v="29"/>
    <x v="1"/>
    <x v="7"/>
    <x v="638"/>
    <d v="2023-11-01T00:00:00"/>
    <x v="5"/>
    <x v="4"/>
    <x v="1"/>
    <x v="2086"/>
    <n v="19"/>
    <x v="0"/>
    <s v="Recovered"/>
    <x v="0"/>
    <x v="3"/>
    <s v="Cash"/>
    <n v="11"/>
    <x v="2081"/>
    <s v="Yes"/>
    <x v="0"/>
  </r>
  <r>
    <x v="2088"/>
    <x v="43"/>
    <x v="0"/>
    <x v="2"/>
    <x v="500"/>
    <d v="2024-06-16T00:00:00"/>
    <x v="0"/>
    <x v="0"/>
    <x v="3"/>
    <x v="2087"/>
    <n v="23"/>
    <x v="0"/>
    <s v="Recovered"/>
    <x v="1"/>
    <x v="2"/>
    <s v="Insurance"/>
    <n v="4"/>
    <x v="2082"/>
    <s v="Yes"/>
    <x v="0"/>
  </r>
  <r>
    <x v="2089"/>
    <x v="32"/>
    <x v="0"/>
    <x v="3"/>
    <x v="887"/>
    <d v="2023-10-23T00:00:00"/>
    <x v="6"/>
    <x v="2"/>
    <x v="1"/>
    <x v="2088"/>
    <n v="17"/>
    <x v="1"/>
    <s v="Recovered"/>
    <x v="1"/>
    <x v="3"/>
    <s v="Insurance"/>
    <n v="3"/>
    <x v="2083"/>
    <s v="No"/>
    <x v="0"/>
  </r>
  <r>
    <x v="2090"/>
    <x v="43"/>
    <x v="0"/>
    <x v="6"/>
    <x v="374"/>
    <d v="2024-08-16T00:00:00"/>
    <x v="0"/>
    <x v="0"/>
    <x v="0"/>
    <x v="2089"/>
    <n v="3"/>
    <x v="1"/>
    <s v="Recovered"/>
    <x v="0"/>
    <x v="1"/>
    <s v="UPI"/>
    <n v="2"/>
    <x v="2084"/>
    <s v="Yes"/>
    <x v="0"/>
  </r>
  <r>
    <x v="2091"/>
    <x v="29"/>
    <x v="0"/>
    <x v="2"/>
    <x v="715"/>
    <d v="2023-07-28T00:00:00"/>
    <x v="3"/>
    <x v="0"/>
    <x v="0"/>
    <x v="2090"/>
    <n v="6"/>
    <x v="0"/>
    <s v="Recovered"/>
    <x v="1"/>
    <x v="2"/>
    <s v="Cash"/>
    <n v="2"/>
    <x v="2085"/>
    <s v="Yes"/>
    <x v="0"/>
  </r>
  <r>
    <x v="2092"/>
    <x v="52"/>
    <x v="1"/>
    <x v="0"/>
    <x v="779"/>
    <d v="2024-08-09T00:00:00"/>
    <x v="8"/>
    <x v="6"/>
    <x v="6"/>
    <x v="2091"/>
    <n v="17"/>
    <x v="1"/>
    <s v="Recovered"/>
    <x v="0"/>
    <x v="0"/>
    <s v="Cash"/>
    <n v="2"/>
    <x v="2086"/>
    <s v="Yes"/>
    <x v="0"/>
  </r>
  <r>
    <x v="2093"/>
    <x v="5"/>
    <x v="1"/>
    <x v="4"/>
    <x v="510"/>
    <d v="2025-04-05T00:00:00"/>
    <x v="6"/>
    <x v="2"/>
    <x v="2"/>
    <x v="2092"/>
    <n v="6"/>
    <x v="1"/>
    <s v="Recovered"/>
    <x v="1"/>
    <x v="0"/>
    <s v="Cash"/>
    <n v="13"/>
    <x v="2087"/>
    <s v="Yes"/>
    <x v="0"/>
  </r>
  <r>
    <x v="2094"/>
    <x v="32"/>
    <x v="0"/>
    <x v="6"/>
    <x v="888"/>
    <d v="2023-11-19T00:00:00"/>
    <x v="1"/>
    <x v="1"/>
    <x v="5"/>
    <x v="2093"/>
    <n v="3"/>
    <x v="0"/>
    <s v="Recovered"/>
    <x v="2"/>
    <x v="1"/>
    <s v="UPI"/>
    <n v="1"/>
    <x v="2088"/>
    <s v="Yes"/>
    <x v="0"/>
  </r>
  <r>
    <x v="2095"/>
    <x v="50"/>
    <x v="1"/>
    <x v="3"/>
    <x v="737"/>
    <d v="2024-05-23T00:00:00"/>
    <x v="7"/>
    <x v="5"/>
    <x v="4"/>
    <x v="2094"/>
    <n v="30"/>
    <x v="1"/>
    <s v="Recovered"/>
    <x v="1"/>
    <x v="2"/>
    <s v="Card"/>
    <n v="11"/>
    <x v="2089"/>
    <s v="No"/>
    <x v="0"/>
  </r>
  <r>
    <x v="2096"/>
    <x v="40"/>
    <x v="1"/>
    <x v="0"/>
    <x v="146"/>
    <d v="2023-10-24T00:00:00"/>
    <x v="2"/>
    <x v="2"/>
    <x v="4"/>
    <x v="2095"/>
    <n v="2"/>
    <x v="1"/>
    <s v="Recovered"/>
    <x v="2"/>
    <x v="1"/>
    <s v="Insurance"/>
    <n v="8"/>
    <x v="2090"/>
    <s v="Yes"/>
    <x v="0"/>
  </r>
  <r>
    <x v="2097"/>
    <x v="65"/>
    <x v="1"/>
    <x v="5"/>
    <x v="638"/>
    <d v="2023-10-16T00:00:00"/>
    <x v="1"/>
    <x v="1"/>
    <x v="7"/>
    <x v="2096"/>
    <n v="3"/>
    <x v="0"/>
    <s v="Recovered"/>
    <x v="2"/>
    <x v="3"/>
    <s v="UPI"/>
    <n v="7"/>
    <x v="2091"/>
    <s v="Yes"/>
    <x v="0"/>
  </r>
  <r>
    <x v="2098"/>
    <x v="11"/>
    <x v="1"/>
    <x v="0"/>
    <x v="889"/>
    <d v="2025-03-17T00:00:00"/>
    <x v="1"/>
    <x v="1"/>
    <x v="6"/>
    <x v="2097"/>
    <n v="3"/>
    <x v="0"/>
    <s v="Recovered"/>
    <x v="1"/>
    <x v="3"/>
    <s v="UPI"/>
    <n v="5"/>
    <x v="2092"/>
    <s v="Yes"/>
    <x v="0"/>
  </r>
  <r>
    <x v="2099"/>
    <x v="53"/>
    <x v="0"/>
    <x v="5"/>
    <x v="288"/>
    <d v="2025-05-26T00:00:00"/>
    <x v="8"/>
    <x v="6"/>
    <x v="7"/>
    <x v="2098"/>
    <n v="18"/>
    <x v="0"/>
    <s v="Recovered"/>
    <x v="0"/>
    <x v="0"/>
    <s v="UPI"/>
    <n v="2"/>
    <x v="2093"/>
    <s v="No"/>
    <x v="0"/>
  </r>
  <r>
    <x v="2100"/>
    <x v="53"/>
    <x v="0"/>
    <x v="4"/>
    <x v="20"/>
    <d v="2024-12-10T00:00:00"/>
    <x v="8"/>
    <x v="6"/>
    <x v="2"/>
    <x v="2099"/>
    <n v="10"/>
    <x v="0"/>
    <s v="Recovered"/>
    <x v="0"/>
    <x v="0"/>
    <s v="UPI"/>
    <n v="11"/>
    <x v="2094"/>
    <s v="Yes"/>
    <x v="0"/>
  </r>
  <r>
    <x v="2101"/>
    <x v="58"/>
    <x v="0"/>
    <x v="1"/>
    <x v="816"/>
    <d v="2024-08-16T00:00:00"/>
    <x v="5"/>
    <x v="4"/>
    <x v="1"/>
    <x v="2100"/>
    <n v="12"/>
    <x v="0"/>
    <s v="Recovered"/>
    <x v="1"/>
    <x v="0"/>
    <s v="Cash"/>
    <n v="15"/>
    <x v="2095"/>
    <s v="Yes"/>
    <x v="0"/>
  </r>
  <r>
    <x v="2102"/>
    <x v="13"/>
    <x v="0"/>
    <x v="4"/>
    <x v="261"/>
    <d v="2023-08-29T00:00:00"/>
    <x v="0"/>
    <x v="0"/>
    <x v="0"/>
    <x v="2101"/>
    <n v="8"/>
    <x v="0"/>
    <s v="Recovered"/>
    <x v="1"/>
    <x v="1"/>
    <s v="Insurance"/>
    <n v="1"/>
    <x v="2096"/>
    <s v="Yes"/>
    <x v="0"/>
  </r>
  <r>
    <x v="2103"/>
    <x v="28"/>
    <x v="1"/>
    <x v="2"/>
    <x v="218"/>
    <d v="2023-09-10T00:00:00"/>
    <x v="9"/>
    <x v="5"/>
    <x v="6"/>
    <x v="2102"/>
    <n v="11"/>
    <x v="1"/>
    <s v="Under Observation"/>
    <x v="1"/>
    <x v="1"/>
    <s v="Insurance"/>
    <n v="12"/>
    <x v="2097"/>
    <s v="No"/>
    <x v="1"/>
  </r>
  <r>
    <x v="2104"/>
    <x v="50"/>
    <x v="1"/>
    <x v="3"/>
    <x v="816"/>
    <d v="2024-08-24T00:00:00"/>
    <x v="3"/>
    <x v="0"/>
    <x v="5"/>
    <x v="2103"/>
    <n v="20"/>
    <x v="1"/>
    <s v="Recovered"/>
    <x v="0"/>
    <x v="0"/>
    <s v="Cash"/>
    <n v="3"/>
    <x v="2098"/>
    <s v="Yes"/>
    <x v="0"/>
  </r>
  <r>
    <x v="2105"/>
    <x v="43"/>
    <x v="1"/>
    <x v="2"/>
    <x v="586"/>
    <d v="2025-09-12T00:00:00"/>
    <x v="0"/>
    <x v="0"/>
    <x v="5"/>
    <x v="2104"/>
    <n v="11"/>
    <x v="1"/>
    <s v="Recovered"/>
    <x v="2"/>
    <x v="0"/>
    <s v="Card"/>
    <n v="2"/>
    <x v="2099"/>
    <s v="No"/>
    <x v="0"/>
  </r>
  <r>
    <x v="2106"/>
    <x v="58"/>
    <x v="1"/>
    <x v="0"/>
    <x v="728"/>
    <d v="2023-06-10T00:00:00"/>
    <x v="9"/>
    <x v="5"/>
    <x v="5"/>
    <x v="2105"/>
    <n v="12"/>
    <x v="1"/>
    <s v="Recovered"/>
    <x v="1"/>
    <x v="1"/>
    <s v="Cash"/>
    <n v="12"/>
    <x v="2100"/>
    <s v="No"/>
    <x v="0"/>
  </r>
  <r>
    <x v="2107"/>
    <x v="54"/>
    <x v="0"/>
    <x v="5"/>
    <x v="376"/>
    <d v="2025-01-10T00:00:00"/>
    <x v="0"/>
    <x v="0"/>
    <x v="0"/>
    <x v="2106"/>
    <n v="1"/>
    <x v="1"/>
    <s v="Recovered"/>
    <x v="2"/>
    <x v="1"/>
    <s v="Insurance"/>
    <n v="9"/>
    <x v="2101"/>
    <s v="No"/>
    <x v="0"/>
  </r>
  <r>
    <x v="2108"/>
    <x v="10"/>
    <x v="1"/>
    <x v="1"/>
    <x v="295"/>
    <d v="2024-02-20T00:00:00"/>
    <x v="6"/>
    <x v="2"/>
    <x v="3"/>
    <x v="2107"/>
    <n v="19"/>
    <x v="1"/>
    <s v="Recovered"/>
    <x v="1"/>
    <x v="1"/>
    <s v="UPI"/>
    <n v="6"/>
    <x v="2102"/>
    <s v="Yes"/>
    <x v="0"/>
  </r>
  <r>
    <x v="2109"/>
    <x v="18"/>
    <x v="1"/>
    <x v="6"/>
    <x v="515"/>
    <d v="2024-05-25T00:00:00"/>
    <x v="9"/>
    <x v="5"/>
    <x v="2"/>
    <x v="2108"/>
    <n v="11"/>
    <x v="0"/>
    <s v="Recovered"/>
    <x v="1"/>
    <x v="2"/>
    <s v="UPI"/>
    <n v="5"/>
    <x v="2103"/>
    <s v="No"/>
    <x v="0"/>
  </r>
  <r>
    <x v="2110"/>
    <x v="19"/>
    <x v="0"/>
    <x v="3"/>
    <x v="292"/>
    <d v="2024-10-22T00:00:00"/>
    <x v="4"/>
    <x v="3"/>
    <x v="2"/>
    <x v="2109"/>
    <n v="10"/>
    <x v="0"/>
    <s v="Recovered"/>
    <x v="1"/>
    <x v="0"/>
    <s v="Insurance"/>
    <n v="10"/>
    <x v="2104"/>
    <s v="Yes"/>
    <x v="0"/>
  </r>
  <r>
    <x v="2111"/>
    <x v="37"/>
    <x v="0"/>
    <x v="3"/>
    <x v="766"/>
    <d v="2024-11-02T00:00:00"/>
    <x v="4"/>
    <x v="3"/>
    <x v="6"/>
    <x v="2110"/>
    <n v="7"/>
    <x v="1"/>
    <s v="Recovered"/>
    <x v="1"/>
    <x v="1"/>
    <s v="Cash"/>
    <n v="8"/>
    <x v="2105"/>
    <s v="Yes"/>
    <x v="0"/>
  </r>
  <r>
    <x v="2112"/>
    <x v="10"/>
    <x v="1"/>
    <x v="6"/>
    <x v="160"/>
    <d v="2023-04-03T00:00:00"/>
    <x v="5"/>
    <x v="4"/>
    <x v="6"/>
    <x v="2111"/>
    <n v="6"/>
    <x v="0"/>
    <s v="Recovered"/>
    <x v="2"/>
    <x v="1"/>
    <s v="UPI"/>
    <n v="11"/>
    <x v="2106"/>
    <s v="No"/>
    <x v="0"/>
  </r>
  <r>
    <x v="2113"/>
    <x v="60"/>
    <x v="0"/>
    <x v="6"/>
    <x v="23"/>
    <d v="2024-03-02T00:00:00"/>
    <x v="3"/>
    <x v="0"/>
    <x v="5"/>
    <x v="2112"/>
    <n v="11"/>
    <x v="1"/>
    <s v="Recovered"/>
    <x v="0"/>
    <x v="2"/>
    <s v="Cash"/>
    <n v="7"/>
    <x v="2107"/>
    <s v="Yes"/>
    <x v="0"/>
  </r>
  <r>
    <x v="2114"/>
    <x v="26"/>
    <x v="1"/>
    <x v="6"/>
    <x v="355"/>
    <d v="2023-01-21T00:00:00"/>
    <x v="4"/>
    <x v="3"/>
    <x v="4"/>
    <x v="2113"/>
    <n v="1"/>
    <x v="0"/>
    <s v="Recovered"/>
    <x v="2"/>
    <x v="1"/>
    <s v="Cash"/>
    <n v="13"/>
    <x v="2108"/>
    <s v="Yes"/>
    <x v="0"/>
  </r>
  <r>
    <x v="2115"/>
    <x v="29"/>
    <x v="1"/>
    <x v="3"/>
    <x v="272"/>
    <d v="2025-01-04T00:00:00"/>
    <x v="2"/>
    <x v="2"/>
    <x v="2"/>
    <x v="2114"/>
    <n v="14"/>
    <x v="1"/>
    <s v="Recovered"/>
    <x v="0"/>
    <x v="3"/>
    <s v="Cash"/>
    <n v="8"/>
    <x v="2109"/>
    <s v="Yes"/>
    <x v="1"/>
  </r>
  <r>
    <x v="2116"/>
    <x v="43"/>
    <x v="1"/>
    <x v="0"/>
    <x v="520"/>
    <d v="2023-09-06T00:00:00"/>
    <x v="1"/>
    <x v="1"/>
    <x v="2"/>
    <x v="2115"/>
    <n v="20"/>
    <x v="1"/>
    <s v="Recovered"/>
    <x v="1"/>
    <x v="3"/>
    <s v="Insurance"/>
    <n v="11"/>
    <x v="2110"/>
    <s v="No"/>
    <x v="0"/>
  </r>
  <r>
    <x v="2117"/>
    <x v="2"/>
    <x v="1"/>
    <x v="4"/>
    <x v="415"/>
    <d v="2025-10-10T00:00:00"/>
    <x v="9"/>
    <x v="5"/>
    <x v="5"/>
    <x v="2116"/>
    <n v="13"/>
    <x v="0"/>
    <s v="Recovered"/>
    <x v="2"/>
    <x v="2"/>
    <s v="Insurance"/>
    <n v="4"/>
    <x v="2111"/>
    <s v="No"/>
    <x v="0"/>
  </r>
  <r>
    <x v="2118"/>
    <x v="28"/>
    <x v="1"/>
    <x v="0"/>
    <x v="704"/>
    <d v="2024-07-06T00:00:00"/>
    <x v="3"/>
    <x v="0"/>
    <x v="6"/>
    <x v="2117"/>
    <n v="21"/>
    <x v="0"/>
    <s v="Recovered"/>
    <x v="2"/>
    <x v="2"/>
    <s v="Insurance"/>
    <n v="12"/>
    <x v="2112"/>
    <s v="Yes"/>
    <x v="0"/>
  </r>
  <r>
    <x v="2119"/>
    <x v="58"/>
    <x v="0"/>
    <x v="4"/>
    <x v="658"/>
    <d v="2024-01-15T00:00:00"/>
    <x v="8"/>
    <x v="6"/>
    <x v="1"/>
    <x v="2118"/>
    <n v="18"/>
    <x v="1"/>
    <s v="Recovered"/>
    <x v="1"/>
    <x v="0"/>
    <s v="Card"/>
    <n v="12"/>
    <x v="2113"/>
    <s v="Yes"/>
    <x v="0"/>
  </r>
  <r>
    <x v="2120"/>
    <x v="12"/>
    <x v="0"/>
    <x v="6"/>
    <x v="442"/>
    <d v="2024-02-27T00:00:00"/>
    <x v="8"/>
    <x v="6"/>
    <x v="2"/>
    <x v="2119"/>
    <n v="11"/>
    <x v="0"/>
    <s v="Under Observation"/>
    <x v="2"/>
    <x v="2"/>
    <s v="UPI"/>
    <n v="11"/>
    <x v="2114"/>
    <s v="Yes"/>
    <x v="0"/>
  </r>
  <r>
    <x v="2121"/>
    <x v="41"/>
    <x v="0"/>
    <x v="5"/>
    <x v="457"/>
    <d v="2024-01-12T00:00:00"/>
    <x v="6"/>
    <x v="2"/>
    <x v="3"/>
    <x v="2120"/>
    <n v="22"/>
    <x v="0"/>
    <s v="Recovered"/>
    <x v="0"/>
    <x v="2"/>
    <s v="Insurance"/>
    <n v="10"/>
    <x v="2115"/>
    <s v="Yes"/>
    <x v="0"/>
  </r>
  <r>
    <x v="2122"/>
    <x v="58"/>
    <x v="0"/>
    <x v="7"/>
    <x v="754"/>
    <d v="2023-06-30T00:00:00"/>
    <x v="7"/>
    <x v="5"/>
    <x v="6"/>
    <x v="2121"/>
    <n v="8"/>
    <x v="0"/>
    <s v="Recovered"/>
    <x v="0"/>
    <x v="1"/>
    <s v="Insurance"/>
    <n v="6"/>
    <x v="2116"/>
    <s v="Yes"/>
    <x v="0"/>
  </r>
  <r>
    <x v="2123"/>
    <x v="46"/>
    <x v="0"/>
    <x v="0"/>
    <x v="45"/>
    <d v="2023-01-13T00:00:00"/>
    <x v="1"/>
    <x v="1"/>
    <x v="4"/>
    <x v="2122"/>
    <n v="1"/>
    <x v="1"/>
    <s v="Recovered"/>
    <x v="1"/>
    <x v="0"/>
    <s v="Cash"/>
    <n v="5"/>
    <x v="2117"/>
    <s v="No"/>
    <x v="1"/>
  </r>
  <r>
    <x v="2124"/>
    <x v="61"/>
    <x v="1"/>
    <x v="5"/>
    <x v="198"/>
    <d v="2023-09-28T00:00:00"/>
    <x v="9"/>
    <x v="5"/>
    <x v="2"/>
    <x v="2123"/>
    <n v="15"/>
    <x v="0"/>
    <s v="Under Observation"/>
    <x v="2"/>
    <x v="0"/>
    <s v="Insurance"/>
    <n v="6"/>
    <x v="2118"/>
    <s v="No"/>
    <x v="0"/>
  </r>
  <r>
    <x v="2125"/>
    <x v="49"/>
    <x v="0"/>
    <x v="0"/>
    <x v="49"/>
    <d v="2025-06-18T00:00:00"/>
    <x v="3"/>
    <x v="0"/>
    <x v="7"/>
    <x v="2124"/>
    <n v="8"/>
    <x v="1"/>
    <s v="Recovered"/>
    <x v="1"/>
    <x v="1"/>
    <s v="Card"/>
    <n v="9"/>
    <x v="2119"/>
    <s v="Yes"/>
    <x v="0"/>
  </r>
  <r>
    <x v="2126"/>
    <x v="1"/>
    <x v="1"/>
    <x v="6"/>
    <x v="158"/>
    <d v="2023-06-17T00:00:00"/>
    <x v="6"/>
    <x v="2"/>
    <x v="1"/>
    <x v="2125"/>
    <n v="12"/>
    <x v="1"/>
    <s v="Recovered"/>
    <x v="2"/>
    <x v="2"/>
    <s v="UPI"/>
    <n v="10"/>
    <x v="2120"/>
    <s v="No"/>
    <x v="0"/>
  </r>
  <r>
    <x v="2127"/>
    <x v="71"/>
    <x v="0"/>
    <x v="7"/>
    <x v="371"/>
    <d v="2024-03-20T00:00:00"/>
    <x v="9"/>
    <x v="5"/>
    <x v="0"/>
    <x v="2126"/>
    <n v="14"/>
    <x v="1"/>
    <s v="Recovered"/>
    <x v="1"/>
    <x v="0"/>
    <s v="UPI"/>
    <n v="14"/>
    <x v="2121"/>
    <s v="No"/>
    <x v="0"/>
  </r>
  <r>
    <x v="2128"/>
    <x v="68"/>
    <x v="0"/>
    <x v="3"/>
    <x v="603"/>
    <d v="2024-10-13T00:00:00"/>
    <x v="7"/>
    <x v="5"/>
    <x v="0"/>
    <x v="2127"/>
    <n v="7"/>
    <x v="0"/>
    <s v="Recovered"/>
    <x v="1"/>
    <x v="0"/>
    <s v="Cash"/>
    <n v="13"/>
    <x v="2122"/>
    <s v="No"/>
    <x v="0"/>
  </r>
  <r>
    <x v="2129"/>
    <x v="14"/>
    <x v="0"/>
    <x v="5"/>
    <x v="242"/>
    <d v="2024-10-02T00:00:00"/>
    <x v="1"/>
    <x v="1"/>
    <x v="5"/>
    <x v="2128"/>
    <n v="3"/>
    <x v="1"/>
    <s v="Recovered"/>
    <x v="1"/>
    <x v="2"/>
    <s v="UPI"/>
    <n v="4"/>
    <x v="2123"/>
    <s v="Yes"/>
    <x v="0"/>
  </r>
  <r>
    <x v="2130"/>
    <x v="70"/>
    <x v="0"/>
    <x v="1"/>
    <x v="177"/>
    <d v="2025-03-15T00:00:00"/>
    <x v="5"/>
    <x v="4"/>
    <x v="6"/>
    <x v="2129"/>
    <n v="2"/>
    <x v="0"/>
    <s v="Recovered"/>
    <x v="2"/>
    <x v="3"/>
    <s v="Card"/>
    <n v="7"/>
    <x v="2124"/>
    <s v="No"/>
    <x v="0"/>
  </r>
  <r>
    <x v="2131"/>
    <x v="71"/>
    <x v="0"/>
    <x v="7"/>
    <x v="211"/>
    <d v="2024-07-09T00:00:00"/>
    <x v="2"/>
    <x v="2"/>
    <x v="7"/>
    <x v="2130"/>
    <n v="2"/>
    <x v="0"/>
    <s v="Recovered"/>
    <x v="1"/>
    <x v="3"/>
    <s v="Card"/>
    <n v="15"/>
    <x v="2125"/>
    <s v="No"/>
    <x v="1"/>
  </r>
  <r>
    <x v="2132"/>
    <x v="29"/>
    <x v="1"/>
    <x v="6"/>
    <x v="840"/>
    <d v="2023-11-24T00:00:00"/>
    <x v="7"/>
    <x v="5"/>
    <x v="0"/>
    <x v="2131"/>
    <n v="5"/>
    <x v="1"/>
    <s v="Recovered"/>
    <x v="0"/>
    <x v="1"/>
    <s v="UPI"/>
    <n v="13"/>
    <x v="2039"/>
    <s v="Yes"/>
    <x v="0"/>
  </r>
  <r>
    <x v="2133"/>
    <x v="61"/>
    <x v="0"/>
    <x v="1"/>
    <x v="298"/>
    <d v="2023-10-31T00:00:00"/>
    <x v="7"/>
    <x v="5"/>
    <x v="2"/>
    <x v="2132"/>
    <n v="20"/>
    <x v="1"/>
    <s v="Deceased"/>
    <x v="1"/>
    <x v="3"/>
    <s v="Insurance"/>
    <n v="5"/>
    <x v="2126"/>
    <s v="Yes"/>
    <x v="0"/>
  </r>
  <r>
    <x v="2134"/>
    <x v="36"/>
    <x v="0"/>
    <x v="7"/>
    <x v="194"/>
    <d v="2025-03-31T00:00:00"/>
    <x v="4"/>
    <x v="3"/>
    <x v="4"/>
    <x v="2133"/>
    <n v="3"/>
    <x v="1"/>
    <s v="Under Observation"/>
    <x v="0"/>
    <x v="0"/>
    <s v="Card"/>
    <n v="6"/>
    <x v="2127"/>
    <s v="No"/>
    <x v="0"/>
  </r>
  <r>
    <x v="2135"/>
    <x v="64"/>
    <x v="0"/>
    <x v="7"/>
    <x v="525"/>
    <d v="2025-06-14T00:00:00"/>
    <x v="2"/>
    <x v="2"/>
    <x v="6"/>
    <x v="2134"/>
    <n v="12"/>
    <x v="1"/>
    <s v="Recovered"/>
    <x v="1"/>
    <x v="1"/>
    <s v="Insurance"/>
    <n v="7"/>
    <x v="2128"/>
    <s v="Yes"/>
    <x v="0"/>
  </r>
  <r>
    <x v="2136"/>
    <x v="2"/>
    <x v="1"/>
    <x v="1"/>
    <x v="108"/>
    <d v="2023-04-22T00:00:00"/>
    <x v="0"/>
    <x v="0"/>
    <x v="6"/>
    <x v="2135"/>
    <n v="11"/>
    <x v="1"/>
    <s v="Recovered"/>
    <x v="2"/>
    <x v="3"/>
    <s v="Cash"/>
    <n v="10"/>
    <x v="2129"/>
    <s v="Yes"/>
    <x v="1"/>
  </r>
  <r>
    <x v="2137"/>
    <x v="6"/>
    <x v="1"/>
    <x v="1"/>
    <x v="386"/>
    <d v="2025-01-12T00:00:00"/>
    <x v="1"/>
    <x v="1"/>
    <x v="4"/>
    <x v="2136"/>
    <n v="17"/>
    <x v="1"/>
    <s v="Recovered"/>
    <x v="1"/>
    <x v="0"/>
    <s v="Cash"/>
    <n v="15"/>
    <x v="2130"/>
    <s v="No"/>
    <x v="0"/>
  </r>
  <r>
    <x v="2138"/>
    <x v="13"/>
    <x v="1"/>
    <x v="4"/>
    <x v="753"/>
    <d v="2023-05-18T00:00:00"/>
    <x v="7"/>
    <x v="5"/>
    <x v="2"/>
    <x v="2137"/>
    <n v="12"/>
    <x v="0"/>
    <s v="Under Observation"/>
    <x v="2"/>
    <x v="2"/>
    <s v="Cash"/>
    <n v="6"/>
    <x v="2131"/>
    <s v="No"/>
    <x v="0"/>
  </r>
  <r>
    <x v="2139"/>
    <x v="72"/>
    <x v="1"/>
    <x v="4"/>
    <x v="86"/>
    <d v="2025-02-16T00:00:00"/>
    <x v="4"/>
    <x v="3"/>
    <x v="2"/>
    <x v="2138"/>
    <n v="6"/>
    <x v="1"/>
    <s v="Recovered"/>
    <x v="2"/>
    <x v="3"/>
    <s v="Insurance"/>
    <n v="14"/>
    <x v="2132"/>
    <s v="No"/>
    <x v="0"/>
  </r>
  <r>
    <x v="2140"/>
    <x v="1"/>
    <x v="0"/>
    <x v="2"/>
    <x v="35"/>
    <d v="2025-02-23T00:00:00"/>
    <x v="5"/>
    <x v="4"/>
    <x v="3"/>
    <x v="2139"/>
    <n v="19"/>
    <x v="0"/>
    <s v="Recovered"/>
    <x v="1"/>
    <x v="2"/>
    <s v="UPI"/>
    <n v="15"/>
    <x v="2133"/>
    <s v="No"/>
    <x v="0"/>
  </r>
  <r>
    <x v="2141"/>
    <x v="59"/>
    <x v="0"/>
    <x v="7"/>
    <x v="201"/>
    <d v="2024-09-04T00:00:00"/>
    <x v="4"/>
    <x v="3"/>
    <x v="7"/>
    <x v="2140"/>
    <n v="14"/>
    <x v="0"/>
    <s v="Recovered"/>
    <x v="1"/>
    <x v="1"/>
    <s v="Card"/>
    <n v="15"/>
    <x v="2134"/>
    <s v="No"/>
    <x v="0"/>
  </r>
  <r>
    <x v="2142"/>
    <x v="17"/>
    <x v="1"/>
    <x v="0"/>
    <x v="738"/>
    <d v="2025-07-10T00:00:00"/>
    <x v="6"/>
    <x v="2"/>
    <x v="0"/>
    <x v="2141"/>
    <n v="17"/>
    <x v="0"/>
    <s v="Recovered"/>
    <x v="0"/>
    <x v="0"/>
    <s v="Cash"/>
    <n v="10"/>
    <x v="2135"/>
    <s v="Yes"/>
    <x v="0"/>
  </r>
  <r>
    <x v="2143"/>
    <x v="49"/>
    <x v="0"/>
    <x v="3"/>
    <x v="577"/>
    <d v="2024-03-05T00:00:00"/>
    <x v="0"/>
    <x v="0"/>
    <x v="3"/>
    <x v="2142"/>
    <n v="8"/>
    <x v="0"/>
    <s v="Recovered"/>
    <x v="2"/>
    <x v="3"/>
    <s v="Cash"/>
    <n v="7"/>
    <x v="2136"/>
    <s v="No"/>
    <x v="0"/>
  </r>
  <r>
    <x v="2144"/>
    <x v="67"/>
    <x v="0"/>
    <x v="2"/>
    <x v="641"/>
    <d v="2024-01-03T00:00:00"/>
    <x v="6"/>
    <x v="2"/>
    <x v="2"/>
    <x v="2143"/>
    <n v="15"/>
    <x v="0"/>
    <s v="Recovered"/>
    <x v="1"/>
    <x v="0"/>
    <s v="Cash"/>
    <n v="13"/>
    <x v="2137"/>
    <s v="Yes"/>
    <x v="0"/>
  </r>
  <r>
    <x v="2145"/>
    <x v="72"/>
    <x v="0"/>
    <x v="2"/>
    <x v="95"/>
    <d v="2024-04-11T00:00:00"/>
    <x v="1"/>
    <x v="1"/>
    <x v="2"/>
    <x v="2144"/>
    <n v="11"/>
    <x v="1"/>
    <s v="Recovered"/>
    <x v="0"/>
    <x v="1"/>
    <s v="Card"/>
    <n v="12"/>
    <x v="2138"/>
    <s v="Yes"/>
    <x v="0"/>
  </r>
  <r>
    <x v="2146"/>
    <x v="58"/>
    <x v="1"/>
    <x v="6"/>
    <x v="776"/>
    <d v="2024-08-06T00:00:00"/>
    <x v="7"/>
    <x v="5"/>
    <x v="6"/>
    <x v="2145"/>
    <n v="3"/>
    <x v="1"/>
    <s v="Recovered"/>
    <x v="1"/>
    <x v="3"/>
    <s v="Cash"/>
    <n v="11"/>
    <x v="2139"/>
    <s v="No"/>
    <x v="0"/>
  </r>
  <r>
    <x v="2147"/>
    <x v="56"/>
    <x v="1"/>
    <x v="4"/>
    <x v="336"/>
    <d v="2023-06-09T00:00:00"/>
    <x v="5"/>
    <x v="4"/>
    <x v="2"/>
    <x v="2146"/>
    <n v="13"/>
    <x v="0"/>
    <s v="Under Observation"/>
    <x v="1"/>
    <x v="2"/>
    <s v="Card"/>
    <n v="11"/>
    <x v="2140"/>
    <s v="No"/>
    <x v="0"/>
  </r>
  <r>
    <x v="2148"/>
    <x v="60"/>
    <x v="1"/>
    <x v="4"/>
    <x v="725"/>
    <d v="2024-11-16T00:00:00"/>
    <x v="4"/>
    <x v="3"/>
    <x v="7"/>
    <x v="2147"/>
    <n v="28"/>
    <x v="0"/>
    <s v="Recovered"/>
    <x v="2"/>
    <x v="2"/>
    <s v="Card"/>
    <n v="7"/>
    <x v="2141"/>
    <s v="No"/>
    <x v="0"/>
  </r>
  <r>
    <x v="2149"/>
    <x v="38"/>
    <x v="0"/>
    <x v="2"/>
    <x v="4"/>
    <d v="2025-08-29T00:00:00"/>
    <x v="2"/>
    <x v="2"/>
    <x v="0"/>
    <x v="2148"/>
    <n v="12"/>
    <x v="1"/>
    <s v="Recovered"/>
    <x v="0"/>
    <x v="1"/>
    <s v="Insurance"/>
    <n v="6"/>
    <x v="2142"/>
    <s v="No"/>
    <x v="0"/>
  </r>
  <r>
    <x v="2150"/>
    <x v="6"/>
    <x v="1"/>
    <x v="7"/>
    <x v="248"/>
    <d v="2023-03-21T00:00:00"/>
    <x v="4"/>
    <x v="3"/>
    <x v="4"/>
    <x v="2149"/>
    <n v="11"/>
    <x v="0"/>
    <s v="Recovered"/>
    <x v="0"/>
    <x v="3"/>
    <s v="Card"/>
    <n v="13"/>
    <x v="2143"/>
    <s v="Yes"/>
    <x v="0"/>
  </r>
  <r>
    <x v="2151"/>
    <x v="62"/>
    <x v="1"/>
    <x v="7"/>
    <x v="295"/>
    <d v="2024-02-05T00:00:00"/>
    <x v="9"/>
    <x v="5"/>
    <x v="3"/>
    <x v="2150"/>
    <n v="4"/>
    <x v="0"/>
    <s v="Recovered"/>
    <x v="2"/>
    <x v="3"/>
    <s v="Card"/>
    <n v="2"/>
    <x v="2144"/>
    <s v="No"/>
    <x v="0"/>
  </r>
  <r>
    <x v="2152"/>
    <x v="60"/>
    <x v="0"/>
    <x v="6"/>
    <x v="666"/>
    <d v="2024-11-24T00:00:00"/>
    <x v="0"/>
    <x v="0"/>
    <x v="3"/>
    <x v="2151"/>
    <n v="10"/>
    <x v="1"/>
    <s v="Recovered"/>
    <x v="2"/>
    <x v="3"/>
    <s v="UPI"/>
    <n v="1"/>
    <x v="2145"/>
    <s v="Yes"/>
    <x v="0"/>
  </r>
  <r>
    <x v="2153"/>
    <x v="22"/>
    <x v="1"/>
    <x v="0"/>
    <x v="624"/>
    <d v="2025-03-14T00:00:00"/>
    <x v="4"/>
    <x v="3"/>
    <x v="1"/>
    <x v="2152"/>
    <n v="28"/>
    <x v="1"/>
    <s v="Recovered"/>
    <x v="1"/>
    <x v="2"/>
    <s v="Card"/>
    <n v="13"/>
    <x v="2146"/>
    <s v="No"/>
    <x v="0"/>
  </r>
  <r>
    <x v="2154"/>
    <x v="13"/>
    <x v="0"/>
    <x v="3"/>
    <x v="566"/>
    <d v="2023-02-24T00:00:00"/>
    <x v="2"/>
    <x v="2"/>
    <x v="2"/>
    <x v="2153"/>
    <n v="13"/>
    <x v="0"/>
    <s v="Recovered"/>
    <x v="2"/>
    <x v="2"/>
    <s v="Card"/>
    <n v="13"/>
    <x v="2147"/>
    <s v="No"/>
    <x v="0"/>
  </r>
  <r>
    <x v="2155"/>
    <x v="34"/>
    <x v="0"/>
    <x v="1"/>
    <x v="744"/>
    <d v="2025-09-29T00:00:00"/>
    <x v="2"/>
    <x v="2"/>
    <x v="4"/>
    <x v="2154"/>
    <n v="9"/>
    <x v="1"/>
    <s v="Recovered"/>
    <x v="1"/>
    <x v="0"/>
    <s v="Insurance"/>
    <n v="8"/>
    <x v="2148"/>
    <s v="Yes"/>
    <x v="0"/>
  </r>
  <r>
    <x v="2156"/>
    <x v="0"/>
    <x v="1"/>
    <x v="0"/>
    <x v="890"/>
    <d v="2024-04-14T00:00:00"/>
    <x v="4"/>
    <x v="3"/>
    <x v="0"/>
    <x v="2155"/>
    <n v="2"/>
    <x v="1"/>
    <s v="Recovered"/>
    <x v="2"/>
    <x v="3"/>
    <s v="Card"/>
    <n v="1"/>
    <x v="2149"/>
    <s v="Yes"/>
    <x v="0"/>
  </r>
  <r>
    <x v="2157"/>
    <x v="28"/>
    <x v="0"/>
    <x v="1"/>
    <x v="408"/>
    <d v="2024-03-27T00:00:00"/>
    <x v="2"/>
    <x v="2"/>
    <x v="7"/>
    <x v="2156"/>
    <n v="11"/>
    <x v="1"/>
    <s v="Recovered"/>
    <x v="0"/>
    <x v="1"/>
    <s v="Cash"/>
    <n v="11"/>
    <x v="2150"/>
    <s v="Yes"/>
    <x v="0"/>
  </r>
  <r>
    <x v="2158"/>
    <x v="23"/>
    <x v="0"/>
    <x v="2"/>
    <x v="345"/>
    <d v="2024-06-13T00:00:00"/>
    <x v="4"/>
    <x v="3"/>
    <x v="2"/>
    <x v="2157"/>
    <n v="15"/>
    <x v="1"/>
    <s v="Recovered"/>
    <x v="1"/>
    <x v="0"/>
    <s v="Cash"/>
    <n v="9"/>
    <x v="2151"/>
    <s v="Yes"/>
    <x v="0"/>
  </r>
  <r>
    <x v="2159"/>
    <x v="38"/>
    <x v="0"/>
    <x v="0"/>
    <x v="854"/>
    <d v="2025-07-27T00:00:00"/>
    <x v="8"/>
    <x v="6"/>
    <x v="5"/>
    <x v="2158"/>
    <n v="6"/>
    <x v="1"/>
    <s v="Under Observation"/>
    <x v="1"/>
    <x v="3"/>
    <s v="Insurance"/>
    <n v="1"/>
    <x v="2152"/>
    <s v="Yes"/>
    <x v="0"/>
  </r>
  <r>
    <x v="2160"/>
    <x v="51"/>
    <x v="0"/>
    <x v="5"/>
    <x v="606"/>
    <d v="2025-03-06T00:00:00"/>
    <x v="6"/>
    <x v="2"/>
    <x v="4"/>
    <x v="2159"/>
    <n v="16"/>
    <x v="0"/>
    <s v="Recovered"/>
    <x v="0"/>
    <x v="1"/>
    <s v="Cash"/>
    <n v="11"/>
    <x v="2153"/>
    <s v="No"/>
    <x v="0"/>
  </r>
  <r>
    <x v="2161"/>
    <x v="38"/>
    <x v="0"/>
    <x v="0"/>
    <x v="755"/>
    <d v="2023-05-19T00:00:00"/>
    <x v="5"/>
    <x v="4"/>
    <x v="2"/>
    <x v="2160"/>
    <n v="21"/>
    <x v="1"/>
    <s v="Under Observation"/>
    <x v="0"/>
    <x v="2"/>
    <s v="Card"/>
    <n v="7"/>
    <x v="2154"/>
    <s v="Yes"/>
    <x v="1"/>
  </r>
  <r>
    <x v="2162"/>
    <x v="53"/>
    <x v="1"/>
    <x v="4"/>
    <x v="398"/>
    <d v="2024-12-03T00:00:00"/>
    <x v="8"/>
    <x v="6"/>
    <x v="4"/>
    <x v="2161"/>
    <n v="14"/>
    <x v="1"/>
    <s v="Recovered"/>
    <x v="0"/>
    <x v="3"/>
    <s v="Card"/>
    <n v="7"/>
    <x v="2155"/>
    <s v="No"/>
    <x v="0"/>
  </r>
  <r>
    <x v="2163"/>
    <x v="66"/>
    <x v="1"/>
    <x v="0"/>
    <x v="454"/>
    <d v="2025-08-08T00:00:00"/>
    <x v="8"/>
    <x v="6"/>
    <x v="1"/>
    <x v="2162"/>
    <n v="19"/>
    <x v="1"/>
    <s v="Referred"/>
    <x v="1"/>
    <x v="1"/>
    <s v="Cash"/>
    <n v="15"/>
    <x v="2156"/>
    <s v="No"/>
    <x v="0"/>
  </r>
  <r>
    <x v="2164"/>
    <x v="6"/>
    <x v="1"/>
    <x v="3"/>
    <x v="43"/>
    <d v="2024-01-20T00:00:00"/>
    <x v="8"/>
    <x v="6"/>
    <x v="6"/>
    <x v="2163"/>
    <n v="19"/>
    <x v="0"/>
    <s v="Recovered"/>
    <x v="2"/>
    <x v="3"/>
    <s v="UPI"/>
    <n v="15"/>
    <x v="2157"/>
    <s v="No"/>
    <x v="0"/>
  </r>
  <r>
    <x v="2165"/>
    <x v="12"/>
    <x v="0"/>
    <x v="3"/>
    <x v="354"/>
    <d v="2023-06-01T00:00:00"/>
    <x v="6"/>
    <x v="2"/>
    <x v="6"/>
    <x v="2164"/>
    <n v="18"/>
    <x v="0"/>
    <s v="Recovered"/>
    <x v="0"/>
    <x v="3"/>
    <s v="Cash"/>
    <n v="15"/>
    <x v="2158"/>
    <s v="Yes"/>
    <x v="0"/>
  </r>
  <r>
    <x v="2166"/>
    <x v="61"/>
    <x v="0"/>
    <x v="4"/>
    <x v="94"/>
    <d v="2023-01-13T00:00:00"/>
    <x v="6"/>
    <x v="2"/>
    <x v="2"/>
    <x v="2165"/>
    <n v="4"/>
    <x v="0"/>
    <s v="Recovered"/>
    <x v="0"/>
    <x v="0"/>
    <s v="Cash"/>
    <n v="14"/>
    <x v="2159"/>
    <s v="Yes"/>
    <x v="0"/>
  </r>
  <r>
    <x v="2167"/>
    <x v="24"/>
    <x v="0"/>
    <x v="2"/>
    <x v="187"/>
    <d v="2023-08-10T00:00:00"/>
    <x v="2"/>
    <x v="2"/>
    <x v="4"/>
    <x v="2166"/>
    <n v="14"/>
    <x v="0"/>
    <s v="Recovered"/>
    <x v="1"/>
    <x v="1"/>
    <s v="Cash"/>
    <n v="10"/>
    <x v="2160"/>
    <s v="No"/>
    <x v="1"/>
  </r>
  <r>
    <x v="2168"/>
    <x v="32"/>
    <x v="0"/>
    <x v="6"/>
    <x v="118"/>
    <d v="2025-03-31T00:00:00"/>
    <x v="4"/>
    <x v="3"/>
    <x v="6"/>
    <x v="2167"/>
    <n v="5"/>
    <x v="1"/>
    <s v="Recovered"/>
    <x v="0"/>
    <x v="1"/>
    <s v="UPI"/>
    <n v="7"/>
    <x v="2161"/>
    <s v="No"/>
    <x v="0"/>
  </r>
  <r>
    <x v="2169"/>
    <x v="34"/>
    <x v="0"/>
    <x v="3"/>
    <x v="891"/>
    <d v="2025-05-27T00:00:00"/>
    <x v="4"/>
    <x v="3"/>
    <x v="4"/>
    <x v="2168"/>
    <n v="7"/>
    <x v="0"/>
    <s v="Recovered"/>
    <x v="2"/>
    <x v="3"/>
    <s v="Insurance"/>
    <n v="15"/>
    <x v="2162"/>
    <s v="Yes"/>
    <x v="0"/>
  </r>
  <r>
    <x v="2170"/>
    <x v="10"/>
    <x v="1"/>
    <x v="6"/>
    <x v="7"/>
    <d v="2025-04-01T00:00:00"/>
    <x v="7"/>
    <x v="5"/>
    <x v="1"/>
    <x v="2169"/>
    <n v="1"/>
    <x v="1"/>
    <s v="Recovered"/>
    <x v="2"/>
    <x v="3"/>
    <s v="Cash"/>
    <n v="1"/>
    <x v="2163"/>
    <s v="No"/>
    <x v="0"/>
  </r>
  <r>
    <x v="2171"/>
    <x v="59"/>
    <x v="1"/>
    <x v="4"/>
    <x v="44"/>
    <d v="2023-06-04T00:00:00"/>
    <x v="7"/>
    <x v="5"/>
    <x v="3"/>
    <x v="2170"/>
    <n v="10"/>
    <x v="1"/>
    <s v="Recovered"/>
    <x v="2"/>
    <x v="3"/>
    <s v="Card"/>
    <n v="10"/>
    <x v="2164"/>
    <s v="No"/>
    <x v="0"/>
  </r>
  <r>
    <x v="2172"/>
    <x v="10"/>
    <x v="1"/>
    <x v="3"/>
    <x v="892"/>
    <d v="2024-01-29T00:00:00"/>
    <x v="6"/>
    <x v="2"/>
    <x v="6"/>
    <x v="2171"/>
    <n v="9"/>
    <x v="0"/>
    <s v="Recovered"/>
    <x v="0"/>
    <x v="1"/>
    <s v="Cash"/>
    <n v="11"/>
    <x v="2165"/>
    <s v="Yes"/>
    <x v="0"/>
  </r>
  <r>
    <x v="2173"/>
    <x v="14"/>
    <x v="0"/>
    <x v="0"/>
    <x v="823"/>
    <d v="2025-06-29T00:00:00"/>
    <x v="8"/>
    <x v="6"/>
    <x v="3"/>
    <x v="2172"/>
    <n v="16"/>
    <x v="1"/>
    <s v="Recovered"/>
    <x v="2"/>
    <x v="1"/>
    <s v="Insurance"/>
    <n v="10"/>
    <x v="2166"/>
    <s v="No"/>
    <x v="0"/>
  </r>
  <r>
    <x v="2174"/>
    <x v="1"/>
    <x v="0"/>
    <x v="3"/>
    <x v="589"/>
    <d v="2024-08-16T00:00:00"/>
    <x v="2"/>
    <x v="2"/>
    <x v="5"/>
    <x v="2173"/>
    <n v="6"/>
    <x v="1"/>
    <s v="Recovered"/>
    <x v="1"/>
    <x v="3"/>
    <s v="UPI"/>
    <n v="11"/>
    <x v="2167"/>
    <s v="No"/>
    <x v="0"/>
  </r>
  <r>
    <x v="2175"/>
    <x v="44"/>
    <x v="1"/>
    <x v="4"/>
    <x v="712"/>
    <d v="2024-03-06T00:00:00"/>
    <x v="4"/>
    <x v="3"/>
    <x v="0"/>
    <x v="2174"/>
    <n v="18"/>
    <x v="1"/>
    <s v="Under Observation"/>
    <x v="1"/>
    <x v="0"/>
    <s v="Cash"/>
    <n v="1"/>
    <x v="2168"/>
    <s v="No"/>
    <x v="1"/>
  </r>
  <r>
    <x v="2176"/>
    <x v="18"/>
    <x v="0"/>
    <x v="3"/>
    <x v="320"/>
    <d v="2024-09-03T00:00:00"/>
    <x v="8"/>
    <x v="6"/>
    <x v="5"/>
    <x v="2175"/>
    <n v="11"/>
    <x v="0"/>
    <s v="Recovered"/>
    <x v="0"/>
    <x v="0"/>
    <s v="Cash"/>
    <n v="14"/>
    <x v="2169"/>
    <s v="Yes"/>
    <x v="0"/>
  </r>
  <r>
    <x v="2177"/>
    <x v="24"/>
    <x v="1"/>
    <x v="7"/>
    <x v="622"/>
    <d v="2024-10-17T00:00:00"/>
    <x v="8"/>
    <x v="6"/>
    <x v="6"/>
    <x v="2176"/>
    <n v="4"/>
    <x v="1"/>
    <s v="Recovered"/>
    <x v="2"/>
    <x v="0"/>
    <s v="Insurance"/>
    <n v="14"/>
    <x v="2170"/>
    <s v="Yes"/>
    <x v="0"/>
  </r>
  <r>
    <x v="2178"/>
    <x v="18"/>
    <x v="0"/>
    <x v="5"/>
    <x v="893"/>
    <d v="2025-03-06T00:00:00"/>
    <x v="9"/>
    <x v="5"/>
    <x v="1"/>
    <x v="2177"/>
    <n v="11"/>
    <x v="1"/>
    <s v="Recovered"/>
    <x v="1"/>
    <x v="2"/>
    <s v="UPI"/>
    <n v="15"/>
    <x v="2171"/>
    <s v="Yes"/>
    <x v="0"/>
  </r>
  <r>
    <x v="2179"/>
    <x v="48"/>
    <x v="1"/>
    <x v="7"/>
    <x v="392"/>
    <d v="2023-09-15T00:00:00"/>
    <x v="7"/>
    <x v="5"/>
    <x v="6"/>
    <x v="2178"/>
    <n v="15"/>
    <x v="1"/>
    <s v="Recovered"/>
    <x v="2"/>
    <x v="1"/>
    <s v="Card"/>
    <n v="7"/>
    <x v="2172"/>
    <s v="No"/>
    <x v="0"/>
  </r>
  <r>
    <x v="2180"/>
    <x v="22"/>
    <x v="0"/>
    <x v="5"/>
    <x v="654"/>
    <d v="2025-04-13T00:00:00"/>
    <x v="5"/>
    <x v="4"/>
    <x v="0"/>
    <x v="2179"/>
    <n v="3"/>
    <x v="1"/>
    <s v="Recovered"/>
    <x v="0"/>
    <x v="3"/>
    <s v="Card"/>
    <n v="12"/>
    <x v="2173"/>
    <s v="No"/>
    <x v="0"/>
  </r>
  <r>
    <x v="2181"/>
    <x v="21"/>
    <x v="0"/>
    <x v="0"/>
    <x v="328"/>
    <d v="2025-09-01T00:00:00"/>
    <x v="7"/>
    <x v="5"/>
    <x v="6"/>
    <x v="2180"/>
    <n v="3"/>
    <x v="0"/>
    <s v="Recovered"/>
    <x v="1"/>
    <x v="3"/>
    <s v="Card"/>
    <n v="12"/>
    <x v="2174"/>
    <s v="No"/>
    <x v="0"/>
  </r>
  <r>
    <x v="2182"/>
    <x v="21"/>
    <x v="0"/>
    <x v="4"/>
    <x v="459"/>
    <d v="2023-06-03T00:00:00"/>
    <x v="4"/>
    <x v="3"/>
    <x v="6"/>
    <x v="2181"/>
    <n v="15"/>
    <x v="1"/>
    <s v="Recovered"/>
    <x v="1"/>
    <x v="0"/>
    <s v="Cash"/>
    <n v="9"/>
    <x v="2175"/>
    <s v="Yes"/>
    <x v="1"/>
  </r>
  <r>
    <x v="2183"/>
    <x v="21"/>
    <x v="1"/>
    <x v="1"/>
    <x v="32"/>
    <d v="2023-03-29T00:00:00"/>
    <x v="0"/>
    <x v="0"/>
    <x v="4"/>
    <x v="2182"/>
    <n v="18"/>
    <x v="1"/>
    <s v="Recovered"/>
    <x v="1"/>
    <x v="1"/>
    <s v="Insurance"/>
    <n v="15"/>
    <x v="2176"/>
    <s v="No"/>
    <x v="0"/>
  </r>
  <r>
    <x v="2184"/>
    <x v="36"/>
    <x v="0"/>
    <x v="2"/>
    <x v="894"/>
    <d v="2023-05-05T00:00:00"/>
    <x v="8"/>
    <x v="6"/>
    <x v="3"/>
    <x v="2183"/>
    <n v="22"/>
    <x v="1"/>
    <s v="Recovered"/>
    <x v="2"/>
    <x v="2"/>
    <s v="Cash"/>
    <n v="5"/>
    <x v="2177"/>
    <s v="No"/>
    <x v="0"/>
  </r>
  <r>
    <x v="2185"/>
    <x v="6"/>
    <x v="1"/>
    <x v="5"/>
    <x v="82"/>
    <d v="2025-10-04T00:00:00"/>
    <x v="6"/>
    <x v="2"/>
    <x v="5"/>
    <x v="2184"/>
    <n v="12"/>
    <x v="1"/>
    <s v="Recovered"/>
    <x v="2"/>
    <x v="1"/>
    <s v="Card"/>
    <n v="4"/>
    <x v="2178"/>
    <s v="Yes"/>
    <x v="0"/>
  </r>
  <r>
    <x v="2186"/>
    <x v="69"/>
    <x v="0"/>
    <x v="7"/>
    <x v="452"/>
    <d v="2024-03-07T00:00:00"/>
    <x v="4"/>
    <x v="3"/>
    <x v="0"/>
    <x v="2185"/>
    <n v="2"/>
    <x v="1"/>
    <s v="Recovered"/>
    <x v="1"/>
    <x v="3"/>
    <s v="Cash"/>
    <n v="13"/>
    <x v="2179"/>
    <s v="Yes"/>
    <x v="0"/>
  </r>
  <r>
    <x v="2187"/>
    <x v="10"/>
    <x v="0"/>
    <x v="2"/>
    <x v="87"/>
    <d v="2023-11-04T00:00:00"/>
    <x v="6"/>
    <x v="2"/>
    <x v="1"/>
    <x v="2186"/>
    <n v="6"/>
    <x v="1"/>
    <s v="Recovered"/>
    <x v="2"/>
    <x v="2"/>
    <s v="Cash"/>
    <n v="8"/>
    <x v="2180"/>
    <s v="Yes"/>
    <x v="0"/>
  </r>
  <r>
    <x v="2188"/>
    <x v="2"/>
    <x v="1"/>
    <x v="7"/>
    <x v="105"/>
    <d v="2024-10-19T00:00:00"/>
    <x v="9"/>
    <x v="5"/>
    <x v="6"/>
    <x v="2187"/>
    <n v="5"/>
    <x v="0"/>
    <s v="Recovered"/>
    <x v="1"/>
    <x v="0"/>
    <s v="Card"/>
    <n v="5"/>
    <x v="2181"/>
    <s v="No"/>
    <x v="0"/>
  </r>
  <r>
    <x v="2189"/>
    <x v="66"/>
    <x v="1"/>
    <x v="5"/>
    <x v="82"/>
    <d v="2025-10-12T00:00:00"/>
    <x v="5"/>
    <x v="4"/>
    <x v="7"/>
    <x v="2188"/>
    <n v="20"/>
    <x v="0"/>
    <s v="Recovered"/>
    <x v="2"/>
    <x v="3"/>
    <s v="UPI"/>
    <n v="1"/>
    <x v="2182"/>
    <s v="No"/>
    <x v="0"/>
  </r>
  <r>
    <x v="2190"/>
    <x v="72"/>
    <x v="0"/>
    <x v="1"/>
    <x v="28"/>
    <d v="2025-08-25T00:00:00"/>
    <x v="3"/>
    <x v="0"/>
    <x v="1"/>
    <x v="2189"/>
    <n v="18"/>
    <x v="1"/>
    <s v="Recovered"/>
    <x v="0"/>
    <x v="2"/>
    <s v="UPI"/>
    <n v="7"/>
    <x v="2183"/>
    <s v="No"/>
    <x v="0"/>
  </r>
  <r>
    <x v="2191"/>
    <x v="18"/>
    <x v="1"/>
    <x v="6"/>
    <x v="757"/>
    <d v="2024-04-21T00:00:00"/>
    <x v="3"/>
    <x v="0"/>
    <x v="7"/>
    <x v="2190"/>
    <n v="8"/>
    <x v="0"/>
    <s v="Referred"/>
    <x v="0"/>
    <x v="3"/>
    <s v="UPI"/>
    <n v="4"/>
    <x v="2184"/>
    <s v="No"/>
    <x v="0"/>
  </r>
  <r>
    <x v="2192"/>
    <x v="45"/>
    <x v="0"/>
    <x v="5"/>
    <x v="469"/>
    <d v="2023-11-01T00:00:00"/>
    <x v="6"/>
    <x v="2"/>
    <x v="2"/>
    <x v="2191"/>
    <n v="7"/>
    <x v="0"/>
    <s v="Recovered"/>
    <x v="1"/>
    <x v="3"/>
    <s v="Cash"/>
    <n v="5"/>
    <x v="2185"/>
    <s v="Yes"/>
    <x v="0"/>
  </r>
  <r>
    <x v="2193"/>
    <x v="67"/>
    <x v="0"/>
    <x v="3"/>
    <x v="453"/>
    <d v="2023-03-31T00:00:00"/>
    <x v="1"/>
    <x v="1"/>
    <x v="5"/>
    <x v="2192"/>
    <n v="22"/>
    <x v="1"/>
    <s v="Recovered"/>
    <x v="1"/>
    <x v="2"/>
    <s v="Card"/>
    <n v="10"/>
    <x v="2186"/>
    <s v="No"/>
    <x v="0"/>
  </r>
  <r>
    <x v="2194"/>
    <x v="46"/>
    <x v="1"/>
    <x v="1"/>
    <x v="895"/>
    <d v="2024-03-06T00:00:00"/>
    <x v="0"/>
    <x v="0"/>
    <x v="2"/>
    <x v="2193"/>
    <n v="3"/>
    <x v="1"/>
    <s v="Recovered"/>
    <x v="1"/>
    <x v="0"/>
    <s v="Cash"/>
    <n v="3"/>
    <x v="2187"/>
    <s v="No"/>
    <x v="0"/>
  </r>
  <r>
    <x v="2195"/>
    <x v="56"/>
    <x v="1"/>
    <x v="1"/>
    <x v="192"/>
    <d v="2024-08-15T00:00:00"/>
    <x v="2"/>
    <x v="2"/>
    <x v="0"/>
    <x v="2194"/>
    <n v="9"/>
    <x v="1"/>
    <s v="Recovered"/>
    <x v="0"/>
    <x v="1"/>
    <s v="Cash"/>
    <n v="15"/>
    <x v="2188"/>
    <s v="No"/>
    <x v="0"/>
  </r>
  <r>
    <x v="2196"/>
    <x v="21"/>
    <x v="0"/>
    <x v="3"/>
    <x v="285"/>
    <d v="2023-08-20T00:00:00"/>
    <x v="6"/>
    <x v="2"/>
    <x v="7"/>
    <x v="2195"/>
    <n v="2"/>
    <x v="0"/>
    <s v="Recovered"/>
    <x v="0"/>
    <x v="0"/>
    <s v="Cash"/>
    <n v="6"/>
    <x v="2189"/>
    <s v="No"/>
    <x v="0"/>
  </r>
  <r>
    <x v="2197"/>
    <x v="68"/>
    <x v="0"/>
    <x v="1"/>
    <x v="126"/>
    <d v="2025-06-01T00:00:00"/>
    <x v="7"/>
    <x v="5"/>
    <x v="5"/>
    <x v="2196"/>
    <n v="28"/>
    <x v="1"/>
    <s v="Recovered"/>
    <x v="1"/>
    <x v="2"/>
    <s v="Card"/>
    <n v="14"/>
    <x v="2190"/>
    <s v="Yes"/>
    <x v="0"/>
  </r>
  <r>
    <x v="2198"/>
    <x v="26"/>
    <x v="1"/>
    <x v="0"/>
    <x v="896"/>
    <d v="2024-03-23T00:00:00"/>
    <x v="3"/>
    <x v="0"/>
    <x v="0"/>
    <x v="2197"/>
    <n v="22"/>
    <x v="0"/>
    <s v="Recovered"/>
    <x v="1"/>
    <x v="2"/>
    <s v="Insurance"/>
    <n v="4"/>
    <x v="2191"/>
    <s v="No"/>
    <x v="0"/>
  </r>
  <r>
    <x v="2199"/>
    <x v="43"/>
    <x v="1"/>
    <x v="2"/>
    <x v="172"/>
    <d v="2023-07-05T00:00:00"/>
    <x v="4"/>
    <x v="3"/>
    <x v="6"/>
    <x v="2198"/>
    <n v="3"/>
    <x v="1"/>
    <s v="Recovered"/>
    <x v="2"/>
    <x v="1"/>
    <s v="UPI"/>
    <n v="13"/>
    <x v="2192"/>
    <s v="Yes"/>
    <x v="0"/>
  </r>
  <r>
    <x v="2200"/>
    <x v="38"/>
    <x v="0"/>
    <x v="5"/>
    <x v="321"/>
    <d v="2023-08-01T00:00:00"/>
    <x v="7"/>
    <x v="5"/>
    <x v="4"/>
    <x v="2199"/>
    <n v="18"/>
    <x v="1"/>
    <s v="Recovered"/>
    <x v="0"/>
    <x v="3"/>
    <s v="Insurance"/>
    <n v="8"/>
    <x v="2193"/>
    <s v="Yes"/>
    <x v="0"/>
  </r>
  <r>
    <x v="2201"/>
    <x v="24"/>
    <x v="0"/>
    <x v="5"/>
    <x v="882"/>
    <d v="2024-09-25T00:00:00"/>
    <x v="4"/>
    <x v="3"/>
    <x v="4"/>
    <x v="2200"/>
    <n v="4"/>
    <x v="0"/>
    <s v="Recovered"/>
    <x v="0"/>
    <x v="1"/>
    <s v="Cash"/>
    <n v="9"/>
    <x v="2194"/>
    <s v="Yes"/>
    <x v="0"/>
  </r>
  <r>
    <x v="2202"/>
    <x v="50"/>
    <x v="0"/>
    <x v="3"/>
    <x v="795"/>
    <d v="2025-10-06T00:00:00"/>
    <x v="0"/>
    <x v="0"/>
    <x v="7"/>
    <x v="2201"/>
    <n v="13"/>
    <x v="0"/>
    <s v="Recovered"/>
    <x v="1"/>
    <x v="2"/>
    <s v="Insurance"/>
    <n v="4"/>
    <x v="2195"/>
    <s v="Yes"/>
    <x v="0"/>
  </r>
  <r>
    <x v="2203"/>
    <x v="42"/>
    <x v="1"/>
    <x v="4"/>
    <x v="838"/>
    <d v="2023-03-06T00:00:00"/>
    <x v="2"/>
    <x v="2"/>
    <x v="7"/>
    <x v="2202"/>
    <n v="19"/>
    <x v="1"/>
    <s v="Recovered"/>
    <x v="1"/>
    <x v="3"/>
    <s v="Card"/>
    <n v="13"/>
    <x v="2196"/>
    <s v="Yes"/>
    <x v="0"/>
  </r>
  <r>
    <x v="2204"/>
    <x v="72"/>
    <x v="1"/>
    <x v="2"/>
    <x v="377"/>
    <d v="2024-06-04T00:00:00"/>
    <x v="9"/>
    <x v="5"/>
    <x v="0"/>
    <x v="2203"/>
    <n v="18"/>
    <x v="0"/>
    <s v="Recovered"/>
    <x v="1"/>
    <x v="3"/>
    <s v="Card"/>
    <n v="6"/>
    <x v="2197"/>
    <s v="No"/>
    <x v="0"/>
  </r>
  <r>
    <x v="2205"/>
    <x v="48"/>
    <x v="1"/>
    <x v="7"/>
    <x v="672"/>
    <d v="2025-06-22T00:00:00"/>
    <x v="6"/>
    <x v="2"/>
    <x v="3"/>
    <x v="2204"/>
    <n v="15"/>
    <x v="0"/>
    <s v="Under Observation"/>
    <x v="2"/>
    <x v="1"/>
    <s v="Card"/>
    <n v="5"/>
    <x v="2198"/>
    <s v="No"/>
    <x v="0"/>
  </r>
  <r>
    <x v="2206"/>
    <x v="3"/>
    <x v="1"/>
    <x v="3"/>
    <x v="821"/>
    <d v="2024-09-20T00:00:00"/>
    <x v="7"/>
    <x v="5"/>
    <x v="5"/>
    <x v="2205"/>
    <n v="4"/>
    <x v="1"/>
    <s v="Under Observation"/>
    <x v="1"/>
    <x v="0"/>
    <s v="Insurance"/>
    <n v="8"/>
    <x v="2199"/>
    <s v="Yes"/>
    <x v="0"/>
  </r>
  <r>
    <x v="2207"/>
    <x v="70"/>
    <x v="1"/>
    <x v="4"/>
    <x v="897"/>
    <d v="2023-06-04T00:00:00"/>
    <x v="7"/>
    <x v="5"/>
    <x v="4"/>
    <x v="2206"/>
    <n v="3"/>
    <x v="1"/>
    <s v="Recovered"/>
    <x v="0"/>
    <x v="2"/>
    <s v="UPI"/>
    <n v="13"/>
    <x v="2200"/>
    <s v="No"/>
    <x v="0"/>
  </r>
  <r>
    <x v="2208"/>
    <x v="52"/>
    <x v="0"/>
    <x v="3"/>
    <x v="382"/>
    <d v="2025-05-03T00:00:00"/>
    <x v="4"/>
    <x v="3"/>
    <x v="0"/>
    <x v="2207"/>
    <n v="14"/>
    <x v="0"/>
    <s v="Recovered"/>
    <x v="2"/>
    <x v="0"/>
    <s v="Cash"/>
    <n v="8"/>
    <x v="2201"/>
    <s v="Yes"/>
    <x v="0"/>
  </r>
  <r>
    <x v="2209"/>
    <x v="18"/>
    <x v="0"/>
    <x v="7"/>
    <x v="408"/>
    <d v="2024-04-10T00:00:00"/>
    <x v="0"/>
    <x v="0"/>
    <x v="1"/>
    <x v="2208"/>
    <n v="25"/>
    <x v="1"/>
    <s v="Recovered"/>
    <x v="0"/>
    <x v="2"/>
    <s v="Card"/>
    <n v="7"/>
    <x v="2202"/>
    <s v="No"/>
    <x v="0"/>
  </r>
  <r>
    <x v="2210"/>
    <x v="48"/>
    <x v="0"/>
    <x v="1"/>
    <x v="863"/>
    <d v="2024-03-23T00:00:00"/>
    <x v="6"/>
    <x v="2"/>
    <x v="5"/>
    <x v="2209"/>
    <n v="1"/>
    <x v="0"/>
    <s v="Recovered"/>
    <x v="0"/>
    <x v="3"/>
    <s v="Card"/>
    <n v="6"/>
    <x v="2203"/>
    <s v="No"/>
    <x v="0"/>
  </r>
  <r>
    <x v="2211"/>
    <x v="62"/>
    <x v="1"/>
    <x v="6"/>
    <x v="273"/>
    <d v="2024-07-08T00:00:00"/>
    <x v="3"/>
    <x v="0"/>
    <x v="5"/>
    <x v="2210"/>
    <n v="8"/>
    <x v="1"/>
    <s v="Deceased"/>
    <x v="2"/>
    <x v="0"/>
    <s v="Insurance"/>
    <n v="9"/>
    <x v="2204"/>
    <s v="No"/>
    <x v="0"/>
  </r>
  <r>
    <x v="2212"/>
    <x v="59"/>
    <x v="0"/>
    <x v="6"/>
    <x v="27"/>
    <d v="2023-06-11T00:00:00"/>
    <x v="9"/>
    <x v="5"/>
    <x v="7"/>
    <x v="2211"/>
    <n v="5"/>
    <x v="1"/>
    <s v="Recovered"/>
    <x v="0"/>
    <x v="3"/>
    <s v="Insurance"/>
    <n v="11"/>
    <x v="2205"/>
    <s v="Yes"/>
    <x v="0"/>
  </r>
  <r>
    <x v="2213"/>
    <x v="27"/>
    <x v="0"/>
    <x v="7"/>
    <x v="571"/>
    <d v="2025-04-04T00:00:00"/>
    <x v="9"/>
    <x v="5"/>
    <x v="3"/>
    <x v="2212"/>
    <n v="3"/>
    <x v="0"/>
    <s v="Recovered"/>
    <x v="1"/>
    <x v="1"/>
    <s v="Card"/>
    <n v="14"/>
    <x v="2206"/>
    <s v="No"/>
    <x v="0"/>
  </r>
  <r>
    <x v="2214"/>
    <x v="13"/>
    <x v="0"/>
    <x v="5"/>
    <x v="170"/>
    <d v="2023-02-19T00:00:00"/>
    <x v="4"/>
    <x v="3"/>
    <x v="6"/>
    <x v="2213"/>
    <n v="15"/>
    <x v="0"/>
    <s v="Recovered"/>
    <x v="2"/>
    <x v="2"/>
    <s v="Card"/>
    <n v="9"/>
    <x v="2207"/>
    <s v="No"/>
    <x v="0"/>
  </r>
  <r>
    <x v="2215"/>
    <x v="13"/>
    <x v="1"/>
    <x v="3"/>
    <x v="140"/>
    <d v="2025-03-24T00:00:00"/>
    <x v="7"/>
    <x v="5"/>
    <x v="0"/>
    <x v="2214"/>
    <n v="7"/>
    <x v="1"/>
    <s v="Recovered"/>
    <x v="1"/>
    <x v="0"/>
    <s v="Card"/>
    <n v="6"/>
    <x v="2208"/>
    <s v="Yes"/>
    <x v="0"/>
  </r>
  <r>
    <x v="2216"/>
    <x v="20"/>
    <x v="1"/>
    <x v="0"/>
    <x v="215"/>
    <d v="2023-09-17T00:00:00"/>
    <x v="7"/>
    <x v="5"/>
    <x v="4"/>
    <x v="2215"/>
    <n v="19"/>
    <x v="1"/>
    <s v="Recovered"/>
    <x v="1"/>
    <x v="1"/>
    <s v="Card"/>
    <n v="15"/>
    <x v="2209"/>
    <s v="No"/>
    <x v="0"/>
  </r>
  <r>
    <x v="2217"/>
    <x v="8"/>
    <x v="1"/>
    <x v="6"/>
    <x v="402"/>
    <d v="2023-10-15T00:00:00"/>
    <x v="4"/>
    <x v="3"/>
    <x v="6"/>
    <x v="2216"/>
    <n v="8"/>
    <x v="0"/>
    <s v="Recovered"/>
    <x v="1"/>
    <x v="1"/>
    <s v="Cash"/>
    <n v="10"/>
    <x v="2210"/>
    <s v="No"/>
    <x v="1"/>
  </r>
  <r>
    <x v="2218"/>
    <x v="35"/>
    <x v="1"/>
    <x v="7"/>
    <x v="762"/>
    <d v="2023-12-17T00:00:00"/>
    <x v="2"/>
    <x v="2"/>
    <x v="1"/>
    <x v="2217"/>
    <n v="17"/>
    <x v="1"/>
    <s v="Referred"/>
    <x v="1"/>
    <x v="0"/>
    <s v="Card"/>
    <n v="1"/>
    <x v="2211"/>
    <s v="Yes"/>
    <x v="0"/>
  </r>
  <r>
    <x v="2219"/>
    <x v="51"/>
    <x v="1"/>
    <x v="5"/>
    <x v="86"/>
    <d v="2025-02-21T00:00:00"/>
    <x v="8"/>
    <x v="6"/>
    <x v="6"/>
    <x v="2218"/>
    <n v="11"/>
    <x v="0"/>
    <s v="Recovered"/>
    <x v="0"/>
    <x v="0"/>
    <s v="Insurance"/>
    <n v="2"/>
    <x v="2212"/>
    <s v="Yes"/>
    <x v="0"/>
  </r>
  <r>
    <x v="2220"/>
    <x v="60"/>
    <x v="1"/>
    <x v="5"/>
    <x v="151"/>
    <d v="2025-02-11T00:00:00"/>
    <x v="9"/>
    <x v="5"/>
    <x v="5"/>
    <x v="2219"/>
    <n v="18"/>
    <x v="0"/>
    <s v="Recovered"/>
    <x v="2"/>
    <x v="1"/>
    <s v="Card"/>
    <n v="6"/>
    <x v="2213"/>
    <s v="Yes"/>
    <x v="0"/>
  </r>
  <r>
    <x v="2221"/>
    <x v="10"/>
    <x v="1"/>
    <x v="6"/>
    <x v="516"/>
    <d v="2023-08-23T00:00:00"/>
    <x v="4"/>
    <x v="3"/>
    <x v="2"/>
    <x v="2220"/>
    <n v="17"/>
    <x v="1"/>
    <s v="Recovered"/>
    <x v="1"/>
    <x v="3"/>
    <s v="UPI"/>
    <n v="14"/>
    <x v="2214"/>
    <s v="No"/>
    <x v="0"/>
  </r>
  <r>
    <x v="2222"/>
    <x v="9"/>
    <x v="1"/>
    <x v="1"/>
    <x v="700"/>
    <d v="2024-11-16T00:00:00"/>
    <x v="2"/>
    <x v="2"/>
    <x v="3"/>
    <x v="2221"/>
    <n v="13"/>
    <x v="1"/>
    <s v="Recovered"/>
    <x v="1"/>
    <x v="1"/>
    <s v="Cash"/>
    <n v="3"/>
    <x v="2215"/>
    <s v="Yes"/>
    <x v="1"/>
  </r>
  <r>
    <x v="2223"/>
    <x v="3"/>
    <x v="0"/>
    <x v="4"/>
    <x v="703"/>
    <d v="2023-11-06T00:00:00"/>
    <x v="9"/>
    <x v="5"/>
    <x v="5"/>
    <x v="2222"/>
    <n v="4"/>
    <x v="1"/>
    <s v="Under Observation"/>
    <x v="2"/>
    <x v="1"/>
    <s v="Insurance"/>
    <n v="8"/>
    <x v="2216"/>
    <s v="No"/>
    <x v="0"/>
  </r>
  <r>
    <x v="2224"/>
    <x v="70"/>
    <x v="1"/>
    <x v="3"/>
    <x v="898"/>
    <d v="2024-08-30T00:00:00"/>
    <x v="8"/>
    <x v="6"/>
    <x v="5"/>
    <x v="2223"/>
    <n v="6"/>
    <x v="1"/>
    <s v="Recovered"/>
    <x v="0"/>
    <x v="2"/>
    <s v="Insurance"/>
    <n v="2"/>
    <x v="2217"/>
    <s v="Yes"/>
    <x v="0"/>
  </r>
  <r>
    <x v="2225"/>
    <x v="63"/>
    <x v="1"/>
    <x v="1"/>
    <x v="124"/>
    <d v="2025-08-11T00:00:00"/>
    <x v="7"/>
    <x v="5"/>
    <x v="1"/>
    <x v="2224"/>
    <n v="7"/>
    <x v="0"/>
    <s v="Deceased"/>
    <x v="1"/>
    <x v="2"/>
    <s v="UPI"/>
    <n v="2"/>
    <x v="2218"/>
    <s v="Yes"/>
    <x v="0"/>
  </r>
  <r>
    <x v="2226"/>
    <x v="65"/>
    <x v="1"/>
    <x v="1"/>
    <x v="105"/>
    <d v="2024-10-31T00:00:00"/>
    <x v="2"/>
    <x v="2"/>
    <x v="2"/>
    <x v="2225"/>
    <n v="17"/>
    <x v="0"/>
    <s v="Referred"/>
    <x v="2"/>
    <x v="1"/>
    <s v="Cash"/>
    <n v="14"/>
    <x v="2219"/>
    <s v="Yes"/>
    <x v="0"/>
  </r>
  <r>
    <x v="2227"/>
    <x v="24"/>
    <x v="1"/>
    <x v="7"/>
    <x v="20"/>
    <d v="2024-12-07T00:00:00"/>
    <x v="4"/>
    <x v="3"/>
    <x v="0"/>
    <x v="2226"/>
    <n v="7"/>
    <x v="1"/>
    <s v="Referred"/>
    <x v="0"/>
    <x v="3"/>
    <s v="UPI"/>
    <n v="10"/>
    <x v="2220"/>
    <s v="No"/>
    <x v="0"/>
  </r>
  <r>
    <x v="2228"/>
    <x v="12"/>
    <x v="1"/>
    <x v="6"/>
    <x v="723"/>
    <d v="2025-07-01T00:00:00"/>
    <x v="0"/>
    <x v="0"/>
    <x v="6"/>
    <x v="2227"/>
    <n v="6"/>
    <x v="0"/>
    <s v="Recovered"/>
    <x v="1"/>
    <x v="0"/>
    <s v="Cash"/>
    <n v="3"/>
    <x v="2221"/>
    <s v="No"/>
    <x v="1"/>
  </r>
  <r>
    <x v="2229"/>
    <x v="40"/>
    <x v="0"/>
    <x v="5"/>
    <x v="130"/>
    <d v="2023-10-22T00:00:00"/>
    <x v="4"/>
    <x v="3"/>
    <x v="0"/>
    <x v="2228"/>
    <n v="2"/>
    <x v="1"/>
    <s v="Recovered"/>
    <x v="1"/>
    <x v="1"/>
    <s v="UPI"/>
    <n v="3"/>
    <x v="2222"/>
    <s v="No"/>
    <x v="0"/>
  </r>
  <r>
    <x v="2230"/>
    <x v="0"/>
    <x v="0"/>
    <x v="2"/>
    <x v="899"/>
    <d v="2025-07-22T00:00:00"/>
    <x v="7"/>
    <x v="5"/>
    <x v="7"/>
    <x v="2229"/>
    <n v="6"/>
    <x v="1"/>
    <s v="Under Observation"/>
    <x v="1"/>
    <x v="2"/>
    <s v="Cash"/>
    <n v="13"/>
    <x v="2223"/>
    <s v="Yes"/>
    <x v="0"/>
  </r>
  <r>
    <x v="2231"/>
    <x v="13"/>
    <x v="0"/>
    <x v="7"/>
    <x v="515"/>
    <d v="2024-05-24T00:00:00"/>
    <x v="6"/>
    <x v="2"/>
    <x v="5"/>
    <x v="2230"/>
    <n v="10"/>
    <x v="1"/>
    <s v="Recovered"/>
    <x v="0"/>
    <x v="1"/>
    <s v="Card"/>
    <n v="15"/>
    <x v="2224"/>
    <s v="Yes"/>
    <x v="0"/>
  </r>
  <r>
    <x v="2232"/>
    <x v="15"/>
    <x v="1"/>
    <x v="0"/>
    <x v="354"/>
    <d v="2023-06-02T00:00:00"/>
    <x v="7"/>
    <x v="5"/>
    <x v="5"/>
    <x v="2231"/>
    <n v="19"/>
    <x v="0"/>
    <s v="Recovered"/>
    <x v="1"/>
    <x v="3"/>
    <s v="Cash"/>
    <n v="14"/>
    <x v="1505"/>
    <s v="No"/>
    <x v="0"/>
  </r>
  <r>
    <x v="2233"/>
    <x v="45"/>
    <x v="1"/>
    <x v="2"/>
    <x v="549"/>
    <d v="2023-11-09T00:00:00"/>
    <x v="6"/>
    <x v="2"/>
    <x v="6"/>
    <x v="2232"/>
    <n v="25"/>
    <x v="0"/>
    <s v="Recovered"/>
    <x v="0"/>
    <x v="2"/>
    <s v="Cash"/>
    <n v="14"/>
    <x v="2225"/>
    <s v="Yes"/>
    <x v="0"/>
  </r>
  <r>
    <x v="2234"/>
    <x v="20"/>
    <x v="0"/>
    <x v="0"/>
    <x v="127"/>
    <d v="2023-10-16T00:00:00"/>
    <x v="7"/>
    <x v="5"/>
    <x v="5"/>
    <x v="2233"/>
    <n v="8"/>
    <x v="1"/>
    <s v="Recovered"/>
    <x v="1"/>
    <x v="3"/>
    <s v="Cash"/>
    <n v="10"/>
    <x v="2226"/>
    <s v="No"/>
    <x v="0"/>
  </r>
  <r>
    <x v="2235"/>
    <x v="49"/>
    <x v="0"/>
    <x v="0"/>
    <x v="900"/>
    <d v="2025-03-03T00:00:00"/>
    <x v="9"/>
    <x v="5"/>
    <x v="1"/>
    <x v="2234"/>
    <n v="19"/>
    <x v="1"/>
    <s v="Recovered"/>
    <x v="1"/>
    <x v="3"/>
    <s v="UPI"/>
    <n v="12"/>
    <x v="2227"/>
    <s v="Yes"/>
    <x v="1"/>
  </r>
  <r>
    <x v="2236"/>
    <x v="67"/>
    <x v="0"/>
    <x v="5"/>
    <x v="81"/>
    <d v="2023-11-03T00:00:00"/>
    <x v="0"/>
    <x v="0"/>
    <x v="5"/>
    <x v="2235"/>
    <n v="3"/>
    <x v="0"/>
    <s v="Recovered"/>
    <x v="1"/>
    <x v="0"/>
    <s v="UPI"/>
    <n v="1"/>
    <x v="2228"/>
    <s v="No"/>
    <x v="0"/>
  </r>
  <r>
    <x v="2237"/>
    <x v="61"/>
    <x v="1"/>
    <x v="3"/>
    <x v="46"/>
    <d v="2025-01-28T00:00:00"/>
    <x v="4"/>
    <x v="3"/>
    <x v="4"/>
    <x v="2236"/>
    <n v="8"/>
    <x v="0"/>
    <s v="Recovered"/>
    <x v="0"/>
    <x v="2"/>
    <s v="Card"/>
    <n v="15"/>
    <x v="2229"/>
    <s v="Yes"/>
    <x v="1"/>
  </r>
  <r>
    <x v="2238"/>
    <x v="58"/>
    <x v="1"/>
    <x v="0"/>
    <x v="365"/>
    <d v="2023-05-17T00:00:00"/>
    <x v="5"/>
    <x v="4"/>
    <x v="5"/>
    <x v="2237"/>
    <n v="8"/>
    <x v="1"/>
    <s v="Recovered"/>
    <x v="1"/>
    <x v="3"/>
    <s v="Cash"/>
    <n v="7"/>
    <x v="2230"/>
    <s v="Yes"/>
    <x v="1"/>
  </r>
  <r>
    <x v="2239"/>
    <x v="55"/>
    <x v="1"/>
    <x v="5"/>
    <x v="139"/>
    <d v="2023-10-07T00:00:00"/>
    <x v="2"/>
    <x v="2"/>
    <x v="1"/>
    <x v="2238"/>
    <n v="12"/>
    <x v="1"/>
    <s v="Recovered"/>
    <x v="1"/>
    <x v="0"/>
    <s v="Insurance"/>
    <n v="7"/>
    <x v="2231"/>
    <s v="No"/>
    <x v="0"/>
  </r>
  <r>
    <x v="2240"/>
    <x v="28"/>
    <x v="1"/>
    <x v="6"/>
    <x v="901"/>
    <d v="2024-10-28T00:00:00"/>
    <x v="2"/>
    <x v="2"/>
    <x v="2"/>
    <x v="2239"/>
    <n v="27"/>
    <x v="0"/>
    <s v="Recovered"/>
    <x v="0"/>
    <x v="2"/>
    <s v="Card"/>
    <n v="14"/>
    <x v="2232"/>
    <s v="No"/>
    <x v="0"/>
  </r>
  <r>
    <x v="2241"/>
    <x v="32"/>
    <x v="1"/>
    <x v="1"/>
    <x v="439"/>
    <d v="2024-10-16T00:00:00"/>
    <x v="6"/>
    <x v="2"/>
    <x v="5"/>
    <x v="2240"/>
    <n v="7"/>
    <x v="1"/>
    <s v="Recovered"/>
    <x v="0"/>
    <x v="3"/>
    <s v="Cash"/>
    <n v="3"/>
    <x v="2233"/>
    <s v="Yes"/>
    <x v="0"/>
  </r>
  <r>
    <x v="2242"/>
    <x v="21"/>
    <x v="1"/>
    <x v="4"/>
    <x v="318"/>
    <d v="2025-04-24T00:00:00"/>
    <x v="1"/>
    <x v="1"/>
    <x v="4"/>
    <x v="2241"/>
    <n v="7"/>
    <x v="0"/>
    <s v="Recovered"/>
    <x v="1"/>
    <x v="1"/>
    <s v="Card"/>
    <n v="2"/>
    <x v="2234"/>
    <s v="Yes"/>
    <x v="0"/>
  </r>
  <r>
    <x v="2243"/>
    <x v="44"/>
    <x v="1"/>
    <x v="0"/>
    <x v="893"/>
    <d v="2025-03-02T00:00:00"/>
    <x v="4"/>
    <x v="3"/>
    <x v="6"/>
    <x v="2242"/>
    <n v="7"/>
    <x v="1"/>
    <s v="Recovered"/>
    <x v="2"/>
    <x v="2"/>
    <s v="Cash"/>
    <n v="8"/>
    <x v="2235"/>
    <s v="Yes"/>
    <x v="0"/>
  </r>
  <r>
    <x v="2244"/>
    <x v="60"/>
    <x v="0"/>
    <x v="3"/>
    <x v="248"/>
    <d v="2023-04-01T00:00:00"/>
    <x v="2"/>
    <x v="2"/>
    <x v="2"/>
    <x v="2243"/>
    <n v="22"/>
    <x v="0"/>
    <s v="Recovered"/>
    <x v="1"/>
    <x v="2"/>
    <s v="Cash"/>
    <n v="5"/>
    <x v="2236"/>
    <s v="No"/>
    <x v="0"/>
  </r>
  <r>
    <x v="2245"/>
    <x v="0"/>
    <x v="0"/>
    <x v="3"/>
    <x v="86"/>
    <d v="2025-02-26T00:00:00"/>
    <x v="9"/>
    <x v="5"/>
    <x v="5"/>
    <x v="2244"/>
    <n v="16"/>
    <x v="1"/>
    <s v="Recovered"/>
    <x v="2"/>
    <x v="3"/>
    <s v="Card"/>
    <n v="15"/>
    <x v="2237"/>
    <s v="No"/>
    <x v="0"/>
  </r>
  <r>
    <x v="2246"/>
    <x v="45"/>
    <x v="0"/>
    <x v="4"/>
    <x v="510"/>
    <d v="2025-04-03T00:00:00"/>
    <x v="9"/>
    <x v="5"/>
    <x v="6"/>
    <x v="2245"/>
    <n v="4"/>
    <x v="0"/>
    <s v="Recovered"/>
    <x v="0"/>
    <x v="0"/>
    <s v="Cash"/>
    <n v="9"/>
    <x v="2238"/>
    <s v="Yes"/>
    <x v="1"/>
  </r>
  <r>
    <x v="2247"/>
    <x v="39"/>
    <x v="0"/>
    <x v="1"/>
    <x v="261"/>
    <d v="2023-09-20T00:00:00"/>
    <x v="5"/>
    <x v="4"/>
    <x v="3"/>
    <x v="2246"/>
    <n v="30"/>
    <x v="0"/>
    <s v="Recovered"/>
    <x v="0"/>
    <x v="2"/>
    <s v="Card"/>
    <n v="13"/>
    <x v="2239"/>
    <s v="Yes"/>
    <x v="0"/>
  </r>
  <r>
    <x v="2248"/>
    <x v="45"/>
    <x v="1"/>
    <x v="3"/>
    <x v="902"/>
    <d v="2023-07-23T00:00:00"/>
    <x v="5"/>
    <x v="4"/>
    <x v="5"/>
    <x v="2247"/>
    <n v="19"/>
    <x v="1"/>
    <s v="Recovered"/>
    <x v="2"/>
    <x v="2"/>
    <s v="Insurance"/>
    <n v="2"/>
    <x v="2240"/>
    <s v="Yes"/>
    <x v="0"/>
  </r>
  <r>
    <x v="2249"/>
    <x v="60"/>
    <x v="1"/>
    <x v="7"/>
    <x v="903"/>
    <d v="2024-06-09T00:00:00"/>
    <x v="6"/>
    <x v="2"/>
    <x v="3"/>
    <x v="2248"/>
    <n v="18"/>
    <x v="0"/>
    <s v="Recovered"/>
    <x v="0"/>
    <x v="2"/>
    <s v="UPI"/>
    <n v="8"/>
    <x v="2241"/>
    <s v="Yes"/>
    <x v="0"/>
  </r>
  <r>
    <x v="2250"/>
    <x v="61"/>
    <x v="1"/>
    <x v="6"/>
    <x v="904"/>
    <d v="2025-03-21T00:00:00"/>
    <x v="9"/>
    <x v="5"/>
    <x v="4"/>
    <x v="2249"/>
    <n v="9"/>
    <x v="0"/>
    <s v="Recovered"/>
    <x v="2"/>
    <x v="1"/>
    <s v="Insurance"/>
    <n v="14"/>
    <x v="2242"/>
    <s v="No"/>
    <x v="0"/>
  </r>
  <r>
    <x v="2251"/>
    <x v="56"/>
    <x v="1"/>
    <x v="7"/>
    <x v="161"/>
    <d v="2024-06-18T00:00:00"/>
    <x v="7"/>
    <x v="5"/>
    <x v="0"/>
    <x v="2250"/>
    <n v="2"/>
    <x v="1"/>
    <s v="Recovered"/>
    <x v="2"/>
    <x v="1"/>
    <s v="UPI"/>
    <n v="4"/>
    <x v="2243"/>
    <s v="Yes"/>
    <x v="0"/>
  </r>
  <r>
    <x v="2252"/>
    <x v="36"/>
    <x v="0"/>
    <x v="4"/>
    <x v="905"/>
    <d v="2024-05-14T00:00:00"/>
    <x v="9"/>
    <x v="5"/>
    <x v="1"/>
    <x v="2251"/>
    <n v="2"/>
    <x v="0"/>
    <s v="Recovered"/>
    <x v="0"/>
    <x v="0"/>
    <s v="UPI"/>
    <n v="14"/>
    <x v="2244"/>
    <s v="No"/>
    <x v="0"/>
  </r>
  <r>
    <x v="2253"/>
    <x v="16"/>
    <x v="0"/>
    <x v="6"/>
    <x v="658"/>
    <d v="2024-01-01T00:00:00"/>
    <x v="2"/>
    <x v="2"/>
    <x v="0"/>
    <x v="2252"/>
    <n v="4"/>
    <x v="0"/>
    <s v="Recovered"/>
    <x v="2"/>
    <x v="2"/>
    <s v="Insurance"/>
    <n v="11"/>
    <x v="2245"/>
    <s v="Yes"/>
    <x v="0"/>
  </r>
  <r>
    <x v="2254"/>
    <x v="54"/>
    <x v="1"/>
    <x v="7"/>
    <x v="757"/>
    <d v="2024-04-26T00:00:00"/>
    <x v="1"/>
    <x v="1"/>
    <x v="6"/>
    <x v="2253"/>
    <n v="13"/>
    <x v="0"/>
    <s v="Recovered"/>
    <x v="2"/>
    <x v="0"/>
    <s v="Card"/>
    <n v="1"/>
    <x v="2246"/>
    <s v="Yes"/>
    <x v="0"/>
  </r>
  <r>
    <x v="2255"/>
    <x v="30"/>
    <x v="1"/>
    <x v="0"/>
    <x v="784"/>
    <d v="2024-04-21T00:00:00"/>
    <x v="6"/>
    <x v="2"/>
    <x v="2"/>
    <x v="2254"/>
    <n v="27"/>
    <x v="0"/>
    <s v="Recovered"/>
    <x v="2"/>
    <x v="2"/>
    <s v="Insurance"/>
    <n v="7"/>
    <x v="2247"/>
    <s v="No"/>
    <x v="0"/>
  </r>
  <r>
    <x v="2256"/>
    <x v="61"/>
    <x v="1"/>
    <x v="5"/>
    <x v="685"/>
    <d v="2023-07-15T00:00:00"/>
    <x v="5"/>
    <x v="4"/>
    <x v="1"/>
    <x v="2255"/>
    <n v="20"/>
    <x v="1"/>
    <s v="Recovered"/>
    <x v="2"/>
    <x v="3"/>
    <s v="UPI"/>
    <n v="11"/>
    <x v="2248"/>
    <s v="Yes"/>
    <x v="0"/>
  </r>
  <r>
    <x v="2257"/>
    <x v="67"/>
    <x v="1"/>
    <x v="3"/>
    <x v="344"/>
    <d v="2023-06-07T00:00:00"/>
    <x v="1"/>
    <x v="1"/>
    <x v="6"/>
    <x v="2256"/>
    <n v="12"/>
    <x v="1"/>
    <s v="Under Observation"/>
    <x v="2"/>
    <x v="0"/>
    <s v="Insurance"/>
    <n v="13"/>
    <x v="2249"/>
    <s v="Yes"/>
    <x v="0"/>
  </r>
  <r>
    <x v="2258"/>
    <x v="24"/>
    <x v="1"/>
    <x v="0"/>
    <x v="354"/>
    <d v="2023-05-27T00:00:00"/>
    <x v="1"/>
    <x v="1"/>
    <x v="5"/>
    <x v="2257"/>
    <n v="13"/>
    <x v="1"/>
    <s v="Referred"/>
    <x v="0"/>
    <x v="0"/>
    <s v="UPI"/>
    <n v="4"/>
    <x v="2250"/>
    <s v="No"/>
    <x v="0"/>
  </r>
  <r>
    <x v="2259"/>
    <x v="48"/>
    <x v="0"/>
    <x v="7"/>
    <x v="526"/>
    <d v="2025-05-15T00:00:00"/>
    <x v="0"/>
    <x v="0"/>
    <x v="3"/>
    <x v="2258"/>
    <n v="2"/>
    <x v="1"/>
    <s v="Recovered"/>
    <x v="2"/>
    <x v="1"/>
    <s v="Card"/>
    <n v="12"/>
    <x v="2251"/>
    <s v="No"/>
    <x v="1"/>
  </r>
  <r>
    <x v="2260"/>
    <x v="21"/>
    <x v="0"/>
    <x v="7"/>
    <x v="849"/>
    <d v="2024-07-20T00:00:00"/>
    <x v="7"/>
    <x v="5"/>
    <x v="5"/>
    <x v="2259"/>
    <n v="18"/>
    <x v="1"/>
    <s v="Recovered"/>
    <x v="1"/>
    <x v="3"/>
    <s v="Cash"/>
    <n v="4"/>
    <x v="2252"/>
    <s v="No"/>
    <x v="0"/>
  </r>
  <r>
    <x v="2261"/>
    <x v="3"/>
    <x v="1"/>
    <x v="5"/>
    <x v="312"/>
    <d v="2025-08-13T00:00:00"/>
    <x v="0"/>
    <x v="0"/>
    <x v="7"/>
    <x v="2260"/>
    <n v="3"/>
    <x v="1"/>
    <s v="Recovered"/>
    <x v="2"/>
    <x v="1"/>
    <s v="UPI"/>
    <n v="1"/>
    <x v="2253"/>
    <s v="Yes"/>
    <x v="1"/>
  </r>
  <r>
    <x v="2262"/>
    <x v="48"/>
    <x v="0"/>
    <x v="6"/>
    <x v="738"/>
    <d v="2025-07-03T00:00:00"/>
    <x v="0"/>
    <x v="0"/>
    <x v="2"/>
    <x v="2261"/>
    <n v="10"/>
    <x v="1"/>
    <s v="Recovered"/>
    <x v="0"/>
    <x v="2"/>
    <s v="Insurance"/>
    <n v="11"/>
    <x v="2254"/>
    <s v="No"/>
    <x v="0"/>
  </r>
  <r>
    <x v="2263"/>
    <x v="65"/>
    <x v="1"/>
    <x v="4"/>
    <x v="347"/>
    <d v="2024-05-15T00:00:00"/>
    <x v="5"/>
    <x v="4"/>
    <x v="3"/>
    <x v="2262"/>
    <n v="2"/>
    <x v="0"/>
    <s v="Recovered"/>
    <x v="1"/>
    <x v="0"/>
    <s v="Card"/>
    <n v="9"/>
    <x v="2255"/>
    <s v="No"/>
    <x v="0"/>
  </r>
  <r>
    <x v="2264"/>
    <x v="57"/>
    <x v="0"/>
    <x v="4"/>
    <x v="204"/>
    <d v="2023-08-28T00:00:00"/>
    <x v="0"/>
    <x v="0"/>
    <x v="2"/>
    <x v="2263"/>
    <n v="17"/>
    <x v="1"/>
    <s v="Recovered"/>
    <x v="2"/>
    <x v="3"/>
    <s v="Cash"/>
    <n v="15"/>
    <x v="2256"/>
    <s v="No"/>
    <x v="0"/>
  </r>
  <r>
    <x v="2265"/>
    <x v="63"/>
    <x v="0"/>
    <x v="3"/>
    <x v="2"/>
    <d v="2024-03-27T00:00:00"/>
    <x v="2"/>
    <x v="2"/>
    <x v="7"/>
    <x v="2264"/>
    <n v="12"/>
    <x v="1"/>
    <s v="Referred"/>
    <x v="0"/>
    <x v="0"/>
    <s v="Cash"/>
    <n v="12"/>
    <x v="2257"/>
    <s v="Yes"/>
    <x v="0"/>
  </r>
  <r>
    <x v="2266"/>
    <x v="50"/>
    <x v="1"/>
    <x v="0"/>
    <x v="10"/>
    <d v="2023-10-09T00:00:00"/>
    <x v="1"/>
    <x v="1"/>
    <x v="0"/>
    <x v="2265"/>
    <n v="13"/>
    <x v="0"/>
    <s v="Recovered"/>
    <x v="2"/>
    <x v="2"/>
    <s v="Cash"/>
    <n v="11"/>
    <x v="2258"/>
    <s v="No"/>
    <x v="1"/>
  </r>
  <r>
    <x v="2267"/>
    <x v="6"/>
    <x v="0"/>
    <x v="0"/>
    <x v="444"/>
    <d v="2025-05-20T00:00:00"/>
    <x v="5"/>
    <x v="4"/>
    <x v="6"/>
    <x v="2266"/>
    <n v="9"/>
    <x v="1"/>
    <s v="Recovered"/>
    <x v="2"/>
    <x v="3"/>
    <s v="Card"/>
    <n v="6"/>
    <x v="2259"/>
    <s v="Yes"/>
    <x v="0"/>
  </r>
  <r>
    <x v="2268"/>
    <x v="37"/>
    <x v="1"/>
    <x v="6"/>
    <x v="122"/>
    <d v="2025-09-12T00:00:00"/>
    <x v="5"/>
    <x v="4"/>
    <x v="0"/>
    <x v="2267"/>
    <n v="4"/>
    <x v="1"/>
    <s v="Recovered"/>
    <x v="0"/>
    <x v="3"/>
    <s v="Cash"/>
    <n v="3"/>
    <x v="2260"/>
    <s v="Yes"/>
    <x v="0"/>
  </r>
  <r>
    <x v="2269"/>
    <x v="60"/>
    <x v="0"/>
    <x v="2"/>
    <x v="195"/>
    <d v="2023-02-26T00:00:00"/>
    <x v="0"/>
    <x v="0"/>
    <x v="6"/>
    <x v="2268"/>
    <n v="9"/>
    <x v="0"/>
    <s v="Under Observation"/>
    <x v="2"/>
    <x v="3"/>
    <s v="Cash"/>
    <n v="4"/>
    <x v="2261"/>
    <s v="Yes"/>
    <x v="0"/>
  </r>
  <r>
    <x v="2270"/>
    <x v="22"/>
    <x v="0"/>
    <x v="6"/>
    <x v="742"/>
    <d v="2024-08-14T00:00:00"/>
    <x v="6"/>
    <x v="2"/>
    <x v="3"/>
    <x v="2269"/>
    <n v="6"/>
    <x v="1"/>
    <s v="Under Observation"/>
    <x v="0"/>
    <x v="2"/>
    <s v="Card"/>
    <n v="11"/>
    <x v="2262"/>
    <s v="Yes"/>
    <x v="0"/>
  </r>
  <r>
    <x v="2271"/>
    <x v="34"/>
    <x v="0"/>
    <x v="2"/>
    <x v="15"/>
    <d v="2024-01-20T00:00:00"/>
    <x v="1"/>
    <x v="1"/>
    <x v="5"/>
    <x v="2270"/>
    <n v="14"/>
    <x v="1"/>
    <s v="Recovered"/>
    <x v="1"/>
    <x v="2"/>
    <s v="UPI"/>
    <n v="9"/>
    <x v="2263"/>
    <s v="Yes"/>
    <x v="0"/>
  </r>
  <r>
    <x v="2272"/>
    <x v="0"/>
    <x v="0"/>
    <x v="7"/>
    <x v="718"/>
    <d v="2024-03-02T00:00:00"/>
    <x v="7"/>
    <x v="5"/>
    <x v="3"/>
    <x v="2271"/>
    <n v="7"/>
    <x v="1"/>
    <s v="Recovered"/>
    <x v="1"/>
    <x v="1"/>
    <s v="Card"/>
    <n v="9"/>
    <x v="2264"/>
    <s v="Yes"/>
    <x v="0"/>
  </r>
  <r>
    <x v="2273"/>
    <x v="53"/>
    <x v="1"/>
    <x v="1"/>
    <x v="512"/>
    <d v="2023-12-13T00:00:00"/>
    <x v="2"/>
    <x v="2"/>
    <x v="4"/>
    <x v="2272"/>
    <n v="7"/>
    <x v="1"/>
    <s v="Referred"/>
    <x v="0"/>
    <x v="0"/>
    <s v="Card"/>
    <n v="15"/>
    <x v="2265"/>
    <s v="Yes"/>
    <x v="0"/>
  </r>
  <r>
    <x v="2274"/>
    <x v="41"/>
    <x v="1"/>
    <x v="0"/>
    <x v="163"/>
    <d v="2025-06-06T00:00:00"/>
    <x v="9"/>
    <x v="5"/>
    <x v="5"/>
    <x v="2273"/>
    <n v="19"/>
    <x v="1"/>
    <s v="Recovered"/>
    <x v="2"/>
    <x v="0"/>
    <s v="Cash"/>
    <n v="3"/>
    <x v="2266"/>
    <s v="Yes"/>
    <x v="0"/>
  </r>
  <r>
    <x v="2275"/>
    <x v="54"/>
    <x v="0"/>
    <x v="3"/>
    <x v="278"/>
    <d v="2024-06-12T00:00:00"/>
    <x v="7"/>
    <x v="5"/>
    <x v="0"/>
    <x v="2274"/>
    <n v="17"/>
    <x v="1"/>
    <s v="Recovered"/>
    <x v="0"/>
    <x v="2"/>
    <s v="Card"/>
    <n v="7"/>
    <x v="2267"/>
    <s v="Yes"/>
    <x v="1"/>
  </r>
  <r>
    <x v="2276"/>
    <x v="15"/>
    <x v="1"/>
    <x v="6"/>
    <x v="879"/>
    <d v="2023-04-29T00:00:00"/>
    <x v="3"/>
    <x v="0"/>
    <x v="0"/>
    <x v="2275"/>
    <n v="17"/>
    <x v="0"/>
    <s v="Recovered"/>
    <x v="0"/>
    <x v="0"/>
    <s v="Insurance"/>
    <n v="8"/>
    <x v="2268"/>
    <s v="Yes"/>
    <x v="0"/>
  </r>
  <r>
    <x v="2277"/>
    <x v="59"/>
    <x v="0"/>
    <x v="6"/>
    <x v="660"/>
    <d v="2024-04-20T00:00:00"/>
    <x v="1"/>
    <x v="1"/>
    <x v="7"/>
    <x v="2276"/>
    <n v="16"/>
    <x v="0"/>
    <s v="Recovered"/>
    <x v="1"/>
    <x v="1"/>
    <s v="Insurance"/>
    <n v="5"/>
    <x v="2269"/>
    <s v="Yes"/>
    <x v="0"/>
  </r>
  <r>
    <x v="2278"/>
    <x v="68"/>
    <x v="1"/>
    <x v="3"/>
    <x v="629"/>
    <d v="2023-08-14T00:00:00"/>
    <x v="6"/>
    <x v="2"/>
    <x v="7"/>
    <x v="2277"/>
    <n v="1"/>
    <x v="0"/>
    <s v="Recovered"/>
    <x v="1"/>
    <x v="0"/>
    <s v="Card"/>
    <n v="3"/>
    <x v="2270"/>
    <s v="Yes"/>
    <x v="0"/>
  </r>
  <r>
    <x v="2279"/>
    <x v="7"/>
    <x v="0"/>
    <x v="7"/>
    <x v="403"/>
    <d v="2025-09-28T00:00:00"/>
    <x v="0"/>
    <x v="0"/>
    <x v="7"/>
    <x v="2278"/>
    <n v="12"/>
    <x v="0"/>
    <s v="Recovered"/>
    <x v="1"/>
    <x v="0"/>
    <s v="Cash"/>
    <n v="12"/>
    <x v="2271"/>
    <s v="No"/>
    <x v="0"/>
  </r>
  <r>
    <x v="2280"/>
    <x v="0"/>
    <x v="1"/>
    <x v="4"/>
    <x v="837"/>
    <d v="2023-03-03T00:00:00"/>
    <x v="4"/>
    <x v="3"/>
    <x v="7"/>
    <x v="2279"/>
    <n v="9"/>
    <x v="1"/>
    <s v="Under Observation"/>
    <x v="0"/>
    <x v="0"/>
    <s v="Insurance"/>
    <n v="2"/>
    <x v="2272"/>
    <s v="No"/>
    <x v="0"/>
  </r>
  <r>
    <x v="2281"/>
    <x v="53"/>
    <x v="1"/>
    <x v="3"/>
    <x v="788"/>
    <d v="2025-07-17T00:00:00"/>
    <x v="0"/>
    <x v="0"/>
    <x v="5"/>
    <x v="2280"/>
    <n v="20"/>
    <x v="1"/>
    <s v="Deceased"/>
    <x v="0"/>
    <x v="3"/>
    <s v="UPI"/>
    <n v="1"/>
    <x v="2273"/>
    <s v="No"/>
    <x v="1"/>
  </r>
  <r>
    <x v="2282"/>
    <x v="35"/>
    <x v="0"/>
    <x v="4"/>
    <x v="185"/>
    <d v="2024-02-26T00:00:00"/>
    <x v="3"/>
    <x v="0"/>
    <x v="4"/>
    <x v="2281"/>
    <n v="20"/>
    <x v="1"/>
    <s v="Recovered"/>
    <x v="1"/>
    <x v="3"/>
    <s v="UPI"/>
    <n v="12"/>
    <x v="2274"/>
    <s v="Yes"/>
    <x v="0"/>
  </r>
  <r>
    <x v="2283"/>
    <x v="47"/>
    <x v="0"/>
    <x v="1"/>
    <x v="407"/>
    <d v="2023-03-01T00:00:00"/>
    <x v="4"/>
    <x v="3"/>
    <x v="7"/>
    <x v="2282"/>
    <n v="8"/>
    <x v="1"/>
    <s v="Referred"/>
    <x v="2"/>
    <x v="2"/>
    <s v="Insurance"/>
    <n v="6"/>
    <x v="2275"/>
    <s v="Yes"/>
    <x v="0"/>
  </r>
  <r>
    <x v="2284"/>
    <x v="10"/>
    <x v="1"/>
    <x v="1"/>
    <x v="184"/>
    <d v="2024-03-29T00:00:00"/>
    <x v="2"/>
    <x v="2"/>
    <x v="2"/>
    <x v="2283"/>
    <n v="19"/>
    <x v="1"/>
    <s v="Recovered"/>
    <x v="0"/>
    <x v="0"/>
    <s v="UPI"/>
    <n v="8"/>
    <x v="2276"/>
    <s v="No"/>
    <x v="0"/>
  </r>
  <r>
    <x v="2285"/>
    <x v="32"/>
    <x v="1"/>
    <x v="7"/>
    <x v="538"/>
    <d v="2023-10-11T00:00:00"/>
    <x v="2"/>
    <x v="2"/>
    <x v="4"/>
    <x v="2284"/>
    <n v="17"/>
    <x v="1"/>
    <s v="Recovered"/>
    <x v="1"/>
    <x v="0"/>
    <s v="Cash"/>
    <n v="3"/>
    <x v="2277"/>
    <s v="No"/>
    <x v="0"/>
  </r>
  <r>
    <x v="2286"/>
    <x v="30"/>
    <x v="0"/>
    <x v="3"/>
    <x v="745"/>
    <d v="2023-06-17T00:00:00"/>
    <x v="9"/>
    <x v="5"/>
    <x v="1"/>
    <x v="2285"/>
    <n v="6"/>
    <x v="1"/>
    <s v="Under Observation"/>
    <x v="2"/>
    <x v="1"/>
    <s v="Card"/>
    <n v="14"/>
    <x v="2278"/>
    <s v="Yes"/>
    <x v="0"/>
  </r>
  <r>
    <x v="2287"/>
    <x v="41"/>
    <x v="0"/>
    <x v="0"/>
    <x v="423"/>
    <d v="2024-04-28T00:00:00"/>
    <x v="2"/>
    <x v="2"/>
    <x v="1"/>
    <x v="2286"/>
    <n v="10"/>
    <x v="1"/>
    <s v="Recovered"/>
    <x v="1"/>
    <x v="0"/>
    <s v="Cash"/>
    <n v="3"/>
    <x v="2279"/>
    <s v="No"/>
    <x v="0"/>
  </r>
  <r>
    <x v="2288"/>
    <x v="2"/>
    <x v="0"/>
    <x v="0"/>
    <x v="89"/>
    <d v="2025-06-16T00:00:00"/>
    <x v="2"/>
    <x v="2"/>
    <x v="6"/>
    <x v="2287"/>
    <n v="1"/>
    <x v="0"/>
    <s v="Recovered"/>
    <x v="1"/>
    <x v="1"/>
    <s v="Insurance"/>
    <n v="14"/>
    <x v="2280"/>
    <s v="Yes"/>
    <x v="1"/>
  </r>
  <r>
    <x v="2289"/>
    <x v="9"/>
    <x v="1"/>
    <x v="0"/>
    <x v="864"/>
    <d v="2023-10-15T00:00:00"/>
    <x v="8"/>
    <x v="6"/>
    <x v="4"/>
    <x v="2288"/>
    <n v="5"/>
    <x v="0"/>
    <s v="Recovered"/>
    <x v="1"/>
    <x v="3"/>
    <s v="Insurance"/>
    <n v="3"/>
    <x v="2281"/>
    <s v="Yes"/>
    <x v="0"/>
  </r>
  <r>
    <x v="2290"/>
    <x v="24"/>
    <x v="0"/>
    <x v="2"/>
    <x v="822"/>
    <d v="2024-03-15T00:00:00"/>
    <x v="5"/>
    <x v="4"/>
    <x v="0"/>
    <x v="2289"/>
    <n v="1"/>
    <x v="0"/>
    <s v="Recovered"/>
    <x v="0"/>
    <x v="1"/>
    <s v="UPI"/>
    <n v="10"/>
    <x v="2282"/>
    <s v="No"/>
    <x v="0"/>
  </r>
  <r>
    <x v="2291"/>
    <x v="4"/>
    <x v="0"/>
    <x v="1"/>
    <x v="390"/>
    <d v="2023-11-19T00:00:00"/>
    <x v="6"/>
    <x v="2"/>
    <x v="1"/>
    <x v="2290"/>
    <n v="20"/>
    <x v="1"/>
    <s v="Under Observation"/>
    <x v="0"/>
    <x v="0"/>
    <s v="Cash"/>
    <n v="7"/>
    <x v="2283"/>
    <s v="No"/>
    <x v="0"/>
  </r>
  <r>
    <x v="2292"/>
    <x v="36"/>
    <x v="0"/>
    <x v="7"/>
    <x v="445"/>
    <d v="2025-07-19T00:00:00"/>
    <x v="4"/>
    <x v="3"/>
    <x v="6"/>
    <x v="2291"/>
    <n v="21"/>
    <x v="1"/>
    <s v="Recovered"/>
    <x v="1"/>
    <x v="2"/>
    <s v="Card"/>
    <n v="11"/>
    <x v="2284"/>
    <s v="No"/>
    <x v="0"/>
  </r>
  <r>
    <x v="2293"/>
    <x v="37"/>
    <x v="0"/>
    <x v="4"/>
    <x v="620"/>
    <d v="2025-06-24T00:00:00"/>
    <x v="5"/>
    <x v="4"/>
    <x v="2"/>
    <x v="2292"/>
    <n v="21"/>
    <x v="1"/>
    <s v="Recovered"/>
    <x v="0"/>
    <x v="2"/>
    <s v="UPI"/>
    <n v="10"/>
    <x v="2285"/>
    <s v="No"/>
    <x v="0"/>
  </r>
  <r>
    <x v="2294"/>
    <x v="3"/>
    <x v="1"/>
    <x v="2"/>
    <x v="639"/>
    <d v="2025-08-13T00:00:00"/>
    <x v="0"/>
    <x v="0"/>
    <x v="0"/>
    <x v="2293"/>
    <n v="10"/>
    <x v="1"/>
    <s v="Recovered"/>
    <x v="1"/>
    <x v="1"/>
    <s v="Card"/>
    <n v="3"/>
    <x v="2286"/>
    <s v="No"/>
    <x v="0"/>
  </r>
  <r>
    <x v="2295"/>
    <x v="64"/>
    <x v="1"/>
    <x v="2"/>
    <x v="297"/>
    <d v="2024-04-07T00:00:00"/>
    <x v="9"/>
    <x v="5"/>
    <x v="0"/>
    <x v="2294"/>
    <n v="9"/>
    <x v="1"/>
    <s v="Deceased"/>
    <x v="1"/>
    <x v="0"/>
    <s v="Cash"/>
    <n v="5"/>
    <x v="2287"/>
    <s v="No"/>
    <x v="0"/>
  </r>
  <r>
    <x v="2296"/>
    <x v="35"/>
    <x v="1"/>
    <x v="5"/>
    <x v="690"/>
    <d v="2023-10-21T00:00:00"/>
    <x v="2"/>
    <x v="2"/>
    <x v="0"/>
    <x v="2295"/>
    <n v="20"/>
    <x v="1"/>
    <s v="Recovered"/>
    <x v="2"/>
    <x v="0"/>
    <s v="UPI"/>
    <n v="7"/>
    <x v="2288"/>
    <s v="No"/>
    <x v="0"/>
  </r>
  <r>
    <x v="2297"/>
    <x v="47"/>
    <x v="1"/>
    <x v="0"/>
    <x v="57"/>
    <d v="2023-06-21T00:00:00"/>
    <x v="7"/>
    <x v="5"/>
    <x v="5"/>
    <x v="2296"/>
    <n v="11"/>
    <x v="1"/>
    <s v="Recovered"/>
    <x v="2"/>
    <x v="3"/>
    <s v="Cash"/>
    <n v="10"/>
    <x v="2289"/>
    <s v="Yes"/>
    <x v="0"/>
  </r>
  <r>
    <x v="2298"/>
    <x v="29"/>
    <x v="0"/>
    <x v="3"/>
    <x v="110"/>
    <d v="2024-12-06T00:00:00"/>
    <x v="7"/>
    <x v="5"/>
    <x v="7"/>
    <x v="2297"/>
    <n v="18"/>
    <x v="0"/>
    <s v="Under Observation"/>
    <x v="1"/>
    <x v="0"/>
    <s v="Insurance"/>
    <n v="3"/>
    <x v="2290"/>
    <s v="No"/>
    <x v="0"/>
  </r>
  <r>
    <x v="2299"/>
    <x v="51"/>
    <x v="0"/>
    <x v="3"/>
    <x v="403"/>
    <d v="2025-09-18T00:00:00"/>
    <x v="7"/>
    <x v="5"/>
    <x v="6"/>
    <x v="2298"/>
    <n v="2"/>
    <x v="0"/>
    <s v="Recovered"/>
    <x v="0"/>
    <x v="3"/>
    <s v="Cash"/>
    <n v="3"/>
    <x v="2291"/>
    <s v="Yes"/>
    <x v="0"/>
  </r>
  <r>
    <x v="2300"/>
    <x v="46"/>
    <x v="1"/>
    <x v="6"/>
    <x v="852"/>
    <d v="2025-08-13T00:00:00"/>
    <x v="0"/>
    <x v="0"/>
    <x v="4"/>
    <x v="2299"/>
    <n v="1"/>
    <x v="1"/>
    <s v="Recovered"/>
    <x v="0"/>
    <x v="0"/>
    <s v="UPI"/>
    <n v="5"/>
    <x v="2292"/>
    <s v="No"/>
    <x v="0"/>
  </r>
  <r>
    <x v="2301"/>
    <x v="45"/>
    <x v="0"/>
    <x v="6"/>
    <x v="906"/>
    <d v="2023-12-07T00:00:00"/>
    <x v="5"/>
    <x v="4"/>
    <x v="1"/>
    <x v="2300"/>
    <n v="4"/>
    <x v="0"/>
    <s v="Referred"/>
    <x v="0"/>
    <x v="3"/>
    <s v="Insurance"/>
    <n v="4"/>
    <x v="2293"/>
    <s v="Yes"/>
    <x v="0"/>
  </r>
  <r>
    <x v="2302"/>
    <x v="37"/>
    <x v="0"/>
    <x v="3"/>
    <x v="856"/>
    <d v="2023-01-15T00:00:00"/>
    <x v="1"/>
    <x v="1"/>
    <x v="6"/>
    <x v="2301"/>
    <n v="8"/>
    <x v="1"/>
    <s v="Under Observation"/>
    <x v="2"/>
    <x v="0"/>
    <s v="Card"/>
    <n v="11"/>
    <x v="2294"/>
    <s v="No"/>
    <x v="1"/>
  </r>
  <r>
    <x v="2303"/>
    <x v="6"/>
    <x v="0"/>
    <x v="0"/>
    <x v="461"/>
    <d v="2023-02-06T00:00:00"/>
    <x v="9"/>
    <x v="5"/>
    <x v="2"/>
    <x v="2302"/>
    <n v="5"/>
    <x v="0"/>
    <s v="Recovered"/>
    <x v="0"/>
    <x v="3"/>
    <s v="Insurance"/>
    <n v="5"/>
    <x v="2295"/>
    <s v="No"/>
    <x v="0"/>
  </r>
  <r>
    <x v="2304"/>
    <x v="38"/>
    <x v="1"/>
    <x v="3"/>
    <x v="589"/>
    <d v="2024-08-19T00:00:00"/>
    <x v="4"/>
    <x v="3"/>
    <x v="2"/>
    <x v="2303"/>
    <n v="9"/>
    <x v="1"/>
    <s v="Recovered"/>
    <x v="1"/>
    <x v="0"/>
    <s v="UPI"/>
    <n v="1"/>
    <x v="2296"/>
    <s v="Yes"/>
    <x v="0"/>
  </r>
  <r>
    <x v="2305"/>
    <x v="32"/>
    <x v="0"/>
    <x v="0"/>
    <x v="625"/>
    <d v="2024-12-16T00:00:00"/>
    <x v="9"/>
    <x v="5"/>
    <x v="3"/>
    <x v="2304"/>
    <n v="4"/>
    <x v="1"/>
    <s v="Recovered"/>
    <x v="1"/>
    <x v="3"/>
    <s v="Cash"/>
    <n v="15"/>
    <x v="2297"/>
    <s v="No"/>
    <x v="0"/>
  </r>
  <r>
    <x v="2306"/>
    <x v="21"/>
    <x v="1"/>
    <x v="2"/>
    <x v="259"/>
    <d v="2025-03-08T00:00:00"/>
    <x v="2"/>
    <x v="2"/>
    <x v="5"/>
    <x v="2305"/>
    <n v="10"/>
    <x v="1"/>
    <s v="Recovered"/>
    <x v="1"/>
    <x v="3"/>
    <s v="Cash"/>
    <n v="2"/>
    <x v="2298"/>
    <s v="No"/>
    <x v="0"/>
  </r>
  <r>
    <x v="2307"/>
    <x v="44"/>
    <x v="0"/>
    <x v="5"/>
    <x v="535"/>
    <d v="2024-08-23T00:00:00"/>
    <x v="0"/>
    <x v="0"/>
    <x v="2"/>
    <x v="2306"/>
    <n v="14"/>
    <x v="0"/>
    <s v="Recovered"/>
    <x v="1"/>
    <x v="1"/>
    <s v="Insurance"/>
    <n v="5"/>
    <x v="2299"/>
    <s v="No"/>
    <x v="0"/>
  </r>
  <r>
    <x v="2308"/>
    <x v="6"/>
    <x v="0"/>
    <x v="4"/>
    <x v="271"/>
    <d v="2023-06-12T00:00:00"/>
    <x v="7"/>
    <x v="5"/>
    <x v="6"/>
    <x v="2307"/>
    <n v="20"/>
    <x v="1"/>
    <s v="Recovered"/>
    <x v="0"/>
    <x v="1"/>
    <s v="Insurance"/>
    <n v="6"/>
    <x v="2300"/>
    <s v="Yes"/>
    <x v="0"/>
  </r>
  <r>
    <x v="2309"/>
    <x v="47"/>
    <x v="1"/>
    <x v="5"/>
    <x v="694"/>
    <d v="2024-03-29T00:00:00"/>
    <x v="7"/>
    <x v="5"/>
    <x v="5"/>
    <x v="2308"/>
    <n v="12"/>
    <x v="1"/>
    <s v="Recovered"/>
    <x v="2"/>
    <x v="3"/>
    <s v="Cash"/>
    <n v="11"/>
    <x v="2301"/>
    <s v="Yes"/>
    <x v="1"/>
  </r>
  <r>
    <x v="2310"/>
    <x v="59"/>
    <x v="0"/>
    <x v="2"/>
    <x v="326"/>
    <d v="2023-05-12T00:00:00"/>
    <x v="4"/>
    <x v="3"/>
    <x v="1"/>
    <x v="2309"/>
    <n v="11"/>
    <x v="0"/>
    <s v="Deceased"/>
    <x v="0"/>
    <x v="1"/>
    <s v="Insurance"/>
    <n v="13"/>
    <x v="2302"/>
    <s v="No"/>
    <x v="0"/>
  </r>
  <r>
    <x v="2311"/>
    <x v="31"/>
    <x v="1"/>
    <x v="4"/>
    <x v="16"/>
    <d v="2024-10-09T00:00:00"/>
    <x v="0"/>
    <x v="0"/>
    <x v="3"/>
    <x v="2310"/>
    <n v="13"/>
    <x v="1"/>
    <s v="Recovered"/>
    <x v="2"/>
    <x v="1"/>
    <s v="Insurance"/>
    <n v="5"/>
    <x v="2303"/>
    <s v="Yes"/>
    <x v="0"/>
  </r>
  <r>
    <x v="2312"/>
    <x v="35"/>
    <x v="0"/>
    <x v="0"/>
    <x v="533"/>
    <d v="2025-03-11T00:00:00"/>
    <x v="8"/>
    <x v="6"/>
    <x v="4"/>
    <x v="2311"/>
    <n v="9"/>
    <x v="0"/>
    <s v="Recovered"/>
    <x v="0"/>
    <x v="1"/>
    <s v="UPI"/>
    <n v="11"/>
    <x v="2304"/>
    <s v="Yes"/>
    <x v="0"/>
  </r>
  <r>
    <x v="2313"/>
    <x v="4"/>
    <x v="0"/>
    <x v="5"/>
    <x v="886"/>
    <d v="2024-11-14T00:00:00"/>
    <x v="8"/>
    <x v="6"/>
    <x v="7"/>
    <x v="2312"/>
    <n v="20"/>
    <x v="1"/>
    <s v="Recovered"/>
    <x v="0"/>
    <x v="0"/>
    <s v="UPI"/>
    <n v="13"/>
    <x v="2305"/>
    <s v="Yes"/>
    <x v="0"/>
  </r>
  <r>
    <x v="2314"/>
    <x v="54"/>
    <x v="1"/>
    <x v="0"/>
    <x v="234"/>
    <d v="2025-07-25T00:00:00"/>
    <x v="9"/>
    <x v="5"/>
    <x v="1"/>
    <x v="2313"/>
    <n v="6"/>
    <x v="1"/>
    <s v="Recovered"/>
    <x v="2"/>
    <x v="0"/>
    <s v="Insurance"/>
    <n v="5"/>
    <x v="2306"/>
    <s v="Yes"/>
    <x v="0"/>
  </r>
  <r>
    <x v="2315"/>
    <x v="53"/>
    <x v="0"/>
    <x v="7"/>
    <x v="897"/>
    <d v="2023-06-03T00:00:00"/>
    <x v="5"/>
    <x v="4"/>
    <x v="4"/>
    <x v="2314"/>
    <n v="2"/>
    <x v="1"/>
    <s v="Recovered"/>
    <x v="0"/>
    <x v="0"/>
    <s v="Cash"/>
    <n v="6"/>
    <x v="2307"/>
    <s v="Yes"/>
    <x v="0"/>
  </r>
  <r>
    <x v="2316"/>
    <x v="12"/>
    <x v="1"/>
    <x v="3"/>
    <x v="907"/>
    <d v="2024-04-22T00:00:00"/>
    <x v="5"/>
    <x v="4"/>
    <x v="6"/>
    <x v="2315"/>
    <n v="11"/>
    <x v="1"/>
    <s v="Under Observation"/>
    <x v="2"/>
    <x v="2"/>
    <s v="Insurance"/>
    <n v="13"/>
    <x v="2308"/>
    <s v="No"/>
    <x v="0"/>
  </r>
  <r>
    <x v="2317"/>
    <x v="52"/>
    <x v="0"/>
    <x v="7"/>
    <x v="593"/>
    <d v="2024-11-19T00:00:00"/>
    <x v="8"/>
    <x v="6"/>
    <x v="3"/>
    <x v="2316"/>
    <n v="4"/>
    <x v="0"/>
    <s v="Recovered"/>
    <x v="1"/>
    <x v="0"/>
    <s v="Card"/>
    <n v="6"/>
    <x v="2309"/>
    <s v="No"/>
    <x v="1"/>
  </r>
  <r>
    <x v="2318"/>
    <x v="24"/>
    <x v="1"/>
    <x v="5"/>
    <x v="454"/>
    <d v="2025-08-07T00:00:00"/>
    <x v="2"/>
    <x v="2"/>
    <x v="7"/>
    <x v="2317"/>
    <n v="18"/>
    <x v="0"/>
    <s v="Recovered"/>
    <x v="1"/>
    <x v="2"/>
    <s v="Cash"/>
    <n v="1"/>
    <x v="2310"/>
    <s v="No"/>
    <x v="0"/>
  </r>
  <r>
    <x v="2319"/>
    <x v="54"/>
    <x v="0"/>
    <x v="7"/>
    <x v="1"/>
    <d v="2023-05-15T00:00:00"/>
    <x v="2"/>
    <x v="2"/>
    <x v="1"/>
    <x v="2318"/>
    <n v="4"/>
    <x v="0"/>
    <s v="Recovered"/>
    <x v="1"/>
    <x v="2"/>
    <s v="Insurance"/>
    <n v="8"/>
    <x v="2311"/>
    <s v="Yes"/>
    <x v="0"/>
  </r>
  <r>
    <x v="2320"/>
    <x v="5"/>
    <x v="0"/>
    <x v="4"/>
    <x v="765"/>
    <d v="2025-03-04T00:00:00"/>
    <x v="5"/>
    <x v="4"/>
    <x v="0"/>
    <x v="2319"/>
    <n v="4"/>
    <x v="0"/>
    <s v="Recovered"/>
    <x v="1"/>
    <x v="1"/>
    <s v="Card"/>
    <n v="9"/>
    <x v="2312"/>
    <s v="Yes"/>
    <x v="1"/>
  </r>
  <r>
    <x v="2321"/>
    <x v="38"/>
    <x v="1"/>
    <x v="1"/>
    <x v="153"/>
    <d v="2025-07-07T00:00:00"/>
    <x v="6"/>
    <x v="2"/>
    <x v="3"/>
    <x v="2320"/>
    <n v="4"/>
    <x v="1"/>
    <s v="Recovered"/>
    <x v="1"/>
    <x v="3"/>
    <s v="UPI"/>
    <n v="6"/>
    <x v="2313"/>
    <s v="No"/>
    <x v="0"/>
  </r>
  <r>
    <x v="2322"/>
    <x v="29"/>
    <x v="0"/>
    <x v="3"/>
    <x v="520"/>
    <d v="2023-09-09T00:00:00"/>
    <x v="5"/>
    <x v="4"/>
    <x v="7"/>
    <x v="2321"/>
    <n v="23"/>
    <x v="0"/>
    <s v="Under Observation"/>
    <x v="2"/>
    <x v="2"/>
    <s v="Insurance"/>
    <n v="2"/>
    <x v="2314"/>
    <s v="No"/>
    <x v="0"/>
  </r>
  <r>
    <x v="2323"/>
    <x v="51"/>
    <x v="1"/>
    <x v="5"/>
    <x v="578"/>
    <d v="2025-08-10T00:00:00"/>
    <x v="9"/>
    <x v="5"/>
    <x v="0"/>
    <x v="2322"/>
    <n v="13"/>
    <x v="1"/>
    <s v="Recovered"/>
    <x v="0"/>
    <x v="0"/>
    <s v="UPI"/>
    <n v="1"/>
    <x v="2315"/>
    <s v="No"/>
    <x v="0"/>
  </r>
  <r>
    <x v="2324"/>
    <x v="0"/>
    <x v="0"/>
    <x v="3"/>
    <x v="182"/>
    <d v="2023-08-04T00:00:00"/>
    <x v="6"/>
    <x v="2"/>
    <x v="5"/>
    <x v="2323"/>
    <n v="14"/>
    <x v="0"/>
    <s v="Recovered"/>
    <x v="2"/>
    <x v="3"/>
    <s v="Cash"/>
    <n v="4"/>
    <x v="2316"/>
    <s v="No"/>
    <x v="0"/>
  </r>
  <r>
    <x v="2325"/>
    <x v="22"/>
    <x v="1"/>
    <x v="3"/>
    <x v="865"/>
    <d v="2025-07-13T00:00:00"/>
    <x v="8"/>
    <x v="6"/>
    <x v="2"/>
    <x v="2324"/>
    <n v="12"/>
    <x v="1"/>
    <s v="Recovered"/>
    <x v="0"/>
    <x v="1"/>
    <s v="UPI"/>
    <n v="13"/>
    <x v="2317"/>
    <s v="Yes"/>
    <x v="0"/>
  </r>
  <r>
    <x v="2326"/>
    <x v="27"/>
    <x v="1"/>
    <x v="0"/>
    <x v="213"/>
    <d v="2023-09-03T00:00:00"/>
    <x v="4"/>
    <x v="3"/>
    <x v="2"/>
    <x v="2325"/>
    <n v="6"/>
    <x v="1"/>
    <s v="Recovered"/>
    <x v="0"/>
    <x v="3"/>
    <s v="Cash"/>
    <n v="12"/>
    <x v="2318"/>
    <s v="Yes"/>
    <x v="0"/>
  </r>
  <r>
    <x v="2327"/>
    <x v="20"/>
    <x v="1"/>
    <x v="1"/>
    <x v="673"/>
    <d v="2025-03-23T00:00:00"/>
    <x v="3"/>
    <x v="0"/>
    <x v="0"/>
    <x v="2326"/>
    <n v="24"/>
    <x v="0"/>
    <s v="Recovered"/>
    <x v="2"/>
    <x v="2"/>
    <s v="UPI"/>
    <n v="9"/>
    <x v="2319"/>
    <s v="No"/>
    <x v="0"/>
  </r>
  <r>
    <x v="2328"/>
    <x v="47"/>
    <x v="0"/>
    <x v="6"/>
    <x v="159"/>
    <d v="2023-07-09T00:00:00"/>
    <x v="9"/>
    <x v="5"/>
    <x v="2"/>
    <x v="2327"/>
    <n v="1"/>
    <x v="1"/>
    <s v="Under Observation"/>
    <x v="0"/>
    <x v="3"/>
    <s v="Insurance"/>
    <n v="10"/>
    <x v="2320"/>
    <s v="Yes"/>
    <x v="0"/>
  </r>
  <r>
    <x v="2329"/>
    <x v="15"/>
    <x v="0"/>
    <x v="1"/>
    <x v="823"/>
    <d v="2025-07-02T00:00:00"/>
    <x v="8"/>
    <x v="6"/>
    <x v="4"/>
    <x v="2328"/>
    <n v="19"/>
    <x v="0"/>
    <s v="Recovered"/>
    <x v="2"/>
    <x v="3"/>
    <s v="Card"/>
    <n v="7"/>
    <x v="2321"/>
    <s v="Yes"/>
    <x v="0"/>
  </r>
  <r>
    <x v="2330"/>
    <x v="67"/>
    <x v="0"/>
    <x v="2"/>
    <x v="705"/>
    <d v="2024-05-20T00:00:00"/>
    <x v="7"/>
    <x v="5"/>
    <x v="0"/>
    <x v="2329"/>
    <n v="2"/>
    <x v="1"/>
    <s v="Referred"/>
    <x v="2"/>
    <x v="1"/>
    <s v="Card"/>
    <n v="14"/>
    <x v="2322"/>
    <s v="Yes"/>
    <x v="0"/>
  </r>
  <r>
    <x v="2331"/>
    <x v="62"/>
    <x v="0"/>
    <x v="2"/>
    <x v="528"/>
    <d v="2023-05-30T00:00:00"/>
    <x v="5"/>
    <x v="4"/>
    <x v="7"/>
    <x v="2330"/>
    <n v="2"/>
    <x v="1"/>
    <s v="Recovered"/>
    <x v="1"/>
    <x v="3"/>
    <s v="Cash"/>
    <n v="6"/>
    <x v="2323"/>
    <s v="No"/>
    <x v="0"/>
  </r>
  <r>
    <x v="2332"/>
    <x v="39"/>
    <x v="0"/>
    <x v="1"/>
    <x v="394"/>
    <d v="2023-12-08T00:00:00"/>
    <x v="4"/>
    <x v="3"/>
    <x v="3"/>
    <x v="2331"/>
    <n v="27"/>
    <x v="1"/>
    <s v="Under Observation"/>
    <x v="1"/>
    <x v="2"/>
    <s v="UPI"/>
    <n v="4"/>
    <x v="2324"/>
    <s v="Yes"/>
    <x v="0"/>
  </r>
  <r>
    <x v="2333"/>
    <x v="59"/>
    <x v="1"/>
    <x v="0"/>
    <x v="32"/>
    <d v="2023-03-27T00:00:00"/>
    <x v="9"/>
    <x v="5"/>
    <x v="5"/>
    <x v="2332"/>
    <n v="16"/>
    <x v="1"/>
    <s v="Recovered"/>
    <x v="1"/>
    <x v="2"/>
    <s v="Cash"/>
    <n v="11"/>
    <x v="2325"/>
    <s v="Yes"/>
    <x v="0"/>
  </r>
  <r>
    <x v="2334"/>
    <x v="36"/>
    <x v="1"/>
    <x v="5"/>
    <x v="26"/>
    <d v="2023-10-18T00:00:00"/>
    <x v="6"/>
    <x v="2"/>
    <x v="3"/>
    <x v="2333"/>
    <n v="19"/>
    <x v="0"/>
    <s v="Recovered"/>
    <x v="1"/>
    <x v="2"/>
    <s v="Insurance"/>
    <n v="4"/>
    <x v="2326"/>
    <s v="No"/>
    <x v="1"/>
  </r>
  <r>
    <x v="2335"/>
    <x v="1"/>
    <x v="0"/>
    <x v="5"/>
    <x v="796"/>
    <d v="2025-03-24T00:00:00"/>
    <x v="2"/>
    <x v="2"/>
    <x v="1"/>
    <x v="2334"/>
    <n v="20"/>
    <x v="0"/>
    <s v="Recovered"/>
    <x v="2"/>
    <x v="3"/>
    <s v="UPI"/>
    <n v="1"/>
    <x v="2327"/>
    <s v="Yes"/>
    <x v="0"/>
  </r>
  <r>
    <x v="2336"/>
    <x v="24"/>
    <x v="1"/>
    <x v="4"/>
    <x v="132"/>
    <d v="2024-12-15T00:00:00"/>
    <x v="8"/>
    <x v="6"/>
    <x v="5"/>
    <x v="2335"/>
    <n v="9"/>
    <x v="0"/>
    <s v="Recovered"/>
    <x v="2"/>
    <x v="0"/>
    <s v="Card"/>
    <n v="3"/>
    <x v="2328"/>
    <s v="Yes"/>
    <x v="0"/>
  </r>
  <r>
    <x v="2337"/>
    <x v="36"/>
    <x v="0"/>
    <x v="0"/>
    <x v="793"/>
    <d v="2023-06-19T00:00:00"/>
    <x v="5"/>
    <x v="4"/>
    <x v="0"/>
    <x v="2336"/>
    <n v="12"/>
    <x v="1"/>
    <s v="Recovered"/>
    <x v="1"/>
    <x v="3"/>
    <s v="Card"/>
    <n v="1"/>
    <x v="2329"/>
    <s v="Yes"/>
    <x v="0"/>
  </r>
  <r>
    <x v="2338"/>
    <x v="47"/>
    <x v="0"/>
    <x v="4"/>
    <x v="322"/>
    <d v="2024-05-22T00:00:00"/>
    <x v="5"/>
    <x v="4"/>
    <x v="0"/>
    <x v="2337"/>
    <n v="11"/>
    <x v="0"/>
    <s v="Referred"/>
    <x v="0"/>
    <x v="1"/>
    <s v="Card"/>
    <n v="3"/>
    <x v="2330"/>
    <s v="No"/>
    <x v="0"/>
  </r>
  <r>
    <x v="2339"/>
    <x v="57"/>
    <x v="1"/>
    <x v="7"/>
    <x v="773"/>
    <d v="2024-03-02T00:00:00"/>
    <x v="4"/>
    <x v="3"/>
    <x v="1"/>
    <x v="2338"/>
    <n v="2"/>
    <x v="1"/>
    <s v="Recovered"/>
    <x v="0"/>
    <x v="1"/>
    <s v="Insurance"/>
    <n v="12"/>
    <x v="2331"/>
    <s v="Yes"/>
    <x v="0"/>
  </r>
  <r>
    <x v="2340"/>
    <x v="12"/>
    <x v="1"/>
    <x v="5"/>
    <x v="235"/>
    <d v="2023-07-27T00:00:00"/>
    <x v="2"/>
    <x v="2"/>
    <x v="2"/>
    <x v="2339"/>
    <n v="17"/>
    <x v="0"/>
    <s v="Recovered"/>
    <x v="2"/>
    <x v="3"/>
    <s v="Cash"/>
    <n v="10"/>
    <x v="2332"/>
    <s v="No"/>
    <x v="1"/>
  </r>
  <r>
    <x v="2341"/>
    <x v="29"/>
    <x v="0"/>
    <x v="0"/>
    <x v="70"/>
    <d v="2024-04-17T00:00:00"/>
    <x v="0"/>
    <x v="0"/>
    <x v="1"/>
    <x v="2340"/>
    <n v="8"/>
    <x v="1"/>
    <s v="Recovered"/>
    <x v="0"/>
    <x v="1"/>
    <s v="Cash"/>
    <n v="6"/>
    <x v="2333"/>
    <s v="Yes"/>
    <x v="0"/>
  </r>
  <r>
    <x v="2342"/>
    <x v="29"/>
    <x v="0"/>
    <x v="0"/>
    <x v="908"/>
    <d v="2023-08-12T00:00:00"/>
    <x v="4"/>
    <x v="3"/>
    <x v="1"/>
    <x v="2341"/>
    <n v="13"/>
    <x v="1"/>
    <s v="Referred"/>
    <x v="1"/>
    <x v="2"/>
    <s v="Insurance"/>
    <n v="4"/>
    <x v="2334"/>
    <s v="No"/>
    <x v="0"/>
  </r>
  <r>
    <x v="2343"/>
    <x v="25"/>
    <x v="0"/>
    <x v="3"/>
    <x v="65"/>
    <d v="2023-06-25T00:00:00"/>
    <x v="4"/>
    <x v="3"/>
    <x v="6"/>
    <x v="2342"/>
    <n v="17"/>
    <x v="1"/>
    <s v="Recovered"/>
    <x v="1"/>
    <x v="0"/>
    <s v="Cash"/>
    <n v="12"/>
    <x v="2335"/>
    <s v="No"/>
    <x v="0"/>
  </r>
  <r>
    <x v="2344"/>
    <x v="13"/>
    <x v="0"/>
    <x v="1"/>
    <x v="296"/>
    <d v="2024-06-29T00:00:00"/>
    <x v="0"/>
    <x v="0"/>
    <x v="5"/>
    <x v="2343"/>
    <n v="8"/>
    <x v="0"/>
    <s v="Recovered"/>
    <x v="0"/>
    <x v="1"/>
    <s v="Cash"/>
    <n v="9"/>
    <x v="2336"/>
    <s v="Yes"/>
    <x v="1"/>
  </r>
  <r>
    <x v="2345"/>
    <x v="9"/>
    <x v="0"/>
    <x v="3"/>
    <x v="216"/>
    <d v="2024-11-11T00:00:00"/>
    <x v="7"/>
    <x v="5"/>
    <x v="6"/>
    <x v="2344"/>
    <n v="20"/>
    <x v="1"/>
    <s v="Recovered"/>
    <x v="2"/>
    <x v="2"/>
    <s v="Card"/>
    <n v="10"/>
    <x v="2337"/>
    <s v="No"/>
    <x v="0"/>
  </r>
  <r>
    <x v="2346"/>
    <x v="36"/>
    <x v="0"/>
    <x v="5"/>
    <x v="499"/>
    <d v="2025-08-09T00:00:00"/>
    <x v="0"/>
    <x v="0"/>
    <x v="3"/>
    <x v="2345"/>
    <n v="14"/>
    <x v="1"/>
    <s v="Recovered"/>
    <x v="2"/>
    <x v="1"/>
    <s v="UPI"/>
    <n v="6"/>
    <x v="2338"/>
    <s v="Yes"/>
    <x v="0"/>
  </r>
  <r>
    <x v="2347"/>
    <x v="1"/>
    <x v="0"/>
    <x v="2"/>
    <x v="613"/>
    <d v="2023-03-17T00:00:00"/>
    <x v="1"/>
    <x v="1"/>
    <x v="0"/>
    <x v="2346"/>
    <n v="20"/>
    <x v="0"/>
    <s v="Recovered"/>
    <x v="2"/>
    <x v="1"/>
    <s v="UPI"/>
    <n v="13"/>
    <x v="2339"/>
    <s v="No"/>
    <x v="0"/>
  </r>
  <r>
    <x v="2348"/>
    <x v="70"/>
    <x v="1"/>
    <x v="5"/>
    <x v="55"/>
    <d v="2025-08-13T00:00:00"/>
    <x v="4"/>
    <x v="3"/>
    <x v="7"/>
    <x v="2347"/>
    <n v="7"/>
    <x v="0"/>
    <s v="Recovered"/>
    <x v="1"/>
    <x v="2"/>
    <s v="Card"/>
    <n v="4"/>
    <x v="2340"/>
    <s v="No"/>
    <x v="0"/>
  </r>
  <r>
    <x v="2349"/>
    <x v="67"/>
    <x v="0"/>
    <x v="1"/>
    <x v="198"/>
    <d v="2023-09-19T00:00:00"/>
    <x v="4"/>
    <x v="3"/>
    <x v="7"/>
    <x v="2348"/>
    <n v="6"/>
    <x v="0"/>
    <s v="Recovered"/>
    <x v="2"/>
    <x v="0"/>
    <s v="Card"/>
    <n v="8"/>
    <x v="2341"/>
    <s v="No"/>
    <x v="0"/>
  </r>
  <r>
    <x v="2350"/>
    <x v="38"/>
    <x v="1"/>
    <x v="7"/>
    <x v="771"/>
    <d v="2024-12-07T00:00:00"/>
    <x v="0"/>
    <x v="0"/>
    <x v="5"/>
    <x v="2349"/>
    <n v="4"/>
    <x v="1"/>
    <s v="Recovered"/>
    <x v="1"/>
    <x v="3"/>
    <s v="UPI"/>
    <n v="8"/>
    <x v="2342"/>
    <s v="No"/>
    <x v="0"/>
  </r>
  <r>
    <x v="2351"/>
    <x v="26"/>
    <x v="1"/>
    <x v="0"/>
    <x v="74"/>
    <d v="2023-08-27T00:00:00"/>
    <x v="8"/>
    <x v="6"/>
    <x v="7"/>
    <x v="2350"/>
    <n v="23"/>
    <x v="1"/>
    <s v="Recovered"/>
    <x v="2"/>
    <x v="2"/>
    <s v="UPI"/>
    <n v="4"/>
    <x v="2343"/>
    <s v="No"/>
    <x v="0"/>
  </r>
  <r>
    <x v="2352"/>
    <x v="39"/>
    <x v="1"/>
    <x v="6"/>
    <x v="262"/>
    <d v="2024-11-06T00:00:00"/>
    <x v="6"/>
    <x v="2"/>
    <x v="5"/>
    <x v="2351"/>
    <n v="2"/>
    <x v="0"/>
    <s v="Recovered"/>
    <x v="1"/>
    <x v="0"/>
    <s v="Insurance"/>
    <n v="14"/>
    <x v="2344"/>
    <s v="No"/>
    <x v="0"/>
  </r>
  <r>
    <x v="2353"/>
    <x v="3"/>
    <x v="0"/>
    <x v="3"/>
    <x v="486"/>
    <d v="2025-03-11T00:00:00"/>
    <x v="1"/>
    <x v="1"/>
    <x v="1"/>
    <x v="2352"/>
    <n v="23"/>
    <x v="0"/>
    <s v="Recovered"/>
    <x v="2"/>
    <x v="2"/>
    <s v="UPI"/>
    <n v="3"/>
    <x v="2345"/>
    <s v="Yes"/>
    <x v="0"/>
  </r>
  <r>
    <x v="2354"/>
    <x v="43"/>
    <x v="1"/>
    <x v="4"/>
    <x v="55"/>
    <d v="2025-08-20T00:00:00"/>
    <x v="7"/>
    <x v="5"/>
    <x v="6"/>
    <x v="2353"/>
    <n v="14"/>
    <x v="0"/>
    <s v="Recovered"/>
    <x v="2"/>
    <x v="1"/>
    <s v="Cash"/>
    <n v="2"/>
    <x v="2346"/>
    <s v="Yes"/>
    <x v="0"/>
  </r>
  <r>
    <x v="2355"/>
    <x v="47"/>
    <x v="0"/>
    <x v="3"/>
    <x v="909"/>
    <d v="2023-04-11T00:00:00"/>
    <x v="7"/>
    <x v="5"/>
    <x v="7"/>
    <x v="2354"/>
    <n v="20"/>
    <x v="1"/>
    <s v="Recovered"/>
    <x v="0"/>
    <x v="3"/>
    <s v="Insurance"/>
    <n v="4"/>
    <x v="2347"/>
    <s v="Yes"/>
    <x v="0"/>
  </r>
  <r>
    <x v="2356"/>
    <x v="38"/>
    <x v="1"/>
    <x v="2"/>
    <x v="573"/>
    <d v="2024-12-25T00:00:00"/>
    <x v="0"/>
    <x v="0"/>
    <x v="0"/>
    <x v="2355"/>
    <n v="14"/>
    <x v="0"/>
    <s v="Recovered"/>
    <x v="2"/>
    <x v="1"/>
    <s v="Card"/>
    <n v="3"/>
    <x v="2348"/>
    <s v="No"/>
    <x v="0"/>
  </r>
  <r>
    <x v="2357"/>
    <x v="4"/>
    <x v="1"/>
    <x v="5"/>
    <x v="763"/>
    <d v="2024-05-29T00:00:00"/>
    <x v="6"/>
    <x v="2"/>
    <x v="5"/>
    <x v="2356"/>
    <n v="13"/>
    <x v="1"/>
    <s v="Recovered"/>
    <x v="0"/>
    <x v="0"/>
    <s v="Insurance"/>
    <n v="8"/>
    <x v="2349"/>
    <s v="No"/>
    <x v="0"/>
  </r>
  <r>
    <x v="2358"/>
    <x v="7"/>
    <x v="1"/>
    <x v="0"/>
    <x v="741"/>
    <d v="2023-04-25T00:00:00"/>
    <x v="7"/>
    <x v="5"/>
    <x v="1"/>
    <x v="2357"/>
    <n v="7"/>
    <x v="0"/>
    <s v="Referred"/>
    <x v="1"/>
    <x v="1"/>
    <s v="Insurance"/>
    <n v="15"/>
    <x v="2350"/>
    <s v="Yes"/>
    <x v="0"/>
  </r>
  <r>
    <x v="2359"/>
    <x v="64"/>
    <x v="0"/>
    <x v="6"/>
    <x v="882"/>
    <d v="2024-09-23T00:00:00"/>
    <x v="4"/>
    <x v="3"/>
    <x v="1"/>
    <x v="2358"/>
    <n v="2"/>
    <x v="1"/>
    <s v="Recovered"/>
    <x v="0"/>
    <x v="0"/>
    <s v="Cash"/>
    <n v="8"/>
    <x v="2351"/>
    <s v="No"/>
    <x v="0"/>
  </r>
  <r>
    <x v="2360"/>
    <x v="26"/>
    <x v="0"/>
    <x v="5"/>
    <x v="870"/>
    <d v="2023-02-09T00:00:00"/>
    <x v="9"/>
    <x v="5"/>
    <x v="5"/>
    <x v="2359"/>
    <n v="13"/>
    <x v="1"/>
    <s v="Recovered"/>
    <x v="1"/>
    <x v="0"/>
    <s v="Insurance"/>
    <n v="7"/>
    <x v="2352"/>
    <s v="No"/>
    <x v="0"/>
  </r>
  <r>
    <x v="2361"/>
    <x v="37"/>
    <x v="1"/>
    <x v="4"/>
    <x v="188"/>
    <d v="2025-07-11T00:00:00"/>
    <x v="6"/>
    <x v="2"/>
    <x v="6"/>
    <x v="2360"/>
    <n v="12"/>
    <x v="1"/>
    <s v="Recovered"/>
    <x v="1"/>
    <x v="3"/>
    <s v="Card"/>
    <n v="13"/>
    <x v="2353"/>
    <s v="No"/>
    <x v="0"/>
  </r>
  <r>
    <x v="2362"/>
    <x v="9"/>
    <x v="0"/>
    <x v="6"/>
    <x v="575"/>
    <d v="2023-08-08T00:00:00"/>
    <x v="5"/>
    <x v="4"/>
    <x v="5"/>
    <x v="2361"/>
    <n v="20"/>
    <x v="0"/>
    <s v="Referred"/>
    <x v="2"/>
    <x v="1"/>
    <s v="UPI"/>
    <n v="3"/>
    <x v="2354"/>
    <s v="Yes"/>
    <x v="1"/>
  </r>
  <r>
    <x v="2363"/>
    <x v="22"/>
    <x v="1"/>
    <x v="5"/>
    <x v="517"/>
    <d v="2024-11-14T00:00:00"/>
    <x v="0"/>
    <x v="0"/>
    <x v="1"/>
    <x v="2362"/>
    <n v="1"/>
    <x v="1"/>
    <s v="Recovered"/>
    <x v="2"/>
    <x v="0"/>
    <s v="UPI"/>
    <n v="1"/>
    <x v="2355"/>
    <s v="Yes"/>
    <x v="0"/>
  </r>
  <r>
    <x v="2364"/>
    <x v="66"/>
    <x v="1"/>
    <x v="1"/>
    <x v="758"/>
    <d v="2025-08-08T00:00:00"/>
    <x v="3"/>
    <x v="0"/>
    <x v="3"/>
    <x v="2363"/>
    <n v="15"/>
    <x v="0"/>
    <s v="Recovered"/>
    <x v="1"/>
    <x v="1"/>
    <s v="Cash"/>
    <n v="9"/>
    <x v="2356"/>
    <s v="Yes"/>
    <x v="0"/>
  </r>
  <r>
    <x v="2365"/>
    <x v="34"/>
    <x v="1"/>
    <x v="2"/>
    <x v="224"/>
    <d v="2023-10-11T00:00:00"/>
    <x v="0"/>
    <x v="0"/>
    <x v="5"/>
    <x v="2364"/>
    <n v="2"/>
    <x v="1"/>
    <s v="Recovered"/>
    <x v="0"/>
    <x v="3"/>
    <s v="UPI"/>
    <n v="2"/>
    <x v="2357"/>
    <s v="No"/>
    <x v="0"/>
  </r>
  <r>
    <x v="2366"/>
    <x v="26"/>
    <x v="1"/>
    <x v="6"/>
    <x v="73"/>
    <d v="2024-11-09T00:00:00"/>
    <x v="1"/>
    <x v="1"/>
    <x v="5"/>
    <x v="2365"/>
    <n v="17"/>
    <x v="1"/>
    <s v="Under Observation"/>
    <x v="2"/>
    <x v="1"/>
    <s v="Cash"/>
    <n v="9"/>
    <x v="2358"/>
    <s v="No"/>
    <x v="0"/>
  </r>
  <r>
    <x v="2367"/>
    <x v="49"/>
    <x v="0"/>
    <x v="7"/>
    <x v="210"/>
    <d v="2023-12-16T00:00:00"/>
    <x v="9"/>
    <x v="5"/>
    <x v="7"/>
    <x v="2366"/>
    <n v="6"/>
    <x v="0"/>
    <s v="Recovered"/>
    <x v="0"/>
    <x v="0"/>
    <s v="Insurance"/>
    <n v="10"/>
    <x v="2359"/>
    <s v="Yes"/>
    <x v="1"/>
  </r>
  <r>
    <x v="2368"/>
    <x v="65"/>
    <x v="0"/>
    <x v="1"/>
    <x v="49"/>
    <d v="2025-06-12T00:00:00"/>
    <x v="5"/>
    <x v="4"/>
    <x v="5"/>
    <x v="2367"/>
    <n v="2"/>
    <x v="0"/>
    <s v="Deceased"/>
    <x v="2"/>
    <x v="3"/>
    <s v="Cash"/>
    <n v="11"/>
    <x v="2360"/>
    <s v="No"/>
    <x v="0"/>
  </r>
  <r>
    <x v="2369"/>
    <x v="47"/>
    <x v="0"/>
    <x v="5"/>
    <x v="558"/>
    <d v="2023-12-30T00:00:00"/>
    <x v="7"/>
    <x v="5"/>
    <x v="2"/>
    <x v="2368"/>
    <n v="16"/>
    <x v="1"/>
    <s v="Recovered"/>
    <x v="1"/>
    <x v="0"/>
    <s v="Cash"/>
    <n v="3"/>
    <x v="2361"/>
    <s v="No"/>
    <x v="0"/>
  </r>
  <r>
    <x v="2370"/>
    <x v="16"/>
    <x v="0"/>
    <x v="7"/>
    <x v="627"/>
    <d v="2025-01-30T00:00:00"/>
    <x v="0"/>
    <x v="0"/>
    <x v="5"/>
    <x v="2369"/>
    <n v="7"/>
    <x v="1"/>
    <s v="Recovered"/>
    <x v="1"/>
    <x v="3"/>
    <s v="Insurance"/>
    <n v="9"/>
    <x v="674"/>
    <s v="No"/>
    <x v="1"/>
  </r>
  <r>
    <x v="2371"/>
    <x v="59"/>
    <x v="1"/>
    <x v="2"/>
    <x v="343"/>
    <d v="2023-04-17T00:00:00"/>
    <x v="5"/>
    <x v="4"/>
    <x v="3"/>
    <x v="2370"/>
    <n v="18"/>
    <x v="1"/>
    <s v="Recovered"/>
    <x v="0"/>
    <x v="3"/>
    <s v="Insurance"/>
    <n v="4"/>
    <x v="2362"/>
    <s v="No"/>
    <x v="0"/>
  </r>
  <r>
    <x v="2372"/>
    <x v="7"/>
    <x v="0"/>
    <x v="1"/>
    <x v="368"/>
    <d v="2023-06-12T00:00:00"/>
    <x v="8"/>
    <x v="6"/>
    <x v="5"/>
    <x v="2371"/>
    <n v="8"/>
    <x v="0"/>
    <s v="Recovered"/>
    <x v="1"/>
    <x v="1"/>
    <s v="Cash"/>
    <n v="15"/>
    <x v="2363"/>
    <s v="No"/>
    <x v="1"/>
  </r>
  <r>
    <x v="2373"/>
    <x v="53"/>
    <x v="0"/>
    <x v="3"/>
    <x v="787"/>
    <d v="2023-12-03T00:00:00"/>
    <x v="0"/>
    <x v="0"/>
    <x v="3"/>
    <x v="2372"/>
    <n v="26"/>
    <x v="0"/>
    <s v="Recovered"/>
    <x v="0"/>
    <x v="2"/>
    <s v="Card"/>
    <n v="12"/>
    <x v="2364"/>
    <s v="No"/>
    <x v="1"/>
  </r>
  <r>
    <x v="2374"/>
    <x v="15"/>
    <x v="0"/>
    <x v="0"/>
    <x v="402"/>
    <d v="2023-10-19T00:00:00"/>
    <x v="1"/>
    <x v="1"/>
    <x v="2"/>
    <x v="2373"/>
    <n v="12"/>
    <x v="0"/>
    <s v="Recovered"/>
    <x v="1"/>
    <x v="3"/>
    <s v="Cash"/>
    <n v="13"/>
    <x v="2365"/>
    <s v="Yes"/>
    <x v="0"/>
  </r>
  <r>
    <x v="2375"/>
    <x v="50"/>
    <x v="0"/>
    <x v="1"/>
    <x v="764"/>
    <d v="2023-03-16T00:00:00"/>
    <x v="9"/>
    <x v="5"/>
    <x v="5"/>
    <x v="2374"/>
    <n v="10"/>
    <x v="1"/>
    <s v="Recovered"/>
    <x v="0"/>
    <x v="2"/>
    <s v="UPI"/>
    <n v="15"/>
    <x v="2366"/>
    <s v="Yes"/>
    <x v="0"/>
  </r>
  <r>
    <x v="2376"/>
    <x v="20"/>
    <x v="0"/>
    <x v="0"/>
    <x v="3"/>
    <d v="2023-11-24T00:00:00"/>
    <x v="4"/>
    <x v="3"/>
    <x v="2"/>
    <x v="2375"/>
    <n v="1"/>
    <x v="0"/>
    <s v="Recovered"/>
    <x v="1"/>
    <x v="1"/>
    <s v="Card"/>
    <n v="4"/>
    <x v="2367"/>
    <s v="No"/>
    <x v="1"/>
  </r>
  <r>
    <x v="2377"/>
    <x v="1"/>
    <x v="1"/>
    <x v="6"/>
    <x v="637"/>
    <d v="2023-01-28T00:00:00"/>
    <x v="2"/>
    <x v="2"/>
    <x v="4"/>
    <x v="2376"/>
    <n v="18"/>
    <x v="1"/>
    <s v="Recovered"/>
    <x v="1"/>
    <x v="2"/>
    <s v="UPI"/>
    <n v="11"/>
    <x v="2368"/>
    <s v="Yes"/>
    <x v="0"/>
  </r>
  <r>
    <x v="2378"/>
    <x v="39"/>
    <x v="0"/>
    <x v="7"/>
    <x v="773"/>
    <d v="2024-03-18T00:00:00"/>
    <x v="3"/>
    <x v="0"/>
    <x v="5"/>
    <x v="2377"/>
    <n v="18"/>
    <x v="1"/>
    <s v="Under Observation"/>
    <x v="1"/>
    <x v="1"/>
    <s v="Card"/>
    <n v="15"/>
    <x v="2369"/>
    <s v="Yes"/>
    <x v="0"/>
  </r>
  <r>
    <x v="2379"/>
    <x v="30"/>
    <x v="0"/>
    <x v="7"/>
    <x v="281"/>
    <d v="2024-12-05T00:00:00"/>
    <x v="8"/>
    <x v="6"/>
    <x v="1"/>
    <x v="2378"/>
    <n v="13"/>
    <x v="0"/>
    <s v="Under Observation"/>
    <x v="1"/>
    <x v="3"/>
    <s v="Insurance"/>
    <n v="5"/>
    <x v="2370"/>
    <s v="No"/>
    <x v="0"/>
  </r>
  <r>
    <x v="2380"/>
    <x v="42"/>
    <x v="1"/>
    <x v="4"/>
    <x v="503"/>
    <d v="2024-09-01T00:00:00"/>
    <x v="8"/>
    <x v="6"/>
    <x v="5"/>
    <x v="2379"/>
    <n v="25"/>
    <x v="1"/>
    <s v="Recovered"/>
    <x v="2"/>
    <x v="2"/>
    <s v="Card"/>
    <n v="9"/>
    <x v="2371"/>
    <s v="Yes"/>
    <x v="0"/>
  </r>
  <r>
    <x v="2381"/>
    <x v="9"/>
    <x v="1"/>
    <x v="6"/>
    <x v="474"/>
    <d v="2023-03-17T00:00:00"/>
    <x v="8"/>
    <x v="6"/>
    <x v="6"/>
    <x v="2380"/>
    <n v="16"/>
    <x v="0"/>
    <s v="Deceased"/>
    <x v="1"/>
    <x v="3"/>
    <s v="Cash"/>
    <n v="4"/>
    <x v="2372"/>
    <s v="Yes"/>
    <x v="0"/>
  </r>
  <r>
    <x v="2382"/>
    <x v="43"/>
    <x v="1"/>
    <x v="6"/>
    <x v="792"/>
    <d v="2025-08-24T00:00:00"/>
    <x v="2"/>
    <x v="2"/>
    <x v="3"/>
    <x v="2381"/>
    <n v="16"/>
    <x v="0"/>
    <s v="Recovered"/>
    <x v="0"/>
    <x v="0"/>
    <s v="Card"/>
    <n v="15"/>
    <x v="2373"/>
    <s v="No"/>
    <x v="1"/>
  </r>
  <r>
    <x v="2383"/>
    <x v="14"/>
    <x v="0"/>
    <x v="0"/>
    <x v="68"/>
    <d v="2024-07-23T00:00:00"/>
    <x v="8"/>
    <x v="6"/>
    <x v="7"/>
    <x v="2382"/>
    <n v="10"/>
    <x v="1"/>
    <s v="Recovered"/>
    <x v="0"/>
    <x v="1"/>
    <s v="UPI"/>
    <n v="15"/>
    <x v="2374"/>
    <s v="No"/>
    <x v="0"/>
  </r>
  <r>
    <x v="2384"/>
    <x v="39"/>
    <x v="1"/>
    <x v="5"/>
    <x v="579"/>
    <d v="2024-06-06T00:00:00"/>
    <x v="0"/>
    <x v="0"/>
    <x v="4"/>
    <x v="2383"/>
    <n v="10"/>
    <x v="1"/>
    <s v="Recovered"/>
    <x v="1"/>
    <x v="1"/>
    <s v="Card"/>
    <n v="13"/>
    <x v="2375"/>
    <s v="Yes"/>
    <x v="0"/>
  </r>
  <r>
    <x v="2385"/>
    <x v="43"/>
    <x v="0"/>
    <x v="3"/>
    <x v="333"/>
    <d v="2024-02-11T00:00:00"/>
    <x v="9"/>
    <x v="5"/>
    <x v="4"/>
    <x v="2384"/>
    <n v="6"/>
    <x v="0"/>
    <s v="Recovered"/>
    <x v="0"/>
    <x v="0"/>
    <s v="Card"/>
    <n v="10"/>
    <x v="2376"/>
    <s v="Yes"/>
    <x v="0"/>
  </r>
  <r>
    <x v="2386"/>
    <x v="10"/>
    <x v="1"/>
    <x v="7"/>
    <x v="769"/>
    <d v="2025-05-22T00:00:00"/>
    <x v="8"/>
    <x v="6"/>
    <x v="1"/>
    <x v="2385"/>
    <n v="13"/>
    <x v="1"/>
    <s v="Recovered"/>
    <x v="1"/>
    <x v="1"/>
    <s v="Cash"/>
    <n v="3"/>
    <x v="2377"/>
    <s v="No"/>
    <x v="0"/>
  </r>
  <r>
    <x v="2387"/>
    <x v="8"/>
    <x v="0"/>
    <x v="3"/>
    <x v="290"/>
    <d v="2023-02-01T00:00:00"/>
    <x v="5"/>
    <x v="4"/>
    <x v="1"/>
    <x v="2386"/>
    <n v="8"/>
    <x v="0"/>
    <s v="Recovered"/>
    <x v="0"/>
    <x v="0"/>
    <s v="Cash"/>
    <n v="6"/>
    <x v="2378"/>
    <s v="No"/>
    <x v="0"/>
  </r>
  <r>
    <x v="2388"/>
    <x v="6"/>
    <x v="1"/>
    <x v="6"/>
    <x v="377"/>
    <d v="2024-05-25T00:00:00"/>
    <x v="3"/>
    <x v="0"/>
    <x v="7"/>
    <x v="2387"/>
    <n v="8"/>
    <x v="0"/>
    <s v="Recovered"/>
    <x v="2"/>
    <x v="2"/>
    <s v="UPI"/>
    <n v="12"/>
    <x v="2379"/>
    <s v="Yes"/>
    <x v="1"/>
  </r>
  <r>
    <x v="2389"/>
    <x v="26"/>
    <x v="1"/>
    <x v="6"/>
    <x v="70"/>
    <d v="2024-04-20T00:00:00"/>
    <x v="9"/>
    <x v="5"/>
    <x v="5"/>
    <x v="2388"/>
    <n v="11"/>
    <x v="1"/>
    <s v="Recovered"/>
    <x v="0"/>
    <x v="0"/>
    <s v="Cash"/>
    <n v="13"/>
    <x v="2380"/>
    <s v="Yes"/>
    <x v="0"/>
  </r>
  <r>
    <x v="2390"/>
    <x v="70"/>
    <x v="1"/>
    <x v="0"/>
    <x v="349"/>
    <d v="2025-04-13T00:00:00"/>
    <x v="2"/>
    <x v="2"/>
    <x v="0"/>
    <x v="2389"/>
    <n v="8"/>
    <x v="1"/>
    <s v="Recovered"/>
    <x v="0"/>
    <x v="0"/>
    <s v="Card"/>
    <n v="5"/>
    <x v="2381"/>
    <s v="No"/>
    <x v="0"/>
  </r>
  <r>
    <x v="2391"/>
    <x v="11"/>
    <x v="1"/>
    <x v="5"/>
    <x v="358"/>
    <d v="2024-09-28T00:00:00"/>
    <x v="8"/>
    <x v="6"/>
    <x v="1"/>
    <x v="2390"/>
    <n v="15"/>
    <x v="0"/>
    <s v="Recovered"/>
    <x v="1"/>
    <x v="1"/>
    <s v="Insurance"/>
    <n v="5"/>
    <x v="2382"/>
    <s v="Yes"/>
    <x v="0"/>
  </r>
  <r>
    <x v="2392"/>
    <x v="29"/>
    <x v="0"/>
    <x v="6"/>
    <x v="910"/>
    <d v="2023-03-09T00:00:00"/>
    <x v="6"/>
    <x v="2"/>
    <x v="5"/>
    <x v="2391"/>
    <n v="5"/>
    <x v="0"/>
    <s v="Recovered"/>
    <x v="0"/>
    <x v="1"/>
    <s v="UPI"/>
    <n v="5"/>
    <x v="2383"/>
    <s v="Yes"/>
    <x v="0"/>
  </r>
  <r>
    <x v="2393"/>
    <x v="28"/>
    <x v="1"/>
    <x v="3"/>
    <x v="4"/>
    <d v="2025-09-06T00:00:00"/>
    <x v="8"/>
    <x v="6"/>
    <x v="1"/>
    <x v="2392"/>
    <n v="20"/>
    <x v="1"/>
    <s v="Recovered"/>
    <x v="0"/>
    <x v="2"/>
    <s v="UPI"/>
    <n v="4"/>
    <x v="2384"/>
    <s v="No"/>
    <x v="0"/>
  </r>
  <r>
    <x v="2394"/>
    <x v="10"/>
    <x v="0"/>
    <x v="6"/>
    <x v="908"/>
    <d v="2023-08-09T00:00:00"/>
    <x v="9"/>
    <x v="5"/>
    <x v="0"/>
    <x v="2393"/>
    <n v="10"/>
    <x v="1"/>
    <s v="Under Observation"/>
    <x v="2"/>
    <x v="2"/>
    <s v="UPI"/>
    <n v="10"/>
    <x v="2385"/>
    <s v="No"/>
    <x v="0"/>
  </r>
  <r>
    <x v="2395"/>
    <x v="2"/>
    <x v="0"/>
    <x v="0"/>
    <x v="431"/>
    <d v="2025-09-12T00:00:00"/>
    <x v="0"/>
    <x v="0"/>
    <x v="6"/>
    <x v="2394"/>
    <n v="16"/>
    <x v="0"/>
    <s v="Referred"/>
    <x v="1"/>
    <x v="3"/>
    <s v="Cash"/>
    <n v="8"/>
    <x v="2386"/>
    <s v="No"/>
    <x v="0"/>
  </r>
  <r>
    <x v="2396"/>
    <x v="0"/>
    <x v="0"/>
    <x v="5"/>
    <x v="4"/>
    <d v="2025-09-06T00:00:00"/>
    <x v="9"/>
    <x v="5"/>
    <x v="6"/>
    <x v="2395"/>
    <n v="20"/>
    <x v="1"/>
    <s v="Under Observation"/>
    <x v="2"/>
    <x v="0"/>
    <s v="Insurance"/>
    <n v="14"/>
    <x v="2387"/>
    <s v="Yes"/>
    <x v="0"/>
  </r>
  <r>
    <x v="2397"/>
    <x v="43"/>
    <x v="1"/>
    <x v="4"/>
    <x v="420"/>
    <d v="2023-02-03T00:00:00"/>
    <x v="7"/>
    <x v="5"/>
    <x v="0"/>
    <x v="2396"/>
    <n v="1"/>
    <x v="0"/>
    <s v="Recovered"/>
    <x v="2"/>
    <x v="1"/>
    <s v="Cash"/>
    <n v="7"/>
    <x v="2388"/>
    <s v="No"/>
    <x v="0"/>
  </r>
  <r>
    <x v="2398"/>
    <x v="55"/>
    <x v="1"/>
    <x v="2"/>
    <x v="911"/>
    <d v="2025-09-28T00:00:00"/>
    <x v="3"/>
    <x v="0"/>
    <x v="4"/>
    <x v="2397"/>
    <n v="4"/>
    <x v="0"/>
    <s v="Recovered"/>
    <x v="0"/>
    <x v="0"/>
    <s v="UPI"/>
    <n v="9"/>
    <x v="2389"/>
    <s v="Yes"/>
    <x v="1"/>
  </r>
  <r>
    <x v="2399"/>
    <x v="4"/>
    <x v="0"/>
    <x v="6"/>
    <x v="553"/>
    <d v="2023-01-26T00:00:00"/>
    <x v="4"/>
    <x v="3"/>
    <x v="6"/>
    <x v="2398"/>
    <n v="12"/>
    <x v="1"/>
    <s v="Recovered"/>
    <x v="1"/>
    <x v="0"/>
    <s v="UPI"/>
    <n v="6"/>
    <x v="2390"/>
    <s v="Yes"/>
    <x v="0"/>
  </r>
  <r>
    <x v="2400"/>
    <x v="29"/>
    <x v="0"/>
    <x v="2"/>
    <x v="267"/>
    <d v="2023-09-12T00:00:00"/>
    <x v="7"/>
    <x v="5"/>
    <x v="5"/>
    <x v="2399"/>
    <n v="23"/>
    <x v="0"/>
    <s v="Recovered"/>
    <x v="2"/>
    <x v="2"/>
    <s v="UPI"/>
    <n v="10"/>
    <x v="2391"/>
    <s v="Yes"/>
    <x v="0"/>
  </r>
  <r>
    <x v="2401"/>
    <x v="40"/>
    <x v="0"/>
    <x v="4"/>
    <x v="558"/>
    <d v="2023-12-19T00:00:00"/>
    <x v="1"/>
    <x v="1"/>
    <x v="5"/>
    <x v="2400"/>
    <n v="5"/>
    <x v="1"/>
    <s v="Recovered"/>
    <x v="0"/>
    <x v="0"/>
    <s v="Insurance"/>
    <n v="4"/>
    <x v="2392"/>
    <s v="No"/>
    <x v="0"/>
  </r>
  <r>
    <x v="2402"/>
    <x v="26"/>
    <x v="1"/>
    <x v="0"/>
    <x v="706"/>
    <d v="2025-03-07T00:00:00"/>
    <x v="0"/>
    <x v="0"/>
    <x v="4"/>
    <x v="2401"/>
    <n v="26"/>
    <x v="0"/>
    <s v="Recovered"/>
    <x v="0"/>
    <x v="2"/>
    <s v="UPI"/>
    <n v="1"/>
    <x v="2393"/>
    <s v="Yes"/>
    <x v="0"/>
  </r>
  <r>
    <x v="2403"/>
    <x v="9"/>
    <x v="1"/>
    <x v="0"/>
    <x v="200"/>
    <d v="2025-04-28T00:00:00"/>
    <x v="2"/>
    <x v="2"/>
    <x v="6"/>
    <x v="2402"/>
    <n v="12"/>
    <x v="0"/>
    <s v="Recovered"/>
    <x v="0"/>
    <x v="1"/>
    <s v="Insurance"/>
    <n v="6"/>
    <x v="2394"/>
    <s v="Yes"/>
    <x v="0"/>
  </r>
  <r>
    <x v="2404"/>
    <x v="9"/>
    <x v="1"/>
    <x v="3"/>
    <x v="806"/>
    <d v="2023-12-13T00:00:00"/>
    <x v="5"/>
    <x v="4"/>
    <x v="0"/>
    <x v="2403"/>
    <n v="19"/>
    <x v="0"/>
    <s v="Recovered"/>
    <x v="1"/>
    <x v="0"/>
    <s v="UPI"/>
    <n v="14"/>
    <x v="2395"/>
    <s v="No"/>
    <x v="0"/>
  </r>
  <r>
    <x v="2405"/>
    <x v="55"/>
    <x v="0"/>
    <x v="1"/>
    <x v="433"/>
    <d v="2023-07-10T00:00:00"/>
    <x v="4"/>
    <x v="3"/>
    <x v="2"/>
    <x v="2404"/>
    <n v="13"/>
    <x v="0"/>
    <s v="Recovered"/>
    <x v="2"/>
    <x v="2"/>
    <s v="Insurance"/>
    <n v="14"/>
    <x v="2396"/>
    <s v="No"/>
    <x v="0"/>
  </r>
  <r>
    <x v="2406"/>
    <x v="46"/>
    <x v="1"/>
    <x v="2"/>
    <x v="671"/>
    <d v="2025-03-30T00:00:00"/>
    <x v="0"/>
    <x v="0"/>
    <x v="7"/>
    <x v="2405"/>
    <n v="14"/>
    <x v="0"/>
    <s v="Recovered"/>
    <x v="1"/>
    <x v="1"/>
    <s v="Insurance"/>
    <n v="13"/>
    <x v="2397"/>
    <s v="Yes"/>
    <x v="0"/>
  </r>
  <r>
    <x v="2407"/>
    <x v="51"/>
    <x v="0"/>
    <x v="6"/>
    <x v="912"/>
    <d v="2025-06-29T00:00:00"/>
    <x v="8"/>
    <x v="6"/>
    <x v="0"/>
    <x v="2406"/>
    <n v="12"/>
    <x v="1"/>
    <s v="Recovered"/>
    <x v="1"/>
    <x v="3"/>
    <s v="Cash"/>
    <n v="13"/>
    <x v="2398"/>
    <s v="No"/>
    <x v="0"/>
  </r>
  <r>
    <x v="2408"/>
    <x v="71"/>
    <x v="0"/>
    <x v="2"/>
    <x v="747"/>
    <d v="2024-02-02T00:00:00"/>
    <x v="7"/>
    <x v="5"/>
    <x v="6"/>
    <x v="2407"/>
    <n v="17"/>
    <x v="0"/>
    <s v="Recovered"/>
    <x v="0"/>
    <x v="0"/>
    <s v="Insurance"/>
    <n v="15"/>
    <x v="2399"/>
    <s v="No"/>
    <x v="0"/>
  </r>
  <r>
    <x v="2409"/>
    <x v="36"/>
    <x v="1"/>
    <x v="3"/>
    <x v="886"/>
    <d v="2024-11-12T00:00:00"/>
    <x v="0"/>
    <x v="0"/>
    <x v="7"/>
    <x v="2408"/>
    <n v="18"/>
    <x v="1"/>
    <s v="Recovered"/>
    <x v="0"/>
    <x v="0"/>
    <s v="Cash"/>
    <n v="3"/>
    <x v="2400"/>
    <s v="Yes"/>
    <x v="0"/>
  </r>
  <r>
    <x v="2410"/>
    <x v="40"/>
    <x v="1"/>
    <x v="7"/>
    <x v="913"/>
    <d v="2024-09-05T00:00:00"/>
    <x v="3"/>
    <x v="0"/>
    <x v="6"/>
    <x v="2409"/>
    <n v="6"/>
    <x v="1"/>
    <s v="Recovered"/>
    <x v="2"/>
    <x v="0"/>
    <s v="Cash"/>
    <n v="12"/>
    <x v="2401"/>
    <s v="No"/>
    <x v="0"/>
  </r>
  <r>
    <x v="2411"/>
    <x v="3"/>
    <x v="1"/>
    <x v="2"/>
    <x v="424"/>
    <d v="2024-07-07T00:00:00"/>
    <x v="5"/>
    <x v="4"/>
    <x v="2"/>
    <x v="2410"/>
    <n v="1"/>
    <x v="1"/>
    <s v="Recovered"/>
    <x v="1"/>
    <x v="0"/>
    <s v="Cash"/>
    <n v="9"/>
    <x v="2402"/>
    <s v="Yes"/>
    <x v="1"/>
  </r>
  <r>
    <x v="2412"/>
    <x v="61"/>
    <x v="1"/>
    <x v="4"/>
    <x v="537"/>
    <d v="2024-01-28T00:00:00"/>
    <x v="7"/>
    <x v="5"/>
    <x v="3"/>
    <x v="2411"/>
    <n v="20"/>
    <x v="1"/>
    <s v="Referred"/>
    <x v="0"/>
    <x v="0"/>
    <s v="Insurance"/>
    <n v="8"/>
    <x v="2403"/>
    <s v="Yes"/>
    <x v="0"/>
  </r>
  <r>
    <x v="2413"/>
    <x v="51"/>
    <x v="1"/>
    <x v="3"/>
    <x v="359"/>
    <d v="2024-10-26T00:00:00"/>
    <x v="2"/>
    <x v="2"/>
    <x v="3"/>
    <x v="2412"/>
    <n v="18"/>
    <x v="0"/>
    <s v="Recovered"/>
    <x v="2"/>
    <x v="1"/>
    <s v="Card"/>
    <n v="3"/>
    <x v="2404"/>
    <s v="No"/>
    <x v="0"/>
  </r>
  <r>
    <x v="2414"/>
    <x v="72"/>
    <x v="0"/>
    <x v="0"/>
    <x v="509"/>
    <d v="2024-04-28T00:00:00"/>
    <x v="5"/>
    <x v="4"/>
    <x v="7"/>
    <x v="2413"/>
    <n v="1"/>
    <x v="1"/>
    <s v="Referred"/>
    <x v="2"/>
    <x v="3"/>
    <s v="Cash"/>
    <n v="12"/>
    <x v="2405"/>
    <s v="No"/>
    <x v="0"/>
  </r>
  <r>
    <x v="2415"/>
    <x v="59"/>
    <x v="1"/>
    <x v="1"/>
    <x v="697"/>
    <d v="2024-10-23T00:00:00"/>
    <x v="0"/>
    <x v="0"/>
    <x v="2"/>
    <x v="2414"/>
    <n v="7"/>
    <x v="0"/>
    <s v="Recovered"/>
    <x v="2"/>
    <x v="2"/>
    <s v="Cash"/>
    <n v="6"/>
    <x v="2406"/>
    <s v="Yes"/>
    <x v="0"/>
  </r>
  <r>
    <x v="2416"/>
    <x v="6"/>
    <x v="0"/>
    <x v="3"/>
    <x v="289"/>
    <d v="2025-09-23T00:00:00"/>
    <x v="5"/>
    <x v="4"/>
    <x v="0"/>
    <x v="2415"/>
    <n v="19"/>
    <x v="0"/>
    <s v="Recovered"/>
    <x v="1"/>
    <x v="0"/>
    <s v="Cash"/>
    <n v="14"/>
    <x v="2407"/>
    <s v="No"/>
    <x v="0"/>
  </r>
  <r>
    <x v="2417"/>
    <x v="15"/>
    <x v="1"/>
    <x v="6"/>
    <x v="523"/>
    <d v="2023-11-14T00:00:00"/>
    <x v="9"/>
    <x v="5"/>
    <x v="2"/>
    <x v="2416"/>
    <n v="21"/>
    <x v="1"/>
    <s v="Under Observation"/>
    <x v="1"/>
    <x v="2"/>
    <s v="Cash"/>
    <n v="3"/>
    <x v="2408"/>
    <s v="No"/>
    <x v="0"/>
  </r>
  <r>
    <x v="2418"/>
    <x v="55"/>
    <x v="0"/>
    <x v="3"/>
    <x v="62"/>
    <d v="2025-03-22T00:00:00"/>
    <x v="8"/>
    <x v="6"/>
    <x v="7"/>
    <x v="2417"/>
    <n v="13"/>
    <x v="0"/>
    <s v="Recovered"/>
    <x v="1"/>
    <x v="2"/>
    <s v="UPI"/>
    <n v="1"/>
    <x v="2409"/>
    <s v="Yes"/>
    <x v="0"/>
  </r>
  <r>
    <x v="2419"/>
    <x v="18"/>
    <x v="0"/>
    <x v="4"/>
    <x v="343"/>
    <d v="2023-04-25T00:00:00"/>
    <x v="8"/>
    <x v="6"/>
    <x v="7"/>
    <x v="2418"/>
    <n v="26"/>
    <x v="0"/>
    <s v="Recovered"/>
    <x v="2"/>
    <x v="2"/>
    <s v="Card"/>
    <n v="9"/>
    <x v="2410"/>
    <s v="No"/>
    <x v="0"/>
  </r>
  <r>
    <x v="2420"/>
    <x v="14"/>
    <x v="1"/>
    <x v="3"/>
    <x v="58"/>
    <d v="2025-05-30T00:00:00"/>
    <x v="5"/>
    <x v="4"/>
    <x v="6"/>
    <x v="2419"/>
    <n v="9"/>
    <x v="1"/>
    <s v="Recovered"/>
    <x v="0"/>
    <x v="0"/>
    <s v="Card"/>
    <n v="3"/>
    <x v="2411"/>
    <s v="No"/>
    <x v="0"/>
  </r>
  <r>
    <x v="2421"/>
    <x v="38"/>
    <x v="1"/>
    <x v="6"/>
    <x v="852"/>
    <d v="2025-08-27T00:00:00"/>
    <x v="6"/>
    <x v="2"/>
    <x v="3"/>
    <x v="2420"/>
    <n v="15"/>
    <x v="1"/>
    <s v="Recovered"/>
    <x v="1"/>
    <x v="3"/>
    <s v="Cash"/>
    <n v="14"/>
    <x v="2412"/>
    <s v="Yes"/>
    <x v="0"/>
  </r>
  <r>
    <x v="2422"/>
    <x v="5"/>
    <x v="0"/>
    <x v="3"/>
    <x v="126"/>
    <d v="2025-05-24T00:00:00"/>
    <x v="6"/>
    <x v="2"/>
    <x v="4"/>
    <x v="2421"/>
    <n v="20"/>
    <x v="1"/>
    <s v="Recovered"/>
    <x v="1"/>
    <x v="3"/>
    <s v="UPI"/>
    <n v="9"/>
    <x v="2413"/>
    <s v="No"/>
    <x v="0"/>
  </r>
  <r>
    <x v="2423"/>
    <x v="21"/>
    <x v="1"/>
    <x v="4"/>
    <x v="63"/>
    <d v="2024-09-14T00:00:00"/>
    <x v="6"/>
    <x v="2"/>
    <x v="5"/>
    <x v="2422"/>
    <n v="12"/>
    <x v="1"/>
    <s v="Recovered"/>
    <x v="0"/>
    <x v="1"/>
    <s v="Insurance"/>
    <n v="6"/>
    <x v="2414"/>
    <s v="Yes"/>
    <x v="0"/>
  </r>
  <r>
    <x v="2424"/>
    <x v="42"/>
    <x v="1"/>
    <x v="0"/>
    <x v="828"/>
    <d v="2025-05-21T00:00:00"/>
    <x v="2"/>
    <x v="2"/>
    <x v="0"/>
    <x v="2423"/>
    <n v="11"/>
    <x v="1"/>
    <s v="Referred"/>
    <x v="2"/>
    <x v="2"/>
    <s v="Cash"/>
    <n v="4"/>
    <x v="2415"/>
    <s v="Yes"/>
    <x v="0"/>
  </r>
  <r>
    <x v="2425"/>
    <x v="72"/>
    <x v="0"/>
    <x v="5"/>
    <x v="560"/>
    <d v="2023-07-02T00:00:00"/>
    <x v="2"/>
    <x v="2"/>
    <x v="4"/>
    <x v="2424"/>
    <n v="19"/>
    <x v="1"/>
    <s v="Recovered"/>
    <x v="2"/>
    <x v="0"/>
    <s v="Card"/>
    <n v="10"/>
    <x v="2416"/>
    <s v="No"/>
    <x v="0"/>
  </r>
  <r>
    <x v="2426"/>
    <x v="33"/>
    <x v="1"/>
    <x v="6"/>
    <x v="1"/>
    <d v="2023-05-14T00:00:00"/>
    <x v="8"/>
    <x v="6"/>
    <x v="4"/>
    <x v="2425"/>
    <n v="3"/>
    <x v="1"/>
    <s v="Under Observation"/>
    <x v="0"/>
    <x v="2"/>
    <s v="Card"/>
    <n v="14"/>
    <x v="2417"/>
    <s v="Yes"/>
    <x v="0"/>
  </r>
  <r>
    <x v="2427"/>
    <x v="62"/>
    <x v="1"/>
    <x v="5"/>
    <x v="880"/>
    <d v="2023-10-31T00:00:00"/>
    <x v="5"/>
    <x v="4"/>
    <x v="6"/>
    <x v="2426"/>
    <n v="5"/>
    <x v="1"/>
    <s v="Recovered"/>
    <x v="2"/>
    <x v="3"/>
    <s v="Cash"/>
    <n v="10"/>
    <x v="2418"/>
    <s v="Yes"/>
    <x v="0"/>
  </r>
  <r>
    <x v="2428"/>
    <x v="32"/>
    <x v="0"/>
    <x v="3"/>
    <x v="343"/>
    <d v="2023-04-11T00:00:00"/>
    <x v="8"/>
    <x v="6"/>
    <x v="7"/>
    <x v="2427"/>
    <n v="12"/>
    <x v="1"/>
    <s v="Under Observation"/>
    <x v="0"/>
    <x v="0"/>
    <s v="Card"/>
    <n v="15"/>
    <x v="2419"/>
    <s v="No"/>
    <x v="0"/>
  </r>
  <r>
    <x v="2429"/>
    <x v="31"/>
    <x v="0"/>
    <x v="4"/>
    <x v="193"/>
    <d v="2024-07-05T00:00:00"/>
    <x v="4"/>
    <x v="3"/>
    <x v="0"/>
    <x v="2428"/>
    <n v="21"/>
    <x v="0"/>
    <s v="Recovered"/>
    <x v="0"/>
    <x v="2"/>
    <s v="Card"/>
    <n v="12"/>
    <x v="2420"/>
    <s v="Yes"/>
    <x v="0"/>
  </r>
  <r>
    <x v="2430"/>
    <x v="45"/>
    <x v="1"/>
    <x v="3"/>
    <x v="369"/>
    <d v="2023-12-26T00:00:00"/>
    <x v="4"/>
    <x v="3"/>
    <x v="6"/>
    <x v="2429"/>
    <n v="27"/>
    <x v="1"/>
    <s v="Recovered"/>
    <x v="0"/>
    <x v="2"/>
    <s v="Insurance"/>
    <n v="13"/>
    <x v="2421"/>
    <s v="Yes"/>
    <x v="0"/>
  </r>
  <r>
    <x v="2431"/>
    <x v="16"/>
    <x v="1"/>
    <x v="7"/>
    <x v="807"/>
    <d v="2025-09-21T00:00:00"/>
    <x v="1"/>
    <x v="1"/>
    <x v="0"/>
    <x v="2430"/>
    <n v="10"/>
    <x v="1"/>
    <s v="Recovered"/>
    <x v="0"/>
    <x v="2"/>
    <s v="Insurance"/>
    <n v="12"/>
    <x v="2422"/>
    <s v="No"/>
    <x v="0"/>
  </r>
  <r>
    <x v="2432"/>
    <x v="18"/>
    <x v="1"/>
    <x v="7"/>
    <x v="794"/>
    <d v="2024-12-03T00:00:00"/>
    <x v="4"/>
    <x v="3"/>
    <x v="0"/>
    <x v="2431"/>
    <n v="13"/>
    <x v="0"/>
    <s v="Under Observation"/>
    <x v="0"/>
    <x v="3"/>
    <s v="UPI"/>
    <n v="15"/>
    <x v="2423"/>
    <s v="Yes"/>
    <x v="0"/>
  </r>
  <r>
    <x v="2433"/>
    <x v="32"/>
    <x v="0"/>
    <x v="2"/>
    <x v="550"/>
    <d v="2025-01-17T00:00:00"/>
    <x v="5"/>
    <x v="4"/>
    <x v="3"/>
    <x v="2432"/>
    <n v="16"/>
    <x v="0"/>
    <s v="Under Observation"/>
    <x v="2"/>
    <x v="3"/>
    <s v="UPI"/>
    <n v="4"/>
    <x v="2424"/>
    <s v="No"/>
    <x v="1"/>
  </r>
  <r>
    <x v="2434"/>
    <x v="51"/>
    <x v="1"/>
    <x v="7"/>
    <x v="85"/>
    <d v="2023-11-21T00:00:00"/>
    <x v="8"/>
    <x v="6"/>
    <x v="4"/>
    <x v="2433"/>
    <n v="8"/>
    <x v="1"/>
    <s v="Recovered"/>
    <x v="2"/>
    <x v="1"/>
    <s v="Insurance"/>
    <n v="13"/>
    <x v="2425"/>
    <s v="Yes"/>
    <x v="0"/>
  </r>
  <r>
    <x v="2435"/>
    <x v="62"/>
    <x v="0"/>
    <x v="1"/>
    <x v="687"/>
    <d v="2025-03-18T00:00:00"/>
    <x v="4"/>
    <x v="3"/>
    <x v="5"/>
    <x v="2434"/>
    <n v="12"/>
    <x v="1"/>
    <s v="Referred"/>
    <x v="1"/>
    <x v="0"/>
    <s v="Card"/>
    <n v="13"/>
    <x v="2426"/>
    <s v="Yes"/>
    <x v="0"/>
  </r>
  <r>
    <x v="2436"/>
    <x v="72"/>
    <x v="1"/>
    <x v="6"/>
    <x v="564"/>
    <d v="2024-02-09T00:00:00"/>
    <x v="4"/>
    <x v="3"/>
    <x v="1"/>
    <x v="2435"/>
    <n v="18"/>
    <x v="0"/>
    <s v="Recovered"/>
    <x v="1"/>
    <x v="2"/>
    <s v="Card"/>
    <n v="10"/>
    <x v="2427"/>
    <s v="No"/>
    <x v="0"/>
  </r>
  <r>
    <x v="2437"/>
    <x v="63"/>
    <x v="0"/>
    <x v="0"/>
    <x v="433"/>
    <d v="2023-06-28T00:00:00"/>
    <x v="6"/>
    <x v="2"/>
    <x v="5"/>
    <x v="2436"/>
    <n v="1"/>
    <x v="1"/>
    <s v="Recovered"/>
    <x v="0"/>
    <x v="3"/>
    <s v="UPI"/>
    <n v="4"/>
    <x v="2428"/>
    <s v="Yes"/>
    <x v="0"/>
  </r>
  <r>
    <x v="2438"/>
    <x v="68"/>
    <x v="1"/>
    <x v="2"/>
    <x v="367"/>
    <d v="2023-11-10T00:00:00"/>
    <x v="7"/>
    <x v="5"/>
    <x v="2"/>
    <x v="2437"/>
    <n v="18"/>
    <x v="0"/>
    <s v="Recovered"/>
    <x v="1"/>
    <x v="3"/>
    <s v="Card"/>
    <n v="9"/>
    <x v="2429"/>
    <s v="Yes"/>
    <x v="1"/>
  </r>
  <r>
    <x v="2439"/>
    <x v="62"/>
    <x v="1"/>
    <x v="7"/>
    <x v="554"/>
    <d v="2023-08-02T00:00:00"/>
    <x v="6"/>
    <x v="2"/>
    <x v="2"/>
    <x v="2438"/>
    <n v="10"/>
    <x v="1"/>
    <s v="Recovered"/>
    <x v="2"/>
    <x v="1"/>
    <s v="Card"/>
    <n v="8"/>
    <x v="2430"/>
    <s v="Yes"/>
    <x v="0"/>
  </r>
  <r>
    <x v="2440"/>
    <x v="4"/>
    <x v="0"/>
    <x v="1"/>
    <x v="117"/>
    <d v="2023-01-11T00:00:00"/>
    <x v="8"/>
    <x v="6"/>
    <x v="5"/>
    <x v="2439"/>
    <n v="10"/>
    <x v="0"/>
    <s v="Recovered"/>
    <x v="2"/>
    <x v="1"/>
    <s v="UPI"/>
    <n v="10"/>
    <x v="2431"/>
    <s v="Yes"/>
    <x v="1"/>
  </r>
  <r>
    <x v="2441"/>
    <x v="50"/>
    <x v="1"/>
    <x v="3"/>
    <x v="836"/>
    <d v="2024-09-26T00:00:00"/>
    <x v="7"/>
    <x v="5"/>
    <x v="7"/>
    <x v="2440"/>
    <n v="9"/>
    <x v="0"/>
    <s v="Recovered"/>
    <x v="0"/>
    <x v="3"/>
    <s v="UPI"/>
    <n v="14"/>
    <x v="2432"/>
    <s v="No"/>
    <x v="0"/>
  </r>
  <r>
    <x v="2442"/>
    <x v="22"/>
    <x v="0"/>
    <x v="3"/>
    <x v="683"/>
    <d v="2023-03-07T00:00:00"/>
    <x v="1"/>
    <x v="1"/>
    <x v="7"/>
    <x v="2441"/>
    <n v="7"/>
    <x v="0"/>
    <s v="Recovered"/>
    <x v="2"/>
    <x v="3"/>
    <s v="Cash"/>
    <n v="4"/>
    <x v="2433"/>
    <s v="No"/>
    <x v="0"/>
  </r>
  <r>
    <x v="2443"/>
    <x v="19"/>
    <x v="0"/>
    <x v="7"/>
    <x v="29"/>
    <d v="2023-03-21T00:00:00"/>
    <x v="7"/>
    <x v="5"/>
    <x v="4"/>
    <x v="2442"/>
    <n v="3"/>
    <x v="0"/>
    <s v="Recovered"/>
    <x v="1"/>
    <x v="1"/>
    <s v="UPI"/>
    <n v="15"/>
    <x v="2434"/>
    <s v="Yes"/>
    <x v="0"/>
  </r>
  <r>
    <x v="2444"/>
    <x v="42"/>
    <x v="0"/>
    <x v="4"/>
    <x v="841"/>
    <d v="2023-05-07T00:00:00"/>
    <x v="4"/>
    <x v="3"/>
    <x v="5"/>
    <x v="2443"/>
    <n v="18"/>
    <x v="1"/>
    <s v="Under Observation"/>
    <x v="0"/>
    <x v="3"/>
    <s v="Cash"/>
    <n v="3"/>
    <x v="2435"/>
    <s v="Yes"/>
    <x v="1"/>
  </r>
  <r>
    <x v="2445"/>
    <x v="9"/>
    <x v="0"/>
    <x v="0"/>
    <x v="743"/>
    <d v="2023-09-27T00:00:00"/>
    <x v="2"/>
    <x v="2"/>
    <x v="0"/>
    <x v="2444"/>
    <n v="17"/>
    <x v="1"/>
    <s v="Recovered"/>
    <x v="2"/>
    <x v="0"/>
    <s v="UPI"/>
    <n v="3"/>
    <x v="2436"/>
    <s v="No"/>
    <x v="0"/>
  </r>
  <r>
    <x v="2446"/>
    <x v="25"/>
    <x v="1"/>
    <x v="1"/>
    <x v="358"/>
    <d v="2024-09-21T00:00:00"/>
    <x v="0"/>
    <x v="0"/>
    <x v="1"/>
    <x v="2445"/>
    <n v="8"/>
    <x v="1"/>
    <s v="Recovered"/>
    <x v="2"/>
    <x v="3"/>
    <s v="Card"/>
    <n v="1"/>
    <x v="2437"/>
    <s v="Yes"/>
    <x v="0"/>
  </r>
  <r>
    <x v="2447"/>
    <x v="13"/>
    <x v="0"/>
    <x v="1"/>
    <x v="162"/>
    <d v="2024-06-13T00:00:00"/>
    <x v="5"/>
    <x v="4"/>
    <x v="6"/>
    <x v="2446"/>
    <n v="14"/>
    <x v="0"/>
    <s v="Deceased"/>
    <x v="2"/>
    <x v="0"/>
    <s v="UPI"/>
    <n v="13"/>
    <x v="2438"/>
    <s v="No"/>
    <x v="1"/>
  </r>
  <r>
    <x v="2448"/>
    <x v="38"/>
    <x v="0"/>
    <x v="5"/>
    <x v="395"/>
    <d v="2025-01-02T00:00:00"/>
    <x v="2"/>
    <x v="2"/>
    <x v="2"/>
    <x v="2447"/>
    <n v="19"/>
    <x v="0"/>
    <s v="Recovered"/>
    <x v="0"/>
    <x v="3"/>
    <s v="Card"/>
    <n v="12"/>
    <x v="2439"/>
    <s v="No"/>
    <x v="0"/>
  </r>
  <r>
    <x v="2449"/>
    <x v="60"/>
    <x v="0"/>
    <x v="1"/>
    <x v="914"/>
    <d v="2024-07-11T00:00:00"/>
    <x v="7"/>
    <x v="5"/>
    <x v="7"/>
    <x v="2448"/>
    <n v="19"/>
    <x v="0"/>
    <s v="Recovered"/>
    <x v="2"/>
    <x v="0"/>
    <s v="Cash"/>
    <n v="7"/>
    <x v="2440"/>
    <s v="Yes"/>
    <x v="0"/>
  </r>
  <r>
    <x v="2450"/>
    <x v="53"/>
    <x v="0"/>
    <x v="7"/>
    <x v="407"/>
    <d v="2023-02-24T00:00:00"/>
    <x v="3"/>
    <x v="0"/>
    <x v="4"/>
    <x v="2449"/>
    <n v="3"/>
    <x v="1"/>
    <s v="Recovered"/>
    <x v="0"/>
    <x v="3"/>
    <s v="Cash"/>
    <n v="10"/>
    <x v="2441"/>
    <s v="Yes"/>
    <x v="0"/>
  </r>
  <r>
    <x v="2451"/>
    <x v="8"/>
    <x v="1"/>
    <x v="6"/>
    <x v="717"/>
    <d v="2023-02-09T00:00:00"/>
    <x v="1"/>
    <x v="1"/>
    <x v="3"/>
    <x v="2450"/>
    <n v="4"/>
    <x v="1"/>
    <s v="Recovered"/>
    <x v="2"/>
    <x v="1"/>
    <s v="Insurance"/>
    <n v="2"/>
    <x v="2442"/>
    <s v="No"/>
    <x v="0"/>
  </r>
  <r>
    <x v="2452"/>
    <x v="25"/>
    <x v="1"/>
    <x v="2"/>
    <x v="98"/>
    <d v="2023-06-01T00:00:00"/>
    <x v="6"/>
    <x v="2"/>
    <x v="6"/>
    <x v="2451"/>
    <n v="20"/>
    <x v="1"/>
    <s v="Recovered"/>
    <x v="1"/>
    <x v="3"/>
    <s v="UPI"/>
    <n v="5"/>
    <x v="2443"/>
    <s v="Yes"/>
    <x v="0"/>
  </r>
  <r>
    <x v="2453"/>
    <x v="30"/>
    <x v="0"/>
    <x v="4"/>
    <x v="84"/>
    <d v="2024-02-02T00:00:00"/>
    <x v="5"/>
    <x v="4"/>
    <x v="6"/>
    <x v="2452"/>
    <n v="19"/>
    <x v="0"/>
    <s v="Referred"/>
    <x v="0"/>
    <x v="0"/>
    <s v="UPI"/>
    <n v="7"/>
    <x v="2444"/>
    <s v="No"/>
    <x v="0"/>
  </r>
  <r>
    <x v="2454"/>
    <x v="1"/>
    <x v="0"/>
    <x v="3"/>
    <x v="392"/>
    <d v="2023-09-20T00:00:00"/>
    <x v="4"/>
    <x v="3"/>
    <x v="4"/>
    <x v="2453"/>
    <n v="20"/>
    <x v="1"/>
    <s v="Under Observation"/>
    <x v="0"/>
    <x v="0"/>
    <s v="Card"/>
    <n v="5"/>
    <x v="2445"/>
    <s v="Yes"/>
    <x v="0"/>
  </r>
  <r>
    <x v="2455"/>
    <x v="40"/>
    <x v="0"/>
    <x v="5"/>
    <x v="911"/>
    <d v="2025-10-04T00:00:00"/>
    <x v="8"/>
    <x v="6"/>
    <x v="5"/>
    <x v="2454"/>
    <n v="10"/>
    <x v="1"/>
    <s v="Recovered"/>
    <x v="0"/>
    <x v="1"/>
    <s v="Cash"/>
    <n v="7"/>
    <x v="2446"/>
    <s v="No"/>
    <x v="0"/>
  </r>
  <r>
    <x v="2456"/>
    <x v="32"/>
    <x v="1"/>
    <x v="3"/>
    <x v="915"/>
    <d v="2024-04-22T00:00:00"/>
    <x v="0"/>
    <x v="0"/>
    <x v="3"/>
    <x v="2455"/>
    <n v="17"/>
    <x v="1"/>
    <s v="Recovered"/>
    <x v="2"/>
    <x v="2"/>
    <s v="UPI"/>
    <n v="14"/>
    <x v="2447"/>
    <s v="Yes"/>
    <x v="0"/>
  </r>
  <r>
    <x v="2457"/>
    <x v="61"/>
    <x v="1"/>
    <x v="5"/>
    <x v="43"/>
    <d v="2024-01-07T00:00:00"/>
    <x v="9"/>
    <x v="5"/>
    <x v="4"/>
    <x v="2456"/>
    <n v="6"/>
    <x v="0"/>
    <s v="Recovered"/>
    <x v="1"/>
    <x v="3"/>
    <s v="Insurance"/>
    <n v="15"/>
    <x v="2448"/>
    <s v="Yes"/>
    <x v="0"/>
  </r>
  <r>
    <x v="2458"/>
    <x v="64"/>
    <x v="0"/>
    <x v="0"/>
    <x v="823"/>
    <d v="2025-06-30T00:00:00"/>
    <x v="3"/>
    <x v="0"/>
    <x v="0"/>
    <x v="2457"/>
    <n v="17"/>
    <x v="1"/>
    <s v="Recovered"/>
    <x v="0"/>
    <x v="0"/>
    <s v="Insurance"/>
    <n v="15"/>
    <x v="2449"/>
    <s v="No"/>
    <x v="0"/>
  </r>
  <r>
    <x v="2459"/>
    <x v="44"/>
    <x v="0"/>
    <x v="0"/>
    <x v="403"/>
    <d v="2025-09-24T00:00:00"/>
    <x v="3"/>
    <x v="0"/>
    <x v="0"/>
    <x v="2458"/>
    <n v="8"/>
    <x v="1"/>
    <s v="Recovered"/>
    <x v="0"/>
    <x v="3"/>
    <s v="Insurance"/>
    <n v="9"/>
    <x v="2450"/>
    <s v="Yes"/>
    <x v="0"/>
  </r>
  <r>
    <x v="2460"/>
    <x v="66"/>
    <x v="1"/>
    <x v="7"/>
    <x v="387"/>
    <d v="2025-04-23T00:00:00"/>
    <x v="0"/>
    <x v="0"/>
    <x v="4"/>
    <x v="2459"/>
    <n v="16"/>
    <x v="0"/>
    <s v="Recovered"/>
    <x v="1"/>
    <x v="3"/>
    <s v="Insurance"/>
    <n v="11"/>
    <x v="2451"/>
    <s v="No"/>
    <x v="0"/>
  </r>
  <r>
    <x v="2461"/>
    <x v="10"/>
    <x v="1"/>
    <x v="6"/>
    <x v="408"/>
    <d v="2024-03-18T00:00:00"/>
    <x v="2"/>
    <x v="2"/>
    <x v="4"/>
    <x v="2460"/>
    <n v="2"/>
    <x v="1"/>
    <s v="Recovered"/>
    <x v="1"/>
    <x v="3"/>
    <s v="Card"/>
    <n v="12"/>
    <x v="2452"/>
    <s v="Yes"/>
    <x v="0"/>
  </r>
  <r>
    <x v="2462"/>
    <x v="41"/>
    <x v="0"/>
    <x v="7"/>
    <x v="140"/>
    <d v="2025-03-30T00:00:00"/>
    <x v="7"/>
    <x v="5"/>
    <x v="6"/>
    <x v="2461"/>
    <n v="13"/>
    <x v="0"/>
    <s v="Recovered"/>
    <x v="0"/>
    <x v="0"/>
    <s v="Insurance"/>
    <n v="1"/>
    <x v="2453"/>
    <s v="Yes"/>
    <x v="0"/>
  </r>
  <r>
    <x v="2463"/>
    <x v="1"/>
    <x v="1"/>
    <x v="2"/>
    <x v="855"/>
    <d v="2024-01-19T00:00:00"/>
    <x v="7"/>
    <x v="5"/>
    <x v="1"/>
    <x v="2462"/>
    <n v="9"/>
    <x v="0"/>
    <s v="Under Observation"/>
    <x v="2"/>
    <x v="0"/>
    <s v="Cash"/>
    <n v="11"/>
    <x v="2454"/>
    <s v="Yes"/>
    <x v="1"/>
  </r>
  <r>
    <x v="2464"/>
    <x v="15"/>
    <x v="1"/>
    <x v="3"/>
    <x v="585"/>
    <d v="2024-12-10T00:00:00"/>
    <x v="6"/>
    <x v="2"/>
    <x v="1"/>
    <x v="2463"/>
    <n v="17"/>
    <x v="1"/>
    <s v="Recovered"/>
    <x v="2"/>
    <x v="3"/>
    <s v="UPI"/>
    <n v="3"/>
    <x v="2455"/>
    <s v="Yes"/>
    <x v="0"/>
  </r>
  <r>
    <x v="2465"/>
    <x v="67"/>
    <x v="1"/>
    <x v="1"/>
    <x v="38"/>
    <d v="2025-06-17T00:00:00"/>
    <x v="4"/>
    <x v="3"/>
    <x v="5"/>
    <x v="2464"/>
    <n v="8"/>
    <x v="1"/>
    <s v="Recovered"/>
    <x v="2"/>
    <x v="2"/>
    <s v="Card"/>
    <n v="7"/>
    <x v="2456"/>
    <s v="No"/>
    <x v="0"/>
  </r>
  <r>
    <x v="2466"/>
    <x v="59"/>
    <x v="1"/>
    <x v="6"/>
    <x v="858"/>
    <d v="2025-08-27T00:00:00"/>
    <x v="2"/>
    <x v="2"/>
    <x v="2"/>
    <x v="2465"/>
    <n v="7"/>
    <x v="0"/>
    <s v="Recovered"/>
    <x v="0"/>
    <x v="1"/>
    <s v="Cash"/>
    <n v="3"/>
    <x v="2457"/>
    <s v="No"/>
    <x v="0"/>
  </r>
  <r>
    <x v="2467"/>
    <x v="21"/>
    <x v="1"/>
    <x v="2"/>
    <x v="692"/>
    <d v="2024-06-11T00:00:00"/>
    <x v="4"/>
    <x v="3"/>
    <x v="3"/>
    <x v="2466"/>
    <n v="1"/>
    <x v="1"/>
    <s v="Recovered"/>
    <x v="1"/>
    <x v="0"/>
    <s v="Card"/>
    <n v="8"/>
    <x v="2458"/>
    <s v="No"/>
    <x v="0"/>
  </r>
  <r>
    <x v="2468"/>
    <x v="59"/>
    <x v="1"/>
    <x v="5"/>
    <x v="916"/>
    <d v="2023-08-29T00:00:00"/>
    <x v="2"/>
    <x v="2"/>
    <x v="6"/>
    <x v="2467"/>
    <n v="4"/>
    <x v="0"/>
    <s v="Recovered"/>
    <x v="0"/>
    <x v="0"/>
    <s v="Card"/>
    <n v="5"/>
    <x v="2459"/>
    <s v="No"/>
    <x v="0"/>
  </r>
  <r>
    <x v="2469"/>
    <x v="23"/>
    <x v="1"/>
    <x v="1"/>
    <x v="509"/>
    <d v="2024-05-09T00:00:00"/>
    <x v="9"/>
    <x v="5"/>
    <x v="5"/>
    <x v="2468"/>
    <n v="12"/>
    <x v="1"/>
    <s v="Recovered"/>
    <x v="2"/>
    <x v="1"/>
    <s v="Insurance"/>
    <n v="12"/>
    <x v="2460"/>
    <s v="No"/>
    <x v="0"/>
  </r>
  <r>
    <x v="2470"/>
    <x v="41"/>
    <x v="0"/>
    <x v="2"/>
    <x v="40"/>
    <d v="2023-12-14T00:00:00"/>
    <x v="6"/>
    <x v="2"/>
    <x v="2"/>
    <x v="2469"/>
    <n v="18"/>
    <x v="0"/>
    <s v="Referred"/>
    <x v="2"/>
    <x v="2"/>
    <s v="Card"/>
    <n v="2"/>
    <x v="2461"/>
    <s v="Yes"/>
    <x v="0"/>
  </r>
  <r>
    <x v="2471"/>
    <x v="70"/>
    <x v="1"/>
    <x v="2"/>
    <x v="110"/>
    <d v="2024-12-16T00:00:00"/>
    <x v="0"/>
    <x v="0"/>
    <x v="4"/>
    <x v="2470"/>
    <n v="28"/>
    <x v="1"/>
    <s v="Under Observation"/>
    <x v="2"/>
    <x v="2"/>
    <s v="Cash"/>
    <n v="1"/>
    <x v="2462"/>
    <s v="Yes"/>
    <x v="0"/>
  </r>
  <r>
    <x v="2472"/>
    <x v="10"/>
    <x v="1"/>
    <x v="2"/>
    <x v="445"/>
    <d v="2025-07-01T00:00:00"/>
    <x v="8"/>
    <x v="6"/>
    <x v="0"/>
    <x v="2471"/>
    <n v="3"/>
    <x v="0"/>
    <s v="Recovered"/>
    <x v="0"/>
    <x v="2"/>
    <s v="UPI"/>
    <n v="10"/>
    <x v="2463"/>
    <s v="No"/>
    <x v="0"/>
  </r>
  <r>
    <x v="2473"/>
    <x v="12"/>
    <x v="0"/>
    <x v="0"/>
    <x v="862"/>
    <d v="2023-02-08T00:00:00"/>
    <x v="2"/>
    <x v="2"/>
    <x v="5"/>
    <x v="2472"/>
    <n v="2"/>
    <x v="0"/>
    <s v="Recovered"/>
    <x v="1"/>
    <x v="1"/>
    <s v="UPI"/>
    <n v="15"/>
    <x v="2464"/>
    <s v="Yes"/>
    <x v="0"/>
  </r>
  <r>
    <x v="2474"/>
    <x v="45"/>
    <x v="1"/>
    <x v="3"/>
    <x v="36"/>
    <d v="2023-04-04T00:00:00"/>
    <x v="9"/>
    <x v="5"/>
    <x v="7"/>
    <x v="2473"/>
    <n v="4"/>
    <x v="1"/>
    <s v="Under Observation"/>
    <x v="1"/>
    <x v="3"/>
    <s v="Insurance"/>
    <n v="5"/>
    <x v="2465"/>
    <s v="Yes"/>
    <x v="0"/>
  </r>
  <r>
    <x v="2475"/>
    <x v="51"/>
    <x v="0"/>
    <x v="6"/>
    <x v="291"/>
    <d v="2023-05-21T00:00:00"/>
    <x v="6"/>
    <x v="2"/>
    <x v="4"/>
    <x v="2474"/>
    <n v="17"/>
    <x v="0"/>
    <s v="Recovered"/>
    <x v="0"/>
    <x v="3"/>
    <s v="Insurance"/>
    <n v="11"/>
    <x v="2466"/>
    <s v="No"/>
    <x v="0"/>
  </r>
  <r>
    <x v="2476"/>
    <x v="64"/>
    <x v="0"/>
    <x v="2"/>
    <x v="280"/>
    <d v="2024-03-01T00:00:00"/>
    <x v="0"/>
    <x v="0"/>
    <x v="1"/>
    <x v="2475"/>
    <n v="17"/>
    <x v="1"/>
    <s v="Recovered"/>
    <x v="0"/>
    <x v="0"/>
    <s v="Card"/>
    <n v="3"/>
    <x v="2467"/>
    <s v="Yes"/>
    <x v="0"/>
  </r>
  <r>
    <x v="2477"/>
    <x v="56"/>
    <x v="0"/>
    <x v="0"/>
    <x v="91"/>
    <d v="2025-07-06T00:00:00"/>
    <x v="1"/>
    <x v="1"/>
    <x v="5"/>
    <x v="2476"/>
    <n v="15"/>
    <x v="0"/>
    <s v="Recovered"/>
    <x v="2"/>
    <x v="1"/>
    <s v="Card"/>
    <n v="12"/>
    <x v="2468"/>
    <s v="No"/>
    <x v="0"/>
  </r>
  <r>
    <x v="2478"/>
    <x v="9"/>
    <x v="1"/>
    <x v="4"/>
    <x v="834"/>
    <d v="2024-12-09T00:00:00"/>
    <x v="0"/>
    <x v="0"/>
    <x v="2"/>
    <x v="2477"/>
    <n v="14"/>
    <x v="0"/>
    <s v="Recovered"/>
    <x v="2"/>
    <x v="0"/>
    <s v="UPI"/>
    <n v="8"/>
    <x v="2469"/>
    <s v="No"/>
    <x v="0"/>
  </r>
  <r>
    <x v="2479"/>
    <x v="8"/>
    <x v="0"/>
    <x v="5"/>
    <x v="878"/>
    <d v="2025-01-24T00:00:00"/>
    <x v="7"/>
    <x v="5"/>
    <x v="2"/>
    <x v="2478"/>
    <n v="9"/>
    <x v="1"/>
    <s v="Under Observation"/>
    <x v="0"/>
    <x v="3"/>
    <s v="Cash"/>
    <n v="10"/>
    <x v="2470"/>
    <s v="No"/>
    <x v="0"/>
  </r>
  <r>
    <x v="2480"/>
    <x v="11"/>
    <x v="0"/>
    <x v="5"/>
    <x v="89"/>
    <d v="2025-06-20T00:00:00"/>
    <x v="1"/>
    <x v="1"/>
    <x v="7"/>
    <x v="2479"/>
    <n v="5"/>
    <x v="1"/>
    <s v="Referred"/>
    <x v="2"/>
    <x v="0"/>
    <s v="Card"/>
    <n v="10"/>
    <x v="2471"/>
    <s v="No"/>
    <x v="0"/>
  </r>
  <r>
    <x v="2481"/>
    <x v="34"/>
    <x v="0"/>
    <x v="0"/>
    <x v="96"/>
    <d v="2024-04-21T00:00:00"/>
    <x v="4"/>
    <x v="3"/>
    <x v="2"/>
    <x v="2480"/>
    <n v="14"/>
    <x v="1"/>
    <s v="Recovered"/>
    <x v="0"/>
    <x v="3"/>
    <s v="Insurance"/>
    <n v="9"/>
    <x v="2472"/>
    <s v="Yes"/>
    <x v="0"/>
  </r>
  <r>
    <x v="2482"/>
    <x v="17"/>
    <x v="0"/>
    <x v="7"/>
    <x v="917"/>
    <d v="2025-03-19T00:00:00"/>
    <x v="3"/>
    <x v="0"/>
    <x v="5"/>
    <x v="2481"/>
    <n v="9"/>
    <x v="0"/>
    <s v="Recovered"/>
    <x v="0"/>
    <x v="3"/>
    <s v="Card"/>
    <n v="12"/>
    <x v="2473"/>
    <s v="Yes"/>
    <x v="0"/>
  </r>
  <r>
    <x v="2483"/>
    <x v="24"/>
    <x v="1"/>
    <x v="6"/>
    <x v="373"/>
    <d v="2024-05-02T00:00:00"/>
    <x v="0"/>
    <x v="0"/>
    <x v="1"/>
    <x v="2482"/>
    <n v="18"/>
    <x v="1"/>
    <s v="Recovered"/>
    <x v="0"/>
    <x v="0"/>
    <s v="Card"/>
    <n v="11"/>
    <x v="2474"/>
    <s v="No"/>
    <x v="0"/>
  </r>
  <r>
    <x v="2484"/>
    <x v="20"/>
    <x v="0"/>
    <x v="4"/>
    <x v="332"/>
    <d v="2024-02-16T00:00:00"/>
    <x v="2"/>
    <x v="2"/>
    <x v="6"/>
    <x v="2483"/>
    <n v="2"/>
    <x v="0"/>
    <s v="Recovered"/>
    <x v="0"/>
    <x v="1"/>
    <s v="UPI"/>
    <n v="4"/>
    <x v="2475"/>
    <s v="Yes"/>
    <x v="0"/>
  </r>
  <r>
    <x v="2485"/>
    <x v="1"/>
    <x v="0"/>
    <x v="7"/>
    <x v="561"/>
    <d v="2024-05-07T00:00:00"/>
    <x v="5"/>
    <x v="4"/>
    <x v="6"/>
    <x v="2484"/>
    <n v="17"/>
    <x v="1"/>
    <s v="Recovered"/>
    <x v="2"/>
    <x v="3"/>
    <s v="Cash"/>
    <n v="7"/>
    <x v="2476"/>
    <s v="Yes"/>
    <x v="0"/>
  </r>
  <r>
    <x v="2486"/>
    <x v="66"/>
    <x v="0"/>
    <x v="2"/>
    <x v="94"/>
    <d v="2023-01-18T00:00:00"/>
    <x v="0"/>
    <x v="0"/>
    <x v="0"/>
    <x v="2485"/>
    <n v="9"/>
    <x v="1"/>
    <s v="Deceased"/>
    <x v="0"/>
    <x v="1"/>
    <s v="UPI"/>
    <n v="10"/>
    <x v="2477"/>
    <s v="No"/>
    <x v="0"/>
  </r>
  <r>
    <x v="2487"/>
    <x v="65"/>
    <x v="0"/>
    <x v="1"/>
    <x v="869"/>
    <d v="2023-11-22T00:00:00"/>
    <x v="8"/>
    <x v="6"/>
    <x v="3"/>
    <x v="2486"/>
    <n v="16"/>
    <x v="0"/>
    <s v="Referred"/>
    <x v="2"/>
    <x v="3"/>
    <s v="Card"/>
    <n v="9"/>
    <x v="2478"/>
    <s v="Yes"/>
    <x v="0"/>
  </r>
  <r>
    <x v="2488"/>
    <x v="47"/>
    <x v="1"/>
    <x v="4"/>
    <x v="306"/>
    <d v="2023-04-12T00:00:00"/>
    <x v="7"/>
    <x v="5"/>
    <x v="0"/>
    <x v="2487"/>
    <n v="11"/>
    <x v="0"/>
    <s v="Recovered"/>
    <x v="0"/>
    <x v="0"/>
    <s v="UPI"/>
    <n v="14"/>
    <x v="2479"/>
    <s v="Yes"/>
    <x v="0"/>
  </r>
  <r>
    <x v="2489"/>
    <x v="52"/>
    <x v="0"/>
    <x v="3"/>
    <x v="294"/>
    <d v="2024-08-24T00:00:00"/>
    <x v="1"/>
    <x v="1"/>
    <x v="2"/>
    <x v="2488"/>
    <n v="5"/>
    <x v="1"/>
    <s v="Recovered"/>
    <x v="0"/>
    <x v="3"/>
    <s v="UPI"/>
    <n v="11"/>
    <x v="2480"/>
    <s v="No"/>
    <x v="1"/>
  </r>
  <r>
    <x v="2490"/>
    <x v="56"/>
    <x v="0"/>
    <x v="2"/>
    <x v="481"/>
    <d v="2023-08-15T00:00:00"/>
    <x v="3"/>
    <x v="0"/>
    <x v="5"/>
    <x v="2489"/>
    <n v="21"/>
    <x v="0"/>
    <s v="Recovered"/>
    <x v="1"/>
    <x v="2"/>
    <s v="Insurance"/>
    <n v="15"/>
    <x v="2481"/>
    <s v="No"/>
    <x v="0"/>
  </r>
  <r>
    <x v="2491"/>
    <x v="70"/>
    <x v="0"/>
    <x v="6"/>
    <x v="30"/>
    <d v="2024-12-31T00:00:00"/>
    <x v="8"/>
    <x v="6"/>
    <x v="0"/>
    <x v="2490"/>
    <n v="9"/>
    <x v="0"/>
    <s v="Referred"/>
    <x v="2"/>
    <x v="0"/>
    <s v="Card"/>
    <n v="9"/>
    <x v="2482"/>
    <s v="Yes"/>
    <x v="0"/>
  </r>
  <r>
    <x v="2492"/>
    <x v="36"/>
    <x v="1"/>
    <x v="3"/>
    <x v="306"/>
    <d v="2023-04-13T00:00:00"/>
    <x v="7"/>
    <x v="5"/>
    <x v="0"/>
    <x v="2491"/>
    <n v="12"/>
    <x v="1"/>
    <s v="Recovered"/>
    <x v="1"/>
    <x v="2"/>
    <s v="Card"/>
    <n v="6"/>
    <x v="2483"/>
    <s v="Yes"/>
    <x v="0"/>
  </r>
  <r>
    <x v="2493"/>
    <x v="70"/>
    <x v="0"/>
    <x v="2"/>
    <x v="343"/>
    <d v="2023-04-17T00:00:00"/>
    <x v="3"/>
    <x v="0"/>
    <x v="3"/>
    <x v="2492"/>
    <n v="18"/>
    <x v="0"/>
    <s v="Under Observation"/>
    <x v="1"/>
    <x v="0"/>
    <s v="Card"/>
    <n v="15"/>
    <x v="2484"/>
    <s v="Yes"/>
    <x v="0"/>
  </r>
  <r>
    <x v="2494"/>
    <x v="62"/>
    <x v="0"/>
    <x v="0"/>
    <x v="913"/>
    <d v="2024-09-12T00:00:00"/>
    <x v="5"/>
    <x v="4"/>
    <x v="3"/>
    <x v="2493"/>
    <n v="13"/>
    <x v="0"/>
    <s v="Referred"/>
    <x v="2"/>
    <x v="1"/>
    <s v="Card"/>
    <n v="4"/>
    <x v="2485"/>
    <s v="No"/>
    <x v="0"/>
  </r>
  <r>
    <x v="2495"/>
    <x v="67"/>
    <x v="1"/>
    <x v="5"/>
    <x v="918"/>
    <d v="2023-07-03T00:00:00"/>
    <x v="8"/>
    <x v="6"/>
    <x v="5"/>
    <x v="2494"/>
    <n v="12"/>
    <x v="0"/>
    <s v="Recovered"/>
    <x v="0"/>
    <x v="3"/>
    <s v="Insurance"/>
    <n v="1"/>
    <x v="2486"/>
    <s v="Yes"/>
    <x v="0"/>
  </r>
  <r>
    <x v="2496"/>
    <x v="45"/>
    <x v="1"/>
    <x v="5"/>
    <x v="692"/>
    <d v="2024-06-14T00:00:00"/>
    <x v="3"/>
    <x v="0"/>
    <x v="5"/>
    <x v="2495"/>
    <n v="4"/>
    <x v="0"/>
    <s v="Recovered"/>
    <x v="0"/>
    <x v="1"/>
    <s v="UPI"/>
    <n v="9"/>
    <x v="2487"/>
    <s v="Yes"/>
    <x v="0"/>
  </r>
  <r>
    <x v="2497"/>
    <x v="5"/>
    <x v="0"/>
    <x v="7"/>
    <x v="588"/>
    <d v="2025-05-07T00:00:00"/>
    <x v="9"/>
    <x v="5"/>
    <x v="5"/>
    <x v="2496"/>
    <n v="14"/>
    <x v="1"/>
    <s v="Recovered"/>
    <x v="2"/>
    <x v="0"/>
    <s v="Insurance"/>
    <n v="8"/>
    <x v="2488"/>
    <s v="No"/>
    <x v="0"/>
  </r>
  <r>
    <x v="2498"/>
    <x v="47"/>
    <x v="0"/>
    <x v="2"/>
    <x v="819"/>
    <d v="2024-09-16T00:00:00"/>
    <x v="0"/>
    <x v="0"/>
    <x v="5"/>
    <x v="2497"/>
    <n v="22"/>
    <x v="0"/>
    <s v="Recovered"/>
    <x v="2"/>
    <x v="2"/>
    <s v="Cash"/>
    <n v="7"/>
    <x v="2489"/>
    <s v="Yes"/>
    <x v="1"/>
  </r>
  <r>
    <x v="2499"/>
    <x v="22"/>
    <x v="1"/>
    <x v="7"/>
    <x v="919"/>
    <d v="2024-01-20T00:00:00"/>
    <x v="3"/>
    <x v="0"/>
    <x v="2"/>
    <x v="2498"/>
    <n v="20"/>
    <x v="0"/>
    <s v="Recovered"/>
    <x v="0"/>
    <x v="0"/>
    <s v="Card"/>
    <n v="15"/>
    <x v="2490"/>
    <s v="Yes"/>
    <x v="0"/>
  </r>
  <r>
    <x v="2500"/>
    <x v="49"/>
    <x v="0"/>
    <x v="0"/>
    <x v="276"/>
    <d v="2025-03-16T00:00:00"/>
    <x v="9"/>
    <x v="5"/>
    <x v="3"/>
    <x v="2499"/>
    <n v="9"/>
    <x v="0"/>
    <s v="Recovered"/>
    <x v="2"/>
    <x v="3"/>
    <s v="Card"/>
    <n v="5"/>
    <x v="2491"/>
    <s v="No"/>
    <x v="0"/>
  </r>
  <r>
    <x v="2501"/>
    <x v="52"/>
    <x v="0"/>
    <x v="3"/>
    <x v="76"/>
    <d v="2023-01-05T00:00:00"/>
    <x v="2"/>
    <x v="2"/>
    <x v="4"/>
    <x v="2500"/>
    <n v="2"/>
    <x v="1"/>
    <s v="Referred"/>
    <x v="1"/>
    <x v="3"/>
    <s v="Insurance"/>
    <n v="4"/>
    <x v="2492"/>
    <s v="Yes"/>
    <x v="0"/>
  </r>
  <r>
    <x v="2502"/>
    <x v="34"/>
    <x v="1"/>
    <x v="6"/>
    <x v="64"/>
    <d v="2023-09-13T00:00:00"/>
    <x v="5"/>
    <x v="4"/>
    <x v="2"/>
    <x v="2501"/>
    <n v="1"/>
    <x v="0"/>
    <s v="Recovered"/>
    <x v="0"/>
    <x v="0"/>
    <s v="Insurance"/>
    <n v="2"/>
    <x v="2493"/>
    <s v="Yes"/>
    <x v="0"/>
  </r>
  <r>
    <x v="2503"/>
    <x v="56"/>
    <x v="1"/>
    <x v="6"/>
    <x v="897"/>
    <d v="2023-06-21T00:00:00"/>
    <x v="8"/>
    <x v="6"/>
    <x v="5"/>
    <x v="2502"/>
    <n v="20"/>
    <x v="1"/>
    <s v="Recovered"/>
    <x v="0"/>
    <x v="3"/>
    <s v="UPI"/>
    <n v="1"/>
    <x v="2494"/>
    <s v="No"/>
    <x v="0"/>
  </r>
  <r>
    <x v="2504"/>
    <x v="55"/>
    <x v="0"/>
    <x v="1"/>
    <x v="16"/>
    <d v="2024-10-13T00:00:00"/>
    <x v="2"/>
    <x v="2"/>
    <x v="3"/>
    <x v="2503"/>
    <n v="17"/>
    <x v="1"/>
    <s v="Recovered"/>
    <x v="2"/>
    <x v="1"/>
    <s v="UPI"/>
    <n v="4"/>
    <x v="2495"/>
    <s v="Yes"/>
    <x v="0"/>
  </r>
  <r>
    <x v="2505"/>
    <x v="34"/>
    <x v="1"/>
    <x v="1"/>
    <x v="770"/>
    <d v="2023-12-31T00:00:00"/>
    <x v="9"/>
    <x v="5"/>
    <x v="3"/>
    <x v="2504"/>
    <n v="2"/>
    <x v="0"/>
    <s v="Under Observation"/>
    <x v="2"/>
    <x v="1"/>
    <s v="Card"/>
    <n v="1"/>
    <x v="2496"/>
    <s v="No"/>
    <x v="0"/>
  </r>
  <r>
    <x v="2506"/>
    <x v="23"/>
    <x v="1"/>
    <x v="4"/>
    <x v="292"/>
    <d v="2024-11-01T00:00:00"/>
    <x v="7"/>
    <x v="5"/>
    <x v="3"/>
    <x v="2505"/>
    <n v="20"/>
    <x v="1"/>
    <s v="Recovered"/>
    <x v="1"/>
    <x v="0"/>
    <s v="Cash"/>
    <n v="1"/>
    <x v="2497"/>
    <s v="No"/>
    <x v="0"/>
  </r>
  <r>
    <x v="2507"/>
    <x v="44"/>
    <x v="1"/>
    <x v="2"/>
    <x v="213"/>
    <d v="2023-09-16T00:00:00"/>
    <x v="9"/>
    <x v="5"/>
    <x v="7"/>
    <x v="2506"/>
    <n v="19"/>
    <x v="0"/>
    <s v="Recovered"/>
    <x v="1"/>
    <x v="1"/>
    <s v="Card"/>
    <n v="12"/>
    <x v="2498"/>
    <s v="No"/>
    <x v="0"/>
  </r>
  <r>
    <x v="2508"/>
    <x v="25"/>
    <x v="1"/>
    <x v="2"/>
    <x v="920"/>
    <d v="2024-05-16T00:00:00"/>
    <x v="2"/>
    <x v="2"/>
    <x v="6"/>
    <x v="2507"/>
    <n v="10"/>
    <x v="1"/>
    <s v="Deceased"/>
    <x v="2"/>
    <x v="2"/>
    <s v="Insurance"/>
    <n v="1"/>
    <x v="2499"/>
    <s v="No"/>
    <x v="0"/>
  </r>
  <r>
    <x v="2509"/>
    <x v="40"/>
    <x v="1"/>
    <x v="4"/>
    <x v="62"/>
    <d v="2025-03-23T00:00:00"/>
    <x v="9"/>
    <x v="5"/>
    <x v="7"/>
    <x v="2508"/>
    <n v="14"/>
    <x v="1"/>
    <s v="Referred"/>
    <x v="1"/>
    <x v="2"/>
    <s v="Card"/>
    <n v="1"/>
    <x v="2500"/>
    <s v="No"/>
    <x v="0"/>
  </r>
  <r>
    <x v="2510"/>
    <x v="72"/>
    <x v="1"/>
    <x v="4"/>
    <x v="580"/>
    <d v="2023-03-05T00:00:00"/>
    <x v="6"/>
    <x v="2"/>
    <x v="4"/>
    <x v="2509"/>
    <n v="6"/>
    <x v="1"/>
    <s v="Recovered"/>
    <x v="0"/>
    <x v="0"/>
    <s v="Cash"/>
    <n v="15"/>
    <x v="2501"/>
    <s v="No"/>
    <x v="0"/>
  </r>
  <r>
    <x v="2511"/>
    <x v="63"/>
    <x v="0"/>
    <x v="5"/>
    <x v="373"/>
    <d v="2024-05-03T00:00:00"/>
    <x v="3"/>
    <x v="0"/>
    <x v="0"/>
    <x v="2510"/>
    <n v="19"/>
    <x v="0"/>
    <s v="Recovered"/>
    <x v="0"/>
    <x v="0"/>
    <s v="Cash"/>
    <n v="5"/>
    <x v="2502"/>
    <s v="No"/>
    <x v="0"/>
  </r>
  <r>
    <x v="2512"/>
    <x v="61"/>
    <x v="0"/>
    <x v="3"/>
    <x v="746"/>
    <d v="2024-05-14T00:00:00"/>
    <x v="3"/>
    <x v="0"/>
    <x v="0"/>
    <x v="2511"/>
    <n v="15"/>
    <x v="0"/>
    <s v="Recovered"/>
    <x v="2"/>
    <x v="0"/>
    <s v="Insurance"/>
    <n v="14"/>
    <x v="2503"/>
    <s v="No"/>
    <x v="0"/>
  </r>
  <r>
    <x v="2513"/>
    <x v="72"/>
    <x v="0"/>
    <x v="1"/>
    <x v="80"/>
    <d v="2025-01-31T00:00:00"/>
    <x v="8"/>
    <x v="6"/>
    <x v="7"/>
    <x v="2512"/>
    <n v="9"/>
    <x v="0"/>
    <s v="Recovered"/>
    <x v="2"/>
    <x v="1"/>
    <s v="UPI"/>
    <n v="8"/>
    <x v="2504"/>
    <s v="No"/>
    <x v="0"/>
  </r>
  <r>
    <x v="2514"/>
    <x v="35"/>
    <x v="1"/>
    <x v="2"/>
    <x v="320"/>
    <d v="2024-08-25T00:00:00"/>
    <x v="9"/>
    <x v="5"/>
    <x v="4"/>
    <x v="2513"/>
    <n v="2"/>
    <x v="1"/>
    <s v="Recovered"/>
    <x v="1"/>
    <x v="3"/>
    <s v="Cash"/>
    <n v="10"/>
    <x v="2505"/>
    <s v="Yes"/>
    <x v="0"/>
  </r>
  <r>
    <x v="2515"/>
    <x v="60"/>
    <x v="0"/>
    <x v="7"/>
    <x v="284"/>
    <d v="2023-09-16T00:00:00"/>
    <x v="1"/>
    <x v="1"/>
    <x v="4"/>
    <x v="2514"/>
    <n v="15"/>
    <x v="0"/>
    <s v="Recovered"/>
    <x v="0"/>
    <x v="1"/>
    <s v="Insurance"/>
    <n v="12"/>
    <x v="2506"/>
    <s v="Yes"/>
    <x v="0"/>
  </r>
  <r>
    <x v="2516"/>
    <x v="40"/>
    <x v="1"/>
    <x v="7"/>
    <x v="737"/>
    <d v="2024-05-11T00:00:00"/>
    <x v="5"/>
    <x v="4"/>
    <x v="3"/>
    <x v="2515"/>
    <n v="18"/>
    <x v="1"/>
    <s v="Referred"/>
    <x v="1"/>
    <x v="0"/>
    <s v="Cash"/>
    <n v="6"/>
    <x v="2507"/>
    <s v="Yes"/>
    <x v="0"/>
  </r>
  <r>
    <x v="2517"/>
    <x v="53"/>
    <x v="0"/>
    <x v="2"/>
    <x v="893"/>
    <d v="2025-02-24T00:00:00"/>
    <x v="6"/>
    <x v="2"/>
    <x v="7"/>
    <x v="2516"/>
    <n v="1"/>
    <x v="1"/>
    <s v="Recovered"/>
    <x v="0"/>
    <x v="3"/>
    <s v="Card"/>
    <n v="5"/>
    <x v="2508"/>
    <s v="Yes"/>
    <x v="0"/>
  </r>
  <r>
    <x v="2518"/>
    <x v="64"/>
    <x v="0"/>
    <x v="2"/>
    <x v="285"/>
    <d v="2023-08-24T00:00:00"/>
    <x v="1"/>
    <x v="1"/>
    <x v="5"/>
    <x v="2517"/>
    <n v="6"/>
    <x v="1"/>
    <s v="Referred"/>
    <x v="0"/>
    <x v="0"/>
    <s v="Card"/>
    <n v="9"/>
    <x v="2509"/>
    <s v="Yes"/>
    <x v="0"/>
  </r>
  <r>
    <x v="2519"/>
    <x v="67"/>
    <x v="0"/>
    <x v="1"/>
    <x v="335"/>
    <d v="2025-03-09T00:00:00"/>
    <x v="7"/>
    <x v="5"/>
    <x v="2"/>
    <x v="2518"/>
    <n v="20"/>
    <x v="0"/>
    <s v="Under Observation"/>
    <x v="2"/>
    <x v="3"/>
    <s v="UPI"/>
    <n v="5"/>
    <x v="2510"/>
    <s v="Yes"/>
    <x v="0"/>
  </r>
  <r>
    <x v="2520"/>
    <x v="37"/>
    <x v="0"/>
    <x v="4"/>
    <x v="384"/>
    <d v="2024-12-05T00:00:00"/>
    <x v="5"/>
    <x v="4"/>
    <x v="5"/>
    <x v="2519"/>
    <n v="9"/>
    <x v="1"/>
    <s v="Recovered"/>
    <x v="1"/>
    <x v="0"/>
    <s v="UPI"/>
    <n v="13"/>
    <x v="2511"/>
    <s v="No"/>
    <x v="0"/>
  </r>
  <r>
    <x v="2521"/>
    <x v="8"/>
    <x v="0"/>
    <x v="0"/>
    <x v="718"/>
    <d v="2024-02-29T00:00:00"/>
    <x v="8"/>
    <x v="6"/>
    <x v="4"/>
    <x v="2520"/>
    <n v="5"/>
    <x v="1"/>
    <s v="Recovered"/>
    <x v="1"/>
    <x v="3"/>
    <s v="Insurance"/>
    <n v="10"/>
    <x v="2512"/>
    <s v="Yes"/>
    <x v="0"/>
  </r>
  <r>
    <x v="2522"/>
    <x v="21"/>
    <x v="0"/>
    <x v="2"/>
    <x v="520"/>
    <d v="2023-09-02T00:00:00"/>
    <x v="4"/>
    <x v="3"/>
    <x v="1"/>
    <x v="2521"/>
    <n v="16"/>
    <x v="0"/>
    <s v="Recovered"/>
    <x v="0"/>
    <x v="3"/>
    <s v="UPI"/>
    <n v="3"/>
    <x v="2513"/>
    <s v="Yes"/>
    <x v="0"/>
  </r>
  <r>
    <x v="2523"/>
    <x v="28"/>
    <x v="0"/>
    <x v="4"/>
    <x v="910"/>
    <d v="2023-03-06T00:00:00"/>
    <x v="3"/>
    <x v="0"/>
    <x v="1"/>
    <x v="2522"/>
    <n v="2"/>
    <x v="1"/>
    <s v="Recovered"/>
    <x v="0"/>
    <x v="1"/>
    <s v="Insurance"/>
    <n v="5"/>
    <x v="2514"/>
    <s v="Yes"/>
    <x v="0"/>
  </r>
  <r>
    <x v="2524"/>
    <x v="29"/>
    <x v="0"/>
    <x v="4"/>
    <x v="712"/>
    <d v="2024-03-16T00:00:00"/>
    <x v="8"/>
    <x v="6"/>
    <x v="2"/>
    <x v="2523"/>
    <n v="28"/>
    <x v="0"/>
    <s v="Under Observation"/>
    <x v="1"/>
    <x v="2"/>
    <s v="Card"/>
    <n v="3"/>
    <x v="2515"/>
    <s v="No"/>
    <x v="0"/>
  </r>
  <r>
    <x v="2525"/>
    <x v="55"/>
    <x v="0"/>
    <x v="1"/>
    <x v="921"/>
    <d v="2024-08-11T00:00:00"/>
    <x v="0"/>
    <x v="0"/>
    <x v="0"/>
    <x v="2524"/>
    <n v="14"/>
    <x v="1"/>
    <s v="Under Observation"/>
    <x v="1"/>
    <x v="1"/>
    <s v="Cash"/>
    <n v="7"/>
    <x v="2516"/>
    <s v="No"/>
    <x v="0"/>
  </r>
  <r>
    <x v="2526"/>
    <x v="46"/>
    <x v="0"/>
    <x v="3"/>
    <x v="410"/>
    <d v="2025-04-11T00:00:00"/>
    <x v="2"/>
    <x v="2"/>
    <x v="6"/>
    <x v="2525"/>
    <n v="27"/>
    <x v="0"/>
    <s v="Recovered"/>
    <x v="2"/>
    <x v="2"/>
    <s v="Insurance"/>
    <n v="7"/>
    <x v="2517"/>
    <s v="Yes"/>
    <x v="0"/>
  </r>
  <r>
    <x v="2527"/>
    <x v="21"/>
    <x v="0"/>
    <x v="1"/>
    <x v="205"/>
    <d v="2025-05-10T00:00:00"/>
    <x v="2"/>
    <x v="2"/>
    <x v="7"/>
    <x v="2526"/>
    <n v="12"/>
    <x v="0"/>
    <s v="Recovered"/>
    <x v="1"/>
    <x v="0"/>
    <s v="Card"/>
    <n v="1"/>
    <x v="2518"/>
    <s v="Yes"/>
    <x v="0"/>
  </r>
  <r>
    <x v="2528"/>
    <x v="72"/>
    <x v="1"/>
    <x v="3"/>
    <x v="245"/>
    <d v="2024-02-16T00:00:00"/>
    <x v="3"/>
    <x v="0"/>
    <x v="5"/>
    <x v="2527"/>
    <n v="26"/>
    <x v="1"/>
    <s v="Recovered"/>
    <x v="0"/>
    <x v="2"/>
    <s v="Card"/>
    <n v="8"/>
    <x v="2519"/>
    <s v="Yes"/>
    <x v="0"/>
  </r>
  <r>
    <x v="2529"/>
    <x v="17"/>
    <x v="1"/>
    <x v="3"/>
    <x v="438"/>
    <d v="2024-11-11T00:00:00"/>
    <x v="9"/>
    <x v="5"/>
    <x v="4"/>
    <x v="2528"/>
    <n v="3"/>
    <x v="1"/>
    <s v="Recovered"/>
    <x v="0"/>
    <x v="2"/>
    <s v="Insurance"/>
    <n v="5"/>
    <x v="2520"/>
    <s v="Yes"/>
    <x v="0"/>
  </r>
  <r>
    <x v="2530"/>
    <x v="52"/>
    <x v="0"/>
    <x v="3"/>
    <x v="846"/>
    <d v="2024-06-02T00:00:00"/>
    <x v="0"/>
    <x v="0"/>
    <x v="0"/>
    <x v="2529"/>
    <n v="5"/>
    <x v="1"/>
    <s v="Deceased"/>
    <x v="2"/>
    <x v="1"/>
    <s v="Card"/>
    <n v="14"/>
    <x v="2521"/>
    <s v="No"/>
    <x v="0"/>
  </r>
  <r>
    <x v="2531"/>
    <x v="12"/>
    <x v="1"/>
    <x v="5"/>
    <x v="742"/>
    <d v="2024-08-20T00:00:00"/>
    <x v="4"/>
    <x v="3"/>
    <x v="3"/>
    <x v="2530"/>
    <n v="12"/>
    <x v="0"/>
    <s v="Recovered"/>
    <x v="2"/>
    <x v="1"/>
    <s v="Cash"/>
    <n v="9"/>
    <x v="2522"/>
    <s v="Yes"/>
    <x v="0"/>
  </r>
  <r>
    <x v="2532"/>
    <x v="3"/>
    <x v="1"/>
    <x v="0"/>
    <x v="358"/>
    <d v="2024-09-23T00:00:00"/>
    <x v="5"/>
    <x v="4"/>
    <x v="6"/>
    <x v="2531"/>
    <n v="10"/>
    <x v="1"/>
    <s v="Recovered"/>
    <x v="0"/>
    <x v="3"/>
    <s v="UPI"/>
    <n v="1"/>
    <x v="2523"/>
    <s v="No"/>
    <x v="0"/>
  </r>
  <r>
    <x v="2533"/>
    <x v="34"/>
    <x v="0"/>
    <x v="6"/>
    <x v="465"/>
    <d v="2025-01-06T00:00:00"/>
    <x v="2"/>
    <x v="2"/>
    <x v="0"/>
    <x v="2532"/>
    <n v="20"/>
    <x v="1"/>
    <s v="Recovered"/>
    <x v="1"/>
    <x v="1"/>
    <s v="Insurance"/>
    <n v="13"/>
    <x v="2524"/>
    <s v="Yes"/>
    <x v="0"/>
  </r>
  <r>
    <x v="2534"/>
    <x v="62"/>
    <x v="1"/>
    <x v="1"/>
    <x v="467"/>
    <d v="2024-01-08T00:00:00"/>
    <x v="8"/>
    <x v="6"/>
    <x v="3"/>
    <x v="2533"/>
    <n v="13"/>
    <x v="1"/>
    <s v="Under Observation"/>
    <x v="0"/>
    <x v="0"/>
    <s v="Insurance"/>
    <n v="9"/>
    <x v="2525"/>
    <s v="No"/>
    <x v="0"/>
  </r>
  <r>
    <x v="2535"/>
    <x v="19"/>
    <x v="0"/>
    <x v="2"/>
    <x v="715"/>
    <d v="2023-08-04T00:00:00"/>
    <x v="7"/>
    <x v="5"/>
    <x v="5"/>
    <x v="2534"/>
    <n v="13"/>
    <x v="0"/>
    <s v="Recovered"/>
    <x v="1"/>
    <x v="0"/>
    <s v="UPI"/>
    <n v="6"/>
    <x v="2526"/>
    <s v="Yes"/>
    <x v="0"/>
  </r>
  <r>
    <x v="2536"/>
    <x v="9"/>
    <x v="0"/>
    <x v="0"/>
    <x v="650"/>
    <d v="2023-09-29T00:00:00"/>
    <x v="9"/>
    <x v="5"/>
    <x v="0"/>
    <x v="2535"/>
    <n v="20"/>
    <x v="1"/>
    <s v="Recovered"/>
    <x v="1"/>
    <x v="3"/>
    <s v="Card"/>
    <n v="4"/>
    <x v="2527"/>
    <s v="No"/>
    <x v="0"/>
  </r>
  <r>
    <x v="2537"/>
    <x v="44"/>
    <x v="0"/>
    <x v="2"/>
    <x v="490"/>
    <d v="2023-10-19T00:00:00"/>
    <x v="7"/>
    <x v="5"/>
    <x v="0"/>
    <x v="2536"/>
    <n v="5"/>
    <x v="0"/>
    <s v="Recovered"/>
    <x v="2"/>
    <x v="3"/>
    <s v="Insurance"/>
    <n v="6"/>
    <x v="2528"/>
    <s v="Yes"/>
    <x v="0"/>
  </r>
  <r>
    <x v="2538"/>
    <x v="50"/>
    <x v="0"/>
    <x v="3"/>
    <x v="701"/>
    <d v="2024-05-22T00:00:00"/>
    <x v="9"/>
    <x v="5"/>
    <x v="3"/>
    <x v="2537"/>
    <n v="7"/>
    <x v="0"/>
    <s v="Recovered"/>
    <x v="0"/>
    <x v="1"/>
    <s v="Card"/>
    <n v="3"/>
    <x v="2529"/>
    <s v="No"/>
    <x v="0"/>
  </r>
  <r>
    <x v="2539"/>
    <x v="30"/>
    <x v="1"/>
    <x v="6"/>
    <x v="305"/>
    <d v="2023-09-23T00:00:00"/>
    <x v="9"/>
    <x v="5"/>
    <x v="7"/>
    <x v="2538"/>
    <n v="30"/>
    <x v="0"/>
    <s v="Under Observation"/>
    <x v="1"/>
    <x v="2"/>
    <s v="Card"/>
    <n v="10"/>
    <x v="2530"/>
    <s v="Yes"/>
    <x v="0"/>
  </r>
  <r>
    <x v="2540"/>
    <x v="14"/>
    <x v="0"/>
    <x v="6"/>
    <x v="534"/>
    <d v="2024-12-23T00:00:00"/>
    <x v="2"/>
    <x v="2"/>
    <x v="2"/>
    <x v="2539"/>
    <n v="10"/>
    <x v="0"/>
    <s v="Recovered"/>
    <x v="1"/>
    <x v="1"/>
    <s v="UPI"/>
    <n v="11"/>
    <x v="2531"/>
    <s v="No"/>
    <x v="0"/>
  </r>
  <r>
    <x v="2541"/>
    <x v="33"/>
    <x v="0"/>
    <x v="2"/>
    <x v="457"/>
    <d v="2024-01-04T00:00:00"/>
    <x v="3"/>
    <x v="0"/>
    <x v="4"/>
    <x v="2540"/>
    <n v="14"/>
    <x v="1"/>
    <s v="Recovered"/>
    <x v="0"/>
    <x v="0"/>
    <s v="Card"/>
    <n v="4"/>
    <x v="2532"/>
    <s v="No"/>
    <x v="0"/>
  </r>
  <r>
    <x v="2542"/>
    <x v="71"/>
    <x v="0"/>
    <x v="7"/>
    <x v="141"/>
    <d v="2023-08-25T00:00:00"/>
    <x v="9"/>
    <x v="5"/>
    <x v="6"/>
    <x v="2541"/>
    <n v="17"/>
    <x v="1"/>
    <s v="Recovered"/>
    <x v="1"/>
    <x v="0"/>
    <s v="Cash"/>
    <n v="11"/>
    <x v="2533"/>
    <s v="Yes"/>
    <x v="0"/>
  </r>
  <r>
    <x v="2543"/>
    <x v="16"/>
    <x v="0"/>
    <x v="5"/>
    <x v="778"/>
    <d v="2024-07-15T00:00:00"/>
    <x v="9"/>
    <x v="5"/>
    <x v="3"/>
    <x v="2542"/>
    <n v="14"/>
    <x v="0"/>
    <s v="Recovered"/>
    <x v="0"/>
    <x v="3"/>
    <s v="Card"/>
    <n v="15"/>
    <x v="2534"/>
    <s v="Yes"/>
    <x v="1"/>
  </r>
  <r>
    <x v="2544"/>
    <x v="32"/>
    <x v="0"/>
    <x v="5"/>
    <x v="271"/>
    <d v="2023-05-26T00:00:00"/>
    <x v="0"/>
    <x v="0"/>
    <x v="1"/>
    <x v="2543"/>
    <n v="3"/>
    <x v="0"/>
    <s v="Under Observation"/>
    <x v="1"/>
    <x v="1"/>
    <s v="UPI"/>
    <n v="9"/>
    <x v="2535"/>
    <s v="No"/>
    <x v="0"/>
  </r>
  <r>
    <x v="2545"/>
    <x v="44"/>
    <x v="0"/>
    <x v="1"/>
    <x v="575"/>
    <d v="2023-07-29T00:00:00"/>
    <x v="6"/>
    <x v="2"/>
    <x v="0"/>
    <x v="2544"/>
    <n v="10"/>
    <x v="0"/>
    <s v="Recovered"/>
    <x v="1"/>
    <x v="2"/>
    <s v="Insurance"/>
    <n v="10"/>
    <x v="2536"/>
    <s v="No"/>
    <x v="0"/>
  </r>
  <r>
    <x v="2546"/>
    <x v="19"/>
    <x v="1"/>
    <x v="5"/>
    <x v="847"/>
    <d v="2024-03-03T00:00:00"/>
    <x v="6"/>
    <x v="2"/>
    <x v="0"/>
    <x v="2545"/>
    <n v="10"/>
    <x v="0"/>
    <s v="Recovered"/>
    <x v="0"/>
    <x v="0"/>
    <s v="Insurance"/>
    <n v="14"/>
    <x v="2537"/>
    <s v="No"/>
    <x v="0"/>
  </r>
  <r>
    <x v="2547"/>
    <x v="8"/>
    <x v="0"/>
    <x v="2"/>
    <x v="922"/>
    <d v="2023-11-10T00:00:00"/>
    <x v="1"/>
    <x v="1"/>
    <x v="5"/>
    <x v="2546"/>
    <n v="1"/>
    <x v="1"/>
    <s v="Recovered"/>
    <x v="2"/>
    <x v="3"/>
    <s v="Cash"/>
    <n v="1"/>
    <x v="2538"/>
    <s v="Yes"/>
    <x v="0"/>
  </r>
  <r>
    <x v="2548"/>
    <x v="71"/>
    <x v="0"/>
    <x v="7"/>
    <x v="652"/>
    <d v="2024-01-27T00:00:00"/>
    <x v="8"/>
    <x v="6"/>
    <x v="0"/>
    <x v="2547"/>
    <n v="10"/>
    <x v="0"/>
    <s v="Under Observation"/>
    <x v="2"/>
    <x v="0"/>
    <s v="Cash"/>
    <n v="9"/>
    <x v="2539"/>
    <s v="Yes"/>
    <x v="0"/>
  </r>
  <r>
    <x v="2549"/>
    <x v="35"/>
    <x v="0"/>
    <x v="7"/>
    <x v="702"/>
    <d v="2023-06-18T00:00:00"/>
    <x v="5"/>
    <x v="4"/>
    <x v="4"/>
    <x v="2548"/>
    <n v="19"/>
    <x v="0"/>
    <s v="Under Observation"/>
    <x v="0"/>
    <x v="1"/>
    <s v="UPI"/>
    <n v="14"/>
    <x v="2540"/>
    <s v="No"/>
    <x v="0"/>
  </r>
  <r>
    <x v="2550"/>
    <x v="49"/>
    <x v="0"/>
    <x v="2"/>
    <x v="303"/>
    <d v="2024-05-09T00:00:00"/>
    <x v="1"/>
    <x v="1"/>
    <x v="1"/>
    <x v="2549"/>
    <n v="14"/>
    <x v="1"/>
    <s v="Recovered"/>
    <x v="0"/>
    <x v="0"/>
    <s v="Cash"/>
    <n v="2"/>
    <x v="2541"/>
    <s v="No"/>
    <x v="0"/>
  </r>
  <r>
    <x v="2551"/>
    <x v="13"/>
    <x v="1"/>
    <x v="0"/>
    <x v="424"/>
    <d v="2024-07-13T00:00:00"/>
    <x v="9"/>
    <x v="5"/>
    <x v="4"/>
    <x v="2550"/>
    <n v="7"/>
    <x v="1"/>
    <s v="Recovered"/>
    <x v="2"/>
    <x v="3"/>
    <s v="Cash"/>
    <n v="5"/>
    <x v="2542"/>
    <s v="No"/>
    <x v="0"/>
  </r>
  <r>
    <x v="2552"/>
    <x v="14"/>
    <x v="0"/>
    <x v="0"/>
    <x v="390"/>
    <d v="2023-11-10T00:00:00"/>
    <x v="2"/>
    <x v="2"/>
    <x v="7"/>
    <x v="2551"/>
    <n v="11"/>
    <x v="1"/>
    <s v="Recovered"/>
    <x v="2"/>
    <x v="3"/>
    <s v="Card"/>
    <n v="10"/>
    <x v="2543"/>
    <s v="Yes"/>
    <x v="0"/>
  </r>
  <r>
    <x v="2553"/>
    <x v="34"/>
    <x v="1"/>
    <x v="6"/>
    <x v="667"/>
    <d v="2023-10-12T00:00:00"/>
    <x v="6"/>
    <x v="2"/>
    <x v="2"/>
    <x v="2552"/>
    <n v="8"/>
    <x v="1"/>
    <s v="Recovered"/>
    <x v="0"/>
    <x v="1"/>
    <s v="Insurance"/>
    <n v="10"/>
    <x v="2544"/>
    <s v="No"/>
    <x v="1"/>
  </r>
  <r>
    <x v="2554"/>
    <x v="24"/>
    <x v="0"/>
    <x v="6"/>
    <x v="448"/>
    <d v="2023-12-17T00:00:00"/>
    <x v="0"/>
    <x v="0"/>
    <x v="7"/>
    <x v="2553"/>
    <n v="19"/>
    <x v="0"/>
    <s v="Recovered"/>
    <x v="0"/>
    <x v="2"/>
    <s v="UPI"/>
    <n v="2"/>
    <x v="2545"/>
    <s v="Yes"/>
    <x v="0"/>
  </r>
  <r>
    <x v="2555"/>
    <x v="3"/>
    <x v="1"/>
    <x v="1"/>
    <x v="546"/>
    <d v="2025-02-02T00:00:00"/>
    <x v="9"/>
    <x v="5"/>
    <x v="1"/>
    <x v="2554"/>
    <n v="16"/>
    <x v="1"/>
    <s v="Recovered"/>
    <x v="0"/>
    <x v="3"/>
    <s v="UPI"/>
    <n v="14"/>
    <x v="2546"/>
    <s v="No"/>
    <x v="0"/>
  </r>
  <r>
    <x v="2556"/>
    <x v="11"/>
    <x v="1"/>
    <x v="4"/>
    <x v="335"/>
    <d v="2025-03-19T00:00:00"/>
    <x v="8"/>
    <x v="6"/>
    <x v="2"/>
    <x v="2555"/>
    <n v="30"/>
    <x v="1"/>
    <s v="Recovered"/>
    <x v="1"/>
    <x v="2"/>
    <s v="Insurance"/>
    <n v="3"/>
    <x v="2547"/>
    <s v="No"/>
    <x v="0"/>
  </r>
  <r>
    <x v="2557"/>
    <x v="17"/>
    <x v="1"/>
    <x v="4"/>
    <x v="67"/>
    <d v="2023-02-11T00:00:00"/>
    <x v="4"/>
    <x v="3"/>
    <x v="2"/>
    <x v="2556"/>
    <n v="17"/>
    <x v="1"/>
    <s v="Recovered"/>
    <x v="0"/>
    <x v="3"/>
    <s v="UPI"/>
    <n v="8"/>
    <x v="2548"/>
    <s v="No"/>
    <x v="0"/>
  </r>
  <r>
    <x v="2558"/>
    <x v="17"/>
    <x v="1"/>
    <x v="0"/>
    <x v="93"/>
    <d v="2025-08-06T00:00:00"/>
    <x v="4"/>
    <x v="3"/>
    <x v="3"/>
    <x v="2557"/>
    <n v="5"/>
    <x v="1"/>
    <s v="Recovered"/>
    <x v="0"/>
    <x v="3"/>
    <s v="Card"/>
    <n v="4"/>
    <x v="2549"/>
    <s v="Yes"/>
    <x v="0"/>
  </r>
  <r>
    <x v="2559"/>
    <x v="55"/>
    <x v="0"/>
    <x v="2"/>
    <x v="751"/>
    <d v="2024-07-11T00:00:00"/>
    <x v="6"/>
    <x v="2"/>
    <x v="2"/>
    <x v="2558"/>
    <n v="13"/>
    <x v="0"/>
    <s v="Recovered"/>
    <x v="2"/>
    <x v="1"/>
    <s v="Cash"/>
    <n v="13"/>
    <x v="2550"/>
    <s v="Yes"/>
    <x v="0"/>
  </r>
  <r>
    <x v="2560"/>
    <x v="58"/>
    <x v="1"/>
    <x v="7"/>
    <x v="801"/>
    <d v="2025-05-14T00:00:00"/>
    <x v="8"/>
    <x v="6"/>
    <x v="3"/>
    <x v="2559"/>
    <n v="9"/>
    <x v="1"/>
    <s v="Recovered"/>
    <x v="2"/>
    <x v="0"/>
    <s v="Cash"/>
    <n v="3"/>
    <x v="2551"/>
    <s v="Yes"/>
    <x v="0"/>
  </r>
  <r>
    <x v="2561"/>
    <x v="0"/>
    <x v="0"/>
    <x v="6"/>
    <x v="547"/>
    <d v="2024-05-25T00:00:00"/>
    <x v="7"/>
    <x v="5"/>
    <x v="6"/>
    <x v="2560"/>
    <n v="4"/>
    <x v="1"/>
    <s v="Recovered"/>
    <x v="1"/>
    <x v="3"/>
    <s v="Cash"/>
    <n v="5"/>
    <x v="2552"/>
    <s v="Yes"/>
    <x v="0"/>
  </r>
  <r>
    <x v="2562"/>
    <x v="8"/>
    <x v="0"/>
    <x v="2"/>
    <x v="377"/>
    <d v="2024-05-20T00:00:00"/>
    <x v="8"/>
    <x v="6"/>
    <x v="4"/>
    <x v="2561"/>
    <n v="3"/>
    <x v="1"/>
    <s v="Recovered"/>
    <x v="1"/>
    <x v="3"/>
    <s v="Card"/>
    <n v="14"/>
    <x v="2553"/>
    <s v="No"/>
    <x v="0"/>
  </r>
  <r>
    <x v="2563"/>
    <x v="54"/>
    <x v="1"/>
    <x v="5"/>
    <x v="889"/>
    <d v="2025-03-28T00:00:00"/>
    <x v="2"/>
    <x v="2"/>
    <x v="1"/>
    <x v="2562"/>
    <n v="14"/>
    <x v="0"/>
    <s v="Under Observation"/>
    <x v="1"/>
    <x v="0"/>
    <s v="Card"/>
    <n v="1"/>
    <x v="2554"/>
    <s v="Yes"/>
    <x v="0"/>
  </r>
  <r>
    <x v="2564"/>
    <x v="71"/>
    <x v="0"/>
    <x v="1"/>
    <x v="140"/>
    <d v="2025-04-03T00:00:00"/>
    <x v="8"/>
    <x v="6"/>
    <x v="6"/>
    <x v="2563"/>
    <n v="17"/>
    <x v="1"/>
    <s v="Recovered"/>
    <x v="1"/>
    <x v="0"/>
    <s v="Insurance"/>
    <n v="9"/>
    <x v="2555"/>
    <s v="Yes"/>
    <x v="1"/>
  </r>
  <r>
    <x v="2565"/>
    <x v="51"/>
    <x v="1"/>
    <x v="0"/>
    <x v="473"/>
    <d v="2024-10-10T00:00:00"/>
    <x v="7"/>
    <x v="5"/>
    <x v="2"/>
    <x v="2564"/>
    <n v="12"/>
    <x v="1"/>
    <s v="Recovered"/>
    <x v="0"/>
    <x v="1"/>
    <s v="Card"/>
    <n v="8"/>
    <x v="2556"/>
    <s v="No"/>
    <x v="0"/>
  </r>
  <r>
    <x v="2566"/>
    <x v="63"/>
    <x v="0"/>
    <x v="2"/>
    <x v="59"/>
    <d v="2024-09-16T00:00:00"/>
    <x v="4"/>
    <x v="3"/>
    <x v="0"/>
    <x v="2565"/>
    <n v="13"/>
    <x v="0"/>
    <s v="Recovered"/>
    <x v="0"/>
    <x v="2"/>
    <s v="Cash"/>
    <n v="6"/>
    <x v="2557"/>
    <s v="Yes"/>
    <x v="0"/>
  </r>
  <r>
    <x v="2567"/>
    <x v="9"/>
    <x v="0"/>
    <x v="4"/>
    <x v="347"/>
    <d v="2024-05-14T00:00:00"/>
    <x v="5"/>
    <x v="4"/>
    <x v="5"/>
    <x v="2566"/>
    <n v="1"/>
    <x v="1"/>
    <s v="Recovered"/>
    <x v="1"/>
    <x v="3"/>
    <s v="UPI"/>
    <n v="13"/>
    <x v="2558"/>
    <s v="Yes"/>
    <x v="0"/>
  </r>
  <r>
    <x v="2568"/>
    <x v="59"/>
    <x v="1"/>
    <x v="4"/>
    <x v="923"/>
    <d v="2023-11-20T00:00:00"/>
    <x v="9"/>
    <x v="5"/>
    <x v="6"/>
    <x v="2567"/>
    <n v="12"/>
    <x v="0"/>
    <s v="Recovered"/>
    <x v="0"/>
    <x v="2"/>
    <s v="Insurance"/>
    <n v="5"/>
    <x v="2559"/>
    <s v="No"/>
    <x v="0"/>
  </r>
  <r>
    <x v="2569"/>
    <x v="9"/>
    <x v="1"/>
    <x v="5"/>
    <x v="225"/>
    <d v="2024-12-19T00:00:00"/>
    <x v="0"/>
    <x v="0"/>
    <x v="7"/>
    <x v="2568"/>
    <n v="3"/>
    <x v="1"/>
    <s v="Under Observation"/>
    <x v="0"/>
    <x v="1"/>
    <s v="UPI"/>
    <n v="10"/>
    <x v="2560"/>
    <s v="Yes"/>
    <x v="0"/>
  </r>
  <r>
    <x v="2570"/>
    <x v="0"/>
    <x v="0"/>
    <x v="5"/>
    <x v="595"/>
    <d v="2025-10-03T00:00:00"/>
    <x v="4"/>
    <x v="3"/>
    <x v="3"/>
    <x v="2569"/>
    <n v="20"/>
    <x v="1"/>
    <s v="Recovered"/>
    <x v="1"/>
    <x v="3"/>
    <s v="Card"/>
    <n v="5"/>
    <x v="2561"/>
    <s v="Yes"/>
    <x v="0"/>
  </r>
  <r>
    <x v="2571"/>
    <x v="2"/>
    <x v="0"/>
    <x v="0"/>
    <x v="546"/>
    <d v="2025-01-21T00:00:00"/>
    <x v="7"/>
    <x v="5"/>
    <x v="0"/>
    <x v="2570"/>
    <n v="4"/>
    <x v="0"/>
    <s v="Recovered"/>
    <x v="2"/>
    <x v="2"/>
    <s v="UPI"/>
    <n v="15"/>
    <x v="2562"/>
    <s v="Yes"/>
    <x v="1"/>
  </r>
  <r>
    <x v="2572"/>
    <x v="18"/>
    <x v="1"/>
    <x v="3"/>
    <x v="92"/>
    <d v="2024-11-29T00:00:00"/>
    <x v="3"/>
    <x v="0"/>
    <x v="7"/>
    <x v="2571"/>
    <n v="18"/>
    <x v="0"/>
    <s v="Recovered"/>
    <x v="2"/>
    <x v="1"/>
    <s v="Cash"/>
    <n v="3"/>
    <x v="2563"/>
    <s v="No"/>
    <x v="0"/>
  </r>
  <r>
    <x v="2573"/>
    <x v="28"/>
    <x v="0"/>
    <x v="7"/>
    <x v="808"/>
    <d v="2025-07-27T00:00:00"/>
    <x v="7"/>
    <x v="5"/>
    <x v="3"/>
    <x v="2572"/>
    <n v="18"/>
    <x v="1"/>
    <s v="Recovered"/>
    <x v="1"/>
    <x v="3"/>
    <s v="Card"/>
    <n v="12"/>
    <x v="2564"/>
    <s v="No"/>
    <x v="0"/>
  </r>
  <r>
    <x v="2574"/>
    <x v="22"/>
    <x v="1"/>
    <x v="2"/>
    <x v="429"/>
    <d v="2024-05-18T00:00:00"/>
    <x v="1"/>
    <x v="1"/>
    <x v="3"/>
    <x v="2573"/>
    <n v="13"/>
    <x v="1"/>
    <s v="Recovered"/>
    <x v="2"/>
    <x v="1"/>
    <s v="Cash"/>
    <n v="8"/>
    <x v="2565"/>
    <s v="No"/>
    <x v="0"/>
  </r>
  <r>
    <x v="2575"/>
    <x v="56"/>
    <x v="1"/>
    <x v="7"/>
    <x v="429"/>
    <d v="2024-05-16T00:00:00"/>
    <x v="6"/>
    <x v="2"/>
    <x v="2"/>
    <x v="2574"/>
    <n v="11"/>
    <x v="0"/>
    <s v="Recovered"/>
    <x v="2"/>
    <x v="2"/>
    <s v="UPI"/>
    <n v="3"/>
    <x v="2566"/>
    <s v="Yes"/>
    <x v="1"/>
  </r>
  <r>
    <x v="2576"/>
    <x v="46"/>
    <x v="1"/>
    <x v="7"/>
    <x v="652"/>
    <d v="2024-01-26T00:00:00"/>
    <x v="4"/>
    <x v="3"/>
    <x v="6"/>
    <x v="2575"/>
    <n v="9"/>
    <x v="1"/>
    <s v="Recovered"/>
    <x v="2"/>
    <x v="0"/>
    <s v="Insurance"/>
    <n v="6"/>
    <x v="2567"/>
    <s v="No"/>
    <x v="0"/>
  </r>
  <r>
    <x v="2577"/>
    <x v="32"/>
    <x v="1"/>
    <x v="4"/>
    <x v="159"/>
    <d v="2023-07-28T00:00:00"/>
    <x v="6"/>
    <x v="2"/>
    <x v="4"/>
    <x v="2576"/>
    <n v="20"/>
    <x v="1"/>
    <s v="Recovered"/>
    <x v="0"/>
    <x v="1"/>
    <s v="Cash"/>
    <n v="7"/>
    <x v="2568"/>
    <s v="Yes"/>
    <x v="0"/>
  </r>
  <r>
    <x v="2578"/>
    <x v="16"/>
    <x v="1"/>
    <x v="6"/>
    <x v="792"/>
    <d v="2025-08-27T00:00:00"/>
    <x v="0"/>
    <x v="0"/>
    <x v="5"/>
    <x v="2577"/>
    <n v="19"/>
    <x v="1"/>
    <s v="Under Observation"/>
    <x v="0"/>
    <x v="3"/>
    <s v="Insurance"/>
    <n v="4"/>
    <x v="2569"/>
    <s v="No"/>
    <x v="0"/>
  </r>
  <r>
    <x v="2579"/>
    <x v="14"/>
    <x v="1"/>
    <x v="2"/>
    <x v="705"/>
    <d v="2024-05-29T00:00:00"/>
    <x v="7"/>
    <x v="5"/>
    <x v="3"/>
    <x v="2578"/>
    <n v="11"/>
    <x v="1"/>
    <s v="Under Observation"/>
    <x v="2"/>
    <x v="1"/>
    <s v="Card"/>
    <n v="8"/>
    <x v="2570"/>
    <s v="No"/>
    <x v="0"/>
  </r>
  <r>
    <x v="2580"/>
    <x v="14"/>
    <x v="1"/>
    <x v="6"/>
    <x v="405"/>
    <d v="2023-07-17T00:00:00"/>
    <x v="8"/>
    <x v="6"/>
    <x v="3"/>
    <x v="2579"/>
    <n v="2"/>
    <x v="1"/>
    <s v="Under Observation"/>
    <x v="2"/>
    <x v="3"/>
    <s v="Insurance"/>
    <n v="15"/>
    <x v="2571"/>
    <s v="Yes"/>
    <x v="0"/>
  </r>
  <r>
    <x v="2581"/>
    <x v="38"/>
    <x v="1"/>
    <x v="7"/>
    <x v="563"/>
    <d v="2023-02-09T00:00:00"/>
    <x v="5"/>
    <x v="4"/>
    <x v="2"/>
    <x v="2580"/>
    <n v="9"/>
    <x v="0"/>
    <s v="Recovered"/>
    <x v="2"/>
    <x v="1"/>
    <s v="Cash"/>
    <n v="12"/>
    <x v="2572"/>
    <s v="No"/>
    <x v="0"/>
  </r>
  <r>
    <x v="2582"/>
    <x v="5"/>
    <x v="0"/>
    <x v="1"/>
    <x v="462"/>
    <d v="2024-04-26T00:00:00"/>
    <x v="8"/>
    <x v="6"/>
    <x v="0"/>
    <x v="2581"/>
    <n v="20"/>
    <x v="1"/>
    <s v="Recovered"/>
    <x v="2"/>
    <x v="0"/>
    <s v="Cash"/>
    <n v="6"/>
    <x v="2573"/>
    <s v="Yes"/>
    <x v="0"/>
  </r>
  <r>
    <x v="2583"/>
    <x v="54"/>
    <x v="1"/>
    <x v="5"/>
    <x v="515"/>
    <d v="2024-05-21T00:00:00"/>
    <x v="5"/>
    <x v="4"/>
    <x v="6"/>
    <x v="2582"/>
    <n v="7"/>
    <x v="1"/>
    <s v="Under Observation"/>
    <x v="1"/>
    <x v="0"/>
    <s v="Card"/>
    <n v="10"/>
    <x v="2574"/>
    <s v="Yes"/>
    <x v="0"/>
  </r>
  <r>
    <x v="2584"/>
    <x v="10"/>
    <x v="0"/>
    <x v="7"/>
    <x v="905"/>
    <d v="2024-05-13T00:00:00"/>
    <x v="6"/>
    <x v="2"/>
    <x v="7"/>
    <x v="2583"/>
    <n v="1"/>
    <x v="0"/>
    <s v="Recovered"/>
    <x v="1"/>
    <x v="1"/>
    <s v="Insurance"/>
    <n v="2"/>
    <x v="2575"/>
    <s v="No"/>
    <x v="0"/>
  </r>
  <r>
    <x v="2585"/>
    <x v="27"/>
    <x v="1"/>
    <x v="3"/>
    <x v="751"/>
    <d v="2024-07-14T00:00:00"/>
    <x v="5"/>
    <x v="4"/>
    <x v="1"/>
    <x v="2584"/>
    <n v="16"/>
    <x v="1"/>
    <s v="Recovered"/>
    <x v="2"/>
    <x v="1"/>
    <s v="UPI"/>
    <n v="10"/>
    <x v="2576"/>
    <s v="Yes"/>
    <x v="0"/>
  </r>
  <r>
    <x v="2586"/>
    <x v="39"/>
    <x v="0"/>
    <x v="5"/>
    <x v="772"/>
    <d v="2025-05-27T00:00:00"/>
    <x v="8"/>
    <x v="6"/>
    <x v="5"/>
    <x v="2585"/>
    <n v="3"/>
    <x v="0"/>
    <s v="Recovered"/>
    <x v="1"/>
    <x v="3"/>
    <s v="Insurance"/>
    <n v="10"/>
    <x v="2577"/>
    <s v="Yes"/>
    <x v="0"/>
  </r>
  <r>
    <x v="2587"/>
    <x v="54"/>
    <x v="1"/>
    <x v="0"/>
    <x v="167"/>
    <d v="2023-03-28T00:00:00"/>
    <x v="8"/>
    <x v="6"/>
    <x v="3"/>
    <x v="2586"/>
    <n v="8"/>
    <x v="1"/>
    <s v="Recovered"/>
    <x v="2"/>
    <x v="1"/>
    <s v="Insurance"/>
    <n v="12"/>
    <x v="2578"/>
    <s v="Yes"/>
    <x v="0"/>
  </r>
  <r>
    <x v="2588"/>
    <x v="19"/>
    <x v="1"/>
    <x v="4"/>
    <x v="924"/>
    <d v="2023-09-21T00:00:00"/>
    <x v="0"/>
    <x v="0"/>
    <x v="5"/>
    <x v="2587"/>
    <n v="17"/>
    <x v="1"/>
    <s v="Recovered"/>
    <x v="0"/>
    <x v="3"/>
    <s v="Card"/>
    <n v="4"/>
    <x v="2579"/>
    <s v="Yes"/>
    <x v="0"/>
  </r>
  <r>
    <x v="2589"/>
    <x v="10"/>
    <x v="0"/>
    <x v="2"/>
    <x v="4"/>
    <d v="2025-08-27T00:00:00"/>
    <x v="1"/>
    <x v="1"/>
    <x v="5"/>
    <x v="2588"/>
    <n v="10"/>
    <x v="1"/>
    <s v="Under Observation"/>
    <x v="0"/>
    <x v="0"/>
    <s v="UPI"/>
    <n v="10"/>
    <x v="2580"/>
    <s v="No"/>
    <x v="0"/>
  </r>
  <r>
    <x v="2590"/>
    <x v="12"/>
    <x v="0"/>
    <x v="0"/>
    <x v="153"/>
    <d v="2025-07-11T00:00:00"/>
    <x v="5"/>
    <x v="4"/>
    <x v="4"/>
    <x v="2589"/>
    <n v="8"/>
    <x v="0"/>
    <s v="Recovered"/>
    <x v="0"/>
    <x v="3"/>
    <s v="UPI"/>
    <n v="6"/>
    <x v="2581"/>
    <s v="Yes"/>
    <x v="0"/>
  </r>
  <r>
    <x v="2591"/>
    <x v="15"/>
    <x v="0"/>
    <x v="4"/>
    <x v="802"/>
    <d v="2023-12-31T00:00:00"/>
    <x v="9"/>
    <x v="5"/>
    <x v="3"/>
    <x v="2590"/>
    <n v="7"/>
    <x v="1"/>
    <s v="Recovered"/>
    <x v="1"/>
    <x v="0"/>
    <s v="UPI"/>
    <n v="2"/>
    <x v="2582"/>
    <s v="Yes"/>
    <x v="0"/>
  </r>
  <r>
    <x v="2592"/>
    <x v="28"/>
    <x v="0"/>
    <x v="0"/>
    <x v="170"/>
    <d v="2023-02-12T00:00:00"/>
    <x v="3"/>
    <x v="0"/>
    <x v="5"/>
    <x v="2591"/>
    <n v="8"/>
    <x v="1"/>
    <s v="Under Observation"/>
    <x v="0"/>
    <x v="2"/>
    <s v="Card"/>
    <n v="1"/>
    <x v="2583"/>
    <s v="No"/>
    <x v="0"/>
  </r>
  <r>
    <x v="2593"/>
    <x v="49"/>
    <x v="1"/>
    <x v="6"/>
    <x v="825"/>
    <d v="2023-05-23T00:00:00"/>
    <x v="6"/>
    <x v="2"/>
    <x v="5"/>
    <x v="2592"/>
    <n v="5"/>
    <x v="0"/>
    <s v="Recovered"/>
    <x v="1"/>
    <x v="3"/>
    <s v="Insurance"/>
    <n v="3"/>
    <x v="2584"/>
    <s v="No"/>
    <x v="0"/>
  </r>
  <r>
    <x v="2594"/>
    <x v="43"/>
    <x v="1"/>
    <x v="2"/>
    <x v="706"/>
    <d v="2025-02-19T00:00:00"/>
    <x v="7"/>
    <x v="5"/>
    <x v="1"/>
    <x v="2593"/>
    <n v="10"/>
    <x v="1"/>
    <s v="Recovered"/>
    <x v="0"/>
    <x v="2"/>
    <s v="Insurance"/>
    <n v="12"/>
    <x v="2585"/>
    <s v="No"/>
    <x v="0"/>
  </r>
  <r>
    <x v="2595"/>
    <x v="58"/>
    <x v="0"/>
    <x v="0"/>
    <x v="466"/>
    <d v="2023-01-24T00:00:00"/>
    <x v="0"/>
    <x v="0"/>
    <x v="5"/>
    <x v="2594"/>
    <n v="20"/>
    <x v="1"/>
    <s v="Recovered"/>
    <x v="2"/>
    <x v="3"/>
    <s v="Insurance"/>
    <n v="6"/>
    <x v="2586"/>
    <s v="No"/>
    <x v="0"/>
  </r>
  <r>
    <x v="2596"/>
    <x v="39"/>
    <x v="0"/>
    <x v="0"/>
    <x v="156"/>
    <d v="2024-08-25T00:00:00"/>
    <x v="3"/>
    <x v="0"/>
    <x v="1"/>
    <x v="2595"/>
    <n v="27"/>
    <x v="1"/>
    <s v="Referred"/>
    <x v="0"/>
    <x v="2"/>
    <s v="Cash"/>
    <n v="14"/>
    <x v="2587"/>
    <s v="Yes"/>
    <x v="0"/>
  </r>
  <r>
    <x v="2597"/>
    <x v="62"/>
    <x v="1"/>
    <x v="0"/>
    <x v="889"/>
    <d v="2025-03-28T00:00:00"/>
    <x v="8"/>
    <x v="6"/>
    <x v="5"/>
    <x v="2596"/>
    <n v="14"/>
    <x v="0"/>
    <s v="Recovered"/>
    <x v="2"/>
    <x v="2"/>
    <s v="Card"/>
    <n v="4"/>
    <x v="2588"/>
    <s v="No"/>
    <x v="0"/>
  </r>
  <r>
    <x v="2598"/>
    <x v="7"/>
    <x v="0"/>
    <x v="7"/>
    <x v="177"/>
    <d v="2025-03-26T00:00:00"/>
    <x v="8"/>
    <x v="6"/>
    <x v="7"/>
    <x v="2597"/>
    <n v="13"/>
    <x v="1"/>
    <s v="Recovered"/>
    <x v="2"/>
    <x v="2"/>
    <s v="UPI"/>
    <n v="1"/>
    <x v="2589"/>
    <s v="No"/>
    <x v="0"/>
  </r>
  <r>
    <x v="2599"/>
    <x v="30"/>
    <x v="1"/>
    <x v="2"/>
    <x v="925"/>
    <d v="2024-05-25T00:00:00"/>
    <x v="6"/>
    <x v="2"/>
    <x v="2"/>
    <x v="2598"/>
    <n v="27"/>
    <x v="0"/>
    <s v="Recovered"/>
    <x v="1"/>
    <x v="2"/>
    <s v="UPI"/>
    <n v="5"/>
    <x v="2590"/>
    <s v="Yes"/>
    <x v="0"/>
  </r>
  <r>
    <x v="2600"/>
    <x v="24"/>
    <x v="1"/>
    <x v="2"/>
    <x v="293"/>
    <d v="2023-09-14T00:00:00"/>
    <x v="7"/>
    <x v="5"/>
    <x v="0"/>
    <x v="2599"/>
    <n v="9"/>
    <x v="0"/>
    <s v="Recovered"/>
    <x v="1"/>
    <x v="1"/>
    <s v="Insurance"/>
    <n v="12"/>
    <x v="2591"/>
    <s v="No"/>
    <x v="1"/>
  </r>
  <r>
    <x v="2601"/>
    <x v="48"/>
    <x v="0"/>
    <x v="1"/>
    <x v="765"/>
    <d v="2025-03-16T00:00:00"/>
    <x v="4"/>
    <x v="3"/>
    <x v="7"/>
    <x v="2600"/>
    <n v="16"/>
    <x v="0"/>
    <s v="Recovered"/>
    <x v="0"/>
    <x v="1"/>
    <s v="Card"/>
    <n v="2"/>
    <x v="2592"/>
    <s v="No"/>
    <x v="0"/>
  </r>
  <r>
    <x v="2602"/>
    <x v="72"/>
    <x v="1"/>
    <x v="3"/>
    <x v="65"/>
    <d v="2023-06-16T00:00:00"/>
    <x v="6"/>
    <x v="2"/>
    <x v="5"/>
    <x v="2601"/>
    <n v="8"/>
    <x v="1"/>
    <s v="Recovered"/>
    <x v="2"/>
    <x v="3"/>
    <s v="Card"/>
    <n v="9"/>
    <x v="2593"/>
    <s v="Yes"/>
    <x v="0"/>
  </r>
  <r>
    <x v="2603"/>
    <x v="4"/>
    <x v="1"/>
    <x v="4"/>
    <x v="759"/>
    <d v="2025-05-27T00:00:00"/>
    <x v="7"/>
    <x v="5"/>
    <x v="1"/>
    <x v="2602"/>
    <n v="20"/>
    <x v="0"/>
    <s v="Recovered"/>
    <x v="2"/>
    <x v="3"/>
    <s v="UPI"/>
    <n v="15"/>
    <x v="2594"/>
    <s v="Yes"/>
    <x v="0"/>
  </r>
  <r>
    <x v="2604"/>
    <x v="16"/>
    <x v="0"/>
    <x v="6"/>
    <x v="926"/>
    <d v="2025-01-05T00:00:00"/>
    <x v="7"/>
    <x v="5"/>
    <x v="1"/>
    <x v="2603"/>
    <n v="1"/>
    <x v="1"/>
    <s v="Recovered"/>
    <x v="1"/>
    <x v="3"/>
    <s v="UPI"/>
    <n v="11"/>
    <x v="2595"/>
    <s v="No"/>
    <x v="0"/>
  </r>
  <r>
    <x v="2605"/>
    <x v="61"/>
    <x v="1"/>
    <x v="3"/>
    <x v="96"/>
    <d v="2024-04-15T00:00:00"/>
    <x v="3"/>
    <x v="0"/>
    <x v="1"/>
    <x v="2604"/>
    <n v="8"/>
    <x v="0"/>
    <s v="Recovered"/>
    <x v="2"/>
    <x v="2"/>
    <s v="Card"/>
    <n v="10"/>
    <x v="2596"/>
    <s v="Yes"/>
    <x v="0"/>
  </r>
  <r>
    <x v="2606"/>
    <x v="60"/>
    <x v="0"/>
    <x v="7"/>
    <x v="227"/>
    <d v="2024-09-19T00:00:00"/>
    <x v="3"/>
    <x v="0"/>
    <x v="2"/>
    <x v="2605"/>
    <n v="11"/>
    <x v="1"/>
    <s v="Under Observation"/>
    <x v="0"/>
    <x v="0"/>
    <s v="Card"/>
    <n v="2"/>
    <x v="2597"/>
    <s v="Yes"/>
    <x v="1"/>
  </r>
  <r>
    <x v="2607"/>
    <x v="41"/>
    <x v="0"/>
    <x v="1"/>
    <x v="245"/>
    <d v="2024-02-08T00:00:00"/>
    <x v="3"/>
    <x v="0"/>
    <x v="4"/>
    <x v="2606"/>
    <n v="18"/>
    <x v="1"/>
    <s v="Recovered"/>
    <x v="0"/>
    <x v="3"/>
    <s v="Insurance"/>
    <n v="14"/>
    <x v="2598"/>
    <s v="No"/>
    <x v="0"/>
  </r>
  <r>
    <x v="2608"/>
    <x v="52"/>
    <x v="0"/>
    <x v="1"/>
    <x v="927"/>
    <d v="2024-01-06T00:00:00"/>
    <x v="4"/>
    <x v="3"/>
    <x v="5"/>
    <x v="2607"/>
    <n v="12"/>
    <x v="0"/>
    <s v="Recovered"/>
    <x v="2"/>
    <x v="3"/>
    <s v="Cash"/>
    <n v="8"/>
    <x v="2599"/>
    <s v="No"/>
    <x v="0"/>
  </r>
  <r>
    <x v="2609"/>
    <x v="16"/>
    <x v="0"/>
    <x v="4"/>
    <x v="49"/>
    <d v="2025-06-12T00:00:00"/>
    <x v="0"/>
    <x v="0"/>
    <x v="1"/>
    <x v="2608"/>
    <n v="2"/>
    <x v="0"/>
    <s v="Recovered"/>
    <x v="0"/>
    <x v="1"/>
    <s v="Card"/>
    <n v="10"/>
    <x v="2600"/>
    <s v="No"/>
    <x v="0"/>
  </r>
  <r>
    <x v="2610"/>
    <x v="64"/>
    <x v="1"/>
    <x v="5"/>
    <x v="696"/>
    <d v="2024-09-08T00:00:00"/>
    <x v="1"/>
    <x v="1"/>
    <x v="4"/>
    <x v="2609"/>
    <n v="28"/>
    <x v="0"/>
    <s v="Under Observation"/>
    <x v="0"/>
    <x v="2"/>
    <s v="Card"/>
    <n v="11"/>
    <x v="2601"/>
    <s v="Yes"/>
    <x v="0"/>
  </r>
  <r>
    <x v="2611"/>
    <x v="17"/>
    <x v="1"/>
    <x v="5"/>
    <x v="341"/>
    <d v="2025-05-03T00:00:00"/>
    <x v="2"/>
    <x v="2"/>
    <x v="6"/>
    <x v="2610"/>
    <n v="7"/>
    <x v="0"/>
    <s v="Recovered"/>
    <x v="0"/>
    <x v="2"/>
    <s v="UPI"/>
    <n v="1"/>
    <x v="2602"/>
    <s v="Yes"/>
    <x v="0"/>
  </r>
  <r>
    <x v="2612"/>
    <x v="56"/>
    <x v="1"/>
    <x v="6"/>
    <x v="928"/>
    <d v="2024-10-03T00:00:00"/>
    <x v="1"/>
    <x v="1"/>
    <x v="5"/>
    <x v="2611"/>
    <n v="19"/>
    <x v="0"/>
    <s v="Recovered"/>
    <x v="1"/>
    <x v="2"/>
    <s v="UPI"/>
    <n v="6"/>
    <x v="2603"/>
    <s v="Yes"/>
    <x v="0"/>
  </r>
  <r>
    <x v="2613"/>
    <x v="20"/>
    <x v="0"/>
    <x v="4"/>
    <x v="573"/>
    <d v="2024-12-30T00:00:00"/>
    <x v="1"/>
    <x v="1"/>
    <x v="0"/>
    <x v="2612"/>
    <n v="19"/>
    <x v="1"/>
    <s v="Under Observation"/>
    <x v="1"/>
    <x v="3"/>
    <s v="UPI"/>
    <n v="11"/>
    <x v="2604"/>
    <s v="No"/>
    <x v="0"/>
  </r>
  <r>
    <x v="2614"/>
    <x v="56"/>
    <x v="1"/>
    <x v="5"/>
    <x v="325"/>
    <d v="2024-08-01T00:00:00"/>
    <x v="2"/>
    <x v="2"/>
    <x v="2"/>
    <x v="2613"/>
    <n v="13"/>
    <x v="1"/>
    <s v="Recovered"/>
    <x v="2"/>
    <x v="3"/>
    <s v="Cash"/>
    <n v="5"/>
    <x v="2605"/>
    <s v="Yes"/>
    <x v="0"/>
  </r>
  <r>
    <x v="2615"/>
    <x v="50"/>
    <x v="1"/>
    <x v="5"/>
    <x v="425"/>
    <d v="2023-04-12T00:00:00"/>
    <x v="9"/>
    <x v="5"/>
    <x v="5"/>
    <x v="2614"/>
    <n v="4"/>
    <x v="1"/>
    <s v="Recovered"/>
    <x v="1"/>
    <x v="1"/>
    <s v="Insurance"/>
    <n v="14"/>
    <x v="2606"/>
    <s v="Yes"/>
    <x v="0"/>
  </r>
  <r>
    <x v="2616"/>
    <x v="4"/>
    <x v="0"/>
    <x v="7"/>
    <x v="92"/>
    <d v="2024-11-24T00:00:00"/>
    <x v="2"/>
    <x v="2"/>
    <x v="5"/>
    <x v="2615"/>
    <n v="13"/>
    <x v="0"/>
    <s v="Recovered"/>
    <x v="0"/>
    <x v="2"/>
    <s v="UPI"/>
    <n v="11"/>
    <x v="2607"/>
    <s v="No"/>
    <x v="0"/>
  </r>
  <r>
    <x v="2617"/>
    <x v="32"/>
    <x v="0"/>
    <x v="2"/>
    <x v="929"/>
    <d v="2024-03-03T00:00:00"/>
    <x v="1"/>
    <x v="1"/>
    <x v="0"/>
    <x v="2616"/>
    <n v="9"/>
    <x v="0"/>
    <s v="Under Observation"/>
    <x v="0"/>
    <x v="0"/>
    <s v="Cash"/>
    <n v="10"/>
    <x v="2608"/>
    <s v="No"/>
    <x v="0"/>
  </r>
  <r>
    <x v="2618"/>
    <x v="55"/>
    <x v="1"/>
    <x v="4"/>
    <x v="607"/>
    <d v="2024-01-14T00:00:00"/>
    <x v="3"/>
    <x v="0"/>
    <x v="0"/>
    <x v="2617"/>
    <n v="7"/>
    <x v="0"/>
    <s v="Recovered"/>
    <x v="1"/>
    <x v="1"/>
    <s v="Insurance"/>
    <n v="6"/>
    <x v="2609"/>
    <s v="No"/>
    <x v="0"/>
  </r>
  <r>
    <x v="2619"/>
    <x v="2"/>
    <x v="0"/>
    <x v="0"/>
    <x v="818"/>
    <d v="2024-09-17T00:00:00"/>
    <x v="8"/>
    <x v="6"/>
    <x v="0"/>
    <x v="2618"/>
    <n v="12"/>
    <x v="0"/>
    <s v="Recovered"/>
    <x v="0"/>
    <x v="1"/>
    <s v="Card"/>
    <n v="2"/>
    <x v="2610"/>
    <s v="No"/>
    <x v="0"/>
  </r>
  <r>
    <x v="2620"/>
    <x v="5"/>
    <x v="1"/>
    <x v="6"/>
    <x v="127"/>
    <d v="2023-10-26T00:00:00"/>
    <x v="4"/>
    <x v="3"/>
    <x v="6"/>
    <x v="2619"/>
    <n v="18"/>
    <x v="0"/>
    <s v="Recovered"/>
    <x v="2"/>
    <x v="0"/>
    <s v="UPI"/>
    <n v="5"/>
    <x v="2611"/>
    <s v="No"/>
    <x v="0"/>
  </r>
  <r>
    <x v="2621"/>
    <x v="52"/>
    <x v="0"/>
    <x v="2"/>
    <x v="852"/>
    <d v="2025-09-04T00:00:00"/>
    <x v="7"/>
    <x v="5"/>
    <x v="1"/>
    <x v="2620"/>
    <n v="23"/>
    <x v="1"/>
    <s v="Recovered"/>
    <x v="0"/>
    <x v="2"/>
    <s v="Cash"/>
    <n v="4"/>
    <x v="2612"/>
    <s v="Yes"/>
    <x v="0"/>
  </r>
  <r>
    <x v="2622"/>
    <x v="62"/>
    <x v="1"/>
    <x v="6"/>
    <x v="107"/>
    <d v="2024-12-12T00:00:00"/>
    <x v="3"/>
    <x v="0"/>
    <x v="3"/>
    <x v="2621"/>
    <n v="30"/>
    <x v="1"/>
    <s v="Recovered"/>
    <x v="1"/>
    <x v="2"/>
    <s v="Insurance"/>
    <n v="5"/>
    <x v="2613"/>
    <s v="Yes"/>
    <x v="0"/>
  </r>
  <r>
    <x v="2623"/>
    <x v="60"/>
    <x v="0"/>
    <x v="6"/>
    <x v="607"/>
    <d v="2024-01-26T00:00:00"/>
    <x v="0"/>
    <x v="0"/>
    <x v="5"/>
    <x v="2622"/>
    <n v="19"/>
    <x v="0"/>
    <s v="Recovered"/>
    <x v="2"/>
    <x v="0"/>
    <s v="Cash"/>
    <n v="7"/>
    <x v="2614"/>
    <s v="Yes"/>
    <x v="0"/>
  </r>
  <r>
    <x v="2624"/>
    <x v="10"/>
    <x v="0"/>
    <x v="1"/>
    <x v="660"/>
    <d v="2024-04-23T00:00:00"/>
    <x v="2"/>
    <x v="2"/>
    <x v="5"/>
    <x v="2623"/>
    <n v="19"/>
    <x v="0"/>
    <s v="Recovered"/>
    <x v="1"/>
    <x v="3"/>
    <s v="UPI"/>
    <n v="9"/>
    <x v="2615"/>
    <s v="No"/>
    <x v="0"/>
  </r>
  <r>
    <x v="2625"/>
    <x v="46"/>
    <x v="0"/>
    <x v="3"/>
    <x v="554"/>
    <d v="2023-08-06T00:00:00"/>
    <x v="7"/>
    <x v="5"/>
    <x v="7"/>
    <x v="2624"/>
    <n v="14"/>
    <x v="0"/>
    <s v="Recovered"/>
    <x v="1"/>
    <x v="3"/>
    <s v="Cash"/>
    <n v="3"/>
    <x v="2616"/>
    <s v="No"/>
    <x v="0"/>
  </r>
  <r>
    <x v="2626"/>
    <x v="7"/>
    <x v="0"/>
    <x v="0"/>
    <x v="122"/>
    <d v="2025-09-24T00:00:00"/>
    <x v="6"/>
    <x v="2"/>
    <x v="4"/>
    <x v="2625"/>
    <n v="16"/>
    <x v="0"/>
    <s v="Recovered"/>
    <x v="1"/>
    <x v="0"/>
    <s v="Cash"/>
    <n v="3"/>
    <x v="2617"/>
    <s v="Yes"/>
    <x v="0"/>
  </r>
  <r>
    <x v="2627"/>
    <x v="52"/>
    <x v="0"/>
    <x v="5"/>
    <x v="105"/>
    <d v="2024-10-23T00:00:00"/>
    <x v="3"/>
    <x v="0"/>
    <x v="6"/>
    <x v="2626"/>
    <n v="9"/>
    <x v="0"/>
    <s v="Recovered"/>
    <x v="2"/>
    <x v="1"/>
    <s v="UPI"/>
    <n v="12"/>
    <x v="2618"/>
    <s v="No"/>
    <x v="0"/>
  </r>
  <r>
    <x v="2628"/>
    <x v="15"/>
    <x v="0"/>
    <x v="2"/>
    <x v="649"/>
    <d v="2023-11-22T00:00:00"/>
    <x v="9"/>
    <x v="5"/>
    <x v="1"/>
    <x v="2627"/>
    <n v="2"/>
    <x v="1"/>
    <s v="Recovered"/>
    <x v="0"/>
    <x v="1"/>
    <s v="Card"/>
    <n v="1"/>
    <x v="2619"/>
    <s v="Yes"/>
    <x v="1"/>
  </r>
  <r>
    <x v="2629"/>
    <x v="48"/>
    <x v="1"/>
    <x v="4"/>
    <x v="930"/>
    <d v="2024-06-30T00:00:00"/>
    <x v="1"/>
    <x v="1"/>
    <x v="5"/>
    <x v="2628"/>
    <n v="27"/>
    <x v="1"/>
    <s v="Recovered"/>
    <x v="0"/>
    <x v="2"/>
    <s v="Cash"/>
    <n v="12"/>
    <x v="2620"/>
    <s v="Yes"/>
    <x v="0"/>
  </r>
  <r>
    <x v="2630"/>
    <x v="41"/>
    <x v="1"/>
    <x v="2"/>
    <x v="93"/>
    <d v="2025-08-15T00:00:00"/>
    <x v="6"/>
    <x v="2"/>
    <x v="7"/>
    <x v="2629"/>
    <n v="14"/>
    <x v="0"/>
    <s v="Recovered"/>
    <x v="1"/>
    <x v="3"/>
    <s v="Insurance"/>
    <n v="12"/>
    <x v="2621"/>
    <s v="No"/>
    <x v="0"/>
  </r>
  <r>
    <x v="2631"/>
    <x v="47"/>
    <x v="0"/>
    <x v="7"/>
    <x v="346"/>
    <d v="2024-06-03T00:00:00"/>
    <x v="5"/>
    <x v="4"/>
    <x v="5"/>
    <x v="2630"/>
    <n v="1"/>
    <x v="1"/>
    <s v="Recovered"/>
    <x v="2"/>
    <x v="3"/>
    <s v="Card"/>
    <n v="3"/>
    <x v="2622"/>
    <s v="No"/>
    <x v="0"/>
  </r>
  <r>
    <x v="2632"/>
    <x v="12"/>
    <x v="1"/>
    <x v="7"/>
    <x v="197"/>
    <d v="2024-07-18T00:00:00"/>
    <x v="7"/>
    <x v="5"/>
    <x v="0"/>
    <x v="2631"/>
    <n v="15"/>
    <x v="0"/>
    <s v="Recovered"/>
    <x v="2"/>
    <x v="0"/>
    <s v="Cash"/>
    <n v="1"/>
    <x v="2623"/>
    <s v="Yes"/>
    <x v="0"/>
  </r>
  <r>
    <x v="2633"/>
    <x v="32"/>
    <x v="1"/>
    <x v="0"/>
    <x v="867"/>
    <d v="2023-01-19T00:00:00"/>
    <x v="2"/>
    <x v="2"/>
    <x v="1"/>
    <x v="2632"/>
    <n v="1"/>
    <x v="0"/>
    <s v="Under Observation"/>
    <x v="1"/>
    <x v="3"/>
    <s v="Insurance"/>
    <n v="5"/>
    <x v="2624"/>
    <s v="Yes"/>
    <x v="0"/>
  </r>
  <r>
    <x v="2634"/>
    <x v="29"/>
    <x v="1"/>
    <x v="4"/>
    <x v="224"/>
    <d v="2023-10-16T00:00:00"/>
    <x v="2"/>
    <x v="2"/>
    <x v="5"/>
    <x v="2633"/>
    <n v="7"/>
    <x v="0"/>
    <s v="Recovered"/>
    <x v="1"/>
    <x v="0"/>
    <s v="UPI"/>
    <n v="3"/>
    <x v="2625"/>
    <s v="Yes"/>
    <x v="0"/>
  </r>
  <r>
    <x v="2635"/>
    <x v="10"/>
    <x v="1"/>
    <x v="4"/>
    <x v="643"/>
    <d v="2024-02-20T00:00:00"/>
    <x v="9"/>
    <x v="5"/>
    <x v="1"/>
    <x v="2634"/>
    <n v="13"/>
    <x v="0"/>
    <s v="Recovered"/>
    <x v="1"/>
    <x v="0"/>
    <s v="Insurance"/>
    <n v="5"/>
    <x v="2626"/>
    <s v="Yes"/>
    <x v="0"/>
  </r>
  <r>
    <x v="2636"/>
    <x v="1"/>
    <x v="1"/>
    <x v="1"/>
    <x v="522"/>
    <d v="2024-03-09T00:00:00"/>
    <x v="9"/>
    <x v="5"/>
    <x v="0"/>
    <x v="2635"/>
    <n v="1"/>
    <x v="1"/>
    <s v="Recovered"/>
    <x v="2"/>
    <x v="1"/>
    <s v="UPI"/>
    <n v="6"/>
    <x v="2627"/>
    <s v="No"/>
    <x v="0"/>
  </r>
  <r>
    <x v="2637"/>
    <x v="0"/>
    <x v="0"/>
    <x v="2"/>
    <x v="422"/>
    <d v="2024-01-22T00:00:00"/>
    <x v="6"/>
    <x v="2"/>
    <x v="7"/>
    <x v="2636"/>
    <n v="18"/>
    <x v="0"/>
    <s v="Recovered"/>
    <x v="1"/>
    <x v="3"/>
    <s v="Insurance"/>
    <n v="11"/>
    <x v="2628"/>
    <s v="No"/>
    <x v="0"/>
  </r>
  <r>
    <x v="2638"/>
    <x v="70"/>
    <x v="1"/>
    <x v="6"/>
    <x v="838"/>
    <d v="2023-03-03T00:00:00"/>
    <x v="1"/>
    <x v="1"/>
    <x v="3"/>
    <x v="2637"/>
    <n v="16"/>
    <x v="0"/>
    <s v="Recovered"/>
    <x v="1"/>
    <x v="0"/>
    <s v="UPI"/>
    <n v="13"/>
    <x v="2629"/>
    <s v="Yes"/>
    <x v="0"/>
  </r>
  <r>
    <x v="2639"/>
    <x v="30"/>
    <x v="1"/>
    <x v="7"/>
    <x v="357"/>
    <d v="2023-08-21T00:00:00"/>
    <x v="8"/>
    <x v="6"/>
    <x v="2"/>
    <x v="2638"/>
    <n v="7"/>
    <x v="1"/>
    <s v="Recovered"/>
    <x v="1"/>
    <x v="1"/>
    <s v="Cash"/>
    <n v="8"/>
    <x v="2630"/>
    <s v="Yes"/>
    <x v="0"/>
  </r>
  <r>
    <x v="2640"/>
    <x v="2"/>
    <x v="0"/>
    <x v="5"/>
    <x v="129"/>
    <d v="2023-06-23T00:00:00"/>
    <x v="8"/>
    <x v="6"/>
    <x v="6"/>
    <x v="2639"/>
    <n v="9"/>
    <x v="1"/>
    <s v="Recovered"/>
    <x v="0"/>
    <x v="0"/>
    <s v="Card"/>
    <n v="12"/>
    <x v="2631"/>
    <s v="Yes"/>
    <x v="0"/>
  </r>
  <r>
    <x v="2641"/>
    <x v="13"/>
    <x v="1"/>
    <x v="1"/>
    <x v="866"/>
    <d v="2023-07-18T00:00:00"/>
    <x v="0"/>
    <x v="0"/>
    <x v="1"/>
    <x v="2640"/>
    <n v="11"/>
    <x v="1"/>
    <s v="Recovered"/>
    <x v="2"/>
    <x v="2"/>
    <s v="UPI"/>
    <n v="5"/>
    <x v="2632"/>
    <s v="Yes"/>
    <x v="0"/>
  </r>
  <r>
    <x v="2642"/>
    <x v="52"/>
    <x v="0"/>
    <x v="7"/>
    <x v="528"/>
    <d v="2023-06-16T00:00:00"/>
    <x v="3"/>
    <x v="0"/>
    <x v="2"/>
    <x v="2641"/>
    <n v="19"/>
    <x v="0"/>
    <s v="Recovered"/>
    <x v="0"/>
    <x v="0"/>
    <s v="Cash"/>
    <n v="12"/>
    <x v="2633"/>
    <s v="Yes"/>
    <x v="0"/>
  </r>
  <r>
    <x v="2643"/>
    <x v="43"/>
    <x v="1"/>
    <x v="4"/>
    <x v="758"/>
    <d v="2025-08-06T00:00:00"/>
    <x v="4"/>
    <x v="3"/>
    <x v="3"/>
    <x v="2642"/>
    <n v="13"/>
    <x v="0"/>
    <s v="Recovered"/>
    <x v="0"/>
    <x v="1"/>
    <s v="Cash"/>
    <n v="10"/>
    <x v="2634"/>
    <s v="Yes"/>
    <x v="0"/>
  </r>
  <r>
    <x v="2644"/>
    <x v="46"/>
    <x v="1"/>
    <x v="5"/>
    <x v="915"/>
    <d v="2024-04-23T00:00:00"/>
    <x v="6"/>
    <x v="2"/>
    <x v="3"/>
    <x v="2643"/>
    <n v="18"/>
    <x v="1"/>
    <s v="Recovered"/>
    <x v="2"/>
    <x v="1"/>
    <s v="Insurance"/>
    <n v="14"/>
    <x v="2635"/>
    <s v="Yes"/>
    <x v="0"/>
  </r>
  <r>
    <x v="2645"/>
    <x v="15"/>
    <x v="1"/>
    <x v="3"/>
    <x v="354"/>
    <d v="2023-06-01T00:00:00"/>
    <x v="8"/>
    <x v="6"/>
    <x v="1"/>
    <x v="2644"/>
    <n v="18"/>
    <x v="1"/>
    <s v="Recovered"/>
    <x v="1"/>
    <x v="3"/>
    <s v="Cash"/>
    <n v="14"/>
    <x v="2636"/>
    <s v="Yes"/>
    <x v="0"/>
  </r>
  <r>
    <x v="2646"/>
    <x v="39"/>
    <x v="0"/>
    <x v="5"/>
    <x v="741"/>
    <d v="2023-04-29T00:00:00"/>
    <x v="1"/>
    <x v="1"/>
    <x v="2"/>
    <x v="2645"/>
    <n v="11"/>
    <x v="0"/>
    <s v="Under Observation"/>
    <x v="2"/>
    <x v="2"/>
    <s v="UPI"/>
    <n v="10"/>
    <x v="2637"/>
    <s v="Yes"/>
    <x v="0"/>
  </r>
  <r>
    <x v="2647"/>
    <x v="40"/>
    <x v="0"/>
    <x v="6"/>
    <x v="880"/>
    <d v="2023-10-28T00:00:00"/>
    <x v="7"/>
    <x v="5"/>
    <x v="5"/>
    <x v="2646"/>
    <n v="2"/>
    <x v="0"/>
    <s v="Under Observation"/>
    <x v="0"/>
    <x v="0"/>
    <s v="Insurance"/>
    <n v="14"/>
    <x v="2638"/>
    <s v="No"/>
    <x v="0"/>
  </r>
  <r>
    <x v="2648"/>
    <x v="36"/>
    <x v="0"/>
    <x v="5"/>
    <x v="931"/>
    <d v="2023-10-18T00:00:00"/>
    <x v="8"/>
    <x v="6"/>
    <x v="4"/>
    <x v="2647"/>
    <n v="16"/>
    <x v="0"/>
    <s v="Recovered"/>
    <x v="2"/>
    <x v="0"/>
    <s v="Card"/>
    <n v="2"/>
    <x v="2639"/>
    <s v="Yes"/>
    <x v="0"/>
  </r>
  <r>
    <x v="2649"/>
    <x v="31"/>
    <x v="1"/>
    <x v="0"/>
    <x v="571"/>
    <d v="2025-04-08T00:00:00"/>
    <x v="7"/>
    <x v="5"/>
    <x v="5"/>
    <x v="2648"/>
    <n v="7"/>
    <x v="0"/>
    <s v="Recovered"/>
    <x v="1"/>
    <x v="0"/>
    <s v="Card"/>
    <n v="1"/>
    <x v="2640"/>
    <s v="No"/>
    <x v="0"/>
  </r>
  <r>
    <x v="2650"/>
    <x v="59"/>
    <x v="1"/>
    <x v="5"/>
    <x v="511"/>
    <d v="2025-05-15T00:00:00"/>
    <x v="6"/>
    <x v="2"/>
    <x v="4"/>
    <x v="2649"/>
    <n v="15"/>
    <x v="0"/>
    <s v="Recovered"/>
    <x v="0"/>
    <x v="3"/>
    <s v="Card"/>
    <n v="8"/>
    <x v="2068"/>
    <s v="Yes"/>
    <x v="0"/>
  </r>
  <r>
    <x v="2651"/>
    <x v="1"/>
    <x v="0"/>
    <x v="3"/>
    <x v="113"/>
    <d v="2025-08-27T00:00:00"/>
    <x v="7"/>
    <x v="5"/>
    <x v="6"/>
    <x v="2650"/>
    <n v="18"/>
    <x v="0"/>
    <s v="Recovered"/>
    <x v="0"/>
    <x v="1"/>
    <s v="Insurance"/>
    <n v="12"/>
    <x v="2641"/>
    <s v="No"/>
    <x v="0"/>
  </r>
  <r>
    <x v="2652"/>
    <x v="8"/>
    <x v="1"/>
    <x v="2"/>
    <x v="883"/>
    <d v="2025-05-25T00:00:00"/>
    <x v="7"/>
    <x v="5"/>
    <x v="0"/>
    <x v="2651"/>
    <n v="3"/>
    <x v="1"/>
    <s v="Recovered"/>
    <x v="1"/>
    <x v="3"/>
    <s v="Card"/>
    <n v="12"/>
    <x v="2642"/>
    <s v="No"/>
    <x v="0"/>
  </r>
  <r>
    <x v="2653"/>
    <x v="10"/>
    <x v="0"/>
    <x v="6"/>
    <x v="708"/>
    <d v="2025-02-07T00:00:00"/>
    <x v="4"/>
    <x v="3"/>
    <x v="3"/>
    <x v="2652"/>
    <n v="9"/>
    <x v="0"/>
    <s v="Recovered"/>
    <x v="1"/>
    <x v="3"/>
    <s v="Cash"/>
    <n v="3"/>
    <x v="2643"/>
    <s v="No"/>
    <x v="0"/>
  </r>
  <r>
    <x v="2654"/>
    <x v="71"/>
    <x v="0"/>
    <x v="3"/>
    <x v="880"/>
    <d v="2023-11-13T00:00:00"/>
    <x v="5"/>
    <x v="4"/>
    <x v="1"/>
    <x v="2653"/>
    <n v="18"/>
    <x v="0"/>
    <s v="Recovered"/>
    <x v="0"/>
    <x v="2"/>
    <s v="Card"/>
    <n v="15"/>
    <x v="2644"/>
    <s v="Yes"/>
    <x v="0"/>
  </r>
  <r>
    <x v="2655"/>
    <x v="57"/>
    <x v="1"/>
    <x v="4"/>
    <x v="501"/>
    <d v="2024-10-04T00:00:00"/>
    <x v="3"/>
    <x v="0"/>
    <x v="7"/>
    <x v="2654"/>
    <n v="11"/>
    <x v="1"/>
    <s v="Recovered"/>
    <x v="1"/>
    <x v="2"/>
    <s v="Card"/>
    <n v="14"/>
    <x v="2645"/>
    <s v="No"/>
    <x v="0"/>
  </r>
  <r>
    <x v="2656"/>
    <x v="43"/>
    <x v="0"/>
    <x v="0"/>
    <x v="25"/>
    <d v="2024-09-28T00:00:00"/>
    <x v="2"/>
    <x v="2"/>
    <x v="6"/>
    <x v="2655"/>
    <n v="8"/>
    <x v="1"/>
    <s v="Recovered"/>
    <x v="0"/>
    <x v="0"/>
    <s v="UPI"/>
    <n v="9"/>
    <x v="2646"/>
    <s v="Yes"/>
    <x v="0"/>
  </r>
  <r>
    <x v="2657"/>
    <x v="4"/>
    <x v="1"/>
    <x v="5"/>
    <x v="494"/>
    <d v="2025-02-27T00:00:00"/>
    <x v="9"/>
    <x v="5"/>
    <x v="0"/>
    <x v="2656"/>
    <n v="16"/>
    <x v="1"/>
    <s v="Recovered"/>
    <x v="0"/>
    <x v="0"/>
    <s v="Insurance"/>
    <n v="3"/>
    <x v="2647"/>
    <s v="Yes"/>
    <x v="0"/>
  </r>
  <r>
    <x v="2658"/>
    <x v="41"/>
    <x v="1"/>
    <x v="4"/>
    <x v="180"/>
    <d v="2025-05-03T00:00:00"/>
    <x v="9"/>
    <x v="5"/>
    <x v="5"/>
    <x v="2657"/>
    <n v="6"/>
    <x v="1"/>
    <s v="Recovered"/>
    <x v="1"/>
    <x v="3"/>
    <s v="Insurance"/>
    <n v="13"/>
    <x v="2648"/>
    <s v="Yes"/>
    <x v="0"/>
  </r>
  <r>
    <x v="2659"/>
    <x v="56"/>
    <x v="1"/>
    <x v="4"/>
    <x v="927"/>
    <d v="2023-12-27T00:00:00"/>
    <x v="2"/>
    <x v="2"/>
    <x v="7"/>
    <x v="2658"/>
    <n v="2"/>
    <x v="0"/>
    <s v="Recovered"/>
    <x v="1"/>
    <x v="0"/>
    <s v="Card"/>
    <n v="15"/>
    <x v="2649"/>
    <s v="Yes"/>
    <x v="0"/>
  </r>
  <r>
    <x v="2660"/>
    <x v="23"/>
    <x v="0"/>
    <x v="0"/>
    <x v="413"/>
    <d v="2025-02-23T00:00:00"/>
    <x v="0"/>
    <x v="0"/>
    <x v="3"/>
    <x v="2659"/>
    <n v="20"/>
    <x v="1"/>
    <s v="Recovered"/>
    <x v="1"/>
    <x v="0"/>
    <s v="Insurance"/>
    <n v="7"/>
    <x v="2650"/>
    <s v="No"/>
    <x v="0"/>
  </r>
  <r>
    <x v="2661"/>
    <x v="15"/>
    <x v="1"/>
    <x v="5"/>
    <x v="514"/>
    <d v="2024-10-09T00:00:00"/>
    <x v="9"/>
    <x v="5"/>
    <x v="1"/>
    <x v="2660"/>
    <n v="17"/>
    <x v="0"/>
    <s v="Under Observation"/>
    <x v="0"/>
    <x v="0"/>
    <s v="UPI"/>
    <n v="2"/>
    <x v="2651"/>
    <s v="No"/>
    <x v="0"/>
  </r>
  <r>
    <x v="2662"/>
    <x v="41"/>
    <x v="0"/>
    <x v="2"/>
    <x v="440"/>
    <d v="2025-07-17T00:00:00"/>
    <x v="1"/>
    <x v="1"/>
    <x v="5"/>
    <x v="2661"/>
    <n v="15"/>
    <x v="1"/>
    <s v="Under Observation"/>
    <x v="2"/>
    <x v="3"/>
    <s v="Insurance"/>
    <n v="15"/>
    <x v="1656"/>
    <s v="Yes"/>
    <x v="0"/>
  </r>
  <r>
    <x v="2663"/>
    <x v="38"/>
    <x v="0"/>
    <x v="1"/>
    <x v="44"/>
    <d v="2023-06-09T00:00:00"/>
    <x v="5"/>
    <x v="4"/>
    <x v="3"/>
    <x v="2662"/>
    <n v="15"/>
    <x v="0"/>
    <s v="Recovered"/>
    <x v="0"/>
    <x v="0"/>
    <s v="Insurance"/>
    <n v="5"/>
    <x v="2652"/>
    <s v="Yes"/>
    <x v="0"/>
  </r>
  <r>
    <x v="2664"/>
    <x v="21"/>
    <x v="0"/>
    <x v="2"/>
    <x v="495"/>
    <d v="2024-04-27T00:00:00"/>
    <x v="3"/>
    <x v="0"/>
    <x v="6"/>
    <x v="2663"/>
    <n v="10"/>
    <x v="1"/>
    <s v="Referred"/>
    <x v="0"/>
    <x v="3"/>
    <s v="UPI"/>
    <n v="13"/>
    <x v="2653"/>
    <s v="No"/>
    <x v="0"/>
  </r>
  <r>
    <x v="2665"/>
    <x v="13"/>
    <x v="1"/>
    <x v="4"/>
    <x v="539"/>
    <d v="2024-08-28T00:00:00"/>
    <x v="0"/>
    <x v="0"/>
    <x v="2"/>
    <x v="2664"/>
    <n v="11"/>
    <x v="1"/>
    <s v="Referred"/>
    <x v="2"/>
    <x v="3"/>
    <s v="Cash"/>
    <n v="11"/>
    <x v="2654"/>
    <s v="No"/>
    <x v="0"/>
  </r>
  <r>
    <x v="2666"/>
    <x v="18"/>
    <x v="1"/>
    <x v="7"/>
    <x v="476"/>
    <d v="2023-04-28T00:00:00"/>
    <x v="6"/>
    <x v="2"/>
    <x v="3"/>
    <x v="2665"/>
    <n v="6"/>
    <x v="1"/>
    <s v="Recovered"/>
    <x v="2"/>
    <x v="2"/>
    <s v="UPI"/>
    <n v="11"/>
    <x v="2655"/>
    <s v="Yes"/>
    <x v="1"/>
  </r>
  <r>
    <x v="2667"/>
    <x v="62"/>
    <x v="0"/>
    <x v="7"/>
    <x v="221"/>
    <d v="2023-09-13T00:00:00"/>
    <x v="5"/>
    <x v="4"/>
    <x v="3"/>
    <x v="2666"/>
    <n v="6"/>
    <x v="0"/>
    <s v="Recovered"/>
    <x v="1"/>
    <x v="2"/>
    <s v="Card"/>
    <n v="6"/>
    <x v="2656"/>
    <s v="Yes"/>
    <x v="0"/>
  </r>
  <r>
    <x v="2668"/>
    <x v="33"/>
    <x v="0"/>
    <x v="0"/>
    <x v="216"/>
    <d v="2024-11-06T00:00:00"/>
    <x v="7"/>
    <x v="5"/>
    <x v="7"/>
    <x v="2667"/>
    <n v="15"/>
    <x v="1"/>
    <s v="Recovered"/>
    <x v="0"/>
    <x v="0"/>
    <s v="Cash"/>
    <n v="2"/>
    <x v="2657"/>
    <s v="Yes"/>
    <x v="0"/>
  </r>
  <r>
    <x v="2669"/>
    <x v="46"/>
    <x v="0"/>
    <x v="1"/>
    <x v="97"/>
    <d v="2024-07-27T00:00:00"/>
    <x v="5"/>
    <x v="4"/>
    <x v="0"/>
    <x v="2668"/>
    <n v="2"/>
    <x v="0"/>
    <s v="Recovered"/>
    <x v="1"/>
    <x v="3"/>
    <s v="UPI"/>
    <n v="15"/>
    <x v="2658"/>
    <s v="Yes"/>
    <x v="0"/>
  </r>
  <r>
    <x v="2670"/>
    <x v="59"/>
    <x v="1"/>
    <x v="0"/>
    <x v="260"/>
    <d v="2025-02-26T00:00:00"/>
    <x v="3"/>
    <x v="0"/>
    <x v="3"/>
    <x v="2669"/>
    <n v="19"/>
    <x v="1"/>
    <s v="Recovered"/>
    <x v="0"/>
    <x v="1"/>
    <s v="Card"/>
    <n v="6"/>
    <x v="2659"/>
    <s v="Yes"/>
    <x v="0"/>
  </r>
  <r>
    <x v="2671"/>
    <x v="67"/>
    <x v="1"/>
    <x v="0"/>
    <x v="494"/>
    <d v="2025-02-28T00:00:00"/>
    <x v="8"/>
    <x v="6"/>
    <x v="2"/>
    <x v="2670"/>
    <n v="17"/>
    <x v="1"/>
    <s v="Recovered"/>
    <x v="2"/>
    <x v="0"/>
    <s v="UPI"/>
    <n v="9"/>
    <x v="2660"/>
    <s v="No"/>
    <x v="0"/>
  </r>
  <r>
    <x v="2672"/>
    <x v="35"/>
    <x v="0"/>
    <x v="2"/>
    <x v="751"/>
    <d v="2024-07-16T00:00:00"/>
    <x v="0"/>
    <x v="0"/>
    <x v="7"/>
    <x v="2671"/>
    <n v="18"/>
    <x v="1"/>
    <s v="Recovered"/>
    <x v="0"/>
    <x v="3"/>
    <s v="UPI"/>
    <n v="10"/>
    <x v="2661"/>
    <s v="Yes"/>
    <x v="0"/>
  </r>
  <r>
    <x v="2673"/>
    <x v="9"/>
    <x v="0"/>
    <x v="7"/>
    <x v="369"/>
    <d v="2023-12-02T00:00:00"/>
    <x v="8"/>
    <x v="6"/>
    <x v="4"/>
    <x v="2672"/>
    <n v="3"/>
    <x v="0"/>
    <s v="Recovered"/>
    <x v="2"/>
    <x v="3"/>
    <s v="Card"/>
    <n v="15"/>
    <x v="2662"/>
    <s v="No"/>
    <x v="0"/>
  </r>
  <r>
    <x v="2674"/>
    <x v="41"/>
    <x v="0"/>
    <x v="3"/>
    <x v="15"/>
    <d v="2024-01-11T00:00:00"/>
    <x v="2"/>
    <x v="2"/>
    <x v="4"/>
    <x v="2673"/>
    <n v="5"/>
    <x v="0"/>
    <s v="Recovered"/>
    <x v="2"/>
    <x v="1"/>
    <s v="UPI"/>
    <n v="14"/>
    <x v="2663"/>
    <s v="Yes"/>
    <x v="0"/>
  </r>
  <r>
    <x v="2675"/>
    <x v="71"/>
    <x v="1"/>
    <x v="4"/>
    <x v="306"/>
    <d v="2023-04-12T00:00:00"/>
    <x v="9"/>
    <x v="5"/>
    <x v="4"/>
    <x v="2674"/>
    <n v="11"/>
    <x v="1"/>
    <s v="Recovered"/>
    <x v="2"/>
    <x v="0"/>
    <s v="Card"/>
    <n v="6"/>
    <x v="2664"/>
    <s v="No"/>
    <x v="0"/>
  </r>
  <r>
    <x v="2676"/>
    <x v="8"/>
    <x v="0"/>
    <x v="2"/>
    <x v="93"/>
    <d v="2025-08-07T00:00:00"/>
    <x v="9"/>
    <x v="5"/>
    <x v="0"/>
    <x v="2675"/>
    <n v="6"/>
    <x v="0"/>
    <s v="Under Observation"/>
    <x v="1"/>
    <x v="2"/>
    <s v="Insurance"/>
    <n v="13"/>
    <x v="2665"/>
    <s v="Yes"/>
    <x v="0"/>
  </r>
  <r>
    <x v="2677"/>
    <x v="34"/>
    <x v="1"/>
    <x v="1"/>
    <x v="770"/>
    <d v="2024-01-22T00:00:00"/>
    <x v="4"/>
    <x v="3"/>
    <x v="4"/>
    <x v="2676"/>
    <n v="24"/>
    <x v="0"/>
    <s v="Recovered"/>
    <x v="1"/>
    <x v="2"/>
    <s v="Insurance"/>
    <n v="8"/>
    <x v="2666"/>
    <s v="No"/>
    <x v="0"/>
  </r>
  <r>
    <x v="2678"/>
    <x v="53"/>
    <x v="0"/>
    <x v="0"/>
    <x v="466"/>
    <d v="2023-01-20T00:00:00"/>
    <x v="6"/>
    <x v="2"/>
    <x v="6"/>
    <x v="2677"/>
    <n v="16"/>
    <x v="0"/>
    <s v="Recovered"/>
    <x v="2"/>
    <x v="1"/>
    <s v="UPI"/>
    <n v="3"/>
    <x v="2667"/>
    <s v="No"/>
    <x v="0"/>
  </r>
  <r>
    <x v="2679"/>
    <x v="43"/>
    <x v="1"/>
    <x v="0"/>
    <x v="799"/>
    <d v="2025-05-01T00:00:00"/>
    <x v="8"/>
    <x v="6"/>
    <x v="0"/>
    <x v="2678"/>
    <n v="9"/>
    <x v="0"/>
    <s v="Recovered"/>
    <x v="1"/>
    <x v="0"/>
    <s v="Card"/>
    <n v="3"/>
    <x v="2668"/>
    <s v="No"/>
    <x v="0"/>
  </r>
  <r>
    <x v="2680"/>
    <x v="28"/>
    <x v="0"/>
    <x v="0"/>
    <x v="293"/>
    <d v="2023-09-09T00:00:00"/>
    <x v="8"/>
    <x v="6"/>
    <x v="7"/>
    <x v="2679"/>
    <n v="4"/>
    <x v="0"/>
    <s v="Recovered"/>
    <x v="2"/>
    <x v="2"/>
    <s v="UPI"/>
    <n v="6"/>
    <x v="2669"/>
    <s v="No"/>
    <x v="0"/>
  </r>
  <r>
    <x v="2681"/>
    <x v="34"/>
    <x v="0"/>
    <x v="6"/>
    <x v="561"/>
    <d v="2024-05-02T00:00:00"/>
    <x v="3"/>
    <x v="0"/>
    <x v="3"/>
    <x v="2680"/>
    <n v="12"/>
    <x v="0"/>
    <s v="Under Observation"/>
    <x v="2"/>
    <x v="2"/>
    <s v="Card"/>
    <n v="10"/>
    <x v="2670"/>
    <s v="Yes"/>
    <x v="0"/>
  </r>
  <r>
    <x v="2682"/>
    <x v="9"/>
    <x v="1"/>
    <x v="7"/>
    <x v="769"/>
    <d v="2025-05-10T00:00:00"/>
    <x v="9"/>
    <x v="5"/>
    <x v="2"/>
    <x v="2681"/>
    <n v="1"/>
    <x v="0"/>
    <s v="Under Observation"/>
    <x v="2"/>
    <x v="0"/>
    <s v="UPI"/>
    <n v="3"/>
    <x v="2671"/>
    <s v="No"/>
    <x v="0"/>
  </r>
  <r>
    <x v="2683"/>
    <x v="70"/>
    <x v="0"/>
    <x v="6"/>
    <x v="168"/>
    <d v="2023-01-17T00:00:00"/>
    <x v="6"/>
    <x v="2"/>
    <x v="0"/>
    <x v="2682"/>
    <n v="1"/>
    <x v="0"/>
    <s v="Under Observation"/>
    <x v="2"/>
    <x v="1"/>
    <s v="UPI"/>
    <n v="10"/>
    <x v="2672"/>
    <s v="No"/>
    <x v="0"/>
  </r>
  <r>
    <x v="2684"/>
    <x v="36"/>
    <x v="0"/>
    <x v="0"/>
    <x v="493"/>
    <d v="2023-02-22T00:00:00"/>
    <x v="8"/>
    <x v="6"/>
    <x v="4"/>
    <x v="2683"/>
    <n v="19"/>
    <x v="0"/>
    <s v="Recovered"/>
    <x v="2"/>
    <x v="3"/>
    <s v="UPI"/>
    <n v="11"/>
    <x v="2673"/>
    <s v="Yes"/>
    <x v="0"/>
  </r>
  <r>
    <x v="2685"/>
    <x v="24"/>
    <x v="1"/>
    <x v="3"/>
    <x v="888"/>
    <d v="2023-12-03T00:00:00"/>
    <x v="2"/>
    <x v="2"/>
    <x v="5"/>
    <x v="2684"/>
    <n v="17"/>
    <x v="0"/>
    <s v="Recovered"/>
    <x v="2"/>
    <x v="3"/>
    <s v="Cash"/>
    <n v="15"/>
    <x v="2674"/>
    <s v="Yes"/>
    <x v="0"/>
  </r>
  <r>
    <x v="2686"/>
    <x v="37"/>
    <x v="0"/>
    <x v="5"/>
    <x v="530"/>
    <d v="2023-03-31T00:00:00"/>
    <x v="3"/>
    <x v="0"/>
    <x v="7"/>
    <x v="2685"/>
    <n v="19"/>
    <x v="0"/>
    <s v="Recovered"/>
    <x v="2"/>
    <x v="3"/>
    <s v="Cash"/>
    <n v="1"/>
    <x v="2675"/>
    <s v="No"/>
    <x v="0"/>
  </r>
  <r>
    <x v="2687"/>
    <x v="72"/>
    <x v="1"/>
    <x v="1"/>
    <x v="499"/>
    <d v="2025-07-31T00:00:00"/>
    <x v="8"/>
    <x v="6"/>
    <x v="7"/>
    <x v="2686"/>
    <n v="5"/>
    <x v="1"/>
    <s v="Recovered"/>
    <x v="1"/>
    <x v="0"/>
    <s v="Cash"/>
    <n v="15"/>
    <x v="2676"/>
    <s v="Yes"/>
    <x v="0"/>
  </r>
  <r>
    <x v="2688"/>
    <x v="65"/>
    <x v="0"/>
    <x v="3"/>
    <x v="144"/>
    <d v="2025-10-01T00:00:00"/>
    <x v="0"/>
    <x v="0"/>
    <x v="4"/>
    <x v="2687"/>
    <n v="17"/>
    <x v="0"/>
    <s v="Recovered"/>
    <x v="0"/>
    <x v="2"/>
    <s v="Card"/>
    <n v="6"/>
    <x v="2677"/>
    <s v="No"/>
    <x v="0"/>
  </r>
  <r>
    <x v="2689"/>
    <x v="52"/>
    <x v="0"/>
    <x v="6"/>
    <x v="904"/>
    <d v="2025-04-05T00:00:00"/>
    <x v="5"/>
    <x v="4"/>
    <x v="3"/>
    <x v="2688"/>
    <n v="24"/>
    <x v="1"/>
    <s v="Recovered"/>
    <x v="0"/>
    <x v="2"/>
    <s v="Card"/>
    <n v="15"/>
    <x v="2678"/>
    <s v="Yes"/>
    <x v="0"/>
  </r>
  <r>
    <x v="2690"/>
    <x v="7"/>
    <x v="1"/>
    <x v="0"/>
    <x v="310"/>
    <d v="2025-09-21T00:00:00"/>
    <x v="0"/>
    <x v="0"/>
    <x v="5"/>
    <x v="2689"/>
    <n v="2"/>
    <x v="1"/>
    <s v="Recovered"/>
    <x v="0"/>
    <x v="1"/>
    <s v="Card"/>
    <n v="15"/>
    <x v="2679"/>
    <s v="Yes"/>
    <x v="0"/>
  </r>
  <r>
    <x v="2691"/>
    <x v="9"/>
    <x v="1"/>
    <x v="3"/>
    <x v="718"/>
    <d v="2024-03-13T00:00:00"/>
    <x v="5"/>
    <x v="4"/>
    <x v="7"/>
    <x v="2690"/>
    <n v="18"/>
    <x v="0"/>
    <s v="Deceased"/>
    <x v="2"/>
    <x v="3"/>
    <s v="Card"/>
    <n v="5"/>
    <x v="2680"/>
    <s v="Yes"/>
    <x v="0"/>
  </r>
  <r>
    <x v="2692"/>
    <x v="62"/>
    <x v="0"/>
    <x v="1"/>
    <x v="932"/>
    <d v="2025-05-07T00:00:00"/>
    <x v="0"/>
    <x v="0"/>
    <x v="1"/>
    <x v="2691"/>
    <n v="17"/>
    <x v="0"/>
    <s v="Recovered"/>
    <x v="0"/>
    <x v="0"/>
    <s v="UPI"/>
    <n v="7"/>
    <x v="2681"/>
    <s v="Yes"/>
    <x v="1"/>
  </r>
  <r>
    <x v="2693"/>
    <x v="52"/>
    <x v="0"/>
    <x v="3"/>
    <x v="728"/>
    <d v="2023-06-16T00:00:00"/>
    <x v="2"/>
    <x v="2"/>
    <x v="6"/>
    <x v="2692"/>
    <n v="18"/>
    <x v="1"/>
    <s v="Recovered"/>
    <x v="0"/>
    <x v="2"/>
    <s v="Insurance"/>
    <n v="15"/>
    <x v="2682"/>
    <s v="Yes"/>
    <x v="0"/>
  </r>
  <r>
    <x v="2694"/>
    <x v="17"/>
    <x v="0"/>
    <x v="7"/>
    <x v="564"/>
    <d v="2024-02-19T00:00:00"/>
    <x v="4"/>
    <x v="3"/>
    <x v="2"/>
    <x v="2693"/>
    <n v="28"/>
    <x v="0"/>
    <s v="Referred"/>
    <x v="1"/>
    <x v="2"/>
    <s v="Cash"/>
    <n v="8"/>
    <x v="2683"/>
    <s v="No"/>
    <x v="0"/>
  </r>
  <r>
    <x v="2695"/>
    <x v="33"/>
    <x v="0"/>
    <x v="1"/>
    <x v="767"/>
    <d v="2023-12-27T00:00:00"/>
    <x v="6"/>
    <x v="2"/>
    <x v="5"/>
    <x v="2694"/>
    <n v="7"/>
    <x v="1"/>
    <s v="Recovered"/>
    <x v="1"/>
    <x v="2"/>
    <s v="Insurance"/>
    <n v="14"/>
    <x v="2684"/>
    <s v="No"/>
    <x v="0"/>
  </r>
  <r>
    <x v="2696"/>
    <x v="68"/>
    <x v="0"/>
    <x v="2"/>
    <x v="551"/>
    <d v="2023-05-28T00:00:00"/>
    <x v="7"/>
    <x v="5"/>
    <x v="0"/>
    <x v="2695"/>
    <n v="4"/>
    <x v="1"/>
    <s v="Recovered"/>
    <x v="1"/>
    <x v="0"/>
    <s v="UPI"/>
    <n v="15"/>
    <x v="2685"/>
    <s v="Yes"/>
    <x v="0"/>
  </r>
  <r>
    <x v="2697"/>
    <x v="4"/>
    <x v="1"/>
    <x v="3"/>
    <x v="494"/>
    <d v="2025-02-24T00:00:00"/>
    <x v="4"/>
    <x v="3"/>
    <x v="4"/>
    <x v="2696"/>
    <n v="13"/>
    <x v="0"/>
    <s v="Recovered"/>
    <x v="1"/>
    <x v="2"/>
    <s v="Cash"/>
    <n v="9"/>
    <x v="2686"/>
    <s v="Yes"/>
    <x v="0"/>
  </r>
  <r>
    <x v="2698"/>
    <x v="23"/>
    <x v="0"/>
    <x v="4"/>
    <x v="539"/>
    <d v="2024-08-31T00:00:00"/>
    <x v="9"/>
    <x v="5"/>
    <x v="0"/>
    <x v="2697"/>
    <n v="14"/>
    <x v="1"/>
    <s v="Under Observation"/>
    <x v="0"/>
    <x v="0"/>
    <s v="Card"/>
    <n v="10"/>
    <x v="2687"/>
    <s v="Yes"/>
    <x v="1"/>
  </r>
  <r>
    <x v="2699"/>
    <x v="43"/>
    <x v="1"/>
    <x v="2"/>
    <x v="899"/>
    <d v="2025-08-11T00:00:00"/>
    <x v="0"/>
    <x v="0"/>
    <x v="4"/>
    <x v="2698"/>
    <n v="26"/>
    <x v="1"/>
    <s v="Recovered"/>
    <x v="2"/>
    <x v="2"/>
    <s v="Insurance"/>
    <n v="13"/>
    <x v="2688"/>
    <s v="No"/>
    <x v="0"/>
  </r>
  <r>
    <x v="2700"/>
    <x v="61"/>
    <x v="0"/>
    <x v="6"/>
    <x v="94"/>
    <d v="2023-01-10T00:00:00"/>
    <x v="3"/>
    <x v="0"/>
    <x v="1"/>
    <x v="2699"/>
    <n v="1"/>
    <x v="0"/>
    <s v="Under Observation"/>
    <x v="1"/>
    <x v="3"/>
    <s v="Cash"/>
    <n v="2"/>
    <x v="2689"/>
    <s v="No"/>
    <x v="1"/>
  </r>
  <r>
    <x v="2701"/>
    <x v="54"/>
    <x v="1"/>
    <x v="6"/>
    <x v="56"/>
    <d v="2025-01-22T00:00:00"/>
    <x v="1"/>
    <x v="1"/>
    <x v="6"/>
    <x v="2700"/>
    <n v="10"/>
    <x v="0"/>
    <s v="Deceased"/>
    <x v="0"/>
    <x v="0"/>
    <s v="Card"/>
    <n v="14"/>
    <x v="2690"/>
    <s v="Yes"/>
    <x v="0"/>
  </r>
  <r>
    <x v="2702"/>
    <x v="60"/>
    <x v="1"/>
    <x v="6"/>
    <x v="169"/>
    <d v="2025-07-03T00:00:00"/>
    <x v="9"/>
    <x v="5"/>
    <x v="3"/>
    <x v="2701"/>
    <n v="27"/>
    <x v="0"/>
    <s v="Recovered"/>
    <x v="2"/>
    <x v="2"/>
    <s v="Card"/>
    <n v="5"/>
    <x v="2691"/>
    <s v="Yes"/>
    <x v="0"/>
  </r>
  <r>
    <x v="2703"/>
    <x v="8"/>
    <x v="0"/>
    <x v="5"/>
    <x v="356"/>
    <d v="2025-04-08T00:00:00"/>
    <x v="1"/>
    <x v="1"/>
    <x v="0"/>
    <x v="2702"/>
    <n v="20"/>
    <x v="0"/>
    <s v="Recovered"/>
    <x v="0"/>
    <x v="3"/>
    <s v="Insurance"/>
    <n v="12"/>
    <x v="2692"/>
    <s v="Yes"/>
    <x v="0"/>
  </r>
  <r>
    <x v="2704"/>
    <x v="61"/>
    <x v="0"/>
    <x v="5"/>
    <x v="592"/>
    <d v="2023-01-15T00:00:00"/>
    <x v="0"/>
    <x v="0"/>
    <x v="1"/>
    <x v="2703"/>
    <n v="13"/>
    <x v="1"/>
    <s v="Recovered"/>
    <x v="0"/>
    <x v="0"/>
    <s v="Card"/>
    <n v="13"/>
    <x v="2693"/>
    <s v="Yes"/>
    <x v="0"/>
  </r>
  <r>
    <x v="2705"/>
    <x v="53"/>
    <x v="0"/>
    <x v="4"/>
    <x v="134"/>
    <d v="2024-11-12T00:00:00"/>
    <x v="7"/>
    <x v="5"/>
    <x v="2"/>
    <x v="2704"/>
    <n v="13"/>
    <x v="1"/>
    <s v="Recovered"/>
    <x v="0"/>
    <x v="3"/>
    <s v="UPI"/>
    <n v="6"/>
    <x v="2694"/>
    <s v="No"/>
    <x v="0"/>
  </r>
  <r>
    <x v="2706"/>
    <x v="49"/>
    <x v="0"/>
    <x v="4"/>
    <x v="14"/>
    <d v="2023-10-21T00:00:00"/>
    <x v="8"/>
    <x v="6"/>
    <x v="1"/>
    <x v="2705"/>
    <n v="3"/>
    <x v="1"/>
    <s v="Recovered"/>
    <x v="1"/>
    <x v="0"/>
    <s v="Insurance"/>
    <n v="13"/>
    <x v="2695"/>
    <s v="Yes"/>
    <x v="0"/>
  </r>
  <r>
    <x v="2707"/>
    <x v="50"/>
    <x v="1"/>
    <x v="4"/>
    <x v="406"/>
    <d v="2023-06-22T00:00:00"/>
    <x v="8"/>
    <x v="6"/>
    <x v="1"/>
    <x v="2706"/>
    <n v="19"/>
    <x v="0"/>
    <s v="Recovered"/>
    <x v="0"/>
    <x v="1"/>
    <s v="Insurance"/>
    <n v="3"/>
    <x v="2696"/>
    <s v="No"/>
    <x v="0"/>
  </r>
  <r>
    <x v="2708"/>
    <x v="58"/>
    <x v="1"/>
    <x v="4"/>
    <x v="23"/>
    <d v="2024-03-01T00:00:00"/>
    <x v="3"/>
    <x v="0"/>
    <x v="0"/>
    <x v="2707"/>
    <n v="10"/>
    <x v="0"/>
    <s v="Referred"/>
    <x v="2"/>
    <x v="3"/>
    <s v="UPI"/>
    <n v="13"/>
    <x v="2697"/>
    <s v="Yes"/>
    <x v="0"/>
  </r>
  <r>
    <x v="2709"/>
    <x v="39"/>
    <x v="1"/>
    <x v="4"/>
    <x v="587"/>
    <d v="2024-02-03T00:00:00"/>
    <x v="1"/>
    <x v="1"/>
    <x v="2"/>
    <x v="2708"/>
    <n v="10"/>
    <x v="1"/>
    <s v="Recovered"/>
    <x v="2"/>
    <x v="0"/>
    <s v="Insurance"/>
    <n v="2"/>
    <x v="2698"/>
    <s v="No"/>
    <x v="0"/>
  </r>
  <r>
    <x v="2710"/>
    <x v="17"/>
    <x v="0"/>
    <x v="1"/>
    <x v="291"/>
    <d v="2023-05-20T00:00:00"/>
    <x v="3"/>
    <x v="0"/>
    <x v="6"/>
    <x v="2709"/>
    <n v="16"/>
    <x v="1"/>
    <s v="Referred"/>
    <x v="0"/>
    <x v="1"/>
    <s v="Card"/>
    <n v="10"/>
    <x v="2699"/>
    <s v="No"/>
    <x v="0"/>
  </r>
  <r>
    <x v="2711"/>
    <x v="55"/>
    <x v="1"/>
    <x v="2"/>
    <x v="643"/>
    <d v="2024-02-15T00:00:00"/>
    <x v="1"/>
    <x v="1"/>
    <x v="4"/>
    <x v="2710"/>
    <n v="8"/>
    <x v="1"/>
    <s v="Recovered"/>
    <x v="0"/>
    <x v="2"/>
    <s v="Card"/>
    <n v="6"/>
    <x v="2700"/>
    <s v="No"/>
    <x v="0"/>
  </r>
  <r>
    <x v="2712"/>
    <x v="16"/>
    <x v="1"/>
    <x v="1"/>
    <x v="735"/>
    <d v="2024-11-07T00:00:00"/>
    <x v="5"/>
    <x v="4"/>
    <x v="3"/>
    <x v="2711"/>
    <n v="5"/>
    <x v="0"/>
    <s v="Recovered"/>
    <x v="0"/>
    <x v="3"/>
    <s v="Card"/>
    <n v="6"/>
    <x v="2701"/>
    <s v="Yes"/>
    <x v="1"/>
  </r>
  <r>
    <x v="2713"/>
    <x v="61"/>
    <x v="0"/>
    <x v="3"/>
    <x v="779"/>
    <d v="2024-07-27T00:00:00"/>
    <x v="8"/>
    <x v="6"/>
    <x v="0"/>
    <x v="2712"/>
    <n v="4"/>
    <x v="1"/>
    <s v="Recovered"/>
    <x v="1"/>
    <x v="3"/>
    <s v="UPI"/>
    <n v="12"/>
    <x v="2702"/>
    <s v="No"/>
    <x v="0"/>
  </r>
  <r>
    <x v="2714"/>
    <x v="63"/>
    <x v="1"/>
    <x v="7"/>
    <x v="137"/>
    <d v="2024-06-08T00:00:00"/>
    <x v="4"/>
    <x v="3"/>
    <x v="2"/>
    <x v="2713"/>
    <n v="19"/>
    <x v="1"/>
    <s v="Recovered"/>
    <x v="1"/>
    <x v="1"/>
    <s v="Insurance"/>
    <n v="4"/>
    <x v="2703"/>
    <s v="Yes"/>
    <x v="1"/>
  </r>
  <r>
    <x v="2715"/>
    <x v="50"/>
    <x v="0"/>
    <x v="4"/>
    <x v="837"/>
    <d v="2023-02-27T00:00:00"/>
    <x v="8"/>
    <x v="6"/>
    <x v="5"/>
    <x v="2714"/>
    <n v="5"/>
    <x v="0"/>
    <s v="Referred"/>
    <x v="1"/>
    <x v="2"/>
    <s v="UPI"/>
    <n v="1"/>
    <x v="2704"/>
    <s v="No"/>
    <x v="0"/>
  </r>
  <r>
    <x v="2716"/>
    <x v="61"/>
    <x v="0"/>
    <x v="6"/>
    <x v="584"/>
    <d v="2024-10-09T00:00:00"/>
    <x v="2"/>
    <x v="2"/>
    <x v="1"/>
    <x v="2715"/>
    <n v="9"/>
    <x v="0"/>
    <s v="Referred"/>
    <x v="2"/>
    <x v="3"/>
    <s v="Card"/>
    <n v="13"/>
    <x v="2705"/>
    <s v="No"/>
    <x v="1"/>
  </r>
  <r>
    <x v="2717"/>
    <x v="12"/>
    <x v="1"/>
    <x v="2"/>
    <x v="636"/>
    <d v="2023-01-23T00:00:00"/>
    <x v="9"/>
    <x v="5"/>
    <x v="4"/>
    <x v="2716"/>
    <n v="10"/>
    <x v="0"/>
    <s v="Referred"/>
    <x v="0"/>
    <x v="0"/>
    <s v="Card"/>
    <n v="2"/>
    <x v="2706"/>
    <s v="No"/>
    <x v="0"/>
  </r>
  <r>
    <x v="2718"/>
    <x v="64"/>
    <x v="1"/>
    <x v="1"/>
    <x v="93"/>
    <d v="2025-08-16T00:00:00"/>
    <x v="3"/>
    <x v="0"/>
    <x v="6"/>
    <x v="2717"/>
    <n v="15"/>
    <x v="0"/>
    <s v="Under Observation"/>
    <x v="1"/>
    <x v="3"/>
    <s v="Card"/>
    <n v="3"/>
    <x v="2707"/>
    <s v="No"/>
    <x v="0"/>
  </r>
  <r>
    <x v="2719"/>
    <x v="14"/>
    <x v="0"/>
    <x v="2"/>
    <x v="555"/>
    <d v="2024-12-14T00:00:00"/>
    <x v="3"/>
    <x v="0"/>
    <x v="7"/>
    <x v="2718"/>
    <n v="10"/>
    <x v="0"/>
    <s v="Recovered"/>
    <x v="1"/>
    <x v="1"/>
    <s v="UPI"/>
    <n v="13"/>
    <x v="2708"/>
    <s v="No"/>
    <x v="0"/>
  </r>
  <r>
    <x v="2720"/>
    <x v="16"/>
    <x v="0"/>
    <x v="1"/>
    <x v="933"/>
    <d v="2023-02-05T00:00:00"/>
    <x v="5"/>
    <x v="4"/>
    <x v="5"/>
    <x v="2719"/>
    <n v="30"/>
    <x v="1"/>
    <s v="Recovered"/>
    <x v="1"/>
    <x v="2"/>
    <s v="Cash"/>
    <n v="8"/>
    <x v="2709"/>
    <s v="Yes"/>
    <x v="0"/>
  </r>
  <r>
    <x v="2721"/>
    <x v="65"/>
    <x v="0"/>
    <x v="3"/>
    <x v="614"/>
    <d v="2025-08-25T00:00:00"/>
    <x v="8"/>
    <x v="6"/>
    <x v="1"/>
    <x v="2720"/>
    <n v="20"/>
    <x v="1"/>
    <s v="Recovered"/>
    <x v="0"/>
    <x v="3"/>
    <s v="Card"/>
    <n v="11"/>
    <x v="2710"/>
    <s v="No"/>
    <x v="0"/>
  </r>
  <r>
    <x v="2722"/>
    <x v="45"/>
    <x v="0"/>
    <x v="5"/>
    <x v="639"/>
    <d v="2025-08-15T00:00:00"/>
    <x v="1"/>
    <x v="1"/>
    <x v="2"/>
    <x v="2721"/>
    <n v="12"/>
    <x v="0"/>
    <s v="Under Observation"/>
    <x v="2"/>
    <x v="1"/>
    <s v="Cash"/>
    <n v="12"/>
    <x v="2711"/>
    <s v="Yes"/>
    <x v="0"/>
  </r>
  <r>
    <x v="2723"/>
    <x v="24"/>
    <x v="1"/>
    <x v="7"/>
    <x v="5"/>
    <d v="2023-08-16T00:00:00"/>
    <x v="6"/>
    <x v="2"/>
    <x v="2"/>
    <x v="2722"/>
    <n v="9"/>
    <x v="1"/>
    <s v="Recovered"/>
    <x v="2"/>
    <x v="0"/>
    <s v="UPI"/>
    <n v="15"/>
    <x v="2712"/>
    <s v="No"/>
    <x v="0"/>
  </r>
  <r>
    <x v="2724"/>
    <x v="42"/>
    <x v="1"/>
    <x v="5"/>
    <x v="97"/>
    <d v="2024-07-27T00:00:00"/>
    <x v="0"/>
    <x v="0"/>
    <x v="2"/>
    <x v="2723"/>
    <n v="2"/>
    <x v="0"/>
    <s v="Recovered"/>
    <x v="1"/>
    <x v="1"/>
    <s v="Card"/>
    <n v="3"/>
    <x v="2713"/>
    <s v="No"/>
    <x v="0"/>
  </r>
  <r>
    <x v="2725"/>
    <x v="4"/>
    <x v="0"/>
    <x v="1"/>
    <x v="0"/>
    <d v="2025-04-18T00:00:00"/>
    <x v="0"/>
    <x v="0"/>
    <x v="7"/>
    <x v="2724"/>
    <n v="20"/>
    <x v="0"/>
    <s v="Recovered"/>
    <x v="2"/>
    <x v="2"/>
    <s v="UPI"/>
    <n v="5"/>
    <x v="2714"/>
    <s v="No"/>
    <x v="1"/>
  </r>
  <r>
    <x v="2726"/>
    <x v="24"/>
    <x v="0"/>
    <x v="4"/>
    <x v="253"/>
    <d v="2024-02-16T00:00:00"/>
    <x v="7"/>
    <x v="5"/>
    <x v="2"/>
    <x v="2725"/>
    <n v="19"/>
    <x v="0"/>
    <s v="Recovered"/>
    <x v="1"/>
    <x v="2"/>
    <s v="Cash"/>
    <n v="2"/>
    <x v="2715"/>
    <s v="No"/>
    <x v="0"/>
  </r>
  <r>
    <x v="2727"/>
    <x v="12"/>
    <x v="0"/>
    <x v="2"/>
    <x v="111"/>
    <d v="2023-04-22T00:00:00"/>
    <x v="9"/>
    <x v="5"/>
    <x v="1"/>
    <x v="2726"/>
    <n v="8"/>
    <x v="1"/>
    <s v="Recovered"/>
    <x v="1"/>
    <x v="1"/>
    <s v="UPI"/>
    <n v="1"/>
    <x v="2716"/>
    <s v="No"/>
    <x v="1"/>
  </r>
  <r>
    <x v="2728"/>
    <x v="71"/>
    <x v="0"/>
    <x v="3"/>
    <x v="633"/>
    <d v="2025-08-19T00:00:00"/>
    <x v="4"/>
    <x v="3"/>
    <x v="3"/>
    <x v="2727"/>
    <n v="19"/>
    <x v="0"/>
    <s v="Recovered"/>
    <x v="2"/>
    <x v="3"/>
    <s v="Insurance"/>
    <n v="9"/>
    <x v="2717"/>
    <s v="No"/>
    <x v="0"/>
  </r>
  <r>
    <x v="2729"/>
    <x v="52"/>
    <x v="0"/>
    <x v="1"/>
    <x v="162"/>
    <d v="2024-06-03T00:00:00"/>
    <x v="8"/>
    <x v="6"/>
    <x v="1"/>
    <x v="2728"/>
    <n v="4"/>
    <x v="1"/>
    <s v="Under Observation"/>
    <x v="0"/>
    <x v="3"/>
    <s v="Cash"/>
    <n v="12"/>
    <x v="2718"/>
    <s v="No"/>
    <x v="0"/>
  </r>
  <r>
    <x v="2730"/>
    <x v="16"/>
    <x v="0"/>
    <x v="6"/>
    <x v="440"/>
    <d v="2025-07-16T00:00:00"/>
    <x v="4"/>
    <x v="3"/>
    <x v="1"/>
    <x v="2729"/>
    <n v="14"/>
    <x v="0"/>
    <s v="Recovered"/>
    <x v="1"/>
    <x v="2"/>
    <s v="Insurance"/>
    <n v="6"/>
    <x v="2719"/>
    <s v="Yes"/>
    <x v="0"/>
  </r>
  <r>
    <x v="2731"/>
    <x v="23"/>
    <x v="0"/>
    <x v="1"/>
    <x v="318"/>
    <d v="2025-05-03T00:00:00"/>
    <x v="4"/>
    <x v="3"/>
    <x v="0"/>
    <x v="2730"/>
    <n v="16"/>
    <x v="1"/>
    <s v="Under Observation"/>
    <x v="0"/>
    <x v="1"/>
    <s v="Cash"/>
    <n v="1"/>
    <x v="2720"/>
    <s v="No"/>
    <x v="0"/>
  </r>
  <r>
    <x v="2732"/>
    <x v="25"/>
    <x v="0"/>
    <x v="2"/>
    <x v="144"/>
    <d v="2025-09-16T00:00:00"/>
    <x v="7"/>
    <x v="5"/>
    <x v="4"/>
    <x v="2731"/>
    <n v="2"/>
    <x v="1"/>
    <s v="Recovered"/>
    <x v="1"/>
    <x v="1"/>
    <s v="Cash"/>
    <n v="11"/>
    <x v="2721"/>
    <s v="No"/>
    <x v="0"/>
  </r>
  <r>
    <x v="2733"/>
    <x v="65"/>
    <x v="0"/>
    <x v="6"/>
    <x v="242"/>
    <d v="2024-10-16T00:00:00"/>
    <x v="5"/>
    <x v="4"/>
    <x v="0"/>
    <x v="2732"/>
    <n v="17"/>
    <x v="0"/>
    <s v="Recovered"/>
    <x v="1"/>
    <x v="3"/>
    <s v="Cash"/>
    <n v="4"/>
    <x v="2722"/>
    <s v="Yes"/>
    <x v="0"/>
  </r>
  <r>
    <x v="2734"/>
    <x v="65"/>
    <x v="0"/>
    <x v="5"/>
    <x v="434"/>
    <d v="2023-07-15T00:00:00"/>
    <x v="7"/>
    <x v="5"/>
    <x v="0"/>
    <x v="2733"/>
    <n v="10"/>
    <x v="1"/>
    <s v="Recovered"/>
    <x v="1"/>
    <x v="1"/>
    <s v="Insurance"/>
    <n v="9"/>
    <x v="1315"/>
    <s v="No"/>
    <x v="0"/>
  </r>
  <r>
    <x v="2735"/>
    <x v="36"/>
    <x v="0"/>
    <x v="5"/>
    <x v="146"/>
    <d v="2023-10-28T00:00:00"/>
    <x v="6"/>
    <x v="2"/>
    <x v="4"/>
    <x v="2734"/>
    <n v="6"/>
    <x v="1"/>
    <s v="Recovered"/>
    <x v="2"/>
    <x v="3"/>
    <s v="UPI"/>
    <n v="12"/>
    <x v="2723"/>
    <s v="Yes"/>
    <x v="0"/>
  </r>
  <r>
    <x v="2736"/>
    <x v="32"/>
    <x v="0"/>
    <x v="4"/>
    <x v="273"/>
    <d v="2024-07-04T00:00:00"/>
    <x v="6"/>
    <x v="2"/>
    <x v="6"/>
    <x v="2735"/>
    <n v="4"/>
    <x v="0"/>
    <s v="Recovered"/>
    <x v="1"/>
    <x v="1"/>
    <s v="Insurance"/>
    <n v="10"/>
    <x v="2724"/>
    <s v="No"/>
    <x v="0"/>
  </r>
  <r>
    <x v="2737"/>
    <x v="37"/>
    <x v="0"/>
    <x v="3"/>
    <x v="349"/>
    <d v="2025-05-05T00:00:00"/>
    <x v="0"/>
    <x v="0"/>
    <x v="3"/>
    <x v="2736"/>
    <n v="30"/>
    <x v="1"/>
    <s v="Recovered"/>
    <x v="2"/>
    <x v="2"/>
    <s v="Cash"/>
    <n v="14"/>
    <x v="2725"/>
    <s v="Yes"/>
    <x v="0"/>
  </r>
  <r>
    <x v="2738"/>
    <x v="18"/>
    <x v="0"/>
    <x v="2"/>
    <x v="39"/>
    <d v="2025-03-21T00:00:00"/>
    <x v="6"/>
    <x v="2"/>
    <x v="7"/>
    <x v="2737"/>
    <n v="18"/>
    <x v="0"/>
    <s v="Under Observation"/>
    <x v="1"/>
    <x v="3"/>
    <s v="UPI"/>
    <n v="13"/>
    <x v="2726"/>
    <s v="No"/>
    <x v="0"/>
  </r>
  <r>
    <x v="2739"/>
    <x v="43"/>
    <x v="0"/>
    <x v="6"/>
    <x v="543"/>
    <d v="2025-05-18T00:00:00"/>
    <x v="5"/>
    <x v="4"/>
    <x v="7"/>
    <x v="2738"/>
    <n v="15"/>
    <x v="0"/>
    <s v="Recovered"/>
    <x v="2"/>
    <x v="3"/>
    <s v="Card"/>
    <n v="10"/>
    <x v="2727"/>
    <s v="Yes"/>
    <x v="0"/>
  </r>
  <r>
    <x v="2740"/>
    <x v="61"/>
    <x v="1"/>
    <x v="4"/>
    <x v="405"/>
    <d v="2023-07-28T00:00:00"/>
    <x v="2"/>
    <x v="2"/>
    <x v="5"/>
    <x v="2739"/>
    <n v="13"/>
    <x v="1"/>
    <s v="Recovered"/>
    <x v="2"/>
    <x v="2"/>
    <s v="UPI"/>
    <n v="4"/>
    <x v="2728"/>
    <s v="No"/>
    <x v="1"/>
  </r>
  <r>
    <x v="2741"/>
    <x v="29"/>
    <x v="0"/>
    <x v="4"/>
    <x v="272"/>
    <d v="2025-01-06T00:00:00"/>
    <x v="0"/>
    <x v="0"/>
    <x v="5"/>
    <x v="2740"/>
    <n v="16"/>
    <x v="1"/>
    <s v="Recovered"/>
    <x v="2"/>
    <x v="1"/>
    <s v="UPI"/>
    <n v="8"/>
    <x v="2729"/>
    <s v="Yes"/>
    <x v="0"/>
  </r>
  <r>
    <x v="2742"/>
    <x v="60"/>
    <x v="0"/>
    <x v="3"/>
    <x v="640"/>
    <d v="2023-02-15T00:00:00"/>
    <x v="0"/>
    <x v="0"/>
    <x v="0"/>
    <x v="2741"/>
    <n v="18"/>
    <x v="1"/>
    <s v="Recovered"/>
    <x v="0"/>
    <x v="1"/>
    <s v="Card"/>
    <n v="8"/>
    <x v="2730"/>
    <s v="No"/>
    <x v="0"/>
  </r>
  <r>
    <x v="2743"/>
    <x v="5"/>
    <x v="0"/>
    <x v="5"/>
    <x v="367"/>
    <d v="2023-10-28T00:00:00"/>
    <x v="5"/>
    <x v="4"/>
    <x v="2"/>
    <x v="2742"/>
    <n v="5"/>
    <x v="1"/>
    <s v="Recovered"/>
    <x v="0"/>
    <x v="3"/>
    <s v="Insurance"/>
    <n v="14"/>
    <x v="2731"/>
    <s v="No"/>
    <x v="0"/>
  </r>
  <r>
    <x v="2744"/>
    <x v="16"/>
    <x v="0"/>
    <x v="6"/>
    <x v="855"/>
    <d v="2024-01-29T00:00:00"/>
    <x v="1"/>
    <x v="1"/>
    <x v="4"/>
    <x v="2743"/>
    <n v="19"/>
    <x v="0"/>
    <s v="Recovered"/>
    <x v="0"/>
    <x v="0"/>
    <s v="Card"/>
    <n v="13"/>
    <x v="2732"/>
    <s v="No"/>
    <x v="0"/>
  </r>
  <r>
    <x v="2745"/>
    <x v="30"/>
    <x v="1"/>
    <x v="6"/>
    <x v="912"/>
    <d v="2025-06-22T00:00:00"/>
    <x v="1"/>
    <x v="1"/>
    <x v="7"/>
    <x v="2744"/>
    <n v="5"/>
    <x v="0"/>
    <s v="Referred"/>
    <x v="0"/>
    <x v="1"/>
    <s v="Card"/>
    <n v="14"/>
    <x v="2733"/>
    <s v="No"/>
    <x v="1"/>
  </r>
  <r>
    <x v="2746"/>
    <x v="52"/>
    <x v="1"/>
    <x v="5"/>
    <x v="606"/>
    <d v="2025-03-01T00:00:00"/>
    <x v="9"/>
    <x v="5"/>
    <x v="6"/>
    <x v="2745"/>
    <n v="11"/>
    <x v="0"/>
    <s v="Recovered"/>
    <x v="1"/>
    <x v="0"/>
    <s v="UPI"/>
    <n v="13"/>
    <x v="2734"/>
    <s v="Yes"/>
    <x v="0"/>
  </r>
  <r>
    <x v="2747"/>
    <x v="52"/>
    <x v="0"/>
    <x v="3"/>
    <x v="704"/>
    <d v="2024-06-19T00:00:00"/>
    <x v="6"/>
    <x v="2"/>
    <x v="5"/>
    <x v="2746"/>
    <n v="4"/>
    <x v="0"/>
    <s v="Recovered"/>
    <x v="2"/>
    <x v="2"/>
    <s v="UPI"/>
    <n v="14"/>
    <x v="2735"/>
    <s v="Yes"/>
    <x v="0"/>
  </r>
  <r>
    <x v="2748"/>
    <x v="72"/>
    <x v="1"/>
    <x v="6"/>
    <x v="665"/>
    <d v="2023-12-26T00:00:00"/>
    <x v="5"/>
    <x v="4"/>
    <x v="1"/>
    <x v="2747"/>
    <n v="17"/>
    <x v="0"/>
    <s v="Recovered"/>
    <x v="1"/>
    <x v="3"/>
    <s v="UPI"/>
    <n v="6"/>
    <x v="2736"/>
    <s v="Yes"/>
    <x v="0"/>
  </r>
  <r>
    <x v="2749"/>
    <x v="58"/>
    <x v="0"/>
    <x v="0"/>
    <x v="701"/>
    <d v="2024-05-23T00:00:00"/>
    <x v="8"/>
    <x v="6"/>
    <x v="1"/>
    <x v="2748"/>
    <n v="8"/>
    <x v="1"/>
    <s v="Recovered"/>
    <x v="0"/>
    <x v="0"/>
    <s v="Insurance"/>
    <n v="8"/>
    <x v="2737"/>
    <s v="No"/>
    <x v="0"/>
  </r>
  <r>
    <x v="2750"/>
    <x v="60"/>
    <x v="1"/>
    <x v="1"/>
    <x v="39"/>
    <d v="2025-03-04T00:00:00"/>
    <x v="4"/>
    <x v="3"/>
    <x v="2"/>
    <x v="2749"/>
    <n v="1"/>
    <x v="1"/>
    <s v="Recovered"/>
    <x v="0"/>
    <x v="0"/>
    <s v="Cash"/>
    <n v="15"/>
    <x v="2738"/>
    <s v="No"/>
    <x v="0"/>
  </r>
  <r>
    <x v="2751"/>
    <x v="72"/>
    <x v="0"/>
    <x v="2"/>
    <x v="361"/>
    <d v="2025-07-28T00:00:00"/>
    <x v="8"/>
    <x v="6"/>
    <x v="6"/>
    <x v="2750"/>
    <n v="18"/>
    <x v="0"/>
    <s v="Recovered"/>
    <x v="2"/>
    <x v="1"/>
    <s v="Insurance"/>
    <n v="1"/>
    <x v="2739"/>
    <s v="No"/>
    <x v="0"/>
  </r>
  <r>
    <x v="2752"/>
    <x v="64"/>
    <x v="1"/>
    <x v="5"/>
    <x v="586"/>
    <d v="2025-09-15T00:00:00"/>
    <x v="6"/>
    <x v="2"/>
    <x v="3"/>
    <x v="2751"/>
    <n v="14"/>
    <x v="1"/>
    <s v="Recovered"/>
    <x v="2"/>
    <x v="3"/>
    <s v="Insurance"/>
    <n v="12"/>
    <x v="2740"/>
    <s v="Yes"/>
    <x v="0"/>
  </r>
  <r>
    <x v="2753"/>
    <x v="19"/>
    <x v="1"/>
    <x v="4"/>
    <x v="880"/>
    <d v="2023-10-31T00:00:00"/>
    <x v="4"/>
    <x v="3"/>
    <x v="1"/>
    <x v="2752"/>
    <n v="5"/>
    <x v="1"/>
    <s v="Recovered"/>
    <x v="0"/>
    <x v="3"/>
    <s v="Insurance"/>
    <n v="9"/>
    <x v="2741"/>
    <s v="Yes"/>
    <x v="1"/>
  </r>
  <r>
    <x v="2754"/>
    <x v="63"/>
    <x v="0"/>
    <x v="1"/>
    <x v="50"/>
    <d v="2023-12-16T00:00:00"/>
    <x v="4"/>
    <x v="3"/>
    <x v="5"/>
    <x v="2753"/>
    <n v="1"/>
    <x v="0"/>
    <s v="Recovered"/>
    <x v="0"/>
    <x v="3"/>
    <s v="UPI"/>
    <n v="8"/>
    <x v="2742"/>
    <s v="Yes"/>
    <x v="0"/>
  </r>
  <r>
    <x v="2755"/>
    <x v="56"/>
    <x v="0"/>
    <x v="5"/>
    <x v="863"/>
    <d v="2024-03-29T00:00:00"/>
    <x v="4"/>
    <x v="3"/>
    <x v="4"/>
    <x v="2754"/>
    <n v="7"/>
    <x v="0"/>
    <s v="Under Observation"/>
    <x v="0"/>
    <x v="1"/>
    <s v="UPI"/>
    <n v="1"/>
    <x v="2743"/>
    <s v="Yes"/>
    <x v="0"/>
  </r>
  <r>
    <x v="2756"/>
    <x v="12"/>
    <x v="0"/>
    <x v="6"/>
    <x v="11"/>
    <d v="2025-03-07T00:00:00"/>
    <x v="8"/>
    <x v="6"/>
    <x v="4"/>
    <x v="2755"/>
    <n v="16"/>
    <x v="0"/>
    <s v="Under Observation"/>
    <x v="0"/>
    <x v="1"/>
    <s v="UPI"/>
    <n v="12"/>
    <x v="2744"/>
    <s v="Yes"/>
    <x v="0"/>
  </r>
  <r>
    <x v="2757"/>
    <x v="66"/>
    <x v="1"/>
    <x v="1"/>
    <x v="934"/>
    <d v="2025-06-11T00:00:00"/>
    <x v="8"/>
    <x v="6"/>
    <x v="2"/>
    <x v="2756"/>
    <n v="17"/>
    <x v="0"/>
    <s v="Recovered"/>
    <x v="1"/>
    <x v="2"/>
    <s v="Insurance"/>
    <n v="3"/>
    <x v="2745"/>
    <s v="No"/>
    <x v="0"/>
  </r>
  <r>
    <x v="2758"/>
    <x v="54"/>
    <x v="0"/>
    <x v="0"/>
    <x v="290"/>
    <d v="2023-02-03T00:00:00"/>
    <x v="4"/>
    <x v="3"/>
    <x v="5"/>
    <x v="2757"/>
    <n v="10"/>
    <x v="1"/>
    <s v="Under Observation"/>
    <x v="1"/>
    <x v="1"/>
    <s v="Card"/>
    <n v="1"/>
    <x v="2746"/>
    <s v="No"/>
    <x v="0"/>
  </r>
  <r>
    <x v="2759"/>
    <x v="32"/>
    <x v="0"/>
    <x v="1"/>
    <x v="319"/>
    <d v="2023-02-27T00:00:00"/>
    <x v="3"/>
    <x v="0"/>
    <x v="4"/>
    <x v="2758"/>
    <n v="8"/>
    <x v="1"/>
    <s v="Recovered"/>
    <x v="1"/>
    <x v="1"/>
    <s v="UPI"/>
    <n v="5"/>
    <x v="188"/>
    <s v="No"/>
    <x v="1"/>
  </r>
  <r>
    <x v="2760"/>
    <x v="20"/>
    <x v="0"/>
    <x v="7"/>
    <x v="645"/>
    <d v="2023-03-17T00:00:00"/>
    <x v="2"/>
    <x v="2"/>
    <x v="1"/>
    <x v="2759"/>
    <n v="10"/>
    <x v="0"/>
    <s v="Recovered"/>
    <x v="0"/>
    <x v="3"/>
    <s v="Cash"/>
    <n v="14"/>
    <x v="2747"/>
    <s v="Yes"/>
    <x v="0"/>
  </r>
  <r>
    <x v="2761"/>
    <x v="26"/>
    <x v="1"/>
    <x v="4"/>
    <x v="59"/>
    <d v="2024-09-11T00:00:00"/>
    <x v="4"/>
    <x v="3"/>
    <x v="2"/>
    <x v="2760"/>
    <n v="8"/>
    <x v="1"/>
    <s v="Recovered"/>
    <x v="1"/>
    <x v="0"/>
    <s v="Cash"/>
    <n v="13"/>
    <x v="2748"/>
    <s v="Yes"/>
    <x v="0"/>
  </r>
  <r>
    <x v="2762"/>
    <x v="31"/>
    <x v="1"/>
    <x v="3"/>
    <x v="826"/>
    <d v="2024-06-13T00:00:00"/>
    <x v="0"/>
    <x v="0"/>
    <x v="7"/>
    <x v="2761"/>
    <n v="4"/>
    <x v="0"/>
    <s v="Referred"/>
    <x v="1"/>
    <x v="2"/>
    <s v="Insurance"/>
    <n v="5"/>
    <x v="2749"/>
    <s v="No"/>
    <x v="0"/>
  </r>
  <r>
    <x v="2763"/>
    <x v="45"/>
    <x v="1"/>
    <x v="3"/>
    <x v="407"/>
    <d v="2023-03-04T00:00:00"/>
    <x v="1"/>
    <x v="1"/>
    <x v="1"/>
    <x v="2762"/>
    <n v="11"/>
    <x v="0"/>
    <s v="Recovered"/>
    <x v="0"/>
    <x v="2"/>
    <s v="UPI"/>
    <n v="7"/>
    <x v="2750"/>
    <s v="Yes"/>
    <x v="0"/>
  </r>
  <r>
    <x v="2764"/>
    <x v="69"/>
    <x v="1"/>
    <x v="2"/>
    <x v="336"/>
    <d v="2023-06-22T00:00:00"/>
    <x v="6"/>
    <x v="2"/>
    <x v="7"/>
    <x v="2763"/>
    <n v="26"/>
    <x v="1"/>
    <s v="Recovered"/>
    <x v="0"/>
    <x v="2"/>
    <s v="Cash"/>
    <n v="15"/>
    <x v="2751"/>
    <s v="No"/>
    <x v="0"/>
  </r>
  <r>
    <x v="2765"/>
    <x v="54"/>
    <x v="0"/>
    <x v="2"/>
    <x v="751"/>
    <d v="2024-07-27T00:00:00"/>
    <x v="8"/>
    <x v="6"/>
    <x v="3"/>
    <x v="2764"/>
    <n v="29"/>
    <x v="1"/>
    <s v="Recovered"/>
    <x v="0"/>
    <x v="2"/>
    <s v="Cash"/>
    <n v="10"/>
    <x v="2752"/>
    <s v="Yes"/>
    <x v="0"/>
  </r>
  <r>
    <x v="2766"/>
    <x v="30"/>
    <x v="1"/>
    <x v="2"/>
    <x v="71"/>
    <d v="2023-05-01T00:00:00"/>
    <x v="0"/>
    <x v="0"/>
    <x v="6"/>
    <x v="2765"/>
    <n v="14"/>
    <x v="0"/>
    <s v="Recovered"/>
    <x v="1"/>
    <x v="3"/>
    <s v="UPI"/>
    <n v="9"/>
    <x v="2753"/>
    <s v="No"/>
    <x v="0"/>
  </r>
  <r>
    <x v="2767"/>
    <x v="33"/>
    <x v="1"/>
    <x v="4"/>
    <x v="405"/>
    <d v="2023-07-17T00:00:00"/>
    <x v="4"/>
    <x v="3"/>
    <x v="4"/>
    <x v="2766"/>
    <n v="2"/>
    <x v="0"/>
    <s v="Recovered"/>
    <x v="0"/>
    <x v="3"/>
    <s v="Card"/>
    <n v="4"/>
    <x v="2754"/>
    <s v="Yes"/>
    <x v="0"/>
  </r>
  <r>
    <x v="2768"/>
    <x v="42"/>
    <x v="0"/>
    <x v="0"/>
    <x v="376"/>
    <d v="2025-01-21T00:00:00"/>
    <x v="4"/>
    <x v="3"/>
    <x v="5"/>
    <x v="2767"/>
    <n v="12"/>
    <x v="1"/>
    <s v="Recovered"/>
    <x v="0"/>
    <x v="2"/>
    <s v="UPI"/>
    <n v="6"/>
    <x v="2755"/>
    <s v="Yes"/>
    <x v="0"/>
  </r>
  <r>
    <x v="2769"/>
    <x v="62"/>
    <x v="1"/>
    <x v="5"/>
    <x v="935"/>
    <d v="2023-08-04T00:00:00"/>
    <x v="4"/>
    <x v="3"/>
    <x v="0"/>
    <x v="2768"/>
    <n v="2"/>
    <x v="1"/>
    <s v="Under Observation"/>
    <x v="0"/>
    <x v="3"/>
    <s v="Insurance"/>
    <n v="13"/>
    <x v="2756"/>
    <s v="Yes"/>
    <x v="0"/>
  </r>
  <r>
    <x v="2770"/>
    <x v="69"/>
    <x v="1"/>
    <x v="0"/>
    <x v="56"/>
    <d v="2025-01-21T00:00:00"/>
    <x v="6"/>
    <x v="2"/>
    <x v="7"/>
    <x v="2769"/>
    <n v="9"/>
    <x v="0"/>
    <s v="Recovered"/>
    <x v="1"/>
    <x v="3"/>
    <s v="Insurance"/>
    <n v="13"/>
    <x v="2757"/>
    <s v="Yes"/>
    <x v="0"/>
  </r>
  <r>
    <x v="2771"/>
    <x v="9"/>
    <x v="0"/>
    <x v="0"/>
    <x v="642"/>
    <d v="2024-02-01T00:00:00"/>
    <x v="5"/>
    <x v="4"/>
    <x v="0"/>
    <x v="2770"/>
    <n v="7"/>
    <x v="0"/>
    <s v="Recovered"/>
    <x v="2"/>
    <x v="1"/>
    <s v="Cash"/>
    <n v="13"/>
    <x v="2758"/>
    <s v="No"/>
    <x v="0"/>
  </r>
  <r>
    <x v="2772"/>
    <x v="23"/>
    <x v="0"/>
    <x v="0"/>
    <x v="703"/>
    <d v="2023-11-03T00:00:00"/>
    <x v="6"/>
    <x v="2"/>
    <x v="6"/>
    <x v="2771"/>
    <n v="1"/>
    <x v="0"/>
    <s v="Recovered"/>
    <x v="0"/>
    <x v="3"/>
    <s v="Cash"/>
    <n v="4"/>
    <x v="2759"/>
    <s v="Yes"/>
    <x v="0"/>
  </r>
  <r>
    <x v="2773"/>
    <x v="28"/>
    <x v="0"/>
    <x v="1"/>
    <x v="294"/>
    <d v="2024-08-20T00:00:00"/>
    <x v="6"/>
    <x v="2"/>
    <x v="2"/>
    <x v="2772"/>
    <n v="1"/>
    <x v="1"/>
    <s v="Recovered"/>
    <x v="1"/>
    <x v="0"/>
    <s v="Cash"/>
    <n v="14"/>
    <x v="2760"/>
    <s v="No"/>
    <x v="1"/>
  </r>
  <r>
    <x v="2774"/>
    <x v="0"/>
    <x v="0"/>
    <x v="6"/>
    <x v="134"/>
    <d v="2024-10-31T00:00:00"/>
    <x v="0"/>
    <x v="0"/>
    <x v="0"/>
    <x v="2773"/>
    <n v="1"/>
    <x v="1"/>
    <s v="Referred"/>
    <x v="0"/>
    <x v="3"/>
    <s v="Insurance"/>
    <n v="8"/>
    <x v="2761"/>
    <s v="Yes"/>
    <x v="0"/>
  </r>
  <r>
    <x v="2775"/>
    <x v="5"/>
    <x v="1"/>
    <x v="7"/>
    <x v="936"/>
    <d v="2024-01-28T00:00:00"/>
    <x v="1"/>
    <x v="1"/>
    <x v="7"/>
    <x v="2774"/>
    <n v="19"/>
    <x v="0"/>
    <s v="Recovered"/>
    <x v="0"/>
    <x v="3"/>
    <s v="Cash"/>
    <n v="13"/>
    <x v="2762"/>
    <s v="Yes"/>
    <x v="0"/>
  </r>
  <r>
    <x v="2776"/>
    <x v="44"/>
    <x v="0"/>
    <x v="2"/>
    <x v="357"/>
    <d v="2023-08-30T00:00:00"/>
    <x v="9"/>
    <x v="5"/>
    <x v="3"/>
    <x v="2775"/>
    <n v="16"/>
    <x v="0"/>
    <s v="Recovered"/>
    <x v="1"/>
    <x v="1"/>
    <s v="UPI"/>
    <n v="8"/>
    <x v="2763"/>
    <s v="Yes"/>
    <x v="0"/>
  </r>
  <r>
    <x v="2777"/>
    <x v="50"/>
    <x v="1"/>
    <x v="5"/>
    <x v="227"/>
    <d v="2024-09-24T00:00:00"/>
    <x v="5"/>
    <x v="4"/>
    <x v="6"/>
    <x v="2776"/>
    <n v="16"/>
    <x v="0"/>
    <s v="Recovered"/>
    <x v="2"/>
    <x v="1"/>
    <s v="Card"/>
    <n v="9"/>
    <x v="2764"/>
    <s v="No"/>
    <x v="1"/>
  </r>
  <r>
    <x v="2778"/>
    <x v="15"/>
    <x v="0"/>
    <x v="7"/>
    <x v="347"/>
    <d v="2024-05-21T00:00:00"/>
    <x v="1"/>
    <x v="1"/>
    <x v="5"/>
    <x v="2777"/>
    <n v="8"/>
    <x v="1"/>
    <s v="Recovered"/>
    <x v="0"/>
    <x v="3"/>
    <s v="Card"/>
    <n v="1"/>
    <x v="2765"/>
    <s v="No"/>
    <x v="0"/>
  </r>
  <r>
    <x v="2779"/>
    <x v="69"/>
    <x v="0"/>
    <x v="5"/>
    <x v="38"/>
    <d v="2025-06-16T00:00:00"/>
    <x v="3"/>
    <x v="0"/>
    <x v="3"/>
    <x v="2778"/>
    <n v="7"/>
    <x v="0"/>
    <s v="Recovered"/>
    <x v="2"/>
    <x v="3"/>
    <s v="Insurance"/>
    <n v="15"/>
    <x v="2766"/>
    <s v="No"/>
    <x v="0"/>
  </r>
  <r>
    <x v="2780"/>
    <x v="19"/>
    <x v="1"/>
    <x v="7"/>
    <x v="937"/>
    <d v="2025-04-02T00:00:00"/>
    <x v="9"/>
    <x v="5"/>
    <x v="6"/>
    <x v="2779"/>
    <n v="15"/>
    <x v="1"/>
    <s v="Recovered"/>
    <x v="2"/>
    <x v="2"/>
    <s v="Cash"/>
    <n v="11"/>
    <x v="2767"/>
    <s v="No"/>
    <x v="0"/>
  </r>
  <r>
    <x v="2781"/>
    <x v="30"/>
    <x v="0"/>
    <x v="3"/>
    <x v="936"/>
    <d v="2024-01-17T00:00:00"/>
    <x v="8"/>
    <x v="6"/>
    <x v="6"/>
    <x v="2780"/>
    <n v="8"/>
    <x v="0"/>
    <s v="Under Observation"/>
    <x v="1"/>
    <x v="1"/>
    <s v="Cash"/>
    <n v="3"/>
    <x v="2768"/>
    <s v="No"/>
    <x v="1"/>
  </r>
  <r>
    <x v="2782"/>
    <x v="14"/>
    <x v="0"/>
    <x v="7"/>
    <x v="801"/>
    <d v="2025-05-16T00:00:00"/>
    <x v="8"/>
    <x v="6"/>
    <x v="1"/>
    <x v="2781"/>
    <n v="11"/>
    <x v="1"/>
    <s v="Recovered"/>
    <x v="0"/>
    <x v="1"/>
    <s v="Card"/>
    <n v="12"/>
    <x v="2769"/>
    <s v="No"/>
    <x v="0"/>
  </r>
  <r>
    <x v="2783"/>
    <x v="28"/>
    <x v="0"/>
    <x v="6"/>
    <x v="736"/>
    <d v="2023-07-14T00:00:00"/>
    <x v="6"/>
    <x v="2"/>
    <x v="4"/>
    <x v="2782"/>
    <n v="14"/>
    <x v="0"/>
    <s v="Recovered"/>
    <x v="2"/>
    <x v="3"/>
    <s v="Cash"/>
    <n v="1"/>
    <x v="2770"/>
    <s v="No"/>
    <x v="0"/>
  </r>
  <r>
    <x v="2784"/>
    <x v="13"/>
    <x v="0"/>
    <x v="7"/>
    <x v="743"/>
    <d v="2023-09-13T00:00:00"/>
    <x v="0"/>
    <x v="0"/>
    <x v="7"/>
    <x v="2783"/>
    <n v="3"/>
    <x v="0"/>
    <s v="Recovered"/>
    <x v="0"/>
    <x v="0"/>
    <s v="Card"/>
    <n v="14"/>
    <x v="2771"/>
    <s v="Yes"/>
    <x v="0"/>
  </r>
  <r>
    <x v="2785"/>
    <x v="47"/>
    <x v="0"/>
    <x v="6"/>
    <x v="286"/>
    <d v="2023-09-22T00:00:00"/>
    <x v="9"/>
    <x v="5"/>
    <x v="1"/>
    <x v="2784"/>
    <n v="11"/>
    <x v="0"/>
    <s v="Recovered"/>
    <x v="0"/>
    <x v="0"/>
    <s v="Card"/>
    <n v="5"/>
    <x v="2772"/>
    <s v="No"/>
    <x v="0"/>
  </r>
  <r>
    <x v="2786"/>
    <x v="25"/>
    <x v="0"/>
    <x v="2"/>
    <x v="235"/>
    <d v="2023-07-16T00:00:00"/>
    <x v="0"/>
    <x v="0"/>
    <x v="3"/>
    <x v="2785"/>
    <n v="6"/>
    <x v="1"/>
    <s v="Recovered"/>
    <x v="0"/>
    <x v="0"/>
    <s v="Insurance"/>
    <n v="15"/>
    <x v="2773"/>
    <s v="Yes"/>
    <x v="0"/>
  </r>
  <r>
    <x v="2787"/>
    <x v="63"/>
    <x v="1"/>
    <x v="2"/>
    <x v="551"/>
    <d v="2023-05-27T00:00:00"/>
    <x v="1"/>
    <x v="1"/>
    <x v="2"/>
    <x v="2786"/>
    <n v="3"/>
    <x v="1"/>
    <s v="Under Observation"/>
    <x v="2"/>
    <x v="1"/>
    <s v="Insurance"/>
    <n v="14"/>
    <x v="2774"/>
    <s v="Yes"/>
    <x v="0"/>
  </r>
  <r>
    <x v="2788"/>
    <x v="1"/>
    <x v="1"/>
    <x v="1"/>
    <x v="508"/>
    <d v="2024-05-02T00:00:00"/>
    <x v="6"/>
    <x v="2"/>
    <x v="5"/>
    <x v="2787"/>
    <n v="8"/>
    <x v="0"/>
    <s v="Recovered"/>
    <x v="2"/>
    <x v="0"/>
    <s v="UPI"/>
    <n v="15"/>
    <x v="2775"/>
    <s v="Yes"/>
    <x v="0"/>
  </r>
  <r>
    <x v="2789"/>
    <x v="71"/>
    <x v="1"/>
    <x v="1"/>
    <x v="395"/>
    <d v="2025-01-07T00:00:00"/>
    <x v="0"/>
    <x v="0"/>
    <x v="4"/>
    <x v="2788"/>
    <n v="24"/>
    <x v="1"/>
    <s v="Recovered"/>
    <x v="1"/>
    <x v="2"/>
    <s v="Card"/>
    <n v="12"/>
    <x v="2776"/>
    <s v="No"/>
    <x v="0"/>
  </r>
  <r>
    <x v="2790"/>
    <x v="30"/>
    <x v="0"/>
    <x v="6"/>
    <x v="475"/>
    <d v="2024-04-07T00:00:00"/>
    <x v="0"/>
    <x v="0"/>
    <x v="0"/>
    <x v="2789"/>
    <n v="19"/>
    <x v="0"/>
    <s v="Under Observation"/>
    <x v="1"/>
    <x v="2"/>
    <s v="Cash"/>
    <n v="5"/>
    <x v="2777"/>
    <s v="No"/>
    <x v="0"/>
  </r>
  <r>
    <x v="2791"/>
    <x v="68"/>
    <x v="1"/>
    <x v="6"/>
    <x v="938"/>
    <d v="2024-07-21T00:00:00"/>
    <x v="0"/>
    <x v="0"/>
    <x v="1"/>
    <x v="2790"/>
    <n v="16"/>
    <x v="1"/>
    <s v="Recovered"/>
    <x v="1"/>
    <x v="0"/>
    <s v="Cash"/>
    <n v="14"/>
    <x v="2778"/>
    <s v="No"/>
    <x v="0"/>
  </r>
  <r>
    <x v="2792"/>
    <x v="39"/>
    <x v="1"/>
    <x v="5"/>
    <x v="474"/>
    <d v="2023-03-16T00:00:00"/>
    <x v="8"/>
    <x v="6"/>
    <x v="1"/>
    <x v="2791"/>
    <n v="15"/>
    <x v="1"/>
    <s v="Recovered"/>
    <x v="1"/>
    <x v="3"/>
    <s v="Card"/>
    <n v="8"/>
    <x v="2779"/>
    <s v="No"/>
    <x v="0"/>
  </r>
  <r>
    <x v="2793"/>
    <x v="58"/>
    <x v="0"/>
    <x v="7"/>
    <x v="648"/>
    <d v="2023-07-05T00:00:00"/>
    <x v="6"/>
    <x v="2"/>
    <x v="1"/>
    <x v="2792"/>
    <n v="18"/>
    <x v="0"/>
    <s v="Deceased"/>
    <x v="1"/>
    <x v="2"/>
    <s v="Insurance"/>
    <n v="14"/>
    <x v="2780"/>
    <s v="No"/>
    <x v="0"/>
  </r>
  <r>
    <x v="2794"/>
    <x v="65"/>
    <x v="0"/>
    <x v="5"/>
    <x v="208"/>
    <d v="2023-02-19T00:00:00"/>
    <x v="1"/>
    <x v="1"/>
    <x v="6"/>
    <x v="2793"/>
    <n v="5"/>
    <x v="1"/>
    <s v="Recovered"/>
    <x v="1"/>
    <x v="3"/>
    <s v="Insurance"/>
    <n v="5"/>
    <x v="2781"/>
    <s v="Yes"/>
    <x v="0"/>
  </r>
  <r>
    <x v="2795"/>
    <x v="7"/>
    <x v="1"/>
    <x v="3"/>
    <x v="266"/>
    <d v="2024-12-29T00:00:00"/>
    <x v="9"/>
    <x v="5"/>
    <x v="5"/>
    <x v="2794"/>
    <n v="14"/>
    <x v="0"/>
    <s v="Recovered"/>
    <x v="0"/>
    <x v="1"/>
    <s v="UPI"/>
    <n v="4"/>
    <x v="2782"/>
    <s v="No"/>
    <x v="0"/>
  </r>
  <r>
    <x v="2796"/>
    <x v="28"/>
    <x v="0"/>
    <x v="6"/>
    <x v="193"/>
    <d v="2024-06-29T00:00:00"/>
    <x v="4"/>
    <x v="3"/>
    <x v="1"/>
    <x v="2795"/>
    <n v="15"/>
    <x v="0"/>
    <s v="Deceased"/>
    <x v="2"/>
    <x v="3"/>
    <s v="Cash"/>
    <n v="2"/>
    <x v="2783"/>
    <s v="Yes"/>
    <x v="0"/>
  </r>
  <r>
    <x v="2797"/>
    <x v="11"/>
    <x v="0"/>
    <x v="5"/>
    <x v="341"/>
    <d v="2025-04-28T00:00:00"/>
    <x v="9"/>
    <x v="5"/>
    <x v="7"/>
    <x v="2796"/>
    <n v="2"/>
    <x v="0"/>
    <s v="Recovered"/>
    <x v="1"/>
    <x v="3"/>
    <s v="Card"/>
    <n v="1"/>
    <x v="2784"/>
    <s v="No"/>
    <x v="1"/>
  </r>
  <r>
    <x v="2798"/>
    <x v="44"/>
    <x v="1"/>
    <x v="1"/>
    <x v="903"/>
    <d v="2024-06-12T00:00:00"/>
    <x v="2"/>
    <x v="2"/>
    <x v="1"/>
    <x v="2797"/>
    <n v="21"/>
    <x v="0"/>
    <s v="Recovered"/>
    <x v="0"/>
    <x v="2"/>
    <s v="Card"/>
    <n v="12"/>
    <x v="2785"/>
    <s v="No"/>
    <x v="0"/>
  </r>
  <r>
    <x v="2799"/>
    <x v="8"/>
    <x v="1"/>
    <x v="7"/>
    <x v="478"/>
    <d v="2023-10-01T00:00:00"/>
    <x v="9"/>
    <x v="5"/>
    <x v="6"/>
    <x v="2798"/>
    <n v="16"/>
    <x v="0"/>
    <s v="Referred"/>
    <x v="1"/>
    <x v="0"/>
    <s v="Cash"/>
    <n v="6"/>
    <x v="2786"/>
    <s v="Yes"/>
    <x v="0"/>
  </r>
  <r>
    <x v="2800"/>
    <x v="13"/>
    <x v="0"/>
    <x v="7"/>
    <x v="475"/>
    <d v="2024-03-25T00:00:00"/>
    <x v="0"/>
    <x v="0"/>
    <x v="3"/>
    <x v="2799"/>
    <n v="6"/>
    <x v="0"/>
    <s v="Recovered"/>
    <x v="2"/>
    <x v="1"/>
    <s v="Card"/>
    <n v="4"/>
    <x v="2787"/>
    <s v="No"/>
    <x v="0"/>
  </r>
  <r>
    <x v="2801"/>
    <x v="12"/>
    <x v="1"/>
    <x v="6"/>
    <x v="417"/>
    <d v="2023-11-22T00:00:00"/>
    <x v="6"/>
    <x v="2"/>
    <x v="4"/>
    <x v="2800"/>
    <n v="12"/>
    <x v="0"/>
    <s v="Recovered"/>
    <x v="2"/>
    <x v="0"/>
    <s v="Card"/>
    <n v="9"/>
    <x v="2788"/>
    <s v="No"/>
    <x v="0"/>
  </r>
  <r>
    <x v="2802"/>
    <x v="14"/>
    <x v="1"/>
    <x v="5"/>
    <x v="64"/>
    <d v="2023-09-15T00:00:00"/>
    <x v="7"/>
    <x v="5"/>
    <x v="0"/>
    <x v="2801"/>
    <n v="3"/>
    <x v="1"/>
    <s v="Deceased"/>
    <x v="0"/>
    <x v="2"/>
    <s v="UPI"/>
    <n v="7"/>
    <x v="2789"/>
    <s v="Yes"/>
    <x v="0"/>
  </r>
  <r>
    <x v="2803"/>
    <x v="10"/>
    <x v="0"/>
    <x v="5"/>
    <x v="295"/>
    <d v="2024-02-05T00:00:00"/>
    <x v="5"/>
    <x v="4"/>
    <x v="1"/>
    <x v="2802"/>
    <n v="4"/>
    <x v="0"/>
    <s v="Recovered"/>
    <x v="1"/>
    <x v="2"/>
    <s v="UPI"/>
    <n v="6"/>
    <x v="2790"/>
    <s v="Yes"/>
    <x v="0"/>
  </r>
  <r>
    <x v="2804"/>
    <x v="64"/>
    <x v="0"/>
    <x v="2"/>
    <x v="77"/>
    <d v="2023-04-25T00:00:00"/>
    <x v="7"/>
    <x v="5"/>
    <x v="1"/>
    <x v="2803"/>
    <n v="16"/>
    <x v="1"/>
    <s v="Recovered"/>
    <x v="1"/>
    <x v="0"/>
    <s v="Card"/>
    <n v="2"/>
    <x v="2791"/>
    <s v="No"/>
    <x v="0"/>
  </r>
  <r>
    <x v="2805"/>
    <x v="34"/>
    <x v="1"/>
    <x v="4"/>
    <x v="876"/>
    <d v="2023-05-11T00:00:00"/>
    <x v="2"/>
    <x v="2"/>
    <x v="4"/>
    <x v="2804"/>
    <n v="9"/>
    <x v="1"/>
    <s v="Recovered"/>
    <x v="0"/>
    <x v="2"/>
    <s v="Cash"/>
    <n v="3"/>
    <x v="2792"/>
    <s v="Yes"/>
    <x v="0"/>
  </r>
  <r>
    <x v="2806"/>
    <x v="57"/>
    <x v="0"/>
    <x v="7"/>
    <x v="325"/>
    <d v="2024-08-08T00:00:00"/>
    <x v="1"/>
    <x v="1"/>
    <x v="6"/>
    <x v="2805"/>
    <n v="20"/>
    <x v="1"/>
    <s v="Recovered"/>
    <x v="1"/>
    <x v="1"/>
    <s v="Insurance"/>
    <n v="9"/>
    <x v="2793"/>
    <s v="No"/>
    <x v="0"/>
  </r>
  <r>
    <x v="2807"/>
    <x v="25"/>
    <x v="1"/>
    <x v="2"/>
    <x v="121"/>
    <d v="2023-05-17T00:00:00"/>
    <x v="5"/>
    <x v="4"/>
    <x v="4"/>
    <x v="2806"/>
    <n v="10"/>
    <x v="0"/>
    <s v="Recovered"/>
    <x v="2"/>
    <x v="2"/>
    <s v="Insurance"/>
    <n v="2"/>
    <x v="2794"/>
    <s v="Yes"/>
    <x v="0"/>
  </r>
  <r>
    <x v="2808"/>
    <x v="58"/>
    <x v="0"/>
    <x v="6"/>
    <x v="208"/>
    <d v="2023-03-04T00:00:00"/>
    <x v="8"/>
    <x v="6"/>
    <x v="1"/>
    <x v="2807"/>
    <n v="18"/>
    <x v="1"/>
    <s v="Recovered"/>
    <x v="2"/>
    <x v="2"/>
    <s v="Cash"/>
    <n v="3"/>
    <x v="2795"/>
    <s v="No"/>
    <x v="0"/>
  </r>
  <r>
    <x v="2809"/>
    <x v="63"/>
    <x v="0"/>
    <x v="3"/>
    <x v="21"/>
    <d v="2024-08-28T00:00:00"/>
    <x v="2"/>
    <x v="2"/>
    <x v="0"/>
    <x v="2808"/>
    <n v="6"/>
    <x v="0"/>
    <s v="Recovered"/>
    <x v="1"/>
    <x v="2"/>
    <s v="Card"/>
    <n v="7"/>
    <x v="2796"/>
    <s v="No"/>
    <x v="1"/>
  </r>
  <r>
    <x v="2810"/>
    <x v="62"/>
    <x v="1"/>
    <x v="0"/>
    <x v="933"/>
    <d v="2023-01-16T00:00:00"/>
    <x v="5"/>
    <x v="4"/>
    <x v="2"/>
    <x v="2809"/>
    <n v="10"/>
    <x v="0"/>
    <s v="Under Observation"/>
    <x v="0"/>
    <x v="1"/>
    <s v="Card"/>
    <n v="5"/>
    <x v="2797"/>
    <s v="Yes"/>
    <x v="0"/>
  </r>
  <r>
    <x v="2811"/>
    <x v="62"/>
    <x v="0"/>
    <x v="2"/>
    <x v="939"/>
    <d v="2023-10-03T00:00:00"/>
    <x v="0"/>
    <x v="0"/>
    <x v="2"/>
    <x v="2810"/>
    <n v="13"/>
    <x v="0"/>
    <s v="Recovered"/>
    <x v="0"/>
    <x v="1"/>
    <s v="Card"/>
    <n v="7"/>
    <x v="2798"/>
    <s v="No"/>
    <x v="0"/>
  </r>
  <r>
    <x v="2812"/>
    <x v="50"/>
    <x v="0"/>
    <x v="3"/>
    <x v="276"/>
    <d v="2025-03-10T00:00:00"/>
    <x v="0"/>
    <x v="0"/>
    <x v="7"/>
    <x v="2811"/>
    <n v="3"/>
    <x v="1"/>
    <s v="Recovered"/>
    <x v="2"/>
    <x v="3"/>
    <s v="Card"/>
    <n v="7"/>
    <x v="2799"/>
    <s v="No"/>
    <x v="0"/>
  </r>
  <r>
    <x v="2813"/>
    <x v="66"/>
    <x v="1"/>
    <x v="1"/>
    <x v="450"/>
    <d v="2024-06-28T00:00:00"/>
    <x v="1"/>
    <x v="1"/>
    <x v="0"/>
    <x v="2812"/>
    <n v="15"/>
    <x v="0"/>
    <s v="Recovered"/>
    <x v="0"/>
    <x v="1"/>
    <s v="Cash"/>
    <n v="14"/>
    <x v="2800"/>
    <s v="No"/>
    <x v="0"/>
  </r>
  <r>
    <x v="2814"/>
    <x v="47"/>
    <x v="1"/>
    <x v="0"/>
    <x v="168"/>
    <d v="2023-02-02T00:00:00"/>
    <x v="7"/>
    <x v="5"/>
    <x v="6"/>
    <x v="2813"/>
    <n v="17"/>
    <x v="0"/>
    <s v="Recovered"/>
    <x v="0"/>
    <x v="1"/>
    <s v="Insurance"/>
    <n v="4"/>
    <x v="2801"/>
    <s v="Yes"/>
    <x v="0"/>
  </r>
  <r>
    <x v="2815"/>
    <x v="2"/>
    <x v="1"/>
    <x v="4"/>
    <x v="594"/>
    <d v="2025-07-06T00:00:00"/>
    <x v="0"/>
    <x v="0"/>
    <x v="4"/>
    <x v="2814"/>
    <n v="18"/>
    <x v="0"/>
    <s v="Recovered"/>
    <x v="1"/>
    <x v="2"/>
    <s v="Card"/>
    <n v="14"/>
    <x v="2802"/>
    <s v="Yes"/>
    <x v="0"/>
  </r>
  <r>
    <x v="2816"/>
    <x v="5"/>
    <x v="1"/>
    <x v="0"/>
    <x v="751"/>
    <d v="2024-07-08T00:00:00"/>
    <x v="7"/>
    <x v="5"/>
    <x v="0"/>
    <x v="2815"/>
    <n v="10"/>
    <x v="0"/>
    <s v="Recovered"/>
    <x v="1"/>
    <x v="1"/>
    <s v="Card"/>
    <n v="9"/>
    <x v="2803"/>
    <s v="Yes"/>
    <x v="0"/>
  </r>
  <r>
    <x v="2817"/>
    <x v="14"/>
    <x v="0"/>
    <x v="2"/>
    <x v="591"/>
    <d v="2024-03-30T00:00:00"/>
    <x v="5"/>
    <x v="4"/>
    <x v="0"/>
    <x v="2816"/>
    <n v="7"/>
    <x v="0"/>
    <s v="Recovered"/>
    <x v="0"/>
    <x v="2"/>
    <s v="Cash"/>
    <n v="3"/>
    <x v="2804"/>
    <s v="Yes"/>
    <x v="0"/>
  </r>
  <r>
    <x v="2818"/>
    <x v="1"/>
    <x v="1"/>
    <x v="2"/>
    <x v="178"/>
    <d v="2023-10-01T00:00:00"/>
    <x v="7"/>
    <x v="5"/>
    <x v="0"/>
    <x v="2817"/>
    <n v="12"/>
    <x v="1"/>
    <s v="Recovered"/>
    <x v="2"/>
    <x v="1"/>
    <s v="UPI"/>
    <n v="7"/>
    <x v="2805"/>
    <s v="Yes"/>
    <x v="0"/>
  </r>
  <r>
    <x v="2819"/>
    <x v="22"/>
    <x v="0"/>
    <x v="1"/>
    <x v="241"/>
    <d v="2025-03-27T00:00:00"/>
    <x v="3"/>
    <x v="0"/>
    <x v="0"/>
    <x v="2818"/>
    <n v="19"/>
    <x v="1"/>
    <s v="Recovered"/>
    <x v="1"/>
    <x v="3"/>
    <s v="Insurance"/>
    <n v="3"/>
    <x v="2806"/>
    <s v="No"/>
    <x v="1"/>
  </r>
  <r>
    <x v="2820"/>
    <x v="47"/>
    <x v="1"/>
    <x v="7"/>
    <x v="635"/>
    <d v="2024-09-14T00:00:00"/>
    <x v="0"/>
    <x v="0"/>
    <x v="2"/>
    <x v="2819"/>
    <n v="5"/>
    <x v="1"/>
    <s v="Recovered"/>
    <x v="2"/>
    <x v="0"/>
    <s v="Insurance"/>
    <n v="10"/>
    <x v="2807"/>
    <s v="No"/>
    <x v="0"/>
  </r>
  <r>
    <x v="2821"/>
    <x v="28"/>
    <x v="1"/>
    <x v="2"/>
    <x v="940"/>
    <d v="2023-08-26T00:00:00"/>
    <x v="5"/>
    <x v="4"/>
    <x v="3"/>
    <x v="2820"/>
    <n v="25"/>
    <x v="0"/>
    <s v="Recovered"/>
    <x v="1"/>
    <x v="2"/>
    <s v="Card"/>
    <n v="7"/>
    <x v="2808"/>
    <s v="Yes"/>
    <x v="0"/>
  </r>
  <r>
    <x v="2822"/>
    <x v="39"/>
    <x v="0"/>
    <x v="6"/>
    <x v="351"/>
    <d v="2023-03-06T00:00:00"/>
    <x v="6"/>
    <x v="2"/>
    <x v="1"/>
    <x v="2821"/>
    <n v="21"/>
    <x v="1"/>
    <s v="Recovered"/>
    <x v="0"/>
    <x v="2"/>
    <s v="Card"/>
    <n v="2"/>
    <x v="2809"/>
    <s v="No"/>
    <x v="0"/>
  </r>
  <r>
    <x v="2823"/>
    <x v="24"/>
    <x v="1"/>
    <x v="0"/>
    <x v="274"/>
    <d v="2024-03-02T00:00:00"/>
    <x v="6"/>
    <x v="2"/>
    <x v="4"/>
    <x v="2822"/>
    <n v="12"/>
    <x v="1"/>
    <s v="Recovered"/>
    <x v="0"/>
    <x v="2"/>
    <s v="Insurance"/>
    <n v="3"/>
    <x v="2810"/>
    <s v="Yes"/>
    <x v="0"/>
  </r>
  <r>
    <x v="2824"/>
    <x v="28"/>
    <x v="1"/>
    <x v="1"/>
    <x v="157"/>
    <d v="2024-12-20T00:00:00"/>
    <x v="6"/>
    <x v="2"/>
    <x v="5"/>
    <x v="2823"/>
    <n v="15"/>
    <x v="1"/>
    <s v="Under Observation"/>
    <x v="1"/>
    <x v="1"/>
    <s v="Insurance"/>
    <n v="14"/>
    <x v="2811"/>
    <s v="Yes"/>
    <x v="1"/>
  </r>
  <r>
    <x v="2825"/>
    <x v="66"/>
    <x v="0"/>
    <x v="7"/>
    <x v="759"/>
    <d v="2025-05-13T00:00:00"/>
    <x v="7"/>
    <x v="5"/>
    <x v="5"/>
    <x v="2824"/>
    <n v="6"/>
    <x v="0"/>
    <s v="Referred"/>
    <x v="1"/>
    <x v="3"/>
    <s v="Insurance"/>
    <n v="5"/>
    <x v="2812"/>
    <s v="Yes"/>
    <x v="0"/>
  </r>
  <r>
    <x v="2826"/>
    <x v="30"/>
    <x v="0"/>
    <x v="1"/>
    <x v="163"/>
    <d v="2025-05-31T00:00:00"/>
    <x v="7"/>
    <x v="5"/>
    <x v="7"/>
    <x v="2825"/>
    <n v="13"/>
    <x v="0"/>
    <s v="Recovered"/>
    <x v="0"/>
    <x v="1"/>
    <s v="Card"/>
    <n v="11"/>
    <x v="2813"/>
    <s v="Yes"/>
    <x v="1"/>
  </r>
  <r>
    <x v="2827"/>
    <x v="28"/>
    <x v="1"/>
    <x v="1"/>
    <x v="615"/>
    <d v="2023-03-28T00:00:00"/>
    <x v="3"/>
    <x v="0"/>
    <x v="2"/>
    <x v="2826"/>
    <n v="7"/>
    <x v="0"/>
    <s v="Under Observation"/>
    <x v="2"/>
    <x v="3"/>
    <s v="Insurance"/>
    <n v="13"/>
    <x v="2814"/>
    <s v="No"/>
    <x v="0"/>
  </r>
  <r>
    <x v="2828"/>
    <x v="66"/>
    <x v="1"/>
    <x v="0"/>
    <x v="45"/>
    <d v="2023-01-20T00:00:00"/>
    <x v="8"/>
    <x v="6"/>
    <x v="4"/>
    <x v="2827"/>
    <n v="8"/>
    <x v="1"/>
    <s v="Recovered"/>
    <x v="0"/>
    <x v="3"/>
    <s v="Card"/>
    <n v="8"/>
    <x v="2815"/>
    <s v="Yes"/>
    <x v="0"/>
  </r>
  <r>
    <x v="2829"/>
    <x v="5"/>
    <x v="1"/>
    <x v="0"/>
    <x v="700"/>
    <d v="2024-12-03T00:00:00"/>
    <x v="6"/>
    <x v="2"/>
    <x v="6"/>
    <x v="2828"/>
    <n v="30"/>
    <x v="0"/>
    <s v="Referred"/>
    <x v="1"/>
    <x v="2"/>
    <s v="Cash"/>
    <n v="15"/>
    <x v="2816"/>
    <s v="No"/>
    <x v="0"/>
  </r>
  <r>
    <x v="2830"/>
    <x v="26"/>
    <x v="0"/>
    <x v="3"/>
    <x v="896"/>
    <d v="2024-03-11T00:00:00"/>
    <x v="2"/>
    <x v="2"/>
    <x v="2"/>
    <x v="2829"/>
    <n v="10"/>
    <x v="0"/>
    <s v="Deceased"/>
    <x v="2"/>
    <x v="0"/>
    <s v="Card"/>
    <n v="1"/>
    <x v="2817"/>
    <s v="Yes"/>
    <x v="0"/>
  </r>
  <r>
    <x v="2831"/>
    <x v="38"/>
    <x v="0"/>
    <x v="0"/>
    <x v="17"/>
    <d v="2023-10-17T00:00:00"/>
    <x v="1"/>
    <x v="1"/>
    <x v="4"/>
    <x v="2830"/>
    <n v="12"/>
    <x v="0"/>
    <s v="Recovered"/>
    <x v="0"/>
    <x v="0"/>
    <s v="Cash"/>
    <n v="10"/>
    <x v="2818"/>
    <s v="No"/>
    <x v="0"/>
  </r>
  <r>
    <x v="2832"/>
    <x v="18"/>
    <x v="1"/>
    <x v="6"/>
    <x v="676"/>
    <d v="2024-02-22T00:00:00"/>
    <x v="6"/>
    <x v="2"/>
    <x v="5"/>
    <x v="2831"/>
    <n v="1"/>
    <x v="0"/>
    <s v="Recovered"/>
    <x v="0"/>
    <x v="0"/>
    <s v="Cash"/>
    <n v="14"/>
    <x v="2819"/>
    <s v="Yes"/>
    <x v="0"/>
  </r>
  <r>
    <x v="2833"/>
    <x v="37"/>
    <x v="1"/>
    <x v="6"/>
    <x v="265"/>
    <d v="2023-11-05T00:00:00"/>
    <x v="5"/>
    <x v="4"/>
    <x v="0"/>
    <x v="2832"/>
    <n v="15"/>
    <x v="0"/>
    <s v="Under Observation"/>
    <x v="0"/>
    <x v="2"/>
    <s v="UPI"/>
    <n v="11"/>
    <x v="2820"/>
    <s v="No"/>
    <x v="0"/>
  </r>
  <r>
    <x v="2834"/>
    <x v="58"/>
    <x v="0"/>
    <x v="6"/>
    <x v="321"/>
    <d v="2023-07-27T00:00:00"/>
    <x v="1"/>
    <x v="1"/>
    <x v="1"/>
    <x v="2833"/>
    <n v="13"/>
    <x v="1"/>
    <s v="Recovered"/>
    <x v="0"/>
    <x v="1"/>
    <s v="Cash"/>
    <n v="6"/>
    <x v="2821"/>
    <s v="No"/>
    <x v="0"/>
  </r>
  <r>
    <x v="2835"/>
    <x v="67"/>
    <x v="0"/>
    <x v="4"/>
    <x v="91"/>
    <d v="2025-06-30T00:00:00"/>
    <x v="1"/>
    <x v="1"/>
    <x v="3"/>
    <x v="2834"/>
    <n v="9"/>
    <x v="1"/>
    <s v="Recovered"/>
    <x v="2"/>
    <x v="0"/>
    <s v="UPI"/>
    <n v="8"/>
    <x v="2822"/>
    <s v="Yes"/>
    <x v="0"/>
  </r>
  <r>
    <x v="2836"/>
    <x v="40"/>
    <x v="1"/>
    <x v="1"/>
    <x v="941"/>
    <d v="2025-01-20T00:00:00"/>
    <x v="8"/>
    <x v="6"/>
    <x v="0"/>
    <x v="2835"/>
    <n v="13"/>
    <x v="1"/>
    <s v="Recovered"/>
    <x v="0"/>
    <x v="1"/>
    <s v="Cash"/>
    <n v="1"/>
    <x v="2823"/>
    <s v="Yes"/>
    <x v="0"/>
  </r>
  <r>
    <x v="2837"/>
    <x v="19"/>
    <x v="1"/>
    <x v="2"/>
    <x v="86"/>
    <d v="2025-02-16T00:00:00"/>
    <x v="8"/>
    <x v="6"/>
    <x v="1"/>
    <x v="2836"/>
    <n v="6"/>
    <x v="1"/>
    <s v="Recovered"/>
    <x v="1"/>
    <x v="3"/>
    <s v="Insurance"/>
    <n v="2"/>
    <x v="2824"/>
    <s v="No"/>
    <x v="0"/>
  </r>
  <r>
    <x v="2838"/>
    <x v="26"/>
    <x v="0"/>
    <x v="7"/>
    <x v="181"/>
    <d v="2023-07-15T00:00:00"/>
    <x v="5"/>
    <x v="4"/>
    <x v="3"/>
    <x v="2837"/>
    <n v="9"/>
    <x v="0"/>
    <s v="Under Observation"/>
    <x v="0"/>
    <x v="3"/>
    <s v="Card"/>
    <n v="2"/>
    <x v="2825"/>
    <s v="Yes"/>
    <x v="0"/>
  </r>
  <r>
    <x v="2839"/>
    <x v="66"/>
    <x v="0"/>
    <x v="2"/>
    <x v="302"/>
    <d v="2025-04-25T00:00:00"/>
    <x v="5"/>
    <x v="4"/>
    <x v="4"/>
    <x v="2838"/>
    <n v="7"/>
    <x v="1"/>
    <s v="Recovered"/>
    <x v="0"/>
    <x v="0"/>
    <s v="Cash"/>
    <n v="7"/>
    <x v="2826"/>
    <s v="Yes"/>
    <x v="0"/>
  </r>
  <r>
    <x v="2840"/>
    <x v="65"/>
    <x v="0"/>
    <x v="7"/>
    <x v="195"/>
    <d v="2023-03-06T00:00:00"/>
    <x v="5"/>
    <x v="4"/>
    <x v="0"/>
    <x v="2839"/>
    <n v="17"/>
    <x v="1"/>
    <s v="Under Observation"/>
    <x v="2"/>
    <x v="3"/>
    <s v="Card"/>
    <n v="8"/>
    <x v="2827"/>
    <s v="Yes"/>
    <x v="0"/>
  </r>
  <r>
    <x v="2841"/>
    <x v="17"/>
    <x v="1"/>
    <x v="3"/>
    <x v="812"/>
    <d v="2023-03-22T00:00:00"/>
    <x v="7"/>
    <x v="5"/>
    <x v="4"/>
    <x v="2840"/>
    <n v="5"/>
    <x v="1"/>
    <s v="Recovered"/>
    <x v="2"/>
    <x v="1"/>
    <s v="Cash"/>
    <n v="3"/>
    <x v="2828"/>
    <s v="No"/>
    <x v="0"/>
  </r>
  <r>
    <x v="2842"/>
    <x v="52"/>
    <x v="1"/>
    <x v="1"/>
    <x v="128"/>
    <d v="2025-08-18T00:00:00"/>
    <x v="6"/>
    <x v="2"/>
    <x v="3"/>
    <x v="2841"/>
    <n v="2"/>
    <x v="1"/>
    <s v="Referred"/>
    <x v="0"/>
    <x v="1"/>
    <s v="UPI"/>
    <n v="4"/>
    <x v="2829"/>
    <s v="Yes"/>
    <x v="0"/>
  </r>
  <r>
    <x v="2843"/>
    <x v="8"/>
    <x v="0"/>
    <x v="2"/>
    <x v="578"/>
    <d v="2025-08-16T00:00:00"/>
    <x v="5"/>
    <x v="4"/>
    <x v="5"/>
    <x v="2842"/>
    <n v="19"/>
    <x v="1"/>
    <s v="Recovered"/>
    <x v="1"/>
    <x v="2"/>
    <s v="Card"/>
    <n v="12"/>
    <x v="2830"/>
    <s v="No"/>
    <x v="0"/>
  </r>
  <r>
    <x v="2844"/>
    <x v="66"/>
    <x v="0"/>
    <x v="7"/>
    <x v="95"/>
    <d v="2024-04-16T00:00:00"/>
    <x v="1"/>
    <x v="1"/>
    <x v="5"/>
    <x v="2843"/>
    <n v="16"/>
    <x v="0"/>
    <s v="Recovered"/>
    <x v="0"/>
    <x v="2"/>
    <s v="UPI"/>
    <n v="1"/>
    <x v="2831"/>
    <s v="Yes"/>
    <x v="0"/>
  </r>
  <r>
    <x v="2845"/>
    <x v="32"/>
    <x v="1"/>
    <x v="1"/>
    <x v="84"/>
    <d v="2024-01-17T00:00:00"/>
    <x v="7"/>
    <x v="5"/>
    <x v="1"/>
    <x v="2844"/>
    <n v="3"/>
    <x v="1"/>
    <s v="Referred"/>
    <x v="0"/>
    <x v="3"/>
    <s v="Cash"/>
    <n v="7"/>
    <x v="2832"/>
    <s v="No"/>
    <x v="0"/>
  </r>
  <r>
    <x v="2846"/>
    <x v="40"/>
    <x v="0"/>
    <x v="5"/>
    <x v="510"/>
    <d v="2025-04-02T00:00:00"/>
    <x v="0"/>
    <x v="0"/>
    <x v="4"/>
    <x v="2845"/>
    <n v="3"/>
    <x v="0"/>
    <s v="Under Observation"/>
    <x v="2"/>
    <x v="1"/>
    <s v="Insurance"/>
    <n v="8"/>
    <x v="2833"/>
    <s v="Yes"/>
    <x v="0"/>
  </r>
  <r>
    <x v="2847"/>
    <x v="43"/>
    <x v="1"/>
    <x v="4"/>
    <x v="718"/>
    <d v="2024-03-06T00:00:00"/>
    <x v="6"/>
    <x v="2"/>
    <x v="5"/>
    <x v="2846"/>
    <n v="11"/>
    <x v="1"/>
    <s v="Referred"/>
    <x v="2"/>
    <x v="1"/>
    <s v="Cash"/>
    <n v="7"/>
    <x v="2834"/>
    <s v="No"/>
    <x v="0"/>
  </r>
  <r>
    <x v="2848"/>
    <x v="72"/>
    <x v="1"/>
    <x v="4"/>
    <x v="204"/>
    <d v="2023-08-12T00:00:00"/>
    <x v="8"/>
    <x v="6"/>
    <x v="7"/>
    <x v="2847"/>
    <n v="1"/>
    <x v="1"/>
    <s v="Recovered"/>
    <x v="1"/>
    <x v="1"/>
    <s v="Insurance"/>
    <n v="3"/>
    <x v="2835"/>
    <s v="Yes"/>
    <x v="1"/>
  </r>
  <r>
    <x v="2849"/>
    <x v="20"/>
    <x v="0"/>
    <x v="7"/>
    <x v="869"/>
    <d v="2023-11-16T00:00:00"/>
    <x v="1"/>
    <x v="1"/>
    <x v="0"/>
    <x v="2848"/>
    <n v="10"/>
    <x v="1"/>
    <s v="Recovered"/>
    <x v="1"/>
    <x v="3"/>
    <s v="UPI"/>
    <n v="11"/>
    <x v="2836"/>
    <s v="Yes"/>
    <x v="0"/>
  </r>
  <r>
    <x v="2850"/>
    <x v="35"/>
    <x v="0"/>
    <x v="6"/>
    <x v="696"/>
    <d v="2024-08-31T00:00:00"/>
    <x v="8"/>
    <x v="6"/>
    <x v="1"/>
    <x v="2849"/>
    <n v="20"/>
    <x v="0"/>
    <s v="Under Observation"/>
    <x v="0"/>
    <x v="0"/>
    <s v="Insurance"/>
    <n v="14"/>
    <x v="2837"/>
    <s v="Yes"/>
    <x v="0"/>
  </r>
  <r>
    <x v="2851"/>
    <x v="68"/>
    <x v="0"/>
    <x v="5"/>
    <x v="702"/>
    <d v="2023-06-09T00:00:00"/>
    <x v="6"/>
    <x v="2"/>
    <x v="1"/>
    <x v="2850"/>
    <n v="10"/>
    <x v="0"/>
    <s v="Recovered"/>
    <x v="0"/>
    <x v="3"/>
    <s v="Insurance"/>
    <n v="11"/>
    <x v="2838"/>
    <s v="Yes"/>
    <x v="0"/>
  </r>
  <r>
    <x v="2852"/>
    <x v="69"/>
    <x v="1"/>
    <x v="2"/>
    <x v="239"/>
    <d v="2025-09-28T00:00:00"/>
    <x v="1"/>
    <x v="1"/>
    <x v="0"/>
    <x v="2851"/>
    <n v="16"/>
    <x v="1"/>
    <s v="Recovered"/>
    <x v="2"/>
    <x v="1"/>
    <s v="Insurance"/>
    <n v="4"/>
    <x v="2839"/>
    <s v="No"/>
    <x v="1"/>
  </r>
  <r>
    <x v="2853"/>
    <x v="34"/>
    <x v="1"/>
    <x v="3"/>
    <x v="362"/>
    <d v="2025-10-07T00:00:00"/>
    <x v="1"/>
    <x v="1"/>
    <x v="6"/>
    <x v="2852"/>
    <n v="12"/>
    <x v="1"/>
    <s v="Recovered"/>
    <x v="1"/>
    <x v="3"/>
    <s v="Insurance"/>
    <n v="2"/>
    <x v="2840"/>
    <s v="Yes"/>
    <x v="0"/>
  </r>
  <r>
    <x v="2854"/>
    <x v="4"/>
    <x v="1"/>
    <x v="0"/>
    <x v="741"/>
    <d v="2023-05-07T00:00:00"/>
    <x v="9"/>
    <x v="5"/>
    <x v="3"/>
    <x v="2853"/>
    <n v="19"/>
    <x v="1"/>
    <s v="Recovered"/>
    <x v="0"/>
    <x v="3"/>
    <s v="Cash"/>
    <n v="4"/>
    <x v="2841"/>
    <s v="No"/>
    <x v="0"/>
  </r>
  <r>
    <x v="2855"/>
    <x v="53"/>
    <x v="1"/>
    <x v="7"/>
    <x v="473"/>
    <d v="2024-10-04T00:00:00"/>
    <x v="0"/>
    <x v="0"/>
    <x v="7"/>
    <x v="2854"/>
    <n v="6"/>
    <x v="0"/>
    <s v="Recovered"/>
    <x v="2"/>
    <x v="1"/>
    <s v="UPI"/>
    <n v="5"/>
    <x v="2842"/>
    <s v="No"/>
    <x v="0"/>
  </r>
  <r>
    <x v="2856"/>
    <x v="52"/>
    <x v="1"/>
    <x v="5"/>
    <x v="719"/>
    <d v="2024-06-10T00:00:00"/>
    <x v="3"/>
    <x v="0"/>
    <x v="5"/>
    <x v="2855"/>
    <n v="2"/>
    <x v="1"/>
    <s v="Recovered"/>
    <x v="1"/>
    <x v="1"/>
    <s v="UPI"/>
    <n v="12"/>
    <x v="2843"/>
    <s v="No"/>
    <x v="0"/>
  </r>
  <r>
    <x v="2857"/>
    <x v="27"/>
    <x v="1"/>
    <x v="7"/>
    <x v="477"/>
    <d v="2023-07-09T00:00:00"/>
    <x v="1"/>
    <x v="1"/>
    <x v="0"/>
    <x v="2856"/>
    <n v="20"/>
    <x v="0"/>
    <s v="Recovered"/>
    <x v="2"/>
    <x v="3"/>
    <s v="Insurance"/>
    <n v="15"/>
    <x v="2844"/>
    <s v="No"/>
    <x v="0"/>
  </r>
  <r>
    <x v="2858"/>
    <x v="52"/>
    <x v="1"/>
    <x v="5"/>
    <x v="420"/>
    <d v="2023-02-07T00:00:00"/>
    <x v="8"/>
    <x v="6"/>
    <x v="2"/>
    <x v="2857"/>
    <n v="5"/>
    <x v="0"/>
    <s v="Recovered"/>
    <x v="1"/>
    <x v="2"/>
    <s v="Card"/>
    <n v="3"/>
    <x v="2845"/>
    <s v="Yes"/>
    <x v="0"/>
  </r>
  <r>
    <x v="2859"/>
    <x v="25"/>
    <x v="0"/>
    <x v="2"/>
    <x v="764"/>
    <d v="2023-03-19T00:00:00"/>
    <x v="9"/>
    <x v="5"/>
    <x v="2"/>
    <x v="2858"/>
    <n v="13"/>
    <x v="0"/>
    <s v="Under Observation"/>
    <x v="1"/>
    <x v="0"/>
    <s v="UPI"/>
    <n v="15"/>
    <x v="2846"/>
    <s v="No"/>
    <x v="1"/>
  </r>
  <r>
    <x v="2860"/>
    <x v="16"/>
    <x v="1"/>
    <x v="0"/>
    <x v="193"/>
    <d v="2024-06-29T00:00:00"/>
    <x v="6"/>
    <x v="2"/>
    <x v="1"/>
    <x v="2859"/>
    <n v="15"/>
    <x v="1"/>
    <s v="Recovered"/>
    <x v="2"/>
    <x v="0"/>
    <s v="Card"/>
    <n v="5"/>
    <x v="2847"/>
    <s v="Yes"/>
    <x v="0"/>
  </r>
  <r>
    <x v="2861"/>
    <x v="58"/>
    <x v="1"/>
    <x v="6"/>
    <x v="342"/>
    <d v="2024-12-30T00:00:00"/>
    <x v="6"/>
    <x v="2"/>
    <x v="7"/>
    <x v="2860"/>
    <n v="11"/>
    <x v="1"/>
    <s v="Recovered"/>
    <x v="0"/>
    <x v="1"/>
    <s v="Insurance"/>
    <n v="7"/>
    <x v="2848"/>
    <s v="No"/>
    <x v="0"/>
  </r>
  <r>
    <x v="2862"/>
    <x v="72"/>
    <x v="0"/>
    <x v="6"/>
    <x v="240"/>
    <d v="2024-01-06T00:00:00"/>
    <x v="1"/>
    <x v="1"/>
    <x v="3"/>
    <x v="2861"/>
    <n v="15"/>
    <x v="0"/>
    <s v="Recovered"/>
    <x v="2"/>
    <x v="2"/>
    <s v="Insurance"/>
    <n v="7"/>
    <x v="2849"/>
    <s v="No"/>
    <x v="0"/>
  </r>
  <r>
    <x v="2863"/>
    <x v="0"/>
    <x v="1"/>
    <x v="0"/>
    <x v="300"/>
    <d v="2024-03-30T00:00:00"/>
    <x v="9"/>
    <x v="5"/>
    <x v="1"/>
    <x v="2862"/>
    <n v="18"/>
    <x v="0"/>
    <s v="Recovered"/>
    <x v="2"/>
    <x v="1"/>
    <s v="Insurance"/>
    <n v="1"/>
    <x v="2850"/>
    <s v="No"/>
    <x v="0"/>
  </r>
  <r>
    <x v="2864"/>
    <x v="58"/>
    <x v="0"/>
    <x v="0"/>
    <x v="221"/>
    <d v="2023-09-27T00:00:00"/>
    <x v="6"/>
    <x v="2"/>
    <x v="5"/>
    <x v="2863"/>
    <n v="20"/>
    <x v="1"/>
    <s v="Deceased"/>
    <x v="1"/>
    <x v="0"/>
    <s v="Cash"/>
    <n v="1"/>
    <x v="2851"/>
    <s v="No"/>
    <x v="0"/>
  </r>
  <r>
    <x v="2865"/>
    <x v="13"/>
    <x v="0"/>
    <x v="4"/>
    <x v="142"/>
    <d v="2025-07-22T00:00:00"/>
    <x v="7"/>
    <x v="5"/>
    <x v="1"/>
    <x v="2864"/>
    <n v="11"/>
    <x v="1"/>
    <s v="Recovered"/>
    <x v="2"/>
    <x v="2"/>
    <s v="UPI"/>
    <n v="7"/>
    <x v="2852"/>
    <s v="No"/>
    <x v="0"/>
  </r>
  <r>
    <x v="2866"/>
    <x v="72"/>
    <x v="0"/>
    <x v="4"/>
    <x v="58"/>
    <d v="2025-05-30T00:00:00"/>
    <x v="8"/>
    <x v="6"/>
    <x v="0"/>
    <x v="2865"/>
    <n v="9"/>
    <x v="0"/>
    <s v="Recovered"/>
    <x v="2"/>
    <x v="0"/>
    <s v="UPI"/>
    <n v="12"/>
    <x v="2853"/>
    <s v="Yes"/>
    <x v="0"/>
  </r>
  <r>
    <x v="2867"/>
    <x v="15"/>
    <x v="1"/>
    <x v="3"/>
    <x v="275"/>
    <d v="2023-03-28T00:00:00"/>
    <x v="0"/>
    <x v="0"/>
    <x v="6"/>
    <x v="2866"/>
    <n v="9"/>
    <x v="1"/>
    <s v="Recovered"/>
    <x v="1"/>
    <x v="0"/>
    <s v="Cash"/>
    <n v="3"/>
    <x v="2854"/>
    <s v="Yes"/>
    <x v="0"/>
  </r>
  <r>
    <x v="2868"/>
    <x v="43"/>
    <x v="0"/>
    <x v="1"/>
    <x v="763"/>
    <d v="2024-05-24T00:00:00"/>
    <x v="4"/>
    <x v="3"/>
    <x v="1"/>
    <x v="2867"/>
    <n v="8"/>
    <x v="0"/>
    <s v="Recovered"/>
    <x v="2"/>
    <x v="1"/>
    <s v="UPI"/>
    <n v="2"/>
    <x v="2855"/>
    <s v="Yes"/>
    <x v="0"/>
  </r>
  <r>
    <x v="2869"/>
    <x v="63"/>
    <x v="0"/>
    <x v="1"/>
    <x v="391"/>
    <d v="2023-04-05T00:00:00"/>
    <x v="1"/>
    <x v="1"/>
    <x v="6"/>
    <x v="2868"/>
    <n v="20"/>
    <x v="0"/>
    <s v="Recovered"/>
    <x v="0"/>
    <x v="3"/>
    <s v="UPI"/>
    <n v="13"/>
    <x v="2856"/>
    <s v="No"/>
    <x v="0"/>
  </r>
  <r>
    <x v="2870"/>
    <x v="35"/>
    <x v="0"/>
    <x v="3"/>
    <x v="240"/>
    <d v="2023-12-27T00:00:00"/>
    <x v="0"/>
    <x v="0"/>
    <x v="6"/>
    <x v="2869"/>
    <n v="5"/>
    <x v="1"/>
    <s v="Recovered"/>
    <x v="2"/>
    <x v="0"/>
    <s v="Card"/>
    <n v="14"/>
    <x v="2857"/>
    <s v="Yes"/>
    <x v="0"/>
  </r>
  <r>
    <x v="2871"/>
    <x v="7"/>
    <x v="0"/>
    <x v="6"/>
    <x v="98"/>
    <d v="2023-05-14T00:00:00"/>
    <x v="8"/>
    <x v="6"/>
    <x v="3"/>
    <x v="2870"/>
    <n v="2"/>
    <x v="1"/>
    <s v="Recovered"/>
    <x v="2"/>
    <x v="0"/>
    <s v="Insurance"/>
    <n v="13"/>
    <x v="2858"/>
    <s v="Yes"/>
    <x v="0"/>
  </r>
  <r>
    <x v="2872"/>
    <x v="0"/>
    <x v="1"/>
    <x v="4"/>
    <x v="756"/>
    <d v="2024-05-24T00:00:00"/>
    <x v="9"/>
    <x v="5"/>
    <x v="7"/>
    <x v="2871"/>
    <n v="28"/>
    <x v="0"/>
    <s v="Recovered"/>
    <x v="2"/>
    <x v="2"/>
    <s v="Cash"/>
    <n v="5"/>
    <x v="2859"/>
    <s v="Yes"/>
    <x v="0"/>
  </r>
  <r>
    <x v="2873"/>
    <x v="4"/>
    <x v="1"/>
    <x v="0"/>
    <x v="662"/>
    <d v="2023-07-22T00:00:00"/>
    <x v="5"/>
    <x v="4"/>
    <x v="5"/>
    <x v="2872"/>
    <n v="11"/>
    <x v="0"/>
    <s v="Recovered"/>
    <x v="2"/>
    <x v="0"/>
    <s v="Insurance"/>
    <n v="9"/>
    <x v="2860"/>
    <s v="Yes"/>
    <x v="0"/>
  </r>
  <r>
    <x v="2874"/>
    <x v="59"/>
    <x v="0"/>
    <x v="5"/>
    <x v="654"/>
    <d v="2025-04-14T00:00:00"/>
    <x v="6"/>
    <x v="2"/>
    <x v="4"/>
    <x v="2873"/>
    <n v="4"/>
    <x v="0"/>
    <s v="Recovered"/>
    <x v="1"/>
    <x v="3"/>
    <s v="Cash"/>
    <n v="4"/>
    <x v="2861"/>
    <s v="No"/>
    <x v="0"/>
  </r>
  <r>
    <x v="2875"/>
    <x v="42"/>
    <x v="0"/>
    <x v="6"/>
    <x v="120"/>
    <d v="2025-08-30T00:00:00"/>
    <x v="9"/>
    <x v="5"/>
    <x v="6"/>
    <x v="2874"/>
    <n v="8"/>
    <x v="0"/>
    <s v="Referred"/>
    <x v="1"/>
    <x v="1"/>
    <s v="Cash"/>
    <n v="10"/>
    <x v="2862"/>
    <s v="Yes"/>
    <x v="0"/>
  </r>
  <r>
    <x v="2876"/>
    <x v="6"/>
    <x v="1"/>
    <x v="5"/>
    <x v="712"/>
    <d v="2024-02-28T00:00:00"/>
    <x v="4"/>
    <x v="3"/>
    <x v="3"/>
    <x v="2875"/>
    <n v="11"/>
    <x v="1"/>
    <s v="Deceased"/>
    <x v="2"/>
    <x v="3"/>
    <s v="Cash"/>
    <n v="10"/>
    <x v="2863"/>
    <s v="No"/>
    <x v="0"/>
  </r>
  <r>
    <x v="2877"/>
    <x v="39"/>
    <x v="1"/>
    <x v="5"/>
    <x v="265"/>
    <d v="2023-10-26T00:00:00"/>
    <x v="3"/>
    <x v="0"/>
    <x v="1"/>
    <x v="2876"/>
    <n v="5"/>
    <x v="0"/>
    <s v="Recovered"/>
    <x v="2"/>
    <x v="3"/>
    <s v="Insurance"/>
    <n v="2"/>
    <x v="2864"/>
    <s v="No"/>
    <x v="0"/>
  </r>
  <r>
    <x v="2878"/>
    <x v="7"/>
    <x v="0"/>
    <x v="3"/>
    <x v="547"/>
    <d v="2024-06-04T00:00:00"/>
    <x v="6"/>
    <x v="2"/>
    <x v="7"/>
    <x v="2877"/>
    <n v="14"/>
    <x v="0"/>
    <s v="Recovered"/>
    <x v="0"/>
    <x v="2"/>
    <s v="Card"/>
    <n v="11"/>
    <x v="2865"/>
    <s v="Yes"/>
    <x v="0"/>
  </r>
  <r>
    <x v="2879"/>
    <x v="56"/>
    <x v="1"/>
    <x v="0"/>
    <x v="521"/>
    <d v="2024-08-22T00:00:00"/>
    <x v="1"/>
    <x v="1"/>
    <x v="4"/>
    <x v="2878"/>
    <n v="10"/>
    <x v="1"/>
    <s v="Recovered"/>
    <x v="2"/>
    <x v="3"/>
    <s v="Card"/>
    <n v="14"/>
    <x v="2866"/>
    <s v="Yes"/>
    <x v="0"/>
  </r>
  <r>
    <x v="2880"/>
    <x v="52"/>
    <x v="0"/>
    <x v="0"/>
    <x v="635"/>
    <d v="2024-10-02T00:00:00"/>
    <x v="5"/>
    <x v="4"/>
    <x v="3"/>
    <x v="2879"/>
    <n v="23"/>
    <x v="0"/>
    <s v="Recovered"/>
    <x v="2"/>
    <x v="2"/>
    <s v="Insurance"/>
    <n v="1"/>
    <x v="2867"/>
    <s v="Yes"/>
    <x v="1"/>
  </r>
  <r>
    <x v="2881"/>
    <x v="33"/>
    <x v="1"/>
    <x v="2"/>
    <x v="396"/>
    <d v="2024-12-30T00:00:00"/>
    <x v="5"/>
    <x v="4"/>
    <x v="3"/>
    <x v="2880"/>
    <n v="10"/>
    <x v="1"/>
    <s v="Recovered"/>
    <x v="2"/>
    <x v="1"/>
    <s v="Card"/>
    <n v="4"/>
    <x v="2868"/>
    <s v="No"/>
    <x v="0"/>
  </r>
  <r>
    <x v="2882"/>
    <x v="70"/>
    <x v="1"/>
    <x v="7"/>
    <x v="205"/>
    <d v="2025-05-18T00:00:00"/>
    <x v="6"/>
    <x v="2"/>
    <x v="0"/>
    <x v="2881"/>
    <n v="20"/>
    <x v="1"/>
    <s v="Referred"/>
    <x v="1"/>
    <x v="3"/>
    <s v="UPI"/>
    <n v="5"/>
    <x v="2869"/>
    <s v="No"/>
    <x v="0"/>
  </r>
  <r>
    <x v="2883"/>
    <x v="8"/>
    <x v="1"/>
    <x v="5"/>
    <x v="148"/>
    <d v="2025-07-18T00:00:00"/>
    <x v="3"/>
    <x v="0"/>
    <x v="5"/>
    <x v="2882"/>
    <n v="14"/>
    <x v="1"/>
    <s v="Recovered"/>
    <x v="1"/>
    <x v="1"/>
    <s v="UPI"/>
    <n v="3"/>
    <x v="2870"/>
    <s v="No"/>
    <x v="1"/>
  </r>
  <r>
    <x v="2884"/>
    <x v="39"/>
    <x v="0"/>
    <x v="5"/>
    <x v="942"/>
    <d v="2023-12-22T00:00:00"/>
    <x v="8"/>
    <x v="6"/>
    <x v="5"/>
    <x v="2883"/>
    <n v="20"/>
    <x v="0"/>
    <s v="Recovered"/>
    <x v="1"/>
    <x v="0"/>
    <s v="UPI"/>
    <n v="6"/>
    <x v="2871"/>
    <s v="No"/>
    <x v="0"/>
  </r>
  <r>
    <x v="2885"/>
    <x v="67"/>
    <x v="1"/>
    <x v="3"/>
    <x v="143"/>
    <d v="2024-12-07T00:00:00"/>
    <x v="2"/>
    <x v="2"/>
    <x v="6"/>
    <x v="2884"/>
    <n v="8"/>
    <x v="0"/>
    <s v="Recovered"/>
    <x v="1"/>
    <x v="0"/>
    <s v="Cash"/>
    <n v="11"/>
    <x v="2872"/>
    <s v="No"/>
    <x v="0"/>
  </r>
  <r>
    <x v="2886"/>
    <x v="57"/>
    <x v="1"/>
    <x v="7"/>
    <x v="73"/>
    <d v="2024-10-26T00:00:00"/>
    <x v="4"/>
    <x v="3"/>
    <x v="0"/>
    <x v="2885"/>
    <n v="3"/>
    <x v="1"/>
    <s v="Recovered"/>
    <x v="1"/>
    <x v="1"/>
    <s v="Card"/>
    <n v="15"/>
    <x v="2873"/>
    <s v="Yes"/>
    <x v="0"/>
  </r>
  <r>
    <x v="2887"/>
    <x v="24"/>
    <x v="1"/>
    <x v="1"/>
    <x v="943"/>
    <d v="2024-05-14T00:00:00"/>
    <x v="1"/>
    <x v="1"/>
    <x v="0"/>
    <x v="2886"/>
    <n v="6"/>
    <x v="0"/>
    <s v="Recovered"/>
    <x v="1"/>
    <x v="0"/>
    <s v="Cash"/>
    <n v="1"/>
    <x v="2874"/>
    <s v="No"/>
    <x v="0"/>
  </r>
  <r>
    <x v="2888"/>
    <x v="35"/>
    <x v="0"/>
    <x v="6"/>
    <x v="39"/>
    <d v="2025-03-24T00:00:00"/>
    <x v="1"/>
    <x v="1"/>
    <x v="5"/>
    <x v="2887"/>
    <n v="21"/>
    <x v="1"/>
    <s v="Recovered"/>
    <x v="0"/>
    <x v="2"/>
    <s v="Cash"/>
    <n v="10"/>
    <x v="2875"/>
    <s v="Yes"/>
    <x v="0"/>
  </r>
  <r>
    <x v="2889"/>
    <x v="35"/>
    <x v="0"/>
    <x v="2"/>
    <x v="221"/>
    <d v="2023-10-03T00:00:00"/>
    <x v="7"/>
    <x v="5"/>
    <x v="6"/>
    <x v="2888"/>
    <n v="26"/>
    <x v="1"/>
    <s v="Referred"/>
    <x v="1"/>
    <x v="2"/>
    <s v="Insurance"/>
    <n v="13"/>
    <x v="2876"/>
    <s v="No"/>
    <x v="0"/>
  </r>
  <r>
    <x v="2890"/>
    <x v="9"/>
    <x v="0"/>
    <x v="3"/>
    <x v="355"/>
    <d v="2023-02-02T00:00:00"/>
    <x v="2"/>
    <x v="2"/>
    <x v="4"/>
    <x v="2889"/>
    <n v="13"/>
    <x v="0"/>
    <s v="Recovered"/>
    <x v="0"/>
    <x v="0"/>
    <s v="Cash"/>
    <n v="2"/>
    <x v="2877"/>
    <s v="Yes"/>
    <x v="0"/>
  </r>
  <r>
    <x v="2891"/>
    <x v="61"/>
    <x v="1"/>
    <x v="3"/>
    <x v="568"/>
    <d v="2023-07-03T00:00:00"/>
    <x v="4"/>
    <x v="3"/>
    <x v="7"/>
    <x v="2890"/>
    <n v="2"/>
    <x v="0"/>
    <s v="Recovered"/>
    <x v="2"/>
    <x v="3"/>
    <s v="UPI"/>
    <n v="3"/>
    <x v="2878"/>
    <s v="No"/>
    <x v="0"/>
  </r>
  <r>
    <x v="2892"/>
    <x v="42"/>
    <x v="1"/>
    <x v="1"/>
    <x v="649"/>
    <d v="2023-12-05T00:00:00"/>
    <x v="3"/>
    <x v="0"/>
    <x v="3"/>
    <x v="2891"/>
    <n v="15"/>
    <x v="1"/>
    <s v="Referred"/>
    <x v="1"/>
    <x v="1"/>
    <s v="Card"/>
    <n v="12"/>
    <x v="2879"/>
    <s v="Yes"/>
    <x v="0"/>
  </r>
  <r>
    <x v="2893"/>
    <x v="47"/>
    <x v="0"/>
    <x v="2"/>
    <x v="528"/>
    <d v="2023-06-20T00:00:00"/>
    <x v="2"/>
    <x v="2"/>
    <x v="7"/>
    <x v="2892"/>
    <n v="23"/>
    <x v="0"/>
    <s v="Recovered"/>
    <x v="2"/>
    <x v="2"/>
    <s v="UPI"/>
    <n v="3"/>
    <x v="2880"/>
    <s v="No"/>
    <x v="0"/>
  </r>
  <r>
    <x v="2894"/>
    <x v="69"/>
    <x v="1"/>
    <x v="6"/>
    <x v="325"/>
    <d v="2024-07-31T00:00:00"/>
    <x v="4"/>
    <x v="3"/>
    <x v="5"/>
    <x v="2893"/>
    <n v="12"/>
    <x v="1"/>
    <s v="Recovered"/>
    <x v="1"/>
    <x v="2"/>
    <s v="Insurance"/>
    <n v="8"/>
    <x v="2881"/>
    <s v="Yes"/>
    <x v="1"/>
  </r>
  <r>
    <x v="2895"/>
    <x v="11"/>
    <x v="0"/>
    <x v="5"/>
    <x v="721"/>
    <d v="2024-03-06T00:00:00"/>
    <x v="3"/>
    <x v="0"/>
    <x v="1"/>
    <x v="2894"/>
    <n v="10"/>
    <x v="0"/>
    <s v="Recovered"/>
    <x v="0"/>
    <x v="2"/>
    <s v="Cash"/>
    <n v="7"/>
    <x v="2882"/>
    <s v="Yes"/>
    <x v="0"/>
  </r>
  <r>
    <x v="2896"/>
    <x v="9"/>
    <x v="1"/>
    <x v="3"/>
    <x v="10"/>
    <d v="2023-10-01T00:00:00"/>
    <x v="9"/>
    <x v="5"/>
    <x v="2"/>
    <x v="2895"/>
    <n v="5"/>
    <x v="0"/>
    <s v="Recovered"/>
    <x v="2"/>
    <x v="2"/>
    <s v="Insurance"/>
    <n v="10"/>
    <x v="2883"/>
    <s v="No"/>
    <x v="0"/>
  </r>
  <r>
    <x v="2897"/>
    <x v="54"/>
    <x v="1"/>
    <x v="4"/>
    <x v="785"/>
    <d v="2025-04-20T00:00:00"/>
    <x v="7"/>
    <x v="5"/>
    <x v="6"/>
    <x v="2896"/>
    <n v="7"/>
    <x v="1"/>
    <s v="Deceased"/>
    <x v="0"/>
    <x v="1"/>
    <s v="Cash"/>
    <n v="13"/>
    <x v="2884"/>
    <s v="No"/>
    <x v="0"/>
  </r>
  <r>
    <x v="2898"/>
    <x v="4"/>
    <x v="1"/>
    <x v="6"/>
    <x v="944"/>
    <d v="2025-02-07T00:00:00"/>
    <x v="1"/>
    <x v="1"/>
    <x v="7"/>
    <x v="2897"/>
    <n v="10"/>
    <x v="1"/>
    <s v="Referred"/>
    <x v="0"/>
    <x v="1"/>
    <s v="Cash"/>
    <n v="3"/>
    <x v="2885"/>
    <s v="Yes"/>
    <x v="0"/>
  </r>
  <r>
    <x v="2899"/>
    <x v="31"/>
    <x v="0"/>
    <x v="1"/>
    <x v="696"/>
    <d v="2024-08-24T00:00:00"/>
    <x v="8"/>
    <x v="6"/>
    <x v="0"/>
    <x v="2898"/>
    <n v="13"/>
    <x v="0"/>
    <s v="Recovered"/>
    <x v="2"/>
    <x v="2"/>
    <s v="Card"/>
    <n v="12"/>
    <x v="2886"/>
    <s v="Yes"/>
    <x v="0"/>
  </r>
  <r>
    <x v="2900"/>
    <x v="66"/>
    <x v="1"/>
    <x v="7"/>
    <x v="628"/>
    <d v="2023-12-16T00:00:00"/>
    <x v="3"/>
    <x v="0"/>
    <x v="1"/>
    <x v="2899"/>
    <n v="19"/>
    <x v="0"/>
    <s v="Recovered"/>
    <x v="1"/>
    <x v="0"/>
    <s v="Card"/>
    <n v="4"/>
    <x v="2887"/>
    <s v="Yes"/>
    <x v="0"/>
  </r>
  <r>
    <x v="2901"/>
    <x v="45"/>
    <x v="0"/>
    <x v="2"/>
    <x v="799"/>
    <d v="2025-04-29T00:00:00"/>
    <x v="4"/>
    <x v="3"/>
    <x v="2"/>
    <x v="2900"/>
    <n v="7"/>
    <x v="1"/>
    <s v="Recovered"/>
    <x v="2"/>
    <x v="0"/>
    <s v="Insurance"/>
    <n v="1"/>
    <x v="2888"/>
    <s v="Yes"/>
    <x v="0"/>
  </r>
  <r>
    <x v="2902"/>
    <x v="32"/>
    <x v="0"/>
    <x v="4"/>
    <x v="473"/>
    <d v="2024-10-18T00:00:00"/>
    <x v="3"/>
    <x v="0"/>
    <x v="2"/>
    <x v="2901"/>
    <n v="20"/>
    <x v="1"/>
    <s v="Recovered"/>
    <x v="2"/>
    <x v="1"/>
    <s v="UPI"/>
    <n v="10"/>
    <x v="2889"/>
    <s v="No"/>
    <x v="0"/>
  </r>
  <r>
    <x v="2903"/>
    <x v="15"/>
    <x v="0"/>
    <x v="5"/>
    <x v="86"/>
    <d v="2025-02-15T00:00:00"/>
    <x v="6"/>
    <x v="2"/>
    <x v="7"/>
    <x v="2902"/>
    <n v="5"/>
    <x v="0"/>
    <s v="Recovered"/>
    <x v="0"/>
    <x v="0"/>
    <s v="Cash"/>
    <n v="1"/>
    <x v="2890"/>
    <s v="No"/>
    <x v="0"/>
  </r>
  <r>
    <x v="2904"/>
    <x v="51"/>
    <x v="1"/>
    <x v="5"/>
    <x v="185"/>
    <d v="2024-02-07T00:00:00"/>
    <x v="3"/>
    <x v="0"/>
    <x v="2"/>
    <x v="2903"/>
    <n v="1"/>
    <x v="0"/>
    <s v="Recovered"/>
    <x v="1"/>
    <x v="0"/>
    <s v="Card"/>
    <n v="6"/>
    <x v="2891"/>
    <s v="Yes"/>
    <x v="0"/>
  </r>
  <r>
    <x v="2905"/>
    <x v="2"/>
    <x v="0"/>
    <x v="4"/>
    <x v="292"/>
    <d v="2024-10-31T00:00:00"/>
    <x v="9"/>
    <x v="5"/>
    <x v="1"/>
    <x v="2904"/>
    <n v="19"/>
    <x v="1"/>
    <s v="Recovered"/>
    <x v="0"/>
    <x v="3"/>
    <s v="Cash"/>
    <n v="10"/>
    <x v="2892"/>
    <s v="No"/>
    <x v="0"/>
  </r>
  <r>
    <x v="2906"/>
    <x v="53"/>
    <x v="1"/>
    <x v="7"/>
    <x v="93"/>
    <d v="2025-08-08T00:00:00"/>
    <x v="2"/>
    <x v="2"/>
    <x v="3"/>
    <x v="2905"/>
    <n v="7"/>
    <x v="1"/>
    <s v="Under Observation"/>
    <x v="1"/>
    <x v="0"/>
    <s v="Insurance"/>
    <n v="4"/>
    <x v="2893"/>
    <s v="No"/>
    <x v="0"/>
  </r>
  <r>
    <x v="2907"/>
    <x v="68"/>
    <x v="0"/>
    <x v="2"/>
    <x v="242"/>
    <d v="2024-10-03T00:00:00"/>
    <x v="0"/>
    <x v="0"/>
    <x v="7"/>
    <x v="2906"/>
    <n v="4"/>
    <x v="0"/>
    <s v="Under Observation"/>
    <x v="2"/>
    <x v="3"/>
    <s v="Card"/>
    <n v="8"/>
    <x v="2894"/>
    <s v="No"/>
    <x v="0"/>
  </r>
  <r>
    <x v="2908"/>
    <x v="5"/>
    <x v="0"/>
    <x v="2"/>
    <x v="693"/>
    <d v="2023-09-22T00:00:00"/>
    <x v="9"/>
    <x v="5"/>
    <x v="7"/>
    <x v="2907"/>
    <n v="5"/>
    <x v="0"/>
    <s v="Deceased"/>
    <x v="0"/>
    <x v="1"/>
    <s v="UPI"/>
    <n v="7"/>
    <x v="2895"/>
    <s v="Yes"/>
    <x v="0"/>
  </r>
  <r>
    <x v="2909"/>
    <x v="49"/>
    <x v="0"/>
    <x v="2"/>
    <x v="491"/>
    <d v="2023-02-24T00:00:00"/>
    <x v="1"/>
    <x v="1"/>
    <x v="2"/>
    <x v="2908"/>
    <n v="16"/>
    <x v="0"/>
    <s v="Recovered"/>
    <x v="1"/>
    <x v="2"/>
    <s v="UPI"/>
    <n v="9"/>
    <x v="2896"/>
    <s v="Yes"/>
    <x v="0"/>
  </r>
  <r>
    <x v="2910"/>
    <x v="11"/>
    <x v="1"/>
    <x v="1"/>
    <x v="591"/>
    <d v="2024-04-22T00:00:00"/>
    <x v="5"/>
    <x v="4"/>
    <x v="7"/>
    <x v="2909"/>
    <n v="30"/>
    <x v="0"/>
    <s v="Referred"/>
    <x v="1"/>
    <x v="2"/>
    <s v="Cash"/>
    <n v="10"/>
    <x v="2897"/>
    <s v="Yes"/>
    <x v="0"/>
  </r>
  <r>
    <x v="2911"/>
    <x v="66"/>
    <x v="1"/>
    <x v="7"/>
    <x v="380"/>
    <d v="2024-09-26T00:00:00"/>
    <x v="3"/>
    <x v="0"/>
    <x v="1"/>
    <x v="2910"/>
    <n v="14"/>
    <x v="1"/>
    <s v="Recovered"/>
    <x v="0"/>
    <x v="3"/>
    <s v="Card"/>
    <n v="14"/>
    <x v="2898"/>
    <s v="Yes"/>
    <x v="0"/>
  </r>
  <r>
    <x v="2912"/>
    <x v="36"/>
    <x v="0"/>
    <x v="5"/>
    <x v="181"/>
    <d v="2023-07-26T00:00:00"/>
    <x v="3"/>
    <x v="0"/>
    <x v="3"/>
    <x v="2911"/>
    <n v="20"/>
    <x v="0"/>
    <s v="Under Observation"/>
    <x v="2"/>
    <x v="3"/>
    <s v="Card"/>
    <n v="10"/>
    <x v="2899"/>
    <s v="Yes"/>
    <x v="0"/>
  </r>
  <r>
    <x v="2913"/>
    <x v="35"/>
    <x v="1"/>
    <x v="7"/>
    <x v="723"/>
    <d v="2025-07-03T00:00:00"/>
    <x v="3"/>
    <x v="0"/>
    <x v="6"/>
    <x v="2912"/>
    <n v="8"/>
    <x v="0"/>
    <s v="Recovered"/>
    <x v="1"/>
    <x v="1"/>
    <s v="Cash"/>
    <n v="9"/>
    <x v="2900"/>
    <s v="Yes"/>
    <x v="0"/>
  </r>
  <r>
    <x v="2914"/>
    <x v="21"/>
    <x v="1"/>
    <x v="6"/>
    <x v="109"/>
    <d v="2023-02-23T00:00:00"/>
    <x v="5"/>
    <x v="4"/>
    <x v="0"/>
    <x v="2913"/>
    <n v="16"/>
    <x v="1"/>
    <s v="Recovered"/>
    <x v="2"/>
    <x v="3"/>
    <s v="Card"/>
    <n v="10"/>
    <x v="2901"/>
    <s v="No"/>
    <x v="0"/>
  </r>
  <r>
    <x v="2915"/>
    <x v="57"/>
    <x v="1"/>
    <x v="2"/>
    <x v="413"/>
    <d v="2025-02-13T00:00:00"/>
    <x v="9"/>
    <x v="5"/>
    <x v="4"/>
    <x v="2914"/>
    <n v="10"/>
    <x v="0"/>
    <s v="Deceased"/>
    <x v="0"/>
    <x v="2"/>
    <s v="Cash"/>
    <n v="4"/>
    <x v="2902"/>
    <s v="Yes"/>
    <x v="0"/>
  </r>
  <r>
    <x v="2916"/>
    <x v="20"/>
    <x v="0"/>
    <x v="4"/>
    <x v="497"/>
    <d v="2025-04-26T00:00:00"/>
    <x v="5"/>
    <x v="4"/>
    <x v="2"/>
    <x v="2915"/>
    <n v="17"/>
    <x v="0"/>
    <s v="Recovered"/>
    <x v="0"/>
    <x v="1"/>
    <s v="UPI"/>
    <n v="9"/>
    <x v="2903"/>
    <s v="No"/>
    <x v="1"/>
  </r>
  <r>
    <x v="2917"/>
    <x v="27"/>
    <x v="1"/>
    <x v="5"/>
    <x v="881"/>
    <d v="2025-04-01T00:00:00"/>
    <x v="7"/>
    <x v="5"/>
    <x v="3"/>
    <x v="2916"/>
    <n v="5"/>
    <x v="0"/>
    <s v="Under Observation"/>
    <x v="2"/>
    <x v="3"/>
    <s v="UPI"/>
    <n v="15"/>
    <x v="2904"/>
    <s v="Yes"/>
    <x v="0"/>
  </r>
  <r>
    <x v="2918"/>
    <x v="38"/>
    <x v="1"/>
    <x v="6"/>
    <x v="554"/>
    <d v="2023-07-24T00:00:00"/>
    <x v="7"/>
    <x v="5"/>
    <x v="7"/>
    <x v="2917"/>
    <n v="1"/>
    <x v="0"/>
    <s v="Recovered"/>
    <x v="1"/>
    <x v="3"/>
    <s v="Card"/>
    <n v="1"/>
    <x v="2905"/>
    <s v="Yes"/>
    <x v="0"/>
  </r>
  <r>
    <x v="2919"/>
    <x v="69"/>
    <x v="1"/>
    <x v="7"/>
    <x v="153"/>
    <d v="2025-07-08T00:00:00"/>
    <x v="1"/>
    <x v="1"/>
    <x v="1"/>
    <x v="2918"/>
    <n v="5"/>
    <x v="1"/>
    <s v="Recovered"/>
    <x v="2"/>
    <x v="2"/>
    <s v="Insurance"/>
    <n v="15"/>
    <x v="2906"/>
    <s v="No"/>
    <x v="0"/>
  </r>
  <r>
    <x v="2920"/>
    <x v="18"/>
    <x v="0"/>
    <x v="6"/>
    <x v="218"/>
    <d v="2023-09-11T00:00:00"/>
    <x v="6"/>
    <x v="2"/>
    <x v="5"/>
    <x v="2919"/>
    <n v="12"/>
    <x v="1"/>
    <s v="Recovered"/>
    <x v="2"/>
    <x v="3"/>
    <s v="Card"/>
    <n v="8"/>
    <x v="2907"/>
    <s v="No"/>
    <x v="1"/>
  </r>
  <r>
    <x v="2921"/>
    <x v="41"/>
    <x v="0"/>
    <x v="6"/>
    <x v="875"/>
    <d v="2023-06-08T00:00:00"/>
    <x v="4"/>
    <x v="3"/>
    <x v="5"/>
    <x v="2920"/>
    <n v="19"/>
    <x v="1"/>
    <s v="Recovered"/>
    <x v="1"/>
    <x v="2"/>
    <s v="UPI"/>
    <n v="15"/>
    <x v="2908"/>
    <s v="No"/>
    <x v="0"/>
  </r>
  <r>
    <x v="2922"/>
    <x v="2"/>
    <x v="1"/>
    <x v="6"/>
    <x v="281"/>
    <d v="2024-12-01T00:00:00"/>
    <x v="7"/>
    <x v="5"/>
    <x v="2"/>
    <x v="2921"/>
    <n v="9"/>
    <x v="1"/>
    <s v="Referred"/>
    <x v="0"/>
    <x v="3"/>
    <s v="Card"/>
    <n v="1"/>
    <x v="2909"/>
    <s v="Yes"/>
    <x v="0"/>
  </r>
  <r>
    <x v="2923"/>
    <x v="10"/>
    <x v="1"/>
    <x v="6"/>
    <x v="385"/>
    <d v="2025-04-08T00:00:00"/>
    <x v="8"/>
    <x v="6"/>
    <x v="4"/>
    <x v="2922"/>
    <n v="6"/>
    <x v="0"/>
    <s v="Recovered"/>
    <x v="2"/>
    <x v="1"/>
    <s v="Card"/>
    <n v="9"/>
    <x v="2910"/>
    <s v="No"/>
    <x v="1"/>
  </r>
  <r>
    <x v="2924"/>
    <x v="38"/>
    <x v="0"/>
    <x v="6"/>
    <x v="456"/>
    <d v="2023-12-21T00:00:00"/>
    <x v="5"/>
    <x v="4"/>
    <x v="2"/>
    <x v="2923"/>
    <n v="3"/>
    <x v="0"/>
    <s v="Recovered"/>
    <x v="1"/>
    <x v="0"/>
    <s v="Insurance"/>
    <n v="10"/>
    <x v="2911"/>
    <s v="Yes"/>
    <x v="0"/>
  </r>
  <r>
    <x v="2925"/>
    <x v="15"/>
    <x v="1"/>
    <x v="5"/>
    <x v="275"/>
    <d v="2023-03-23T00:00:00"/>
    <x v="4"/>
    <x v="3"/>
    <x v="4"/>
    <x v="2924"/>
    <n v="4"/>
    <x v="0"/>
    <s v="Recovered"/>
    <x v="0"/>
    <x v="1"/>
    <s v="Insurance"/>
    <n v="13"/>
    <x v="2912"/>
    <s v="Yes"/>
    <x v="1"/>
  </r>
  <r>
    <x v="2926"/>
    <x v="22"/>
    <x v="0"/>
    <x v="6"/>
    <x v="161"/>
    <d v="2024-06-17T00:00:00"/>
    <x v="4"/>
    <x v="3"/>
    <x v="4"/>
    <x v="2925"/>
    <n v="1"/>
    <x v="0"/>
    <s v="Recovered"/>
    <x v="1"/>
    <x v="3"/>
    <s v="Cash"/>
    <n v="5"/>
    <x v="2913"/>
    <s v="Yes"/>
    <x v="0"/>
  </r>
  <r>
    <x v="2927"/>
    <x v="47"/>
    <x v="1"/>
    <x v="5"/>
    <x v="722"/>
    <d v="2025-01-05T00:00:00"/>
    <x v="8"/>
    <x v="6"/>
    <x v="1"/>
    <x v="2926"/>
    <n v="9"/>
    <x v="0"/>
    <s v="Recovered"/>
    <x v="2"/>
    <x v="1"/>
    <s v="Cash"/>
    <n v="15"/>
    <x v="2914"/>
    <s v="Yes"/>
    <x v="0"/>
  </r>
  <r>
    <x v="2928"/>
    <x v="16"/>
    <x v="0"/>
    <x v="1"/>
    <x v="945"/>
    <d v="2023-11-23T00:00:00"/>
    <x v="9"/>
    <x v="5"/>
    <x v="0"/>
    <x v="2927"/>
    <n v="5"/>
    <x v="0"/>
    <s v="Recovered"/>
    <x v="0"/>
    <x v="0"/>
    <s v="Cash"/>
    <n v="7"/>
    <x v="2915"/>
    <s v="No"/>
    <x v="0"/>
  </r>
  <r>
    <x v="2929"/>
    <x v="16"/>
    <x v="1"/>
    <x v="3"/>
    <x v="482"/>
    <d v="2025-02-09T00:00:00"/>
    <x v="8"/>
    <x v="6"/>
    <x v="6"/>
    <x v="2928"/>
    <n v="4"/>
    <x v="0"/>
    <s v="Recovered"/>
    <x v="1"/>
    <x v="0"/>
    <s v="UPI"/>
    <n v="3"/>
    <x v="2916"/>
    <s v="No"/>
    <x v="0"/>
  </r>
  <r>
    <x v="2930"/>
    <x v="65"/>
    <x v="0"/>
    <x v="2"/>
    <x v="191"/>
    <d v="2023-05-06T00:00:00"/>
    <x v="5"/>
    <x v="4"/>
    <x v="6"/>
    <x v="2929"/>
    <n v="29"/>
    <x v="0"/>
    <s v="Recovered"/>
    <x v="2"/>
    <x v="2"/>
    <s v="Cash"/>
    <n v="11"/>
    <x v="2917"/>
    <s v="Yes"/>
    <x v="0"/>
  </r>
  <r>
    <x v="2931"/>
    <x v="42"/>
    <x v="0"/>
    <x v="4"/>
    <x v="795"/>
    <d v="2025-09-26T00:00:00"/>
    <x v="8"/>
    <x v="6"/>
    <x v="6"/>
    <x v="2930"/>
    <n v="3"/>
    <x v="1"/>
    <s v="Recovered"/>
    <x v="1"/>
    <x v="3"/>
    <s v="Insurance"/>
    <n v="12"/>
    <x v="2918"/>
    <s v="Yes"/>
    <x v="0"/>
  </r>
  <r>
    <x v="2932"/>
    <x v="49"/>
    <x v="0"/>
    <x v="5"/>
    <x v="112"/>
    <d v="2025-02-13T00:00:00"/>
    <x v="2"/>
    <x v="2"/>
    <x v="0"/>
    <x v="2931"/>
    <n v="11"/>
    <x v="0"/>
    <s v="Recovered"/>
    <x v="0"/>
    <x v="1"/>
    <s v="UPI"/>
    <n v="6"/>
    <x v="2919"/>
    <s v="Yes"/>
    <x v="0"/>
  </r>
  <r>
    <x v="2933"/>
    <x v="12"/>
    <x v="0"/>
    <x v="5"/>
    <x v="221"/>
    <d v="2023-09-21T00:00:00"/>
    <x v="2"/>
    <x v="2"/>
    <x v="1"/>
    <x v="2932"/>
    <n v="14"/>
    <x v="0"/>
    <s v="Recovered"/>
    <x v="1"/>
    <x v="1"/>
    <s v="Card"/>
    <n v="8"/>
    <x v="2920"/>
    <s v="Yes"/>
    <x v="0"/>
  </r>
  <r>
    <x v="2934"/>
    <x v="48"/>
    <x v="1"/>
    <x v="3"/>
    <x v="718"/>
    <d v="2024-02-28T00:00:00"/>
    <x v="4"/>
    <x v="3"/>
    <x v="0"/>
    <x v="2933"/>
    <n v="4"/>
    <x v="1"/>
    <s v="Recovered"/>
    <x v="0"/>
    <x v="3"/>
    <s v="Cash"/>
    <n v="12"/>
    <x v="2921"/>
    <s v="Yes"/>
    <x v="0"/>
  </r>
  <r>
    <x v="2935"/>
    <x v="41"/>
    <x v="0"/>
    <x v="3"/>
    <x v="669"/>
    <d v="2025-10-12T00:00:00"/>
    <x v="2"/>
    <x v="2"/>
    <x v="7"/>
    <x v="2934"/>
    <n v="16"/>
    <x v="1"/>
    <s v="Under Observation"/>
    <x v="1"/>
    <x v="3"/>
    <s v="Card"/>
    <n v="13"/>
    <x v="2922"/>
    <s v="Yes"/>
    <x v="0"/>
  </r>
  <r>
    <x v="2936"/>
    <x v="51"/>
    <x v="1"/>
    <x v="5"/>
    <x v="896"/>
    <d v="2024-03-09T00:00:00"/>
    <x v="4"/>
    <x v="3"/>
    <x v="0"/>
    <x v="2935"/>
    <n v="8"/>
    <x v="1"/>
    <s v="Recovered"/>
    <x v="2"/>
    <x v="1"/>
    <s v="Insurance"/>
    <n v="12"/>
    <x v="2923"/>
    <s v="No"/>
    <x v="0"/>
  </r>
  <r>
    <x v="2937"/>
    <x v="53"/>
    <x v="0"/>
    <x v="6"/>
    <x v="355"/>
    <d v="2023-02-03T00:00:00"/>
    <x v="5"/>
    <x v="4"/>
    <x v="2"/>
    <x v="2936"/>
    <n v="14"/>
    <x v="1"/>
    <s v="Under Observation"/>
    <x v="2"/>
    <x v="1"/>
    <s v="Card"/>
    <n v="13"/>
    <x v="2924"/>
    <s v="Yes"/>
    <x v="0"/>
  </r>
  <r>
    <x v="2938"/>
    <x v="70"/>
    <x v="0"/>
    <x v="5"/>
    <x v="219"/>
    <d v="2024-11-27T00:00:00"/>
    <x v="5"/>
    <x v="4"/>
    <x v="7"/>
    <x v="2937"/>
    <n v="10"/>
    <x v="0"/>
    <s v="Recovered"/>
    <x v="1"/>
    <x v="3"/>
    <s v="UPI"/>
    <n v="15"/>
    <x v="2925"/>
    <s v="No"/>
    <x v="0"/>
  </r>
  <r>
    <x v="2939"/>
    <x v="32"/>
    <x v="0"/>
    <x v="4"/>
    <x v="262"/>
    <d v="2024-11-09T00:00:00"/>
    <x v="0"/>
    <x v="0"/>
    <x v="7"/>
    <x v="2938"/>
    <n v="5"/>
    <x v="0"/>
    <s v="Recovered"/>
    <x v="1"/>
    <x v="0"/>
    <s v="UPI"/>
    <n v="5"/>
    <x v="2926"/>
    <s v="Yes"/>
    <x v="1"/>
  </r>
  <r>
    <x v="2940"/>
    <x v="72"/>
    <x v="0"/>
    <x v="5"/>
    <x v="405"/>
    <d v="2023-07-19T00:00:00"/>
    <x v="7"/>
    <x v="5"/>
    <x v="2"/>
    <x v="2939"/>
    <n v="4"/>
    <x v="0"/>
    <s v="Recovered"/>
    <x v="2"/>
    <x v="2"/>
    <s v="Card"/>
    <n v="8"/>
    <x v="2927"/>
    <s v="No"/>
    <x v="0"/>
  </r>
  <r>
    <x v="2941"/>
    <x v="14"/>
    <x v="0"/>
    <x v="3"/>
    <x v="832"/>
    <d v="2024-02-18T00:00:00"/>
    <x v="1"/>
    <x v="1"/>
    <x v="7"/>
    <x v="2940"/>
    <n v="14"/>
    <x v="1"/>
    <s v="Recovered"/>
    <x v="0"/>
    <x v="3"/>
    <s v="Card"/>
    <n v="4"/>
    <x v="2928"/>
    <s v="Yes"/>
    <x v="0"/>
  </r>
  <r>
    <x v="2942"/>
    <x v="29"/>
    <x v="1"/>
    <x v="0"/>
    <x v="259"/>
    <d v="2025-03-11T00:00:00"/>
    <x v="1"/>
    <x v="1"/>
    <x v="6"/>
    <x v="2941"/>
    <n v="13"/>
    <x v="0"/>
    <s v="Under Observation"/>
    <x v="2"/>
    <x v="2"/>
    <s v="Card"/>
    <n v="8"/>
    <x v="2929"/>
    <s v="Yes"/>
    <x v="0"/>
  </r>
  <r>
    <x v="2943"/>
    <x v="6"/>
    <x v="0"/>
    <x v="6"/>
    <x v="715"/>
    <d v="2023-07-27T00:00:00"/>
    <x v="7"/>
    <x v="5"/>
    <x v="5"/>
    <x v="2942"/>
    <n v="5"/>
    <x v="0"/>
    <s v="Referred"/>
    <x v="2"/>
    <x v="0"/>
    <s v="Cash"/>
    <n v="3"/>
    <x v="2930"/>
    <s v="No"/>
    <x v="0"/>
  </r>
  <r>
    <x v="2944"/>
    <x v="32"/>
    <x v="0"/>
    <x v="6"/>
    <x v="315"/>
    <d v="2024-11-30T00:00:00"/>
    <x v="4"/>
    <x v="3"/>
    <x v="1"/>
    <x v="2943"/>
    <n v="14"/>
    <x v="0"/>
    <s v="Recovered"/>
    <x v="0"/>
    <x v="1"/>
    <s v="UPI"/>
    <n v="5"/>
    <x v="2931"/>
    <s v="Yes"/>
    <x v="0"/>
  </r>
  <r>
    <x v="2945"/>
    <x v="30"/>
    <x v="0"/>
    <x v="6"/>
    <x v="75"/>
    <d v="2025-04-23T00:00:00"/>
    <x v="7"/>
    <x v="5"/>
    <x v="5"/>
    <x v="2944"/>
    <n v="11"/>
    <x v="1"/>
    <s v="Recovered"/>
    <x v="0"/>
    <x v="1"/>
    <s v="Insurance"/>
    <n v="10"/>
    <x v="2932"/>
    <s v="No"/>
    <x v="0"/>
  </r>
  <r>
    <x v="2946"/>
    <x v="19"/>
    <x v="0"/>
    <x v="6"/>
    <x v="869"/>
    <d v="2023-11-07T00:00:00"/>
    <x v="1"/>
    <x v="1"/>
    <x v="7"/>
    <x v="2945"/>
    <n v="1"/>
    <x v="1"/>
    <s v="Recovered"/>
    <x v="1"/>
    <x v="3"/>
    <s v="Insurance"/>
    <n v="5"/>
    <x v="2933"/>
    <s v="Yes"/>
    <x v="0"/>
  </r>
  <r>
    <x v="2947"/>
    <x v="34"/>
    <x v="1"/>
    <x v="3"/>
    <x v="785"/>
    <d v="2025-04-21T00:00:00"/>
    <x v="4"/>
    <x v="3"/>
    <x v="6"/>
    <x v="2946"/>
    <n v="8"/>
    <x v="0"/>
    <s v="Recovered"/>
    <x v="0"/>
    <x v="2"/>
    <s v="Cash"/>
    <n v="7"/>
    <x v="2934"/>
    <s v="Yes"/>
    <x v="0"/>
  </r>
  <r>
    <x v="2948"/>
    <x v="47"/>
    <x v="1"/>
    <x v="5"/>
    <x v="25"/>
    <d v="2024-09-21T00:00:00"/>
    <x v="8"/>
    <x v="6"/>
    <x v="2"/>
    <x v="2947"/>
    <n v="1"/>
    <x v="0"/>
    <s v="Recovered"/>
    <x v="1"/>
    <x v="1"/>
    <s v="Insurance"/>
    <n v="6"/>
    <x v="2935"/>
    <s v="No"/>
    <x v="0"/>
  </r>
  <r>
    <x v="2949"/>
    <x v="62"/>
    <x v="0"/>
    <x v="2"/>
    <x v="865"/>
    <d v="2025-07-02T00:00:00"/>
    <x v="6"/>
    <x v="2"/>
    <x v="1"/>
    <x v="2948"/>
    <n v="1"/>
    <x v="1"/>
    <s v="Under Observation"/>
    <x v="0"/>
    <x v="0"/>
    <s v="Card"/>
    <n v="2"/>
    <x v="2936"/>
    <s v="Yes"/>
    <x v="0"/>
  </r>
  <r>
    <x v="2950"/>
    <x v="30"/>
    <x v="0"/>
    <x v="2"/>
    <x v="328"/>
    <d v="2025-09-12T00:00:00"/>
    <x v="8"/>
    <x v="6"/>
    <x v="7"/>
    <x v="2949"/>
    <n v="14"/>
    <x v="1"/>
    <s v="Recovered"/>
    <x v="0"/>
    <x v="2"/>
    <s v="Cash"/>
    <n v="9"/>
    <x v="2937"/>
    <s v="Yes"/>
    <x v="0"/>
  </r>
  <r>
    <x v="2951"/>
    <x v="40"/>
    <x v="0"/>
    <x v="1"/>
    <x v="100"/>
    <d v="2024-12-10T00:00:00"/>
    <x v="9"/>
    <x v="5"/>
    <x v="3"/>
    <x v="2950"/>
    <n v="16"/>
    <x v="0"/>
    <s v="Recovered"/>
    <x v="1"/>
    <x v="0"/>
    <s v="UPI"/>
    <n v="1"/>
    <x v="2938"/>
    <s v="Yes"/>
    <x v="0"/>
  </r>
  <r>
    <x v="2952"/>
    <x v="43"/>
    <x v="1"/>
    <x v="0"/>
    <x v="572"/>
    <d v="2023-11-28T00:00:00"/>
    <x v="4"/>
    <x v="3"/>
    <x v="3"/>
    <x v="2951"/>
    <n v="13"/>
    <x v="0"/>
    <s v="Under Observation"/>
    <x v="1"/>
    <x v="3"/>
    <s v="Insurance"/>
    <n v="2"/>
    <x v="2939"/>
    <s v="No"/>
    <x v="0"/>
  </r>
  <r>
    <x v="2953"/>
    <x v="37"/>
    <x v="0"/>
    <x v="1"/>
    <x v="54"/>
    <d v="2024-04-03T00:00:00"/>
    <x v="5"/>
    <x v="4"/>
    <x v="7"/>
    <x v="2952"/>
    <n v="1"/>
    <x v="1"/>
    <s v="Recovered"/>
    <x v="2"/>
    <x v="3"/>
    <s v="Card"/>
    <n v="1"/>
    <x v="2940"/>
    <s v="No"/>
    <x v="0"/>
  </r>
  <r>
    <x v="2954"/>
    <x v="8"/>
    <x v="0"/>
    <x v="5"/>
    <x v="638"/>
    <d v="2023-10-20T00:00:00"/>
    <x v="7"/>
    <x v="5"/>
    <x v="2"/>
    <x v="2953"/>
    <n v="7"/>
    <x v="1"/>
    <s v="Recovered"/>
    <x v="2"/>
    <x v="3"/>
    <s v="UPI"/>
    <n v="4"/>
    <x v="2941"/>
    <s v="Yes"/>
    <x v="0"/>
  </r>
  <r>
    <x v="2955"/>
    <x v="69"/>
    <x v="0"/>
    <x v="1"/>
    <x v="779"/>
    <d v="2024-07-26T00:00:00"/>
    <x v="4"/>
    <x v="3"/>
    <x v="2"/>
    <x v="2954"/>
    <n v="3"/>
    <x v="1"/>
    <s v="Recovered"/>
    <x v="0"/>
    <x v="3"/>
    <s v="Insurance"/>
    <n v="11"/>
    <x v="2942"/>
    <s v="No"/>
    <x v="0"/>
  </r>
  <r>
    <x v="2956"/>
    <x v="27"/>
    <x v="0"/>
    <x v="2"/>
    <x v="941"/>
    <d v="2025-01-18T00:00:00"/>
    <x v="1"/>
    <x v="1"/>
    <x v="1"/>
    <x v="2955"/>
    <n v="11"/>
    <x v="1"/>
    <s v="Recovered"/>
    <x v="2"/>
    <x v="0"/>
    <s v="Insurance"/>
    <n v="15"/>
    <x v="2943"/>
    <s v="Yes"/>
    <x v="0"/>
  </r>
  <r>
    <x v="2957"/>
    <x v="22"/>
    <x v="0"/>
    <x v="0"/>
    <x v="569"/>
    <d v="2024-04-05T00:00:00"/>
    <x v="2"/>
    <x v="2"/>
    <x v="1"/>
    <x v="2956"/>
    <n v="6"/>
    <x v="1"/>
    <s v="Recovered"/>
    <x v="1"/>
    <x v="0"/>
    <s v="Cash"/>
    <n v="12"/>
    <x v="2944"/>
    <s v="Yes"/>
    <x v="0"/>
  </r>
  <r>
    <x v="2958"/>
    <x v="63"/>
    <x v="1"/>
    <x v="6"/>
    <x v="946"/>
    <d v="2025-03-25T00:00:00"/>
    <x v="0"/>
    <x v="0"/>
    <x v="0"/>
    <x v="2957"/>
    <n v="14"/>
    <x v="0"/>
    <s v="Recovered"/>
    <x v="0"/>
    <x v="3"/>
    <s v="Insurance"/>
    <n v="14"/>
    <x v="2945"/>
    <s v="Yes"/>
    <x v="0"/>
  </r>
  <r>
    <x v="2959"/>
    <x v="42"/>
    <x v="0"/>
    <x v="3"/>
    <x v="819"/>
    <d v="2024-09-16T00:00:00"/>
    <x v="1"/>
    <x v="1"/>
    <x v="0"/>
    <x v="2958"/>
    <n v="22"/>
    <x v="1"/>
    <s v="Recovered"/>
    <x v="2"/>
    <x v="2"/>
    <s v="Insurance"/>
    <n v="7"/>
    <x v="2946"/>
    <s v="Yes"/>
    <x v="1"/>
  </r>
  <r>
    <x v="2960"/>
    <x v="70"/>
    <x v="1"/>
    <x v="1"/>
    <x v="69"/>
    <d v="2023-05-26T00:00:00"/>
    <x v="2"/>
    <x v="2"/>
    <x v="6"/>
    <x v="2959"/>
    <n v="13"/>
    <x v="1"/>
    <s v="Recovered"/>
    <x v="2"/>
    <x v="1"/>
    <s v="Card"/>
    <n v="1"/>
    <x v="2947"/>
    <s v="Yes"/>
    <x v="0"/>
  </r>
  <r>
    <x v="2961"/>
    <x v="48"/>
    <x v="1"/>
    <x v="6"/>
    <x v="351"/>
    <d v="2023-02-15T00:00:00"/>
    <x v="7"/>
    <x v="5"/>
    <x v="1"/>
    <x v="2960"/>
    <n v="2"/>
    <x v="0"/>
    <s v="Under Observation"/>
    <x v="0"/>
    <x v="0"/>
    <s v="Cash"/>
    <n v="2"/>
    <x v="2948"/>
    <s v="Yes"/>
    <x v="0"/>
  </r>
  <r>
    <x v="2962"/>
    <x v="53"/>
    <x v="0"/>
    <x v="7"/>
    <x v="674"/>
    <d v="2023-07-24T00:00:00"/>
    <x v="1"/>
    <x v="1"/>
    <x v="1"/>
    <x v="2961"/>
    <n v="4"/>
    <x v="1"/>
    <s v="Recovered"/>
    <x v="0"/>
    <x v="3"/>
    <s v="Card"/>
    <n v="13"/>
    <x v="2949"/>
    <s v="Yes"/>
    <x v="0"/>
  </r>
  <r>
    <x v="2963"/>
    <x v="42"/>
    <x v="0"/>
    <x v="3"/>
    <x v="89"/>
    <d v="2025-07-02T00:00:00"/>
    <x v="9"/>
    <x v="5"/>
    <x v="2"/>
    <x v="2962"/>
    <n v="17"/>
    <x v="1"/>
    <s v="Recovered"/>
    <x v="2"/>
    <x v="2"/>
    <s v="Cash"/>
    <n v="7"/>
    <x v="2950"/>
    <s v="Yes"/>
    <x v="0"/>
  </r>
  <r>
    <x v="2964"/>
    <x v="14"/>
    <x v="1"/>
    <x v="3"/>
    <x v="748"/>
    <d v="2024-11-19T00:00:00"/>
    <x v="4"/>
    <x v="3"/>
    <x v="4"/>
    <x v="2963"/>
    <n v="13"/>
    <x v="0"/>
    <s v="Recovered"/>
    <x v="1"/>
    <x v="1"/>
    <s v="Cash"/>
    <n v="13"/>
    <x v="2951"/>
    <s v="Yes"/>
    <x v="0"/>
  </r>
  <r>
    <x v="2965"/>
    <x v="3"/>
    <x v="0"/>
    <x v="5"/>
    <x v="829"/>
    <d v="2023-04-20T00:00:00"/>
    <x v="5"/>
    <x v="4"/>
    <x v="7"/>
    <x v="2964"/>
    <n v="10"/>
    <x v="0"/>
    <s v="Under Observation"/>
    <x v="2"/>
    <x v="3"/>
    <s v="Card"/>
    <n v="9"/>
    <x v="2952"/>
    <s v="No"/>
    <x v="0"/>
  </r>
  <r>
    <x v="2966"/>
    <x v="14"/>
    <x v="1"/>
    <x v="7"/>
    <x v="136"/>
    <d v="2024-05-18T00:00:00"/>
    <x v="1"/>
    <x v="1"/>
    <x v="4"/>
    <x v="2965"/>
    <n v="16"/>
    <x v="1"/>
    <s v="Recovered"/>
    <x v="2"/>
    <x v="1"/>
    <s v="UPI"/>
    <n v="14"/>
    <x v="2953"/>
    <s v="Yes"/>
    <x v="0"/>
  </r>
  <r>
    <x v="2967"/>
    <x v="18"/>
    <x v="1"/>
    <x v="2"/>
    <x v="541"/>
    <d v="2024-11-16T00:00:00"/>
    <x v="8"/>
    <x v="6"/>
    <x v="0"/>
    <x v="2966"/>
    <n v="19"/>
    <x v="0"/>
    <s v="Recovered"/>
    <x v="2"/>
    <x v="1"/>
    <s v="UPI"/>
    <n v="10"/>
    <x v="2954"/>
    <s v="Yes"/>
    <x v="0"/>
  </r>
  <r>
    <x v="2968"/>
    <x v="66"/>
    <x v="0"/>
    <x v="3"/>
    <x v="868"/>
    <d v="2025-05-27T00:00:00"/>
    <x v="2"/>
    <x v="2"/>
    <x v="7"/>
    <x v="2967"/>
    <n v="11"/>
    <x v="0"/>
    <s v="Recovered"/>
    <x v="1"/>
    <x v="2"/>
    <s v="Card"/>
    <n v="8"/>
    <x v="2955"/>
    <s v="No"/>
    <x v="0"/>
  </r>
  <r>
    <x v="2969"/>
    <x v="17"/>
    <x v="1"/>
    <x v="7"/>
    <x v="645"/>
    <d v="2023-03-20T00:00:00"/>
    <x v="8"/>
    <x v="6"/>
    <x v="5"/>
    <x v="2968"/>
    <n v="13"/>
    <x v="0"/>
    <s v="Recovered"/>
    <x v="1"/>
    <x v="0"/>
    <s v="UPI"/>
    <n v="4"/>
    <x v="2956"/>
    <s v="No"/>
    <x v="0"/>
  </r>
  <r>
    <x v="2970"/>
    <x v="56"/>
    <x v="1"/>
    <x v="4"/>
    <x v="811"/>
    <d v="2023-12-04T00:00:00"/>
    <x v="9"/>
    <x v="5"/>
    <x v="3"/>
    <x v="2969"/>
    <n v="20"/>
    <x v="0"/>
    <s v="Recovered"/>
    <x v="2"/>
    <x v="0"/>
    <s v="Card"/>
    <n v="6"/>
    <x v="2957"/>
    <s v="Yes"/>
    <x v="0"/>
  </r>
  <r>
    <x v="2971"/>
    <x v="53"/>
    <x v="1"/>
    <x v="2"/>
    <x v="927"/>
    <d v="2023-12-26T00:00:00"/>
    <x v="9"/>
    <x v="5"/>
    <x v="5"/>
    <x v="2970"/>
    <n v="1"/>
    <x v="1"/>
    <s v="Recovered"/>
    <x v="2"/>
    <x v="0"/>
    <s v="Cash"/>
    <n v="9"/>
    <x v="2958"/>
    <s v="No"/>
    <x v="0"/>
  </r>
  <r>
    <x v="2972"/>
    <x v="69"/>
    <x v="1"/>
    <x v="6"/>
    <x v="170"/>
    <d v="2023-02-20T00:00:00"/>
    <x v="5"/>
    <x v="4"/>
    <x v="4"/>
    <x v="2971"/>
    <n v="16"/>
    <x v="1"/>
    <s v="Recovered"/>
    <x v="0"/>
    <x v="2"/>
    <s v="Insurance"/>
    <n v="2"/>
    <x v="2959"/>
    <s v="No"/>
    <x v="0"/>
  </r>
  <r>
    <x v="2973"/>
    <x v="71"/>
    <x v="0"/>
    <x v="4"/>
    <x v="66"/>
    <d v="2023-10-19T00:00:00"/>
    <x v="9"/>
    <x v="5"/>
    <x v="1"/>
    <x v="2972"/>
    <n v="16"/>
    <x v="0"/>
    <s v="Recovered"/>
    <x v="1"/>
    <x v="1"/>
    <s v="UPI"/>
    <n v="15"/>
    <x v="2960"/>
    <s v="Yes"/>
    <x v="0"/>
  </r>
  <r>
    <x v="2974"/>
    <x v="43"/>
    <x v="1"/>
    <x v="5"/>
    <x v="240"/>
    <d v="2024-01-04T00:00:00"/>
    <x v="4"/>
    <x v="3"/>
    <x v="5"/>
    <x v="2973"/>
    <n v="13"/>
    <x v="1"/>
    <s v="Recovered"/>
    <x v="2"/>
    <x v="3"/>
    <s v="Insurance"/>
    <n v="10"/>
    <x v="2961"/>
    <s v="No"/>
    <x v="1"/>
  </r>
  <r>
    <x v="2975"/>
    <x v="29"/>
    <x v="0"/>
    <x v="2"/>
    <x v="219"/>
    <d v="2024-11-18T00:00:00"/>
    <x v="3"/>
    <x v="0"/>
    <x v="5"/>
    <x v="2974"/>
    <n v="1"/>
    <x v="1"/>
    <s v="Recovered"/>
    <x v="2"/>
    <x v="0"/>
    <s v="Card"/>
    <n v="2"/>
    <x v="2962"/>
    <s v="Yes"/>
    <x v="0"/>
  </r>
  <r>
    <x v="2976"/>
    <x v="12"/>
    <x v="1"/>
    <x v="1"/>
    <x v="502"/>
    <d v="2024-12-20T00:00:00"/>
    <x v="0"/>
    <x v="0"/>
    <x v="0"/>
    <x v="2975"/>
    <n v="10"/>
    <x v="1"/>
    <s v="Under Observation"/>
    <x v="0"/>
    <x v="1"/>
    <s v="Card"/>
    <n v="2"/>
    <x v="2963"/>
    <s v="Yes"/>
    <x v="0"/>
  </r>
  <r>
    <x v="2977"/>
    <x v="15"/>
    <x v="1"/>
    <x v="1"/>
    <x v="132"/>
    <d v="2024-12-22T00:00:00"/>
    <x v="6"/>
    <x v="2"/>
    <x v="4"/>
    <x v="2976"/>
    <n v="16"/>
    <x v="0"/>
    <s v="Recovered"/>
    <x v="0"/>
    <x v="2"/>
    <s v="Insurance"/>
    <n v="7"/>
    <x v="2964"/>
    <s v="No"/>
    <x v="0"/>
  </r>
  <r>
    <x v="2978"/>
    <x v="35"/>
    <x v="0"/>
    <x v="0"/>
    <x v="332"/>
    <d v="2024-02-20T00:00:00"/>
    <x v="4"/>
    <x v="3"/>
    <x v="3"/>
    <x v="2977"/>
    <n v="6"/>
    <x v="1"/>
    <s v="Recovered"/>
    <x v="1"/>
    <x v="0"/>
    <s v="Card"/>
    <n v="5"/>
    <x v="2965"/>
    <s v="Yes"/>
    <x v="0"/>
  </r>
  <r>
    <x v="2979"/>
    <x v="40"/>
    <x v="0"/>
    <x v="5"/>
    <x v="853"/>
    <d v="2023-08-15T00:00:00"/>
    <x v="8"/>
    <x v="6"/>
    <x v="4"/>
    <x v="2978"/>
    <n v="6"/>
    <x v="1"/>
    <s v="Recovered"/>
    <x v="1"/>
    <x v="0"/>
    <s v="Card"/>
    <n v="6"/>
    <x v="2966"/>
    <s v="Yes"/>
    <x v="0"/>
  </r>
  <r>
    <x v="2980"/>
    <x v="30"/>
    <x v="0"/>
    <x v="5"/>
    <x v="499"/>
    <d v="2025-07-30T00:00:00"/>
    <x v="7"/>
    <x v="5"/>
    <x v="4"/>
    <x v="2979"/>
    <n v="4"/>
    <x v="1"/>
    <s v="Recovered"/>
    <x v="0"/>
    <x v="0"/>
    <s v="UPI"/>
    <n v="13"/>
    <x v="2967"/>
    <s v="No"/>
    <x v="0"/>
  </r>
  <r>
    <x v="2981"/>
    <x v="45"/>
    <x v="0"/>
    <x v="7"/>
    <x v="48"/>
    <d v="2025-08-28T00:00:00"/>
    <x v="0"/>
    <x v="0"/>
    <x v="5"/>
    <x v="2980"/>
    <n v="9"/>
    <x v="1"/>
    <s v="Recovered"/>
    <x v="0"/>
    <x v="0"/>
    <s v="Cash"/>
    <n v="3"/>
    <x v="2968"/>
    <s v="Yes"/>
    <x v="0"/>
  </r>
  <r>
    <x v="2982"/>
    <x v="51"/>
    <x v="0"/>
    <x v="0"/>
    <x v="922"/>
    <d v="2023-11-26T00:00:00"/>
    <x v="9"/>
    <x v="5"/>
    <x v="3"/>
    <x v="2981"/>
    <n v="17"/>
    <x v="0"/>
    <s v="Recovered"/>
    <x v="1"/>
    <x v="1"/>
    <s v="Cash"/>
    <n v="8"/>
    <x v="2969"/>
    <s v="No"/>
    <x v="0"/>
  </r>
  <r>
    <x v="2983"/>
    <x v="71"/>
    <x v="0"/>
    <x v="4"/>
    <x v="284"/>
    <d v="2023-09-19T00:00:00"/>
    <x v="2"/>
    <x v="2"/>
    <x v="2"/>
    <x v="2982"/>
    <n v="18"/>
    <x v="1"/>
    <s v="Recovered"/>
    <x v="1"/>
    <x v="2"/>
    <s v="Insurance"/>
    <n v="6"/>
    <x v="2970"/>
    <s v="No"/>
    <x v="0"/>
  </r>
  <r>
    <x v="2984"/>
    <x v="50"/>
    <x v="1"/>
    <x v="7"/>
    <x v="909"/>
    <d v="2023-04-07T00:00:00"/>
    <x v="3"/>
    <x v="0"/>
    <x v="6"/>
    <x v="2983"/>
    <n v="16"/>
    <x v="0"/>
    <s v="Recovered"/>
    <x v="2"/>
    <x v="3"/>
    <s v="Cash"/>
    <n v="13"/>
    <x v="2971"/>
    <s v="Yes"/>
    <x v="0"/>
  </r>
  <r>
    <x v="2985"/>
    <x v="2"/>
    <x v="0"/>
    <x v="6"/>
    <x v="402"/>
    <d v="2023-10-21T00:00:00"/>
    <x v="2"/>
    <x v="2"/>
    <x v="7"/>
    <x v="2984"/>
    <n v="14"/>
    <x v="1"/>
    <s v="Under Observation"/>
    <x v="0"/>
    <x v="0"/>
    <s v="Insurance"/>
    <n v="4"/>
    <x v="2972"/>
    <s v="No"/>
    <x v="0"/>
  </r>
  <r>
    <x v="2986"/>
    <x v="4"/>
    <x v="0"/>
    <x v="3"/>
    <x v="668"/>
    <d v="2025-01-27T00:00:00"/>
    <x v="2"/>
    <x v="2"/>
    <x v="0"/>
    <x v="2985"/>
    <n v="1"/>
    <x v="1"/>
    <s v="Recovered"/>
    <x v="1"/>
    <x v="0"/>
    <s v="UPI"/>
    <n v="10"/>
    <x v="2973"/>
    <s v="No"/>
    <x v="0"/>
  </r>
  <r>
    <x v="2987"/>
    <x v="13"/>
    <x v="0"/>
    <x v="1"/>
    <x v="889"/>
    <d v="2025-03-29T00:00:00"/>
    <x v="0"/>
    <x v="0"/>
    <x v="2"/>
    <x v="2986"/>
    <n v="15"/>
    <x v="0"/>
    <s v="Under Observation"/>
    <x v="2"/>
    <x v="2"/>
    <s v="Cash"/>
    <n v="8"/>
    <x v="2974"/>
    <s v="No"/>
    <x v="0"/>
  </r>
  <r>
    <x v="2988"/>
    <x v="2"/>
    <x v="0"/>
    <x v="1"/>
    <x v="453"/>
    <d v="2023-04-08T00:00:00"/>
    <x v="4"/>
    <x v="3"/>
    <x v="5"/>
    <x v="2987"/>
    <n v="30"/>
    <x v="1"/>
    <s v="Recovered"/>
    <x v="2"/>
    <x v="2"/>
    <s v="Card"/>
    <n v="7"/>
    <x v="2975"/>
    <s v="No"/>
    <x v="0"/>
  </r>
  <r>
    <x v="2989"/>
    <x v="48"/>
    <x v="0"/>
    <x v="7"/>
    <x v="491"/>
    <d v="2023-02-13T00:00:00"/>
    <x v="4"/>
    <x v="3"/>
    <x v="7"/>
    <x v="2988"/>
    <n v="5"/>
    <x v="0"/>
    <s v="Recovered"/>
    <x v="2"/>
    <x v="0"/>
    <s v="Insurance"/>
    <n v="15"/>
    <x v="2976"/>
    <s v="Yes"/>
    <x v="0"/>
  </r>
  <r>
    <x v="2990"/>
    <x v="5"/>
    <x v="0"/>
    <x v="7"/>
    <x v="123"/>
    <d v="2024-09-23T00:00:00"/>
    <x v="1"/>
    <x v="1"/>
    <x v="6"/>
    <x v="2989"/>
    <n v="4"/>
    <x v="1"/>
    <s v="Recovered"/>
    <x v="1"/>
    <x v="0"/>
    <s v="Card"/>
    <n v="8"/>
    <x v="2977"/>
    <s v="No"/>
    <x v="0"/>
  </r>
  <r>
    <x v="2991"/>
    <x v="54"/>
    <x v="0"/>
    <x v="4"/>
    <x v="232"/>
    <d v="2023-10-11T00:00:00"/>
    <x v="6"/>
    <x v="2"/>
    <x v="2"/>
    <x v="2990"/>
    <n v="11"/>
    <x v="0"/>
    <s v="Recovered"/>
    <x v="0"/>
    <x v="0"/>
    <s v="Insurance"/>
    <n v="5"/>
    <x v="2978"/>
    <s v="Yes"/>
    <x v="0"/>
  </r>
  <r>
    <x v="2992"/>
    <x v="55"/>
    <x v="0"/>
    <x v="6"/>
    <x v="80"/>
    <d v="2025-02-04T00:00:00"/>
    <x v="4"/>
    <x v="3"/>
    <x v="3"/>
    <x v="2991"/>
    <n v="13"/>
    <x v="0"/>
    <s v="Recovered"/>
    <x v="1"/>
    <x v="3"/>
    <s v="Cash"/>
    <n v="13"/>
    <x v="2979"/>
    <s v="Yes"/>
    <x v="0"/>
  </r>
  <r>
    <x v="2993"/>
    <x v="21"/>
    <x v="0"/>
    <x v="2"/>
    <x v="685"/>
    <d v="2023-06-27T00:00:00"/>
    <x v="8"/>
    <x v="6"/>
    <x v="5"/>
    <x v="2992"/>
    <n v="2"/>
    <x v="1"/>
    <s v="Recovered"/>
    <x v="0"/>
    <x v="0"/>
    <s v="Cash"/>
    <n v="11"/>
    <x v="2980"/>
    <s v="Yes"/>
    <x v="0"/>
  </r>
  <r>
    <x v="2994"/>
    <x v="46"/>
    <x v="1"/>
    <x v="4"/>
    <x v="400"/>
    <d v="2023-04-01T00:00:00"/>
    <x v="5"/>
    <x v="4"/>
    <x v="5"/>
    <x v="2993"/>
    <n v="6"/>
    <x v="1"/>
    <s v="Recovered"/>
    <x v="0"/>
    <x v="1"/>
    <s v="Insurance"/>
    <n v="13"/>
    <x v="2981"/>
    <s v="Yes"/>
    <x v="0"/>
  </r>
  <r>
    <x v="2995"/>
    <x v="0"/>
    <x v="0"/>
    <x v="7"/>
    <x v="52"/>
    <d v="2024-08-09T00:00:00"/>
    <x v="1"/>
    <x v="1"/>
    <x v="5"/>
    <x v="2994"/>
    <n v="7"/>
    <x v="0"/>
    <s v="Recovered"/>
    <x v="0"/>
    <x v="3"/>
    <s v="Cash"/>
    <n v="14"/>
    <x v="2982"/>
    <s v="Yes"/>
    <x v="0"/>
  </r>
  <r>
    <x v="2996"/>
    <x v="1"/>
    <x v="0"/>
    <x v="7"/>
    <x v="311"/>
    <d v="2023-05-07T00:00:00"/>
    <x v="2"/>
    <x v="2"/>
    <x v="4"/>
    <x v="2995"/>
    <n v="4"/>
    <x v="1"/>
    <s v="Recovered"/>
    <x v="2"/>
    <x v="0"/>
    <s v="Cash"/>
    <n v="14"/>
    <x v="2983"/>
    <s v="No"/>
    <x v="0"/>
  </r>
  <r>
    <x v="2997"/>
    <x v="14"/>
    <x v="0"/>
    <x v="1"/>
    <x v="581"/>
    <d v="2025-07-26T00:00:00"/>
    <x v="6"/>
    <x v="2"/>
    <x v="2"/>
    <x v="2996"/>
    <n v="12"/>
    <x v="1"/>
    <s v="Recovered"/>
    <x v="0"/>
    <x v="3"/>
    <s v="Cash"/>
    <n v="3"/>
    <x v="2984"/>
    <s v="Yes"/>
    <x v="0"/>
  </r>
  <r>
    <x v="2998"/>
    <x v="36"/>
    <x v="1"/>
    <x v="1"/>
    <x v="891"/>
    <d v="2025-06-16T00:00:00"/>
    <x v="0"/>
    <x v="0"/>
    <x v="7"/>
    <x v="2997"/>
    <n v="27"/>
    <x v="1"/>
    <s v="Recovered"/>
    <x v="0"/>
    <x v="2"/>
    <s v="UPI"/>
    <n v="15"/>
    <x v="2985"/>
    <s v="Yes"/>
    <x v="1"/>
  </r>
  <r>
    <x v="2999"/>
    <x v="35"/>
    <x v="1"/>
    <x v="5"/>
    <x v="209"/>
    <d v="2024-10-14T00:00:00"/>
    <x v="9"/>
    <x v="5"/>
    <x v="1"/>
    <x v="2998"/>
    <n v="10"/>
    <x v="0"/>
    <s v="Referred"/>
    <x v="0"/>
    <x v="3"/>
    <s v="Cash"/>
    <n v="15"/>
    <x v="2986"/>
    <s v="No"/>
    <x v="0"/>
  </r>
  <r>
    <x v="3000"/>
    <x v="34"/>
    <x v="1"/>
    <x v="5"/>
    <x v="320"/>
    <d v="2024-08-28T00:00:00"/>
    <x v="0"/>
    <x v="0"/>
    <x v="6"/>
    <x v="2999"/>
    <n v="5"/>
    <x v="0"/>
    <s v="Recovered"/>
    <x v="2"/>
    <x v="3"/>
    <s v="Insurance"/>
    <n v="8"/>
    <x v="895"/>
    <s v="Yes"/>
    <x v="0"/>
  </r>
  <r>
    <x v="3001"/>
    <x v="33"/>
    <x v="1"/>
    <x v="4"/>
    <x v="770"/>
    <d v="2024-01-13T00:00:00"/>
    <x v="4"/>
    <x v="3"/>
    <x v="3"/>
    <x v="3000"/>
    <n v="15"/>
    <x v="1"/>
    <s v="Referred"/>
    <x v="1"/>
    <x v="2"/>
    <s v="Cash"/>
    <n v="12"/>
    <x v="2987"/>
    <s v="Yes"/>
    <x v="0"/>
  </r>
  <r>
    <x v="3002"/>
    <x v="24"/>
    <x v="1"/>
    <x v="6"/>
    <x v="603"/>
    <d v="2024-10-14T00:00:00"/>
    <x v="2"/>
    <x v="2"/>
    <x v="7"/>
    <x v="3001"/>
    <n v="8"/>
    <x v="1"/>
    <s v="Recovered"/>
    <x v="0"/>
    <x v="0"/>
    <s v="Cash"/>
    <n v="4"/>
    <x v="2988"/>
    <s v="Yes"/>
    <x v="0"/>
  </r>
  <r>
    <x v="3003"/>
    <x v="11"/>
    <x v="0"/>
    <x v="5"/>
    <x v="800"/>
    <d v="2024-09-07T00:00:00"/>
    <x v="9"/>
    <x v="5"/>
    <x v="4"/>
    <x v="3002"/>
    <n v="7"/>
    <x v="1"/>
    <s v="Recovered"/>
    <x v="1"/>
    <x v="0"/>
    <s v="Insurance"/>
    <n v="15"/>
    <x v="2989"/>
    <s v="Yes"/>
    <x v="1"/>
  </r>
  <r>
    <x v="3004"/>
    <x v="51"/>
    <x v="1"/>
    <x v="7"/>
    <x v="689"/>
    <d v="2025-01-28T00:00:00"/>
    <x v="5"/>
    <x v="4"/>
    <x v="1"/>
    <x v="3003"/>
    <n v="17"/>
    <x v="0"/>
    <s v="Recovered"/>
    <x v="1"/>
    <x v="0"/>
    <s v="Card"/>
    <n v="3"/>
    <x v="2990"/>
    <s v="Yes"/>
    <x v="0"/>
  </r>
  <r>
    <x v="3005"/>
    <x v="39"/>
    <x v="1"/>
    <x v="4"/>
    <x v="167"/>
    <d v="2023-03-28T00:00:00"/>
    <x v="2"/>
    <x v="2"/>
    <x v="6"/>
    <x v="3004"/>
    <n v="8"/>
    <x v="1"/>
    <s v="Under Observation"/>
    <x v="2"/>
    <x v="2"/>
    <s v="Insurance"/>
    <n v="5"/>
    <x v="2991"/>
    <s v="Yes"/>
    <x v="0"/>
  </r>
  <r>
    <x v="3006"/>
    <x v="63"/>
    <x v="0"/>
    <x v="2"/>
    <x v="440"/>
    <d v="2025-07-12T00:00:00"/>
    <x v="6"/>
    <x v="2"/>
    <x v="4"/>
    <x v="3005"/>
    <n v="10"/>
    <x v="0"/>
    <s v="Recovered"/>
    <x v="2"/>
    <x v="1"/>
    <s v="Card"/>
    <n v="11"/>
    <x v="2992"/>
    <s v="Yes"/>
    <x v="0"/>
  </r>
  <r>
    <x v="3007"/>
    <x v="72"/>
    <x v="1"/>
    <x v="0"/>
    <x v="654"/>
    <d v="2025-04-18T00:00:00"/>
    <x v="2"/>
    <x v="2"/>
    <x v="7"/>
    <x v="3006"/>
    <n v="8"/>
    <x v="0"/>
    <s v="Recovered"/>
    <x v="2"/>
    <x v="0"/>
    <s v="Insurance"/>
    <n v="7"/>
    <x v="2993"/>
    <s v="No"/>
    <x v="0"/>
  </r>
  <r>
    <x v="3008"/>
    <x v="4"/>
    <x v="0"/>
    <x v="1"/>
    <x v="12"/>
    <d v="2023-10-15T00:00:00"/>
    <x v="9"/>
    <x v="5"/>
    <x v="0"/>
    <x v="3007"/>
    <n v="17"/>
    <x v="0"/>
    <s v="Recovered"/>
    <x v="2"/>
    <x v="3"/>
    <s v="UPI"/>
    <n v="13"/>
    <x v="2994"/>
    <s v="Yes"/>
    <x v="0"/>
  </r>
  <r>
    <x v="3009"/>
    <x v="34"/>
    <x v="0"/>
    <x v="3"/>
    <x v="77"/>
    <d v="2023-04-13T00:00:00"/>
    <x v="1"/>
    <x v="1"/>
    <x v="6"/>
    <x v="3008"/>
    <n v="4"/>
    <x v="1"/>
    <s v="Under Observation"/>
    <x v="0"/>
    <x v="3"/>
    <s v="Insurance"/>
    <n v="2"/>
    <x v="2995"/>
    <s v="Yes"/>
    <x v="0"/>
  </r>
  <r>
    <x v="3010"/>
    <x v="44"/>
    <x v="1"/>
    <x v="6"/>
    <x v="655"/>
    <d v="2024-08-16T00:00:00"/>
    <x v="3"/>
    <x v="0"/>
    <x v="7"/>
    <x v="3009"/>
    <n v="1"/>
    <x v="0"/>
    <s v="Recovered"/>
    <x v="2"/>
    <x v="1"/>
    <s v="Card"/>
    <n v="15"/>
    <x v="2996"/>
    <s v="No"/>
    <x v="0"/>
  </r>
  <r>
    <x v="3011"/>
    <x v="38"/>
    <x v="0"/>
    <x v="4"/>
    <x v="368"/>
    <d v="2023-06-17T00:00:00"/>
    <x v="0"/>
    <x v="0"/>
    <x v="2"/>
    <x v="3010"/>
    <n v="13"/>
    <x v="1"/>
    <s v="Recovered"/>
    <x v="0"/>
    <x v="2"/>
    <s v="UPI"/>
    <n v="7"/>
    <x v="2997"/>
    <s v="No"/>
    <x v="0"/>
  </r>
  <r>
    <x v="3012"/>
    <x v="67"/>
    <x v="0"/>
    <x v="1"/>
    <x v="947"/>
    <d v="2023-05-07T00:00:00"/>
    <x v="7"/>
    <x v="5"/>
    <x v="2"/>
    <x v="3011"/>
    <n v="14"/>
    <x v="0"/>
    <s v="Deceased"/>
    <x v="1"/>
    <x v="1"/>
    <s v="Cash"/>
    <n v="10"/>
    <x v="2998"/>
    <s v="Yes"/>
    <x v="0"/>
  </r>
  <r>
    <x v="3013"/>
    <x v="25"/>
    <x v="1"/>
    <x v="3"/>
    <x v="726"/>
    <d v="2024-03-28T00:00:00"/>
    <x v="2"/>
    <x v="2"/>
    <x v="6"/>
    <x v="3012"/>
    <n v="15"/>
    <x v="1"/>
    <s v="Recovered"/>
    <x v="1"/>
    <x v="3"/>
    <s v="UPI"/>
    <n v="8"/>
    <x v="2999"/>
    <s v="No"/>
    <x v="1"/>
  </r>
  <r>
    <x v="3014"/>
    <x v="7"/>
    <x v="1"/>
    <x v="2"/>
    <x v="681"/>
    <d v="2025-09-22T00:00:00"/>
    <x v="8"/>
    <x v="6"/>
    <x v="1"/>
    <x v="3013"/>
    <n v="12"/>
    <x v="0"/>
    <s v="Recovered"/>
    <x v="2"/>
    <x v="2"/>
    <s v="Cash"/>
    <n v="9"/>
    <x v="3000"/>
    <s v="Yes"/>
    <x v="0"/>
  </r>
  <r>
    <x v="3015"/>
    <x v="2"/>
    <x v="0"/>
    <x v="6"/>
    <x v="406"/>
    <d v="2023-06-07T00:00:00"/>
    <x v="1"/>
    <x v="1"/>
    <x v="5"/>
    <x v="3014"/>
    <n v="4"/>
    <x v="0"/>
    <s v="Recovered"/>
    <x v="1"/>
    <x v="3"/>
    <s v="Card"/>
    <n v="13"/>
    <x v="3001"/>
    <s v="Yes"/>
    <x v="0"/>
  </r>
  <r>
    <x v="3016"/>
    <x v="7"/>
    <x v="1"/>
    <x v="3"/>
    <x v="875"/>
    <d v="2023-05-26T00:00:00"/>
    <x v="2"/>
    <x v="2"/>
    <x v="4"/>
    <x v="3015"/>
    <n v="6"/>
    <x v="1"/>
    <s v="Recovered"/>
    <x v="0"/>
    <x v="2"/>
    <s v="Cash"/>
    <n v="4"/>
    <x v="3002"/>
    <s v="No"/>
    <x v="0"/>
  </r>
  <r>
    <x v="3017"/>
    <x v="21"/>
    <x v="0"/>
    <x v="3"/>
    <x v="522"/>
    <d v="2024-03-18T00:00:00"/>
    <x v="6"/>
    <x v="2"/>
    <x v="7"/>
    <x v="3016"/>
    <n v="10"/>
    <x v="1"/>
    <s v="Recovered"/>
    <x v="1"/>
    <x v="1"/>
    <s v="UPI"/>
    <n v="8"/>
    <x v="3003"/>
    <s v="No"/>
    <x v="0"/>
  </r>
  <r>
    <x v="3018"/>
    <x v="52"/>
    <x v="1"/>
    <x v="0"/>
    <x v="728"/>
    <d v="2023-06-26T00:00:00"/>
    <x v="9"/>
    <x v="5"/>
    <x v="5"/>
    <x v="3017"/>
    <n v="28"/>
    <x v="1"/>
    <s v="Under Observation"/>
    <x v="2"/>
    <x v="2"/>
    <s v="Insurance"/>
    <n v="3"/>
    <x v="3004"/>
    <s v="Yes"/>
    <x v="0"/>
  </r>
  <r>
    <x v="3019"/>
    <x v="68"/>
    <x v="1"/>
    <x v="5"/>
    <x v="56"/>
    <d v="2025-01-30T00:00:00"/>
    <x v="7"/>
    <x v="5"/>
    <x v="5"/>
    <x v="3018"/>
    <n v="18"/>
    <x v="0"/>
    <s v="Recovered"/>
    <x v="0"/>
    <x v="1"/>
    <s v="UPI"/>
    <n v="7"/>
    <x v="3005"/>
    <s v="Yes"/>
    <x v="0"/>
  </r>
  <r>
    <x v="3020"/>
    <x v="72"/>
    <x v="1"/>
    <x v="6"/>
    <x v="937"/>
    <d v="2025-03-24T00:00:00"/>
    <x v="4"/>
    <x v="3"/>
    <x v="1"/>
    <x v="3019"/>
    <n v="6"/>
    <x v="0"/>
    <s v="Recovered"/>
    <x v="1"/>
    <x v="2"/>
    <s v="UPI"/>
    <n v="12"/>
    <x v="3006"/>
    <s v="Yes"/>
    <x v="0"/>
  </r>
  <r>
    <x v="3021"/>
    <x v="46"/>
    <x v="0"/>
    <x v="7"/>
    <x v="855"/>
    <d v="2024-01-23T00:00:00"/>
    <x v="8"/>
    <x v="6"/>
    <x v="1"/>
    <x v="3020"/>
    <n v="13"/>
    <x v="1"/>
    <s v="Recovered"/>
    <x v="1"/>
    <x v="0"/>
    <s v="Card"/>
    <n v="11"/>
    <x v="3007"/>
    <s v="No"/>
    <x v="0"/>
  </r>
  <r>
    <x v="3022"/>
    <x v="64"/>
    <x v="0"/>
    <x v="7"/>
    <x v="937"/>
    <d v="2025-03-20T00:00:00"/>
    <x v="1"/>
    <x v="1"/>
    <x v="7"/>
    <x v="3021"/>
    <n v="2"/>
    <x v="0"/>
    <s v="Recovered"/>
    <x v="2"/>
    <x v="3"/>
    <s v="Card"/>
    <n v="12"/>
    <x v="3008"/>
    <s v="No"/>
    <x v="0"/>
  </r>
  <r>
    <x v="3023"/>
    <x v="33"/>
    <x v="1"/>
    <x v="7"/>
    <x v="902"/>
    <d v="2023-07-12T00:00:00"/>
    <x v="0"/>
    <x v="0"/>
    <x v="7"/>
    <x v="3022"/>
    <n v="8"/>
    <x v="0"/>
    <s v="Referred"/>
    <x v="0"/>
    <x v="0"/>
    <s v="Insurance"/>
    <n v="8"/>
    <x v="3009"/>
    <s v="Yes"/>
    <x v="1"/>
  </r>
  <r>
    <x v="3024"/>
    <x v="42"/>
    <x v="1"/>
    <x v="2"/>
    <x v="595"/>
    <d v="2025-10-03T00:00:00"/>
    <x v="7"/>
    <x v="5"/>
    <x v="3"/>
    <x v="3023"/>
    <n v="20"/>
    <x v="1"/>
    <s v="Recovered"/>
    <x v="1"/>
    <x v="3"/>
    <s v="UPI"/>
    <n v="1"/>
    <x v="3010"/>
    <s v="No"/>
    <x v="0"/>
  </r>
  <r>
    <x v="3025"/>
    <x v="53"/>
    <x v="1"/>
    <x v="2"/>
    <x v="948"/>
    <d v="2024-03-07T00:00:00"/>
    <x v="3"/>
    <x v="0"/>
    <x v="6"/>
    <x v="3024"/>
    <n v="21"/>
    <x v="0"/>
    <s v="Under Observation"/>
    <x v="2"/>
    <x v="2"/>
    <s v="Cash"/>
    <n v="14"/>
    <x v="3011"/>
    <s v="Yes"/>
    <x v="0"/>
  </r>
  <r>
    <x v="3026"/>
    <x v="65"/>
    <x v="1"/>
    <x v="7"/>
    <x v="887"/>
    <d v="2023-10-22T00:00:00"/>
    <x v="8"/>
    <x v="6"/>
    <x v="0"/>
    <x v="3025"/>
    <n v="16"/>
    <x v="0"/>
    <s v="Recovered"/>
    <x v="1"/>
    <x v="0"/>
    <s v="Card"/>
    <n v="6"/>
    <x v="3012"/>
    <s v="Yes"/>
    <x v="0"/>
  </r>
  <r>
    <x v="3027"/>
    <x v="63"/>
    <x v="0"/>
    <x v="3"/>
    <x v="611"/>
    <d v="2025-04-16T00:00:00"/>
    <x v="8"/>
    <x v="6"/>
    <x v="5"/>
    <x v="3026"/>
    <n v="5"/>
    <x v="0"/>
    <s v="Recovered"/>
    <x v="0"/>
    <x v="1"/>
    <s v="Cash"/>
    <n v="1"/>
    <x v="3013"/>
    <s v="Yes"/>
    <x v="0"/>
  </r>
  <r>
    <x v="3028"/>
    <x v="19"/>
    <x v="1"/>
    <x v="2"/>
    <x v="486"/>
    <d v="2025-02-26T00:00:00"/>
    <x v="5"/>
    <x v="4"/>
    <x v="1"/>
    <x v="3027"/>
    <n v="10"/>
    <x v="0"/>
    <s v="Recovered"/>
    <x v="1"/>
    <x v="1"/>
    <s v="Card"/>
    <n v="9"/>
    <x v="3014"/>
    <s v="No"/>
    <x v="0"/>
  </r>
  <r>
    <x v="3029"/>
    <x v="68"/>
    <x v="1"/>
    <x v="2"/>
    <x v="729"/>
    <d v="2023-04-06T00:00:00"/>
    <x v="5"/>
    <x v="4"/>
    <x v="6"/>
    <x v="3028"/>
    <n v="10"/>
    <x v="0"/>
    <s v="Recovered"/>
    <x v="0"/>
    <x v="2"/>
    <s v="Cash"/>
    <n v="7"/>
    <x v="3015"/>
    <s v="Yes"/>
    <x v="0"/>
  </r>
  <r>
    <x v="3030"/>
    <x v="8"/>
    <x v="1"/>
    <x v="1"/>
    <x v="706"/>
    <d v="2025-02-13T00:00:00"/>
    <x v="5"/>
    <x v="4"/>
    <x v="1"/>
    <x v="3029"/>
    <n v="4"/>
    <x v="1"/>
    <s v="Under Observation"/>
    <x v="0"/>
    <x v="0"/>
    <s v="Cash"/>
    <n v="11"/>
    <x v="3016"/>
    <s v="Yes"/>
    <x v="0"/>
  </r>
  <r>
    <x v="3031"/>
    <x v="28"/>
    <x v="1"/>
    <x v="6"/>
    <x v="791"/>
    <d v="2024-10-31T00:00:00"/>
    <x v="2"/>
    <x v="2"/>
    <x v="2"/>
    <x v="3030"/>
    <n v="11"/>
    <x v="1"/>
    <s v="Recovered"/>
    <x v="0"/>
    <x v="3"/>
    <s v="Card"/>
    <n v="8"/>
    <x v="3017"/>
    <s v="No"/>
    <x v="0"/>
  </r>
  <r>
    <x v="3032"/>
    <x v="58"/>
    <x v="1"/>
    <x v="0"/>
    <x v="436"/>
    <d v="2025-08-07T00:00:00"/>
    <x v="8"/>
    <x v="6"/>
    <x v="4"/>
    <x v="3031"/>
    <n v="11"/>
    <x v="1"/>
    <s v="Recovered"/>
    <x v="2"/>
    <x v="1"/>
    <s v="Card"/>
    <n v="8"/>
    <x v="3018"/>
    <s v="No"/>
    <x v="0"/>
  </r>
  <r>
    <x v="3033"/>
    <x v="72"/>
    <x v="1"/>
    <x v="2"/>
    <x v="949"/>
    <d v="2023-10-29T00:00:00"/>
    <x v="7"/>
    <x v="5"/>
    <x v="6"/>
    <x v="3032"/>
    <n v="10"/>
    <x v="0"/>
    <s v="Recovered"/>
    <x v="1"/>
    <x v="0"/>
    <s v="UPI"/>
    <n v="10"/>
    <x v="3019"/>
    <s v="Yes"/>
    <x v="0"/>
  </r>
  <r>
    <x v="3034"/>
    <x v="62"/>
    <x v="1"/>
    <x v="1"/>
    <x v="512"/>
    <d v="2023-12-20T00:00:00"/>
    <x v="7"/>
    <x v="5"/>
    <x v="6"/>
    <x v="3033"/>
    <n v="14"/>
    <x v="1"/>
    <s v="Under Observation"/>
    <x v="1"/>
    <x v="3"/>
    <s v="Insurance"/>
    <n v="11"/>
    <x v="3020"/>
    <s v="Yes"/>
    <x v="0"/>
  </r>
  <r>
    <x v="3035"/>
    <x v="59"/>
    <x v="1"/>
    <x v="2"/>
    <x v="413"/>
    <d v="2025-03-02T00:00:00"/>
    <x v="0"/>
    <x v="0"/>
    <x v="0"/>
    <x v="3034"/>
    <n v="27"/>
    <x v="0"/>
    <s v="Recovered"/>
    <x v="2"/>
    <x v="2"/>
    <s v="Card"/>
    <n v="13"/>
    <x v="3021"/>
    <s v="Yes"/>
    <x v="0"/>
  </r>
  <r>
    <x v="3036"/>
    <x v="57"/>
    <x v="0"/>
    <x v="6"/>
    <x v="350"/>
    <d v="2023-02-04T00:00:00"/>
    <x v="8"/>
    <x v="6"/>
    <x v="2"/>
    <x v="3035"/>
    <n v="14"/>
    <x v="1"/>
    <s v="Recovered"/>
    <x v="0"/>
    <x v="3"/>
    <s v="Cash"/>
    <n v="8"/>
    <x v="3022"/>
    <s v="No"/>
    <x v="0"/>
  </r>
  <r>
    <x v="3037"/>
    <x v="63"/>
    <x v="0"/>
    <x v="4"/>
    <x v="253"/>
    <d v="2024-02-06T00:00:00"/>
    <x v="0"/>
    <x v="0"/>
    <x v="1"/>
    <x v="3036"/>
    <n v="9"/>
    <x v="0"/>
    <s v="Recovered"/>
    <x v="2"/>
    <x v="2"/>
    <s v="Insurance"/>
    <n v="2"/>
    <x v="3023"/>
    <s v="No"/>
    <x v="0"/>
  </r>
  <r>
    <x v="3038"/>
    <x v="15"/>
    <x v="0"/>
    <x v="3"/>
    <x v="29"/>
    <d v="2023-03-20T00:00:00"/>
    <x v="2"/>
    <x v="2"/>
    <x v="4"/>
    <x v="3037"/>
    <n v="2"/>
    <x v="0"/>
    <s v="Recovered"/>
    <x v="2"/>
    <x v="0"/>
    <s v="Card"/>
    <n v="10"/>
    <x v="3024"/>
    <s v="No"/>
    <x v="0"/>
  </r>
  <r>
    <x v="3039"/>
    <x v="16"/>
    <x v="0"/>
    <x v="3"/>
    <x v="808"/>
    <d v="2025-07-15T00:00:00"/>
    <x v="7"/>
    <x v="5"/>
    <x v="7"/>
    <x v="3038"/>
    <n v="6"/>
    <x v="0"/>
    <s v="Recovered"/>
    <x v="1"/>
    <x v="0"/>
    <s v="Insurance"/>
    <n v="3"/>
    <x v="3025"/>
    <s v="Yes"/>
    <x v="0"/>
  </r>
  <r>
    <x v="3040"/>
    <x v="21"/>
    <x v="0"/>
    <x v="2"/>
    <x v="259"/>
    <d v="2025-03-17T00:00:00"/>
    <x v="3"/>
    <x v="0"/>
    <x v="6"/>
    <x v="3039"/>
    <n v="19"/>
    <x v="1"/>
    <s v="Under Observation"/>
    <x v="0"/>
    <x v="1"/>
    <s v="Cash"/>
    <n v="9"/>
    <x v="3026"/>
    <s v="No"/>
    <x v="0"/>
  </r>
  <r>
    <x v="3041"/>
    <x v="18"/>
    <x v="0"/>
    <x v="7"/>
    <x v="950"/>
    <d v="2025-06-03T00:00:00"/>
    <x v="7"/>
    <x v="5"/>
    <x v="0"/>
    <x v="3040"/>
    <n v="3"/>
    <x v="0"/>
    <s v="Recovered"/>
    <x v="2"/>
    <x v="2"/>
    <s v="Card"/>
    <n v="10"/>
    <x v="3027"/>
    <s v="Yes"/>
    <x v="0"/>
  </r>
  <r>
    <x v="3042"/>
    <x v="26"/>
    <x v="1"/>
    <x v="5"/>
    <x v="196"/>
    <d v="2024-11-01T00:00:00"/>
    <x v="1"/>
    <x v="1"/>
    <x v="5"/>
    <x v="3041"/>
    <n v="5"/>
    <x v="0"/>
    <s v="Recovered"/>
    <x v="2"/>
    <x v="1"/>
    <s v="Insurance"/>
    <n v="9"/>
    <x v="3028"/>
    <s v="Yes"/>
    <x v="0"/>
  </r>
  <r>
    <x v="3043"/>
    <x v="1"/>
    <x v="1"/>
    <x v="3"/>
    <x v="76"/>
    <d v="2023-01-14T00:00:00"/>
    <x v="6"/>
    <x v="2"/>
    <x v="3"/>
    <x v="3042"/>
    <n v="11"/>
    <x v="0"/>
    <s v="Referred"/>
    <x v="2"/>
    <x v="1"/>
    <s v="Insurance"/>
    <n v="14"/>
    <x v="3029"/>
    <s v="Yes"/>
    <x v="0"/>
  </r>
  <r>
    <x v="3044"/>
    <x v="52"/>
    <x v="1"/>
    <x v="6"/>
    <x v="236"/>
    <d v="2025-07-05T00:00:00"/>
    <x v="8"/>
    <x v="6"/>
    <x v="3"/>
    <x v="3043"/>
    <n v="9"/>
    <x v="0"/>
    <s v="Referred"/>
    <x v="2"/>
    <x v="2"/>
    <s v="Cash"/>
    <n v="10"/>
    <x v="3030"/>
    <s v="No"/>
    <x v="0"/>
  </r>
  <r>
    <x v="3045"/>
    <x v="39"/>
    <x v="0"/>
    <x v="3"/>
    <x v="573"/>
    <d v="2024-12-17T00:00:00"/>
    <x v="5"/>
    <x v="4"/>
    <x v="7"/>
    <x v="3044"/>
    <n v="6"/>
    <x v="0"/>
    <s v="Referred"/>
    <x v="2"/>
    <x v="2"/>
    <s v="Card"/>
    <n v="8"/>
    <x v="3031"/>
    <s v="Yes"/>
    <x v="0"/>
  </r>
  <r>
    <x v="3046"/>
    <x v="58"/>
    <x v="0"/>
    <x v="3"/>
    <x v="893"/>
    <d v="2025-03-14T00:00:00"/>
    <x v="6"/>
    <x v="2"/>
    <x v="6"/>
    <x v="3045"/>
    <n v="19"/>
    <x v="1"/>
    <s v="Recovered"/>
    <x v="1"/>
    <x v="0"/>
    <s v="UPI"/>
    <n v="4"/>
    <x v="3032"/>
    <s v="Yes"/>
    <x v="0"/>
  </r>
  <r>
    <x v="3047"/>
    <x v="72"/>
    <x v="0"/>
    <x v="1"/>
    <x v="612"/>
    <d v="2024-01-26T00:00:00"/>
    <x v="4"/>
    <x v="3"/>
    <x v="2"/>
    <x v="3046"/>
    <n v="3"/>
    <x v="0"/>
    <s v="Recovered"/>
    <x v="2"/>
    <x v="3"/>
    <s v="UPI"/>
    <n v="6"/>
    <x v="3033"/>
    <s v="Yes"/>
    <x v="0"/>
  </r>
  <r>
    <x v="3048"/>
    <x v="42"/>
    <x v="1"/>
    <x v="0"/>
    <x v="553"/>
    <d v="2023-01-26T00:00:00"/>
    <x v="3"/>
    <x v="0"/>
    <x v="6"/>
    <x v="3047"/>
    <n v="12"/>
    <x v="0"/>
    <s v="Recovered"/>
    <x v="0"/>
    <x v="2"/>
    <s v="Card"/>
    <n v="12"/>
    <x v="3034"/>
    <s v="Yes"/>
    <x v="0"/>
  </r>
  <r>
    <x v="3049"/>
    <x v="25"/>
    <x v="1"/>
    <x v="2"/>
    <x v="225"/>
    <d v="2025-01-05T00:00:00"/>
    <x v="5"/>
    <x v="4"/>
    <x v="5"/>
    <x v="3048"/>
    <n v="20"/>
    <x v="0"/>
    <s v="Recovered"/>
    <x v="2"/>
    <x v="3"/>
    <s v="UPI"/>
    <n v="11"/>
    <x v="3035"/>
    <s v="Yes"/>
    <x v="0"/>
  </r>
  <r>
    <x v="3050"/>
    <x v="24"/>
    <x v="0"/>
    <x v="0"/>
    <x v="168"/>
    <d v="2023-01-25T00:00:00"/>
    <x v="6"/>
    <x v="2"/>
    <x v="1"/>
    <x v="3049"/>
    <n v="9"/>
    <x v="1"/>
    <s v="Under Observation"/>
    <x v="0"/>
    <x v="0"/>
    <s v="UPI"/>
    <n v="14"/>
    <x v="3036"/>
    <s v="Yes"/>
    <x v="0"/>
  </r>
  <r>
    <x v="3051"/>
    <x v="39"/>
    <x v="0"/>
    <x v="4"/>
    <x v="375"/>
    <d v="2025-05-26T00:00:00"/>
    <x v="9"/>
    <x v="5"/>
    <x v="7"/>
    <x v="3050"/>
    <n v="12"/>
    <x v="1"/>
    <s v="Under Observation"/>
    <x v="0"/>
    <x v="3"/>
    <s v="UPI"/>
    <n v="6"/>
    <x v="3037"/>
    <s v="No"/>
    <x v="0"/>
  </r>
  <r>
    <x v="3052"/>
    <x v="64"/>
    <x v="0"/>
    <x v="6"/>
    <x v="564"/>
    <d v="2024-02-09T00:00:00"/>
    <x v="1"/>
    <x v="1"/>
    <x v="0"/>
    <x v="3051"/>
    <n v="18"/>
    <x v="0"/>
    <s v="Recovered"/>
    <x v="1"/>
    <x v="3"/>
    <s v="Insurance"/>
    <n v="11"/>
    <x v="3038"/>
    <s v="Yes"/>
    <x v="1"/>
  </r>
  <r>
    <x v="3053"/>
    <x v="7"/>
    <x v="0"/>
    <x v="0"/>
    <x v="129"/>
    <d v="2023-06-17T00:00:00"/>
    <x v="4"/>
    <x v="3"/>
    <x v="6"/>
    <x v="3052"/>
    <n v="3"/>
    <x v="0"/>
    <s v="Recovered"/>
    <x v="2"/>
    <x v="2"/>
    <s v="UPI"/>
    <n v="13"/>
    <x v="3039"/>
    <s v="No"/>
    <x v="0"/>
  </r>
  <r>
    <x v="3054"/>
    <x v="55"/>
    <x v="1"/>
    <x v="1"/>
    <x v="866"/>
    <d v="2023-07-13T00:00:00"/>
    <x v="1"/>
    <x v="1"/>
    <x v="1"/>
    <x v="3053"/>
    <n v="6"/>
    <x v="1"/>
    <s v="Recovered"/>
    <x v="1"/>
    <x v="2"/>
    <s v="UPI"/>
    <n v="8"/>
    <x v="3040"/>
    <s v="No"/>
    <x v="0"/>
  </r>
  <r>
    <x v="3055"/>
    <x v="18"/>
    <x v="1"/>
    <x v="6"/>
    <x v="951"/>
    <d v="2023-09-07T00:00:00"/>
    <x v="4"/>
    <x v="3"/>
    <x v="0"/>
    <x v="3054"/>
    <n v="5"/>
    <x v="1"/>
    <s v="Recovered"/>
    <x v="2"/>
    <x v="0"/>
    <s v="Insurance"/>
    <n v="2"/>
    <x v="3041"/>
    <s v="Yes"/>
    <x v="0"/>
  </r>
  <r>
    <x v="3056"/>
    <x v="38"/>
    <x v="1"/>
    <x v="5"/>
    <x v="517"/>
    <d v="2024-11-18T00:00:00"/>
    <x v="9"/>
    <x v="5"/>
    <x v="2"/>
    <x v="3055"/>
    <n v="5"/>
    <x v="1"/>
    <s v="Under Observation"/>
    <x v="0"/>
    <x v="1"/>
    <s v="Cash"/>
    <n v="3"/>
    <x v="3042"/>
    <s v="No"/>
    <x v="0"/>
  </r>
  <r>
    <x v="3057"/>
    <x v="58"/>
    <x v="1"/>
    <x v="3"/>
    <x v="436"/>
    <d v="2025-08-09T00:00:00"/>
    <x v="2"/>
    <x v="2"/>
    <x v="7"/>
    <x v="3056"/>
    <n v="13"/>
    <x v="0"/>
    <s v="Referred"/>
    <x v="0"/>
    <x v="3"/>
    <s v="Card"/>
    <n v="9"/>
    <x v="3043"/>
    <s v="Yes"/>
    <x v="0"/>
  </r>
  <r>
    <x v="3058"/>
    <x v="13"/>
    <x v="0"/>
    <x v="3"/>
    <x v="924"/>
    <d v="2023-09-18T00:00:00"/>
    <x v="2"/>
    <x v="2"/>
    <x v="1"/>
    <x v="3057"/>
    <n v="14"/>
    <x v="0"/>
    <s v="Recovered"/>
    <x v="2"/>
    <x v="1"/>
    <s v="Insurance"/>
    <n v="12"/>
    <x v="3044"/>
    <s v="Yes"/>
    <x v="1"/>
  </r>
  <r>
    <x v="3059"/>
    <x v="72"/>
    <x v="0"/>
    <x v="6"/>
    <x v="645"/>
    <d v="2023-04-02T00:00:00"/>
    <x v="7"/>
    <x v="5"/>
    <x v="2"/>
    <x v="3058"/>
    <n v="26"/>
    <x v="1"/>
    <s v="Under Observation"/>
    <x v="2"/>
    <x v="2"/>
    <s v="Card"/>
    <n v="8"/>
    <x v="3045"/>
    <s v="Yes"/>
    <x v="0"/>
  </r>
  <r>
    <x v="3060"/>
    <x v="37"/>
    <x v="1"/>
    <x v="7"/>
    <x v="24"/>
    <d v="2023-05-23T00:00:00"/>
    <x v="8"/>
    <x v="6"/>
    <x v="4"/>
    <x v="3059"/>
    <n v="1"/>
    <x v="1"/>
    <s v="Recovered"/>
    <x v="2"/>
    <x v="0"/>
    <s v="Card"/>
    <n v="9"/>
    <x v="3046"/>
    <s v="Yes"/>
    <x v="1"/>
  </r>
  <r>
    <x v="3061"/>
    <x v="17"/>
    <x v="0"/>
    <x v="4"/>
    <x v="204"/>
    <d v="2023-08-15T00:00:00"/>
    <x v="1"/>
    <x v="1"/>
    <x v="4"/>
    <x v="3060"/>
    <n v="4"/>
    <x v="0"/>
    <s v="Under Observation"/>
    <x v="1"/>
    <x v="1"/>
    <s v="Cash"/>
    <n v="15"/>
    <x v="3047"/>
    <s v="Yes"/>
    <x v="0"/>
  </r>
  <r>
    <x v="3062"/>
    <x v="21"/>
    <x v="0"/>
    <x v="3"/>
    <x v="165"/>
    <d v="2023-04-11T00:00:00"/>
    <x v="1"/>
    <x v="1"/>
    <x v="6"/>
    <x v="3061"/>
    <n v="17"/>
    <x v="1"/>
    <s v="Recovered"/>
    <x v="2"/>
    <x v="0"/>
    <s v="Cash"/>
    <n v="2"/>
    <x v="3048"/>
    <s v="Yes"/>
    <x v="0"/>
  </r>
  <r>
    <x v="3063"/>
    <x v="25"/>
    <x v="0"/>
    <x v="1"/>
    <x v="690"/>
    <d v="2023-10-19T00:00:00"/>
    <x v="0"/>
    <x v="0"/>
    <x v="7"/>
    <x v="3062"/>
    <n v="18"/>
    <x v="0"/>
    <s v="Deceased"/>
    <x v="0"/>
    <x v="3"/>
    <s v="Cash"/>
    <n v="5"/>
    <x v="3049"/>
    <s v="No"/>
    <x v="0"/>
  </r>
  <r>
    <x v="3064"/>
    <x v="11"/>
    <x v="1"/>
    <x v="6"/>
    <x v="899"/>
    <d v="2025-07-23T00:00:00"/>
    <x v="4"/>
    <x v="3"/>
    <x v="1"/>
    <x v="3063"/>
    <n v="7"/>
    <x v="1"/>
    <s v="Recovered"/>
    <x v="1"/>
    <x v="1"/>
    <s v="UPI"/>
    <n v="15"/>
    <x v="3050"/>
    <s v="Yes"/>
    <x v="0"/>
  </r>
  <r>
    <x v="3065"/>
    <x v="70"/>
    <x v="0"/>
    <x v="7"/>
    <x v="502"/>
    <d v="2024-12-14T00:00:00"/>
    <x v="6"/>
    <x v="2"/>
    <x v="1"/>
    <x v="3064"/>
    <n v="4"/>
    <x v="0"/>
    <s v="Referred"/>
    <x v="1"/>
    <x v="1"/>
    <s v="Card"/>
    <n v="13"/>
    <x v="3051"/>
    <s v="No"/>
    <x v="0"/>
  </r>
  <r>
    <x v="3066"/>
    <x v="46"/>
    <x v="0"/>
    <x v="6"/>
    <x v="530"/>
    <d v="2023-03-28T00:00:00"/>
    <x v="8"/>
    <x v="6"/>
    <x v="4"/>
    <x v="3065"/>
    <n v="16"/>
    <x v="0"/>
    <s v="Recovered"/>
    <x v="1"/>
    <x v="1"/>
    <s v="Insurance"/>
    <n v="11"/>
    <x v="3052"/>
    <s v="No"/>
    <x v="0"/>
  </r>
  <r>
    <x v="3067"/>
    <x v="8"/>
    <x v="0"/>
    <x v="5"/>
    <x v="898"/>
    <d v="2024-09-08T00:00:00"/>
    <x v="9"/>
    <x v="5"/>
    <x v="2"/>
    <x v="3066"/>
    <n v="15"/>
    <x v="1"/>
    <s v="Recovered"/>
    <x v="2"/>
    <x v="0"/>
    <s v="Card"/>
    <n v="7"/>
    <x v="3053"/>
    <s v="No"/>
    <x v="1"/>
  </r>
  <r>
    <x v="3068"/>
    <x v="57"/>
    <x v="0"/>
    <x v="3"/>
    <x v="69"/>
    <d v="2023-05-20T00:00:00"/>
    <x v="8"/>
    <x v="6"/>
    <x v="0"/>
    <x v="3067"/>
    <n v="7"/>
    <x v="0"/>
    <s v="Recovered"/>
    <x v="0"/>
    <x v="1"/>
    <s v="Cash"/>
    <n v="5"/>
    <x v="3054"/>
    <s v="Yes"/>
    <x v="0"/>
  </r>
  <r>
    <x v="3069"/>
    <x v="63"/>
    <x v="0"/>
    <x v="4"/>
    <x v="241"/>
    <d v="2025-03-12T00:00:00"/>
    <x v="9"/>
    <x v="5"/>
    <x v="7"/>
    <x v="3068"/>
    <n v="4"/>
    <x v="0"/>
    <s v="Referred"/>
    <x v="2"/>
    <x v="2"/>
    <s v="Card"/>
    <n v="13"/>
    <x v="3055"/>
    <s v="Yes"/>
    <x v="0"/>
  </r>
  <r>
    <x v="3070"/>
    <x v="5"/>
    <x v="0"/>
    <x v="2"/>
    <x v="22"/>
    <d v="2024-01-22T00:00:00"/>
    <x v="1"/>
    <x v="1"/>
    <x v="7"/>
    <x v="3069"/>
    <n v="4"/>
    <x v="0"/>
    <s v="Recovered"/>
    <x v="0"/>
    <x v="3"/>
    <s v="Insurance"/>
    <n v="14"/>
    <x v="3056"/>
    <s v="Yes"/>
    <x v="0"/>
  </r>
  <r>
    <x v="3071"/>
    <x v="68"/>
    <x v="1"/>
    <x v="2"/>
    <x v="801"/>
    <d v="2025-05-18T00:00:00"/>
    <x v="9"/>
    <x v="5"/>
    <x v="5"/>
    <x v="3070"/>
    <n v="13"/>
    <x v="1"/>
    <s v="Deceased"/>
    <x v="1"/>
    <x v="3"/>
    <s v="UPI"/>
    <n v="15"/>
    <x v="3057"/>
    <s v="Yes"/>
    <x v="0"/>
  </r>
  <r>
    <x v="3072"/>
    <x v="51"/>
    <x v="0"/>
    <x v="1"/>
    <x v="763"/>
    <d v="2024-05-27T00:00:00"/>
    <x v="2"/>
    <x v="2"/>
    <x v="1"/>
    <x v="3071"/>
    <n v="11"/>
    <x v="1"/>
    <s v="Recovered"/>
    <x v="2"/>
    <x v="3"/>
    <s v="UPI"/>
    <n v="1"/>
    <x v="3058"/>
    <s v="No"/>
    <x v="0"/>
  </r>
  <r>
    <x v="3073"/>
    <x v="68"/>
    <x v="1"/>
    <x v="7"/>
    <x v="213"/>
    <d v="2023-08-31T00:00:00"/>
    <x v="6"/>
    <x v="2"/>
    <x v="0"/>
    <x v="3072"/>
    <n v="3"/>
    <x v="0"/>
    <s v="Recovered"/>
    <x v="2"/>
    <x v="1"/>
    <s v="UPI"/>
    <n v="1"/>
    <x v="3059"/>
    <s v="No"/>
    <x v="0"/>
  </r>
  <r>
    <x v="3074"/>
    <x v="21"/>
    <x v="0"/>
    <x v="0"/>
    <x v="952"/>
    <d v="2023-12-11T00:00:00"/>
    <x v="5"/>
    <x v="4"/>
    <x v="5"/>
    <x v="3073"/>
    <n v="4"/>
    <x v="0"/>
    <s v="Recovered"/>
    <x v="2"/>
    <x v="1"/>
    <s v="Insurance"/>
    <n v="6"/>
    <x v="3060"/>
    <s v="Yes"/>
    <x v="0"/>
  </r>
  <r>
    <x v="3075"/>
    <x v="10"/>
    <x v="1"/>
    <x v="7"/>
    <x v="776"/>
    <d v="2024-08-16T00:00:00"/>
    <x v="9"/>
    <x v="5"/>
    <x v="4"/>
    <x v="3074"/>
    <n v="13"/>
    <x v="0"/>
    <s v="Recovered"/>
    <x v="0"/>
    <x v="2"/>
    <s v="Cash"/>
    <n v="9"/>
    <x v="3061"/>
    <s v="Yes"/>
    <x v="0"/>
  </r>
  <r>
    <x v="3076"/>
    <x v="36"/>
    <x v="0"/>
    <x v="3"/>
    <x v="141"/>
    <d v="2023-08-18T00:00:00"/>
    <x v="4"/>
    <x v="3"/>
    <x v="4"/>
    <x v="3075"/>
    <n v="10"/>
    <x v="0"/>
    <s v="Recovered"/>
    <x v="2"/>
    <x v="3"/>
    <s v="UPI"/>
    <n v="12"/>
    <x v="3062"/>
    <s v="No"/>
    <x v="0"/>
  </r>
  <r>
    <x v="3077"/>
    <x v="36"/>
    <x v="1"/>
    <x v="4"/>
    <x v="608"/>
    <d v="2025-07-29T00:00:00"/>
    <x v="3"/>
    <x v="0"/>
    <x v="6"/>
    <x v="3076"/>
    <n v="16"/>
    <x v="1"/>
    <s v="Recovered"/>
    <x v="2"/>
    <x v="1"/>
    <s v="Card"/>
    <n v="14"/>
    <x v="3063"/>
    <s v="Yes"/>
    <x v="0"/>
  </r>
  <r>
    <x v="3078"/>
    <x v="12"/>
    <x v="1"/>
    <x v="1"/>
    <x v="116"/>
    <d v="2023-03-29T00:00:00"/>
    <x v="8"/>
    <x v="6"/>
    <x v="7"/>
    <x v="3077"/>
    <n v="16"/>
    <x v="0"/>
    <s v="Recovered"/>
    <x v="1"/>
    <x v="1"/>
    <s v="Cash"/>
    <n v="5"/>
    <x v="3064"/>
    <s v="No"/>
    <x v="1"/>
  </r>
  <r>
    <x v="3079"/>
    <x v="28"/>
    <x v="1"/>
    <x v="7"/>
    <x v="294"/>
    <d v="2024-08-27T00:00:00"/>
    <x v="7"/>
    <x v="5"/>
    <x v="1"/>
    <x v="3078"/>
    <n v="8"/>
    <x v="0"/>
    <s v="Recovered"/>
    <x v="1"/>
    <x v="2"/>
    <s v="Cash"/>
    <n v="9"/>
    <x v="3065"/>
    <s v="Yes"/>
    <x v="0"/>
  </r>
  <r>
    <x v="3080"/>
    <x v="25"/>
    <x v="0"/>
    <x v="3"/>
    <x v="201"/>
    <d v="2024-09-02T00:00:00"/>
    <x v="0"/>
    <x v="0"/>
    <x v="1"/>
    <x v="3079"/>
    <n v="12"/>
    <x v="1"/>
    <s v="Under Observation"/>
    <x v="2"/>
    <x v="2"/>
    <s v="UPI"/>
    <n v="13"/>
    <x v="3066"/>
    <s v="Yes"/>
    <x v="0"/>
  </r>
  <r>
    <x v="3081"/>
    <x v="60"/>
    <x v="1"/>
    <x v="6"/>
    <x v="173"/>
    <d v="2025-08-20T00:00:00"/>
    <x v="2"/>
    <x v="2"/>
    <x v="0"/>
    <x v="3080"/>
    <n v="2"/>
    <x v="0"/>
    <s v="Recovered"/>
    <x v="0"/>
    <x v="3"/>
    <s v="Cash"/>
    <n v="3"/>
    <x v="3067"/>
    <s v="Yes"/>
    <x v="0"/>
  </r>
  <r>
    <x v="3082"/>
    <x v="5"/>
    <x v="0"/>
    <x v="2"/>
    <x v="853"/>
    <d v="2023-08-21T00:00:00"/>
    <x v="1"/>
    <x v="1"/>
    <x v="4"/>
    <x v="3081"/>
    <n v="12"/>
    <x v="0"/>
    <s v="Under Observation"/>
    <x v="0"/>
    <x v="1"/>
    <s v="Card"/>
    <n v="3"/>
    <x v="3068"/>
    <s v="No"/>
    <x v="0"/>
  </r>
  <r>
    <x v="3083"/>
    <x v="69"/>
    <x v="1"/>
    <x v="2"/>
    <x v="120"/>
    <d v="2025-08-29T00:00:00"/>
    <x v="8"/>
    <x v="6"/>
    <x v="1"/>
    <x v="3082"/>
    <n v="7"/>
    <x v="0"/>
    <s v="Recovered"/>
    <x v="0"/>
    <x v="0"/>
    <s v="UPI"/>
    <n v="2"/>
    <x v="3069"/>
    <s v="No"/>
    <x v="0"/>
  </r>
  <r>
    <x v="3084"/>
    <x v="62"/>
    <x v="1"/>
    <x v="3"/>
    <x v="627"/>
    <d v="2025-02-14T00:00:00"/>
    <x v="1"/>
    <x v="1"/>
    <x v="2"/>
    <x v="3083"/>
    <n v="22"/>
    <x v="0"/>
    <s v="Recovered"/>
    <x v="0"/>
    <x v="2"/>
    <s v="Card"/>
    <n v="10"/>
    <x v="3070"/>
    <s v="No"/>
    <x v="0"/>
  </r>
  <r>
    <x v="3085"/>
    <x v="57"/>
    <x v="0"/>
    <x v="1"/>
    <x v="915"/>
    <d v="2024-04-07T00:00:00"/>
    <x v="6"/>
    <x v="2"/>
    <x v="5"/>
    <x v="3084"/>
    <n v="2"/>
    <x v="1"/>
    <s v="Recovered"/>
    <x v="2"/>
    <x v="0"/>
    <s v="UPI"/>
    <n v="14"/>
    <x v="3071"/>
    <s v="Yes"/>
    <x v="0"/>
  </r>
  <r>
    <x v="3086"/>
    <x v="58"/>
    <x v="0"/>
    <x v="1"/>
    <x v="29"/>
    <d v="2023-04-06T00:00:00"/>
    <x v="4"/>
    <x v="3"/>
    <x v="7"/>
    <x v="3085"/>
    <n v="19"/>
    <x v="1"/>
    <s v="Recovered"/>
    <x v="1"/>
    <x v="2"/>
    <s v="UPI"/>
    <n v="10"/>
    <x v="3072"/>
    <s v="No"/>
    <x v="0"/>
  </r>
  <r>
    <x v="3087"/>
    <x v="36"/>
    <x v="0"/>
    <x v="3"/>
    <x v="122"/>
    <d v="2025-09-15T00:00:00"/>
    <x v="6"/>
    <x v="2"/>
    <x v="4"/>
    <x v="3086"/>
    <n v="7"/>
    <x v="0"/>
    <s v="Deceased"/>
    <x v="2"/>
    <x v="1"/>
    <s v="UPI"/>
    <n v="13"/>
    <x v="3073"/>
    <s v="Yes"/>
    <x v="0"/>
  </r>
  <r>
    <x v="3088"/>
    <x v="65"/>
    <x v="0"/>
    <x v="7"/>
    <x v="44"/>
    <d v="2023-05-29T00:00:00"/>
    <x v="4"/>
    <x v="3"/>
    <x v="3"/>
    <x v="3087"/>
    <n v="4"/>
    <x v="0"/>
    <s v="Recovered"/>
    <x v="0"/>
    <x v="3"/>
    <s v="Card"/>
    <n v="12"/>
    <x v="3074"/>
    <s v="No"/>
    <x v="0"/>
  </r>
  <r>
    <x v="3089"/>
    <x v="33"/>
    <x v="0"/>
    <x v="0"/>
    <x v="286"/>
    <d v="2023-09-28T00:00:00"/>
    <x v="4"/>
    <x v="3"/>
    <x v="3"/>
    <x v="3088"/>
    <n v="17"/>
    <x v="0"/>
    <s v="Recovered"/>
    <x v="0"/>
    <x v="0"/>
    <s v="Card"/>
    <n v="8"/>
    <x v="3075"/>
    <s v="No"/>
    <x v="0"/>
  </r>
  <r>
    <x v="3090"/>
    <x v="55"/>
    <x v="0"/>
    <x v="5"/>
    <x v="296"/>
    <d v="2024-07-06T00:00:00"/>
    <x v="3"/>
    <x v="0"/>
    <x v="7"/>
    <x v="3089"/>
    <n v="15"/>
    <x v="1"/>
    <s v="Recovered"/>
    <x v="0"/>
    <x v="3"/>
    <s v="Insurance"/>
    <n v="14"/>
    <x v="3076"/>
    <s v="Yes"/>
    <x v="0"/>
  </r>
  <r>
    <x v="3091"/>
    <x v="62"/>
    <x v="1"/>
    <x v="1"/>
    <x v="471"/>
    <d v="2025-08-07T00:00:00"/>
    <x v="8"/>
    <x v="6"/>
    <x v="7"/>
    <x v="3090"/>
    <n v="13"/>
    <x v="1"/>
    <s v="Under Observation"/>
    <x v="2"/>
    <x v="3"/>
    <s v="Cash"/>
    <n v="13"/>
    <x v="3077"/>
    <s v="Yes"/>
    <x v="0"/>
  </r>
  <r>
    <x v="3092"/>
    <x v="50"/>
    <x v="0"/>
    <x v="7"/>
    <x v="632"/>
    <d v="2025-09-26T00:00:00"/>
    <x v="2"/>
    <x v="2"/>
    <x v="1"/>
    <x v="3091"/>
    <n v="9"/>
    <x v="0"/>
    <s v="Recovered"/>
    <x v="1"/>
    <x v="0"/>
    <s v="Insurance"/>
    <n v="12"/>
    <x v="3078"/>
    <s v="No"/>
    <x v="0"/>
  </r>
  <r>
    <x v="3093"/>
    <x v="8"/>
    <x v="1"/>
    <x v="7"/>
    <x v="542"/>
    <d v="2024-01-10T00:00:00"/>
    <x v="9"/>
    <x v="5"/>
    <x v="4"/>
    <x v="3092"/>
    <n v="5"/>
    <x v="1"/>
    <s v="Recovered"/>
    <x v="0"/>
    <x v="0"/>
    <s v="Insurance"/>
    <n v="3"/>
    <x v="3079"/>
    <s v="Yes"/>
    <x v="0"/>
  </r>
  <r>
    <x v="3094"/>
    <x v="29"/>
    <x v="1"/>
    <x v="7"/>
    <x v="952"/>
    <d v="2023-12-24T00:00:00"/>
    <x v="9"/>
    <x v="5"/>
    <x v="2"/>
    <x v="3093"/>
    <n v="17"/>
    <x v="1"/>
    <s v="Recovered"/>
    <x v="1"/>
    <x v="1"/>
    <s v="UPI"/>
    <n v="8"/>
    <x v="3080"/>
    <s v="Yes"/>
    <x v="0"/>
  </r>
  <r>
    <x v="3095"/>
    <x v="36"/>
    <x v="0"/>
    <x v="4"/>
    <x v="911"/>
    <d v="2025-10-08T00:00:00"/>
    <x v="6"/>
    <x v="2"/>
    <x v="1"/>
    <x v="3094"/>
    <n v="14"/>
    <x v="0"/>
    <s v="Recovered"/>
    <x v="0"/>
    <x v="0"/>
    <s v="Insurance"/>
    <n v="3"/>
    <x v="3081"/>
    <s v="Yes"/>
    <x v="0"/>
  </r>
  <r>
    <x v="3096"/>
    <x v="45"/>
    <x v="1"/>
    <x v="4"/>
    <x v="594"/>
    <d v="2025-06-19T00:00:00"/>
    <x v="0"/>
    <x v="0"/>
    <x v="2"/>
    <x v="3095"/>
    <n v="1"/>
    <x v="1"/>
    <s v="Recovered"/>
    <x v="1"/>
    <x v="1"/>
    <s v="Card"/>
    <n v="3"/>
    <x v="3082"/>
    <s v="No"/>
    <x v="0"/>
  </r>
  <r>
    <x v="3097"/>
    <x v="13"/>
    <x v="1"/>
    <x v="2"/>
    <x v="833"/>
    <d v="2023-01-30T00:00:00"/>
    <x v="7"/>
    <x v="5"/>
    <x v="0"/>
    <x v="3096"/>
    <n v="8"/>
    <x v="0"/>
    <s v="Recovered"/>
    <x v="1"/>
    <x v="3"/>
    <s v="UPI"/>
    <n v="8"/>
    <x v="3083"/>
    <s v="No"/>
    <x v="0"/>
  </r>
  <r>
    <x v="3098"/>
    <x v="67"/>
    <x v="1"/>
    <x v="3"/>
    <x v="515"/>
    <d v="2024-05-27T00:00:00"/>
    <x v="6"/>
    <x v="2"/>
    <x v="3"/>
    <x v="3097"/>
    <n v="13"/>
    <x v="1"/>
    <s v="Recovered"/>
    <x v="2"/>
    <x v="3"/>
    <s v="UPI"/>
    <n v="14"/>
    <x v="3084"/>
    <s v="No"/>
    <x v="0"/>
  </r>
  <r>
    <x v="3099"/>
    <x v="43"/>
    <x v="1"/>
    <x v="5"/>
    <x v="10"/>
    <d v="2023-10-01T00:00:00"/>
    <x v="2"/>
    <x v="2"/>
    <x v="6"/>
    <x v="3098"/>
    <n v="5"/>
    <x v="1"/>
    <s v="Recovered"/>
    <x v="2"/>
    <x v="2"/>
    <s v="UPI"/>
    <n v="2"/>
    <x v="3085"/>
    <s v="No"/>
    <x v="0"/>
  </r>
  <r>
    <x v="3100"/>
    <x v="42"/>
    <x v="0"/>
    <x v="2"/>
    <x v="654"/>
    <d v="2025-04-27T00:00:00"/>
    <x v="1"/>
    <x v="1"/>
    <x v="3"/>
    <x v="3099"/>
    <n v="17"/>
    <x v="0"/>
    <s v="Under Observation"/>
    <x v="2"/>
    <x v="1"/>
    <s v="UPI"/>
    <n v="9"/>
    <x v="3086"/>
    <s v="Yes"/>
    <x v="0"/>
  </r>
  <r>
    <x v="3101"/>
    <x v="56"/>
    <x v="1"/>
    <x v="7"/>
    <x v="495"/>
    <d v="2024-04-22T00:00:00"/>
    <x v="6"/>
    <x v="2"/>
    <x v="1"/>
    <x v="3100"/>
    <n v="5"/>
    <x v="0"/>
    <s v="Recovered"/>
    <x v="0"/>
    <x v="0"/>
    <s v="Card"/>
    <n v="1"/>
    <x v="3087"/>
    <s v="No"/>
    <x v="0"/>
  </r>
  <r>
    <x v="3102"/>
    <x v="64"/>
    <x v="0"/>
    <x v="3"/>
    <x v="202"/>
    <d v="2025-01-30T00:00:00"/>
    <x v="8"/>
    <x v="6"/>
    <x v="1"/>
    <x v="3101"/>
    <n v="25"/>
    <x v="1"/>
    <s v="Recovered"/>
    <x v="2"/>
    <x v="2"/>
    <s v="Card"/>
    <n v="8"/>
    <x v="3088"/>
    <s v="No"/>
    <x v="1"/>
  </r>
  <r>
    <x v="3103"/>
    <x v="57"/>
    <x v="0"/>
    <x v="5"/>
    <x v="408"/>
    <d v="2024-04-05T00:00:00"/>
    <x v="4"/>
    <x v="3"/>
    <x v="7"/>
    <x v="3102"/>
    <n v="20"/>
    <x v="0"/>
    <s v="Referred"/>
    <x v="0"/>
    <x v="0"/>
    <s v="Insurance"/>
    <n v="9"/>
    <x v="3089"/>
    <s v="Yes"/>
    <x v="0"/>
  </r>
  <r>
    <x v="3104"/>
    <x v="5"/>
    <x v="0"/>
    <x v="4"/>
    <x v="336"/>
    <d v="2023-06-16T00:00:00"/>
    <x v="3"/>
    <x v="0"/>
    <x v="1"/>
    <x v="3103"/>
    <n v="20"/>
    <x v="1"/>
    <s v="Under Observation"/>
    <x v="1"/>
    <x v="3"/>
    <s v="Insurance"/>
    <n v="15"/>
    <x v="3090"/>
    <s v="Yes"/>
    <x v="0"/>
  </r>
  <r>
    <x v="3105"/>
    <x v="45"/>
    <x v="0"/>
    <x v="7"/>
    <x v="139"/>
    <d v="2023-09-26T00:00:00"/>
    <x v="5"/>
    <x v="4"/>
    <x v="1"/>
    <x v="3104"/>
    <n v="1"/>
    <x v="0"/>
    <s v="Recovered"/>
    <x v="0"/>
    <x v="3"/>
    <s v="Insurance"/>
    <n v="6"/>
    <x v="3091"/>
    <s v="No"/>
    <x v="1"/>
  </r>
  <r>
    <x v="3106"/>
    <x v="21"/>
    <x v="0"/>
    <x v="0"/>
    <x v="218"/>
    <d v="2023-09-12T00:00:00"/>
    <x v="2"/>
    <x v="2"/>
    <x v="3"/>
    <x v="3105"/>
    <n v="13"/>
    <x v="1"/>
    <s v="Recovered"/>
    <x v="1"/>
    <x v="3"/>
    <s v="Cash"/>
    <n v="4"/>
    <x v="3092"/>
    <s v="No"/>
    <x v="0"/>
  </r>
  <r>
    <x v="3107"/>
    <x v="45"/>
    <x v="1"/>
    <x v="3"/>
    <x v="580"/>
    <d v="2023-03-11T00:00:00"/>
    <x v="9"/>
    <x v="5"/>
    <x v="0"/>
    <x v="3106"/>
    <n v="12"/>
    <x v="1"/>
    <s v="Referred"/>
    <x v="1"/>
    <x v="2"/>
    <s v="UPI"/>
    <n v="5"/>
    <x v="3093"/>
    <s v="Yes"/>
    <x v="0"/>
  </r>
  <r>
    <x v="3108"/>
    <x v="23"/>
    <x v="1"/>
    <x v="3"/>
    <x v="779"/>
    <d v="2024-08-04T00:00:00"/>
    <x v="6"/>
    <x v="2"/>
    <x v="2"/>
    <x v="3107"/>
    <n v="12"/>
    <x v="0"/>
    <s v="Recovered"/>
    <x v="2"/>
    <x v="3"/>
    <s v="Cash"/>
    <n v="5"/>
    <x v="3094"/>
    <s v="Yes"/>
    <x v="0"/>
  </r>
  <r>
    <x v="3109"/>
    <x v="1"/>
    <x v="0"/>
    <x v="4"/>
    <x v="342"/>
    <d v="2024-12-27T00:00:00"/>
    <x v="5"/>
    <x v="4"/>
    <x v="1"/>
    <x v="3108"/>
    <n v="8"/>
    <x v="0"/>
    <s v="Recovered"/>
    <x v="0"/>
    <x v="1"/>
    <s v="Cash"/>
    <n v="1"/>
    <x v="3095"/>
    <s v="No"/>
    <x v="0"/>
  </r>
  <r>
    <x v="3110"/>
    <x v="48"/>
    <x v="0"/>
    <x v="0"/>
    <x v="546"/>
    <d v="2025-01-23T00:00:00"/>
    <x v="1"/>
    <x v="1"/>
    <x v="0"/>
    <x v="3109"/>
    <n v="6"/>
    <x v="1"/>
    <s v="Recovered"/>
    <x v="2"/>
    <x v="2"/>
    <s v="UPI"/>
    <n v="10"/>
    <x v="3096"/>
    <s v="Yes"/>
    <x v="0"/>
  </r>
  <r>
    <x v="3111"/>
    <x v="32"/>
    <x v="1"/>
    <x v="2"/>
    <x v="765"/>
    <d v="2025-03-19T00:00:00"/>
    <x v="7"/>
    <x v="5"/>
    <x v="5"/>
    <x v="3110"/>
    <n v="19"/>
    <x v="1"/>
    <s v="Under Observation"/>
    <x v="2"/>
    <x v="2"/>
    <s v="UPI"/>
    <n v="8"/>
    <x v="3097"/>
    <s v="Yes"/>
    <x v="0"/>
  </r>
  <r>
    <x v="3112"/>
    <x v="23"/>
    <x v="1"/>
    <x v="5"/>
    <x v="310"/>
    <d v="2025-09-28T00:00:00"/>
    <x v="9"/>
    <x v="5"/>
    <x v="6"/>
    <x v="3111"/>
    <n v="9"/>
    <x v="0"/>
    <s v="Recovered"/>
    <x v="0"/>
    <x v="2"/>
    <s v="Card"/>
    <n v="14"/>
    <x v="3098"/>
    <s v="Yes"/>
    <x v="0"/>
  </r>
  <r>
    <x v="3113"/>
    <x v="18"/>
    <x v="0"/>
    <x v="6"/>
    <x v="720"/>
    <d v="2023-08-23T00:00:00"/>
    <x v="0"/>
    <x v="0"/>
    <x v="5"/>
    <x v="3112"/>
    <n v="20"/>
    <x v="0"/>
    <s v="Recovered"/>
    <x v="1"/>
    <x v="3"/>
    <s v="Cash"/>
    <n v="1"/>
    <x v="3099"/>
    <s v="Yes"/>
    <x v="1"/>
  </r>
  <r>
    <x v="3114"/>
    <x v="67"/>
    <x v="0"/>
    <x v="1"/>
    <x v="822"/>
    <d v="2024-03-25T00:00:00"/>
    <x v="4"/>
    <x v="3"/>
    <x v="3"/>
    <x v="3113"/>
    <n v="11"/>
    <x v="1"/>
    <s v="Under Observation"/>
    <x v="1"/>
    <x v="0"/>
    <s v="Card"/>
    <n v="15"/>
    <x v="3100"/>
    <s v="No"/>
    <x v="0"/>
  </r>
  <r>
    <x v="3115"/>
    <x v="35"/>
    <x v="1"/>
    <x v="0"/>
    <x v="130"/>
    <d v="2023-11-07T00:00:00"/>
    <x v="9"/>
    <x v="5"/>
    <x v="6"/>
    <x v="3114"/>
    <n v="18"/>
    <x v="0"/>
    <s v="Recovered"/>
    <x v="0"/>
    <x v="1"/>
    <s v="Card"/>
    <n v="11"/>
    <x v="3101"/>
    <s v="Yes"/>
    <x v="0"/>
  </r>
  <r>
    <x v="3116"/>
    <x v="51"/>
    <x v="1"/>
    <x v="3"/>
    <x v="251"/>
    <d v="2023-01-22T00:00:00"/>
    <x v="4"/>
    <x v="3"/>
    <x v="3"/>
    <x v="3115"/>
    <n v="14"/>
    <x v="0"/>
    <s v="Recovered"/>
    <x v="1"/>
    <x v="2"/>
    <s v="UPI"/>
    <n v="13"/>
    <x v="3102"/>
    <s v="No"/>
    <x v="0"/>
  </r>
  <r>
    <x v="3117"/>
    <x v="33"/>
    <x v="1"/>
    <x v="5"/>
    <x v="600"/>
    <d v="2025-07-15T00:00:00"/>
    <x v="6"/>
    <x v="2"/>
    <x v="2"/>
    <x v="3116"/>
    <n v="10"/>
    <x v="0"/>
    <s v="Recovered"/>
    <x v="1"/>
    <x v="1"/>
    <s v="Cash"/>
    <n v="3"/>
    <x v="3103"/>
    <s v="No"/>
    <x v="1"/>
  </r>
  <r>
    <x v="3118"/>
    <x v="41"/>
    <x v="1"/>
    <x v="4"/>
    <x v="827"/>
    <d v="2023-06-20T00:00:00"/>
    <x v="6"/>
    <x v="2"/>
    <x v="6"/>
    <x v="3117"/>
    <n v="18"/>
    <x v="0"/>
    <s v="Recovered"/>
    <x v="2"/>
    <x v="0"/>
    <s v="Insurance"/>
    <n v="3"/>
    <x v="3104"/>
    <s v="Yes"/>
    <x v="0"/>
  </r>
  <r>
    <x v="3119"/>
    <x v="52"/>
    <x v="1"/>
    <x v="0"/>
    <x v="215"/>
    <d v="2023-09-04T00:00:00"/>
    <x v="2"/>
    <x v="2"/>
    <x v="6"/>
    <x v="3118"/>
    <n v="6"/>
    <x v="0"/>
    <s v="Under Observation"/>
    <x v="2"/>
    <x v="0"/>
    <s v="UPI"/>
    <n v="1"/>
    <x v="3105"/>
    <s v="Yes"/>
    <x v="0"/>
  </r>
  <r>
    <x v="3120"/>
    <x v="21"/>
    <x v="0"/>
    <x v="0"/>
    <x v="271"/>
    <d v="2023-05-30T00:00:00"/>
    <x v="2"/>
    <x v="2"/>
    <x v="2"/>
    <x v="3119"/>
    <n v="7"/>
    <x v="1"/>
    <s v="Recovered"/>
    <x v="0"/>
    <x v="2"/>
    <s v="Card"/>
    <n v="3"/>
    <x v="3106"/>
    <s v="No"/>
    <x v="1"/>
  </r>
  <r>
    <x v="3121"/>
    <x v="17"/>
    <x v="0"/>
    <x v="0"/>
    <x v="459"/>
    <d v="2023-06-02T00:00:00"/>
    <x v="2"/>
    <x v="2"/>
    <x v="7"/>
    <x v="3120"/>
    <n v="14"/>
    <x v="1"/>
    <s v="Recovered"/>
    <x v="2"/>
    <x v="0"/>
    <s v="Insurance"/>
    <n v="13"/>
    <x v="3107"/>
    <s v="No"/>
    <x v="0"/>
  </r>
  <r>
    <x v="3122"/>
    <x v="71"/>
    <x v="0"/>
    <x v="2"/>
    <x v="475"/>
    <d v="2024-04-06T00:00:00"/>
    <x v="6"/>
    <x v="2"/>
    <x v="2"/>
    <x v="3121"/>
    <n v="18"/>
    <x v="0"/>
    <s v="Recovered"/>
    <x v="1"/>
    <x v="2"/>
    <s v="Card"/>
    <n v="3"/>
    <x v="3108"/>
    <s v="No"/>
    <x v="0"/>
  </r>
  <r>
    <x v="3123"/>
    <x v="40"/>
    <x v="1"/>
    <x v="2"/>
    <x v="574"/>
    <d v="2024-11-27T00:00:00"/>
    <x v="1"/>
    <x v="1"/>
    <x v="3"/>
    <x v="3122"/>
    <n v="20"/>
    <x v="0"/>
    <s v="Recovered"/>
    <x v="2"/>
    <x v="0"/>
    <s v="Cash"/>
    <n v="5"/>
    <x v="3109"/>
    <s v="No"/>
    <x v="0"/>
  </r>
  <r>
    <x v="3124"/>
    <x v="8"/>
    <x v="1"/>
    <x v="6"/>
    <x v="367"/>
    <d v="2023-11-19T00:00:00"/>
    <x v="9"/>
    <x v="5"/>
    <x v="4"/>
    <x v="3123"/>
    <n v="27"/>
    <x v="0"/>
    <s v="Recovered"/>
    <x v="1"/>
    <x v="2"/>
    <s v="Card"/>
    <n v="9"/>
    <x v="3110"/>
    <s v="Yes"/>
    <x v="0"/>
  </r>
  <r>
    <x v="3125"/>
    <x v="41"/>
    <x v="1"/>
    <x v="1"/>
    <x v="576"/>
    <d v="2025-06-11T00:00:00"/>
    <x v="3"/>
    <x v="0"/>
    <x v="1"/>
    <x v="3124"/>
    <n v="23"/>
    <x v="0"/>
    <s v="Recovered"/>
    <x v="0"/>
    <x v="2"/>
    <s v="Card"/>
    <n v="9"/>
    <x v="3111"/>
    <s v="No"/>
    <x v="1"/>
  </r>
  <r>
    <x v="3126"/>
    <x v="50"/>
    <x v="0"/>
    <x v="4"/>
    <x v="653"/>
    <d v="2023-10-13T00:00:00"/>
    <x v="2"/>
    <x v="2"/>
    <x v="3"/>
    <x v="3125"/>
    <n v="16"/>
    <x v="1"/>
    <s v="Recovered"/>
    <x v="0"/>
    <x v="1"/>
    <s v="UPI"/>
    <n v="15"/>
    <x v="3112"/>
    <s v="No"/>
    <x v="0"/>
  </r>
  <r>
    <x v="3127"/>
    <x v="13"/>
    <x v="1"/>
    <x v="1"/>
    <x v="68"/>
    <d v="2024-08-04T00:00:00"/>
    <x v="4"/>
    <x v="3"/>
    <x v="5"/>
    <x v="3126"/>
    <n v="22"/>
    <x v="0"/>
    <s v="Deceased"/>
    <x v="0"/>
    <x v="2"/>
    <s v="Card"/>
    <n v="3"/>
    <x v="3113"/>
    <s v="Yes"/>
    <x v="0"/>
  </r>
  <r>
    <x v="3128"/>
    <x v="51"/>
    <x v="0"/>
    <x v="0"/>
    <x v="390"/>
    <d v="2023-11-17T00:00:00"/>
    <x v="1"/>
    <x v="1"/>
    <x v="2"/>
    <x v="3127"/>
    <n v="18"/>
    <x v="1"/>
    <s v="Recovered"/>
    <x v="0"/>
    <x v="2"/>
    <s v="UPI"/>
    <n v="6"/>
    <x v="3114"/>
    <s v="No"/>
    <x v="0"/>
  </r>
  <r>
    <x v="3129"/>
    <x v="50"/>
    <x v="1"/>
    <x v="2"/>
    <x v="265"/>
    <d v="2023-11-14T00:00:00"/>
    <x v="6"/>
    <x v="2"/>
    <x v="2"/>
    <x v="3128"/>
    <n v="24"/>
    <x v="1"/>
    <s v="Recovered"/>
    <x v="0"/>
    <x v="2"/>
    <s v="Card"/>
    <n v="11"/>
    <x v="3115"/>
    <s v="Yes"/>
    <x v="0"/>
  </r>
  <r>
    <x v="3130"/>
    <x v="33"/>
    <x v="1"/>
    <x v="0"/>
    <x v="313"/>
    <d v="2025-02-23T00:00:00"/>
    <x v="5"/>
    <x v="4"/>
    <x v="3"/>
    <x v="3129"/>
    <n v="15"/>
    <x v="1"/>
    <s v="Recovered"/>
    <x v="0"/>
    <x v="1"/>
    <s v="UPI"/>
    <n v="1"/>
    <x v="3116"/>
    <s v="No"/>
    <x v="0"/>
  </r>
  <r>
    <x v="3131"/>
    <x v="6"/>
    <x v="1"/>
    <x v="6"/>
    <x v="116"/>
    <d v="2023-03-25T00:00:00"/>
    <x v="4"/>
    <x v="3"/>
    <x v="3"/>
    <x v="3130"/>
    <n v="12"/>
    <x v="1"/>
    <s v="Under Observation"/>
    <x v="2"/>
    <x v="3"/>
    <s v="Card"/>
    <n v="6"/>
    <x v="3117"/>
    <s v="No"/>
    <x v="0"/>
  </r>
  <r>
    <x v="3132"/>
    <x v="45"/>
    <x v="0"/>
    <x v="3"/>
    <x v="873"/>
    <d v="2025-02-24T00:00:00"/>
    <x v="2"/>
    <x v="2"/>
    <x v="1"/>
    <x v="3131"/>
    <n v="2"/>
    <x v="0"/>
    <s v="Referred"/>
    <x v="1"/>
    <x v="3"/>
    <s v="Cash"/>
    <n v="12"/>
    <x v="3118"/>
    <s v="No"/>
    <x v="0"/>
  </r>
  <r>
    <x v="3133"/>
    <x v="4"/>
    <x v="1"/>
    <x v="6"/>
    <x v="610"/>
    <d v="2023-03-27T00:00:00"/>
    <x v="2"/>
    <x v="2"/>
    <x v="6"/>
    <x v="3132"/>
    <n v="4"/>
    <x v="0"/>
    <s v="Recovered"/>
    <x v="1"/>
    <x v="2"/>
    <s v="UPI"/>
    <n v="5"/>
    <x v="3119"/>
    <s v="Yes"/>
    <x v="0"/>
  </r>
  <r>
    <x v="3134"/>
    <x v="26"/>
    <x v="0"/>
    <x v="5"/>
    <x v="810"/>
    <d v="2024-11-03T00:00:00"/>
    <x v="8"/>
    <x v="6"/>
    <x v="7"/>
    <x v="3133"/>
    <n v="13"/>
    <x v="0"/>
    <s v="Recovered"/>
    <x v="2"/>
    <x v="3"/>
    <s v="UPI"/>
    <n v="12"/>
    <x v="3120"/>
    <s v="No"/>
    <x v="0"/>
  </r>
  <r>
    <x v="3135"/>
    <x v="21"/>
    <x v="0"/>
    <x v="1"/>
    <x v="453"/>
    <d v="2023-03-13T00:00:00"/>
    <x v="6"/>
    <x v="2"/>
    <x v="4"/>
    <x v="3134"/>
    <n v="4"/>
    <x v="1"/>
    <s v="Under Observation"/>
    <x v="2"/>
    <x v="3"/>
    <s v="Cash"/>
    <n v="15"/>
    <x v="3121"/>
    <s v="Yes"/>
    <x v="0"/>
  </r>
  <r>
    <x v="3136"/>
    <x v="54"/>
    <x v="1"/>
    <x v="0"/>
    <x v="229"/>
    <d v="2024-08-01T00:00:00"/>
    <x v="0"/>
    <x v="0"/>
    <x v="4"/>
    <x v="3135"/>
    <n v="17"/>
    <x v="1"/>
    <s v="Recovered"/>
    <x v="2"/>
    <x v="3"/>
    <s v="Cash"/>
    <n v="8"/>
    <x v="3122"/>
    <s v="Yes"/>
    <x v="0"/>
  </r>
  <r>
    <x v="3137"/>
    <x v="14"/>
    <x v="1"/>
    <x v="4"/>
    <x v="301"/>
    <d v="2024-02-05T00:00:00"/>
    <x v="0"/>
    <x v="0"/>
    <x v="3"/>
    <x v="3136"/>
    <n v="5"/>
    <x v="0"/>
    <s v="Recovered"/>
    <x v="0"/>
    <x v="2"/>
    <s v="Cash"/>
    <n v="4"/>
    <x v="3123"/>
    <s v="No"/>
    <x v="0"/>
  </r>
  <r>
    <x v="3138"/>
    <x v="33"/>
    <x v="0"/>
    <x v="1"/>
    <x v="348"/>
    <d v="2024-02-12T00:00:00"/>
    <x v="6"/>
    <x v="2"/>
    <x v="0"/>
    <x v="3137"/>
    <n v="1"/>
    <x v="0"/>
    <s v="Recovered"/>
    <x v="0"/>
    <x v="1"/>
    <s v="Cash"/>
    <n v="11"/>
    <x v="3124"/>
    <s v="No"/>
    <x v="0"/>
  </r>
  <r>
    <x v="3139"/>
    <x v="30"/>
    <x v="1"/>
    <x v="2"/>
    <x v="828"/>
    <d v="2025-05-16T00:00:00"/>
    <x v="7"/>
    <x v="5"/>
    <x v="0"/>
    <x v="3138"/>
    <n v="6"/>
    <x v="0"/>
    <s v="Under Observation"/>
    <x v="2"/>
    <x v="2"/>
    <s v="Cash"/>
    <n v="7"/>
    <x v="3125"/>
    <s v="Yes"/>
    <x v="0"/>
  </r>
  <r>
    <x v="3140"/>
    <x v="70"/>
    <x v="0"/>
    <x v="4"/>
    <x v="244"/>
    <d v="2023-09-29T00:00:00"/>
    <x v="5"/>
    <x v="4"/>
    <x v="3"/>
    <x v="3139"/>
    <n v="15"/>
    <x v="0"/>
    <s v="Recovered"/>
    <x v="2"/>
    <x v="3"/>
    <s v="Card"/>
    <n v="3"/>
    <x v="3126"/>
    <s v="No"/>
    <x v="0"/>
  </r>
  <r>
    <x v="3141"/>
    <x v="41"/>
    <x v="1"/>
    <x v="3"/>
    <x v="488"/>
    <d v="2023-02-13T00:00:00"/>
    <x v="3"/>
    <x v="0"/>
    <x v="0"/>
    <x v="3140"/>
    <n v="27"/>
    <x v="1"/>
    <s v="Recovered"/>
    <x v="0"/>
    <x v="2"/>
    <s v="UPI"/>
    <n v="13"/>
    <x v="3127"/>
    <s v="Yes"/>
    <x v="0"/>
  </r>
  <r>
    <x v="3142"/>
    <x v="0"/>
    <x v="0"/>
    <x v="0"/>
    <x v="169"/>
    <d v="2025-06-16T00:00:00"/>
    <x v="2"/>
    <x v="2"/>
    <x v="5"/>
    <x v="3141"/>
    <n v="10"/>
    <x v="1"/>
    <s v="Recovered"/>
    <x v="1"/>
    <x v="3"/>
    <s v="Cash"/>
    <n v="9"/>
    <x v="3128"/>
    <s v="Yes"/>
    <x v="0"/>
  </r>
  <r>
    <x v="3143"/>
    <x v="32"/>
    <x v="1"/>
    <x v="1"/>
    <x v="694"/>
    <d v="2024-03-24T00:00:00"/>
    <x v="3"/>
    <x v="0"/>
    <x v="7"/>
    <x v="3142"/>
    <n v="7"/>
    <x v="0"/>
    <s v="Recovered"/>
    <x v="1"/>
    <x v="3"/>
    <s v="Cash"/>
    <n v="6"/>
    <x v="856"/>
    <s v="No"/>
    <x v="0"/>
  </r>
  <r>
    <x v="3144"/>
    <x v="28"/>
    <x v="0"/>
    <x v="1"/>
    <x v="927"/>
    <d v="2023-12-29T00:00:00"/>
    <x v="1"/>
    <x v="1"/>
    <x v="4"/>
    <x v="3143"/>
    <n v="4"/>
    <x v="0"/>
    <s v="Recovered"/>
    <x v="2"/>
    <x v="1"/>
    <s v="UPI"/>
    <n v="11"/>
    <x v="3129"/>
    <s v="Yes"/>
    <x v="0"/>
  </r>
  <r>
    <x v="3145"/>
    <x v="70"/>
    <x v="1"/>
    <x v="3"/>
    <x v="107"/>
    <d v="2024-11-15T00:00:00"/>
    <x v="3"/>
    <x v="0"/>
    <x v="7"/>
    <x v="3144"/>
    <n v="3"/>
    <x v="0"/>
    <s v="Recovered"/>
    <x v="0"/>
    <x v="3"/>
    <s v="Cash"/>
    <n v="8"/>
    <x v="3130"/>
    <s v="Yes"/>
    <x v="0"/>
  </r>
  <r>
    <x v="3146"/>
    <x v="64"/>
    <x v="0"/>
    <x v="0"/>
    <x v="571"/>
    <d v="2025-04-09T00:00:00"/>
    <x v="5"/>
    <x v="4"/>
    <x v="1"/>
    <x v="3145"/>
    <n v="8"/>
    <x v="0"/>
    <s v="Recovered"/>
    <x v="0"/>
    <x v="0"/>
    <s v="Insurance"/>
    <n v="8"/>
    <x v="3131"/>
    <s v="Yes"/>
    <x v="0"/>
  </r>
  <r>
    <x v="3147"/>
    <x v="16"/>
    <x v="0"/>
    <x v="4"/>
    <x v="241"/>
    <d v="2025-03-14T00:00:00"/>
    <x v="1"/>
    <x v="1"/>
    <x v="5"/>
    <x v="3146"/>
    <n v="6"/>
    <x v="1"/>
    <s v="Recovered"/>
    <x v="0"/>
    <x v="2"/>
    <s v="Cash"/>
    <n v="3"/>
    <x v="3132"/>
    <s v="No"/>
    <x v="0"/>
  </r>
  <r>
    <x v="3148"/>
    <x v="10"/>
    <x v="1"/>
    <x v="3"/>
    <x v="379"/>
    <d v="2023-12-09T00:00:00"/>
    <x v="4"/>
    <x v="3"/>
    <x v="4"/>
    <x v="3147"/>
    <n v="8"/>
    <x v="1"/>
    <s v="Recovered"/>
    <x v="0"/>
    <x v="0"/>
    <s v="Card"/>
    <n v="6"/>
    <x v="3133"/>
    <s v="No"/>
    <x v="0"/>
  </r>
  <r>
    <x v="3149"/>
    <x v="8"/>
    <x v="0"/>
    <x v="3"/>
    <x v="394"/>
    <d v="2023-11-13T00:00:00"/>
    <x v="3"/>
    <x v="0"/>
    <x v="5"/>
    <x v="3148"/>
    <n v="2"/>
    <x v="0"/>
    <s v="Recovered"/>
    <x v="2"/>
    <x v="3"/>
    <s v="Card"/>
    <n v="12"/>
    <x v="3134"/>
    <s v="Yes"/>
    <x v="0"/>
  </r>
  <r>
    <x v="3150"/>
    <x v="46"/>
    <x v="1"/>
    <x v="1"/>
    <x v="74"/>
    <d v="2023-08-07T00:00:00"/>
    <x v="5"/>
    <x v="4"/>
    <x v="7"/>
    <x v="3149"/>
    <n v="3"/>
    <x v="0"/>
    <s v="Recovered"/>
    <x v="0"/>
    <x v="3"/>
    <s v="Insurance"/>
    <n v="4"/>
    <x v="3135"/>
    <s v="No"/>
    <x v="0"/>
  </r>
  <r>
    <x v="3151"/>
    <x v="55"/>
    <x v="1"/>
    <x v="4"/>
    <x v="630"/>
    <d v="2024-12-20T00:00:00"/>
    <x v="0"/>
    <x v="0"/>
    <x v="7"/>
    <x v="3150"/>
    <n v="18"/>
    <x v="0"/>
    <s v="Recovered"/>
    <x v="2"/>
    <x v="2"/>
    <s v="Cash"/>
    <n v="12"/>
    <x v="3136"/>
    <s v="Yes"/>
    <x v="0"/>
  </r>
  <r>
    <x v="3152"/>
    <x v="45"/>
    <x v="0"/>
    <x v="5"/>
    <x v="610"/>
    <d v="2023-04-05T00:00:00"/>
    <x v="7"/>
    <x v="5"/>
    <x v="3"/>
    <x v="3151"/>
    <n v="13"/>
    <x v="0"/>
    <s v="Referred"/>
    <x v="2"/>
    <x v="0"/>
    <s v="Card"/>
    <n v="13"/>
    <x v="3137"/>
    <s v="No"/>
    <x v="0"/>
  </r>
  <r>
    <x v="3153"/>
    <x v="32"/>
    <x v="0"/>
    <x v="3"/>
    <x v="233"/>
    <d v="2025-01-19T00:00:00"/>
    <x v="4"/>
    <x v="3"/>
    <x v="2"/>
    <x v="3152"/>
    <n v="17"/>
    <x v="0"/>
    <s v="Under Observation"/>
    <x v="2"/>
    <x v="1"/>
    <s v="Card"/>
    <n v="6"/>
    <x v="3138"/>
    <s v="Yes"/>
    <x v="1"/>
  </r>
  <r>
    <x v="3154"/>
    <x v="35"/>
    <x v="0"/>
    <x v="3"/>
    <x v="702"/>
    <d v="2023-06-19T00:00:00"/>
    <x v="4"/>
    <x v="3"/>
    <x v="0"/>
    <x v="3153"/>
    <n v="20"/>
    <x v="0"/>
    <s v="Recovered"/>
    <x v="2"/>
    <x v="1"/>
    <s v="Cash"/>
    <n v="8"/>
    <x v="3139"/>
    <s v="No"/>
    <x v="0"/>
  </r>
  <r>
    <x v="3155"/>
    <x v="4"/>
    <x v="0"/>
    <x v="7"/>
    <x v="108"/>
    <d v="2023-04-30T00:00:00"/>
    <x v="3"/>
    <x v="0"/>
    <x v="4"/>
    <x v="3154"/>
    <n v="19"/>
    <x v="1"/>
    <s v="Recovered"/>
    <x v="2"/>
    <x v="0"/>
    <s v="Insurance"/>
    <n v="5"/>
    <x v="3140"/>
    <s v="Yes"/>
    <x v="1"/>
  </r>
  <r>
    <x v="3156"/>
    <x v="43"/>
    <x v="0"/>
    <x v="1"/>
    <x v="469"/>
    <d v="2023-11-22T00:00:00"/>
    <x v="0"/>
    <x v="0"/>
    <x v="4"/>
    <x v="3155"/>
    <n v="28"/>
    <x v="1"/>
    <s v="Recovered"/>
    <x v="2"/>
    <x v="2"/>
    <s v="Card"/>
    <n v="15"/>
    <x v="3141"/>
    <s v="No"/>
    <x v="0"/>
  </r>
  <r>
    <x v="3157"/>
    <x v="70"/>
    <x v="1"/>
    <x v="0"/>
    <x v="348"/>
    <d v="2024-02-29T00:00:00"/>
    <x v="5"/>
    <x v="4"/>
    <x v="3"/>
    <x v="3156"/>
    <n v="18"/>
    <x v="0"/>
    <s v="Recovered"/>
    <x v="1"/>
    <x v="0"/>
    <s v="UPI"/>
    <n v="10"/>
    <x v="3142"/>
    <s v="No"/>
    <x v="0"/>
  </r>
  <r>
    <x v="3158"/>
    <x v="14"/>
    <x v="1"/>
    <x v="6"/>
    <x v="333"/>
    <d v="2024-02-25T00:00:00"/>
    <x v="7"/>
    <x v="5"/>
    <x v="2"/>
    <x v="3157"/>
    <n v="20"/>
    <x v="1"/>
    <s v="Recovered"/>
    <x v="0"/>
    <x v="1"/>
    <s v="UPI"/>
    <n v="15"/>
    <x v="3143"/>
    <s v="Yes"/>
    <x v="0"/>
  </r>
  <r>
    <x v="3159"/>
    <x v="4"/>
    <x v="1"/>
    <x v="5"/>
    <x v="47"/>
    <d v="2023-07-05T00:00:00"/>
    <x v="6"/>
    <x v="2"/>
    <x v="5"/>
    <x v="3158"/>
    <n v="17"/>
    <x v="0"/>
    <s v="Recovered"/>
    <x v="1"/>
    <x v="1"/>
    <s v="UPI"/>
    <n v="4"/>
    <x v="3144"/>
    <s v="Yes"/>
    <x v="0"/>
  </r>
  <r>
    <x v="3160"/>
    <x v="49"/>
    <x v="0"/>
    <x v="1"/>
    <x v="44"/>
    <d v="2023-05-26T00:00:00"/>
    <x v="8"/>
    <x v="6"/>
    <x v="0"/>
    <x v="3159"/>
    <n v="1"/>
    <x v="1"/>
    <s v="Recovered"/>
    <x v="2"/>
    <x v="0"/>
    <s v="Insurance"/>
    <n v="5"/>
    <x v="3145"/>
    <s v="No"/>
    <x v="0"/>
  </r>
  <r>
    <x v="3161"/>
    <x v="1"/>
    <x v="1"/>
    <x v="2"/>
    <x v="538"/>
    <d v="2023-10-09T00:00:00"/>
    <x v="7"/>
    <x v="5"/>
    <x v="2"/>
    <x v="3160"/>
    <n v="15"/>
    <x v="0"/>
    <s v="Under Observation"/>
    <x v="0"/>
    <x v="3"/>
    <s v="Cash"/>
    <n v="3"/>
    <x v="3146"/>
    <s v="Yes"/>
    <x v="0"/>
  </r>
  <r>
    <x v="3162"/>
    <x v="65"/>
    <x v="0"/>
    <x v="6"/>
    <x v="424"/>
    <d v="2024-07-24T00:00:00"/>
    <x v="1"/>
    <x v="1"/>
    <x v="6"/>
    <x v="3161"/>
    <n v="18"/>
    <x v="0"/>
    <s v="Referred"/>
    <x v="2"/>
    <x v="2"/>
    <s v="UPI"/>
    <n v="1"/>
    <x v="3147"/>
    <s v="Yes"/>
    <x v="0"/>
  </r>
  <r>
    <x v="3163"/>
    <x v="5"/>
    <x v="1"/>
    <x v="3"/>
    <x v="953"/>
    <d v="2025-08-31T00:00:00"/>
    <x v="6"/>
    <x v="2"/>
    <x v="1"/>
    <x v="3162"/>
    <n v="1"/>
    <x v="0"/>
    <s v="Recovered"/>
    <x v="2"/>
    <x v="0"/>
    <s v="Card"/>
    <n v="14"/>
    <x v="3148"/>
    <s v="Yes"/>
    <x v="0"/>
  </r>
  <r>
    <x v="3164"/>
    <x v="16"/>
    <x v="0"/>
    <x v="5"/>
    <x v="830"/>
    <d v="2024-01-30T00:00:00"/>
    <x v="9"/>
    <x v="5"/>
    <x v="3"/>
    <x v="3163"/>
    <n v="15"/>
    <x v="0"/>
    <s v="Under Observation"/>
    <x v="0"/>
    <x v="1"/>
    <s v="UPI"/>
    <n v="5"/>
    <x v="3149"/>
    <s v="Yes"/>
    <x v="0"/>
  </r>
  <r>
    <x v="3165"/>
    <x v="31"/>
    <x v="1"/>
    <x v="0"/>
    <x v="868"/>
    <d v="2025-05-17T00:00:00"/>
    <x v="6"/>
    <x v="2"/>
    <x v="6"/>
    <x v="3164"/>
    <n v="1"/>
    <x v="1"/>
    <s v="Recovered"/>
    <x v="1"/>
    <x v="0"/>
    <s v="UPI"/>
    <n v="4"/>
    <x v="3150"/>
    <s v="No"/>
    <x v="0"/>
  </r>
  <r>
    <x v="3166"/>
    <x v="22"/>
    <x v="0"/>
    <x v="3"/>
    <x v="902"/>
    <d v="2023-07-21T00:00:00"/>
    <x v="1"/>
    <x v="1"/>
    <x v="4"/>
    <x v="3165"/>
    <n v="17"/>
    <x v="1"/>
    <s v="Recovered"/>
    <x v="2"/>
    <x v="0"/>
    <s v="Insurance"/>
    <n v="13"/>
    <x v="3151"/>
    <s v="No"/>
    <x v="0"/>
  </r>
  <r>
    <x v="3167"/>
    <x v="13"/>
    <x v="0"/>
    <x v="4"/>
    <x v="269"/>
    <d v="2024-08-01T00:00:00"/>
    <x v="0"/>
    <x v="0"/>
    <x v="1"/>
    <x v="3166"/>
    <n v="1"/>
    <x v="1"/>
    <s v="Referred"/>
    <x v="1"/>
    <x v="3"/>
    <s v="Insurance"/>
    <n v="15"/>
    <x v="3152"/>
    <s v="No"/>
    <x v="0"/>
  </r>
  <r>
    <x v="3168"/>
    <x v="50"/>
    <x v="1"/>
    <x v="0"/>
    <x v="862"/>
    <d v="2023-02-13T00:00:00"/>
    <x v="1"/>
    <x v="1"/>
    <x v="1"/>
    <x v="3167"/>
    <n v="7"/>
    <x v="1"/>
    <s v="Referred"/>
    <x v="0"/>
    <x v="3"/>
    <s v="UPI"/>
    <n v="1"/>
    <x v="3153"/>
    <s v="No"/>
    <x v="0"/>
  </r>
  <r>
    <x v="3169"/>
    <x v="5"/>
    <x v="1"/>
    <x v="0"/>
    <x v="954"/>
    <d v="2024-06-17T00:00:00"/>
    <x v="7"/>
    <x v="5"/>
    <x v="3"/>
    <x v="3168"/>
    <n v="10"/>
    <x v="1"/>
    <s v="Referred"/>
    <x v="2"/>
    <x v="2"/>
    <s v="UPI"/>
    <n v="8"/>
    <x v="3154"/>
    <s v="No"/>
    <x v="1"/>
  </r>
  <r>
    <x v="3170"/>
    <x v="27"/>
    <x v="1"/>
    <x v="0"/>
    <x v="277"/>
    <d v="2025-02-25T00:00:00"/>
    <x v="7"/>
    <x v="5"/>
    <x v="0"/>
    <x v="3169"/>
    <n v="12"/>
    <x v="0"/>
    <s v="Recovered"/>
    <x v="2"/>
    <x v="3"/>
    <s v="Card"/>
    <n v="2"/>
    <x v="3155"/>
    <s v="No"/>
    <x v="0"/>
  </r>
  <r>
    <x v="3171"/>
    <x v="61"/>
    <x v="0"/>
    <x v="5"/>
    <x v="399"/>
    <d v="2025-06-09T00:00:00"/>
    <x v="9"/>
    <x v="5"/>
    <x v="0"/>
    <x v="3170"/>
    <n v="4"/>
    <x v="0"/>
    <s v="Recovered"/>
    <x v="1"/>
    <x v="0"/>
    <s v="Cash"/>
    <n v="9"/>
    <x v="3156"/>
    <s v="Yes"/>
    <x v="0"/>
  </r>
  <r>
    <x v="3172"/>
    <x v="67"/>
    <x v="0"/>
    <x v="6"/>
    <x v="419"/>
    <d v="2023-04-18T00:00:00"/>
    <x v="9"/>
    <x v="5"/>
    <x v="6"/>
    <x v="3171"/>
    <n v="20"/>
    <x v="1"/>
    <s v="Recovered"/>
    <x v="0"/>
    <x v="1"/>
    <s v="UPI"/>
    <n v="8"/>
    <x v="3157"/>
    <s v="Yes"/>
    <x v="0"/>
  </r>
  <r>
    <x v="3173"/>
    <x v="58"/>
    <x v="1"/>
    <x v="3"/>
    <x v="578"/>
    <d v="2025-08-01T00:00:00"/>
    <x v="6"/>
    <x v="2"/>
    <x v="2"/>
    <x v="3172"/>
    <n v="4"/>
    <x v="1"/>
    <s v="Recovered"/>
    <x v="1"/>
    <x v="2"/>
    <s v="UPI"/>
    <n v="15"/>
    <x v="3158"/>
    <s v="Yes"/>
    <x v="0"/>
  </r>
  <r>
    <x v="3174"/>
    <x v="12"/>
    <x v="0"/>
    <x v="6"/>
    <x v="45"/>
    <d v="2023-01-28T00:00:00"/>
    <x v="1"/>
    <x v="1"/>
    <x v="0"/>
    <x v="3173"/>
    <n v="16"/>
    <x v="1"/>
    <s v="Recovered"/>
    <x v="2"/>
    <x v="3"/>
    <s v="Cash"/>
    <n v="9"/>
    <x v="3159"/>
    <s v="No"/>
    <x v="0"/>
  </r>
  <r>
    <x v="3175"/>
    <x v="2"/>
    <x v="0"/>
    <x v="6"/>
    <x v="564"/>
    <d v="2024-02-19T00:00:00"/>
    <x v="6"/>
    <x v="2"/>
    <x v="4"/>
    <x v="3174"/>
    <n v="28"/>
    <x v="0"/>
    <s v="Deceased"/>
    <x v="1"/>
    <x v="2"/>
    <s v="Card"/>
    <n v="5"/>
    <x v="3160"/>
    <s v="Yes"/>
    <x v="1"/>
  </r>
  <r>
    <x v="3176"/>
    <x v="12"/>
    <x v="1"/>
    <x v="4"/>
    <x v="331"/>
    <d v="2024-04-01T00:00:00"/>
    <x v="5"/>
    <x v="4"/>
    <x v="1"/>
    <x v="3175"/>
    <n v="6"/>
    <x v="0"/>
    <s v="Recovered"/>
    <x v="1"/>
    <x v="3"/>
    <s v="Cash"/>
    <n v="1"/>
    <x v="3161"/>
    <s v="Yes"/>
    <x v="0"/>
  </r>
  <r>
    <x v="3177"/>
    <x v="65"/>
    <x v="0"/>
    <x v="4"/>
    <x v="925"/>
    <d v="2024-05-16T00:00:00"/>
    <x v="2"/>
    <x v="2"/>
    <x v="0"/>
    <x v="3176"/>
    <n v="18"/>
    <x v="1"/>
    <s v="Recovered"/>
    <x v="1"/>
    <x v="1"/>
    <s v="Cash"/>
    <n v="13"/>
    <x v="3162"/>
    <s v="No"/>
    <x v="0"/>
  </r>
  <r>
    <x v="3178"/>
    <x v="23"/>
    <x v="0"/>
    <x v="1"/>
    <x v="419"/>
    <d v="2023-04-05T00:00:00"/>
    <x v="3"/>
    <x v="0"/>
    <x v="4"/>
    <x v="3177"/>
    <n v="7"/>
    <x v="0"/>
    <s v="Under Observation"/>
    <x v="0"/>
    <x v="0"/>
    <s v="Card"/>
    <n v="11"/>
    <x v="3163"/>
    <s v="Yes"/>
    <x v="0"/>
  </r>
  <r>
    <x v="3179"/>
    <x v="59"/>
    <x v="1"/>
    <x v="0"/>
    <x v="523"/>
    <d v="2023-11-17T00:00:00"/>
    <x v="2"/>
    <x v="2"/>
    <x v="7"/>
    <x v="3178"/>
    <n v="24"/>
    <x v="1"/>
    <s v="Recovered"/>
    <x v="2"/>
    <x v="2"/>
    <s v="Cash"/>
    <n v="2"/>
    <x v="3164"/>
    <s v="Yes"/>
    <x v="1"/>
  </r>
  <r>
    <x v="3180"/>
    <x v="7"/>
    <x v="0"/>
    <x v="0"/>
    <x v="733"/>
    <d v="2024-02-02T00:00:00"/>
    <x v="2"/>
    <x v="2"/>
    <x v="4"/>
    <x v="3179"/>
    <n v="6"/>
    <x v="0"/>
    <s v="Recovered"/>
    <x v="2"/>
    <x v="2"/>
    <s v="UPI"/>
    <n v="5"/>
    <x v="3165"/>
    <s v="No"/>
    <x v="0"/>
  </r>
  <r>
    <x v="3181"/>
    <x v="60"/>
    <x v="1"/>
    <x v="7"/>
    <x v="763"/>
    <d v="2024-05-27T00:00:00"/>
    <x v="3"/>
    <x v="0"/>
    <x v="4"/>
    <x v="3180"/>
    <n v="11"/>
    <x v="0"/>
    <s v="Recovered"/>
    <x v="1"/>
    <x v="1"/>
    <s v="Insurance"/>
    <n v="6"/>
    <x v="3166"/>
    <s v="No"/>
    <x v="0"/>
  </r>
  <r>
    <x v="3182"/>
    <x v="21"/>
    <x v="0"/>
    <x v="7"/>
    <x v="850"/>
    <d v="2025-08-15T00:00:00"/>
    <x v="8"/>
    <x v="6"/>
    <x v="1"/>
    <x v="3181"/>
    <n v="16"/>
    <x v="0"/>
    <s v="Recovered"/>
    <x v="0"/>
    <x v="0"/>
    <s v="UPI"/>
    <n v="2"/>
    <x v="3167"/>
    <s v="Yes"/>
    <x v="0"/>
  </r>
  <r>
    <x v="3183"/>
    <x v="6"/>
    <x v="0"/>
    <x v="6"/>
    <x v="69"/>
    <d v="2023-06-02T00:00:00"/>
    <x v="3"/>
    <x v="0"/>
    <x v="1"/>
    <x v="3182"/>
    <n v="20"/>
    <x v="1"/>
    <s v="Recovered"/>
    <x v="1"/>
    <x v="0"/>
    <s v="UPI"/>
    <n v="14"/>
    <x v="3168"/>
    <s v="No"/>
    <x v="0"/>
  </r>
  <r>
    <x v="3184"/>
    <x v="35"/>
    <x v="1"/>
    <x v="5"/>
    <x v="130"/>
    <d v="2023-11-01T00:00:00"/>
    <x v="9"/>
    <x v="5"/>
    <x v="0"/>
    <x v="3183"/>
    <n v="12"/>
    <x v="1"/>
    <s v="Recovered"/>
    <x v="0"/>
    <x v="1"/>
    <s v="Cash"/>
    <n v="12"/>
    <x v="3169"/>
    <s v="No"/>
    <x v="0"/>
  </r>
  <r>
    <x v="3185"/>
    <x v="59"/>
    <x v="1"/>
    <x v="2"/>
    <x v="709"/>
    <d v="2023-10-01T00:00:00"/>
    <x v="9"/>
    <x v="5"/>
    <x v="7"/>
    <x v="3184"/>
    <n v="28"/>
    <x v="1"/>
    <s v="Recovered"/>
    <x v="1"/>
    <x v="2"/>
    <s v="Cash"/>
    <n v="7"/>
    <x v="3170"/>
    <s v="Yes"/>
    <x v="0"/>
  </r>
  <r>
    <x v="3186"/>
    <x v="51"/>
    <x v="0"/>
    <x v="0"/>
    <x v="551"/>
    <d v="2023-05-27T00:00:00"/>
    <x v="6"/>
    <x v="2"/>
    <x v="4"/>
    <x v="3185"/>
    <n v="3"/>
    <x v="1"/>
    <s v="Recovered"/>
    <x v="2"/>
    <x v="1"/>
    <s v="Card"/>
    <n v="6"/>
    <x v="3171"/>
    <s v="Yes"/>
    <x v="0"/>
  </r>
  <r>
    <x v="3187"/>
    <x v="61"/>
    <x v="0"/>
    <x v="4"/>
    <x v="177"/>
    <d v="2025-03-30T00:00:00"/>
    <x v="7"/>
    <x v="5"/>
    <x v="7"/>
    <x v="3186"/>
    <n v="17"/>
    <x v="1"/>
    <s v="Under Observation"/>
    <x v="1"/>
    <x v="3"/>
    <s v="UPI"/>
    <n v="9"/>
    <x v="3172"/>
    <s v="No"/>
    <x v="0"/>
  </r>
  <r>
    <x v="3188"/>
    <x v="21"/>
    <x v="1"/>
    <x v="6"/>
    <x v="197"/>
    <d v="2024-07-19T00:00:00"/>
    <x v="0"/>
    <x v="0"/>
    <x v="6"/>
    <x v="3187"/>
    <n v="16"/>
    <x v="0"/>
    <s v="Recovered"/>
    <x v="0"/>
    <x v="1"/>
    <s v="UPI"/>
    <n v="10"/>
    <x v="3173"/>
    <s v="No"/>
    <x v="0"/>
  </r>
  <r>
    <x v="3189"/>
    <x v="28"/>
    <x v="1"/>
    <x v="3"/>
    <x v="770"/>
    <d v="2024-01-14T00:00:00"/>
    <x v="3"/>
    <x v="0"/>
    <x v="5"/>
    <x v="3188"/>
    <n v="16"/>
    <x v="0"/>
    <s v="Recovered"/>
    <x v="2"/>
    <x v="0"/>
    <s v="Card"/>
    <n v="14"/>
    <x v="3174"/>
    <s v="No"/>
    <x v="1"/>
  </r>
  <r>
    <x v="3190"/>
    <x v="14"/>
    <x v="0"/>
    <x v="0"/>
    <x v="235"/>
    <d v="2023-07-12T00:00:00"/>
    <x v="6"/>
    <x v="2"/>
    <x v="4"/>
    <x v="3189"/>
    <n v="2"/>
    <x v="1"/>
    <s v="Recovered"/>
    <x v="1"/>
    <x v="1"/>
    <s v="Cash"/>
    <n v="8"/>
    <x v="3175"/>
    <s v="Yes"/>
    <x v="0"/>
  </r>
  <r>
    <x v="3191"/>
    <x v="24"/>
    <x v="0"/>
    <x v="0"/>
    <x v="501"/>
    <d v="2024-09-24T00:00:00"/>
    <x v="4"/>
    <x v="3"/>
    <x v="7"/>
    <x v="3190"/>
    <n v="1"/>
    <x v="0"/>
    <s v="Recovered"/>
    <x v="1"/>
    <x v="3"/>
    <s v="Insurance"/>
    <n v="11"/>
    <x v="3176"/>
    <s v="Yes"/>
    <x v="0"/>
  </r>
  <r>
    <x v="3192"/>
    <x v="58"/>
    <x v="0"/>
    <x v="2"/>
    <x v="955"/>
    <d v="2023-07-22T00:00:00"/>
    <x v="9"/>
    <x v="5"/>
    <x v="0"/>
    <x v="3191"/>
    <n v="10"/>
    <x v="0"/>
    <s v="Recovered"/>
    <x v="1"/>
    <x v="0"/>
    <s v="UPI"/>
    <n v="15"/>
    <x v="3177"/>
    <s v="Yes"/>
    <x v="0"/>
  </r>
  <r>
    <x v="3193"/>
    <x v="40"/>
    <x v="1"/>
    <x v="5"/>
    <x v="37"/>
    <d v="2024-08-23T00:00:00"/>
    <x v="6"/>
    <x v="2"/>
    <x v="3"/>
    <x v="3192"/>
    <n v="28"/>
    <x v="1"/>
    <s v="Recovered"/>
    <x v="1"/>
    <x v="2"/>
    <s v="UPI"/>
    <n v="13"/>
    <x v="3178"/>
    <s v="No"/>
    <x v="0"/>
  </r>
  <r>
    <x v="3194"/>
    <x v="71"/>
    <x v="1"/>
    <x v="2"/>
    <x v="387"/>
    <d v="2025-04-19T00:00:00"/>
    <x v="1"/>
    <x v="1"/>
    <x v="4"/>
    <x v="3193"/>
    <n v="12"/>
    <x v="0"/>
    <s v="Recovered"/>
    <x v="1"/>
    <x v="2"/>
    <s v="Card"/>
    <n v="12"/>
    <x v="3179"/>
    <s v="No"/>
    <x v="0"/>
  </r>
  <r>
    <x v="3195"/>
    <x v="27"/>
    <x v="0"/>
    <x v="2"/>
    <x v="941"/>
    <d v="2025-01-26T00:00:00"/>
    <x v="8"/>
    <x v="6"/>
    <x v="7"/>
    <x v="3194"/>
    <n v="19"/>
    <x v="1"/>
    <s v="Referred"/>
    <x v="1"/>
    <x v="1"/>
    <s v="Card"/>
    <n v="1"/>
    <x v="3180"/>
    <s v="No"/>
    <x v="0"/>
  </r>
  <r>
    <x v="3196"/>
    <x v="16"/>
    <x v="0"/>
    <x v="5"/>
    <x v="864"/>
    <d v="2023-10-13T00:00:00"/>
    <x v="4"/>
    <x v="3"/>
    <x v="4"/>
    <x v="3195"/>
    <n v="3"/>
    <x v="0"/>
    <s v="Recovered"/>
    <x v="2"/>
    <x v="3"/>
    <s v="UPI"/>
    <n v="3"/>
    <x v="3181"/>
    <s v="No"/>
    <x v="0"/>
  </r>
  <r>
    <x v="3197"/>
    <x v="37"/>
    <x v="1"/>
    <x v="5"/>
    <x v="206"/>
    <d v="2023-09-04T00:00:00"/>
    <x v="5"/>
    <x v="4"/>
    <x v="3"/>
    <x v="3196"/>
    <n v="12"/>
    <x v="0"/>
    <s v="Recovered"/>
    <x v="1"/>
    <x v="1"/>
    <s v="Card"/>
    <n v="10"/>
    <x v="3182"/>
    <s v="Yes"/>
    <x v="0"/>
  </r>
  <r>
    <x v="3198"/>
    <x v="55"/>
    <x v="1"/>
    <x v="0"/>
    <x v="343"/>
    <d v="2023-04-18T00:00:00"/>
    <x v="9"/>
    <x v="5"/>
    <x v="1"/>
    <x v="3197"/>
    <n v="19"/>
    <x v="0"/>
    <s v="Recovered"/>
    <x v="0"/>
    <x v="1"/>
    <s v="Cash"/>
    <n v="1"/>
    <x v="3183"/>
    <s v="No"/>
    <x v="0"/>
  </r>
  <r>
    <x v="3199"/>
    <x v="11"/>
    <x v="0"/>
    <x v="3"/>
    <x v="779"/>
    <d v="2024-07-25T00:00:00"/>
    <x v="7"/>
    <x v="5"/>
    <x v="5"/>
    <x v="3198"/>
    <n v="2"/>
    <x v="0"/>
    <s v="Recovered"/>
    <x v="0"/>
    <x v="1"/>
    <s v="Insurance"/>
    <n v="8"/>
    <x v="3184"/>
    <s v="No"/>
    <x v="0"/>
  </r>
  <r>
    <x v="3200"/>
    <x v="40"/>
    <x v="0"/>
    <x v="1"/>
    <x v="730"/>
    <d v="2025-07-04T00:00:00"/>
    <x v="3"/>
    <x v="0"/>
    <x v="2"/>
    <x v="3199"/>
    <n v="10"/>
    <x v="1"/>
    <s v="Recovered"/>
    <x v="0"/>
    <x v="0"/>
    <s v="Insurance"/>
    <n v="12"/>
    <x v="3185"/>
    <s v="Yes"/>
    <x v="0"/>
  </r>
  <r>
    <x v="3201"/>
    <x v="52"/>
    <x v="0"/>
    <x v="2"/>
    <x v="63"/>
    <d v="2024-09-22T00:00:00"/>
    <x v="9"/>
    <x v="5"/>
    <x v="6"/>
    <x v="3200"/>
    <n v="20"/>
    <x v="1"/>
    <s v="Recovered"/>
    <x v="2"/>
    <x v="3"/>
    <s v="Insurance"/>
    <n v="7"/>
    <x v="3186"/>
    <s v="Yes"/>
    <x v="0"/>
  </r>
  <r>
    <x v="3202"/>
    <x v="10"/>
    <x v="1"/>
    <x v="5"/>
    <x v="76"/>
    <d v="2023-01-25T00:00:00"/>
    <x v="9"/>
    <x v="5"/>
    <x v="6"/>
    <x v="3201"/>
    <n v="22"/>
    <x v="0"/>
    <s v="Recovered"/>
    <x v="1"/>
    <x v="2"/>
    <s v="Card"/>
    <n v="10"/>
    <x v="3187"/>
    <s v="No"/>
    <x v="0"/>
  </r>
  <r>
    <x v="3203"/>
    <x v="53"/>
    <x v="1"/>
    <x v="3"/>
    <x v="310"/>
    <d v="2025-09-29T00:00:00"/>
    <x v="0"/>
    <x v="0"/>
    <x v="0"/>
    <x v="3202"/>
    <n v="10"/>
    <x v="1"/>
    <s v="Recovered"/>
    <x v="2"/>
    <x v="0"/>
    <s v="Cash"/>
    <n v="13"/>
    <x v="3188"/>
    <s v="Yes"/>
    <x v="0"/>
  </r>
  <r>
    <x v="3204"/>
    <x v="56"/>
    <x v="1"/>
    <x v="4"/>
    <x v="124"/>
    <d v="2025-08-14T00:00:00"/>
    <x v="3"/>
    <x v="0"/>
    <x v="3"/>
    <x v="3203"/>
    <n v="10"/>
    <x v="0"/>
    <s v="Recovered"/>
    <x v="1"/>
    <x v="1"/>
    <s v="Insurance"/>
    <n v="13"/>
    <x v="3189"/>
    <s v="Yes"/>
    <x v="0"/>
  </r>
  <r>
    <x v="3205"/>
    <x v="24"/>
    <x v="1"/>
    <x v="3"/>
    <x v="92"/>
    <d v="2024-11-22T00:00:00"/>
    <x v="5"/>
    <x v="4"/>
    <x v="3"/>
    <x v="3204"/>
    <n v="11"/>
    <x v="0"/>
    <s v="Recovered"/>
    <x v="0"/>
    <x v="3"/>
    <s v="Insurance"/>
    <n v="13"/>
    <x v="3190"/>
    <s v="Yes"/>
    <x v="0"/>
  </r>
  <r>
    <x v="3206"/>
    <x v="68"/>
    <x v="1"/>
    <x v="5"/>
    <x v="361"/>
    <d v="2025-07-14T00:00:00"/>
    <x v="7"/>
    <x v="5"/>
    <x v="7"/>
    <x v="3205"/>
    <n v="4"/>
    <x v="0"/>
    <s v="Recovered"/>
    <x v="2"/>
    <x v="3"/>
    <s v="Insurance"/>
    <n v="1"/>
    <x v="3191"/>
    <s v="No"/>
    <x v="0"/>
  </r>
  <r>
    <x v="3207"/>
    <x v="46"/>
    <x v="1"/>
    <x v="7"/>
    <x v="474"/>
    <d v="2023-03-08T00:00:00"/>
    <x v="1"/>
    <x v="1"/>
    <x v="1"/>
    <x v="3206"/>
    <n v="7"/>
    <x v="0"/>
    <s v="Recovered"/>
    <x v="2"/>
    <x v="1"/>
    <s v="Insurance"/>
    <n v="15"/>
    <x v="3192"/>
    <s v="No"/>
    <x v="0"/>
  </r>
  <r>
    <x v="3208"/>
    <x v="34"/>
    <x v="0"/>
    <x v="4"/>
    <x v="510"/>
    <d v="2025-04-02T00:00:00"/>
    <x v="7"/>
    <x v="5"/>
    <x v="0"/>
    <x v="3207"/>
    <n v="3"/>
    <x v="1"/>
    <s v="Under Observation"/>
    <x v="0"/>
    <x v="0"/>
    <s v="Insurance"/>
    <n v="13"/>
    <x v="3193"/>
    <s v="Yes"/>
    <x v="0"/>
  </r>
  <r>
    <x v="3209"/>
    <x v="3"/>
    <x v="1"/>
    <x v="0"/>
    <x v="427"/>
    <d v="2024-07-11T00:00:00"/>
    <x v="9"/>
    <x v="5"/>
    <x v="2"/>
    <x v="3208"/>
    <n v="7"/>
    <x v="1"/>
    <s v="Deceased"/>
    <x v="1"/>
    <x v="0"/>
    <s v="UPI"/>
    <n v="4"/>
    <x v="3194"/>
    <s v="Yes"/>
    <x v="0"/>
  </r>
  <r>
    <x v="3210"/>
    <x v="4"/>
    <x v="1"/>
    <x v="2"/>
    <x v="513"/>
    <d v="2024-03-22T00:00:00"/>
    <x v="0"/>
    <x v="0"/>
    <x v="3"/>
    <x v="3209"/>
    <n v="4"/>
    <x v="0"/>
    <s v="Under Observation"/>
    <x v="1"/>
    <x v="1"/>
    <s v="Insurance"/>
    <n v="2"/>
    <x v="3195"/>
    <s v="No"/>
    <x v="1"/>
  </r>
  <r>
    <x v="3211"/>
    <x v="42"/>
    <x v="1"/>
    <x v="6"/>
    <x v="891"/>
    <d v="2025-06-05T00:00:00"/>
    <x v="2"/>
    <x v="2"/>
    <x v="1"/>
    <x v="3210"/>
    <n v="16"/>
    <x v="1"/>
    <s v="Recovered"/>
    <x v="1"/>
    <x v="1"/>
    <s v="UPI"/>
    <n v="5"/>
    <x v="3196"/>
    <s v="No"/>
    <x v="0"/>
  </r>
  <r>
    <x v="3212"/>
    <x v="6"/>
    <x v="1"/>
    <x v="7"/>
    <x v="458"/>
    <d v="2025-09-06T00:00:00"/>
    <x v="2"/>
    <x v="2"/>
    <x v="0"/>
    <x v="3211"/>
    <n v="23"/>
    <x v="0"/>
    <s v="Recovered"/>
    <x v="1"/>
    <x v="2"/>
    <s v="Card"/>
    <n v="3"/>
    <x v="3197"/>
    <s v="Yes"/>
    <x v="0"/>
  </r>
  <r>
    <x v="3213"/>
    <x v="50"/>
    <x v="0"/>
    <x v="2"/>
    <x v="614"/>
    <d v="2025-08-25T00:00:00"/>
    <x v="1"/>
    <x v="1"/>
    <x v="5"/>
    <x v="3212"/>
    <n v="20"/>
    <x v="1"/>
    <s v="Recovered"/>
    <x v="2"/>
    <x v="0"/>
    <s v="Insurance"/>
    <n v="7"/>
    <x v="3198"/>
    <s v="No"/>
    <x v="0"/>
  </r>
  <r>
    <x v="3214"/>
    <x v="28"/>
    <x v="1"/>
    <x v="3"/>
    <x v="534"/>
    <d v="2024-12-25T00:00:00"/>
    <x v="4"/>
    <x v="3"/>
    <x v="2"/>
    <x v="3213"/>
    <n v="12"/>
    <x v="1"/>
    <s v="Under Observation"/>
    <x v="2"/>
    <x v="0"/>
    <s v="Insurance"/>
    <n v="6"/>
    <x v="3199"/>
    <s v="Yes"/>
    <x v="0"/>
  </r>
  <r>
    <x v="3215"/>
    <x v="36"/>
    <x v="0"/>
    <x v="3"/>
    <x v="2"/>
    <d v="2024-03-17T00:00:00"/>
    <x v="8"/>
    <x v="6"/>
    <x v="6"/>
    <x v="3214"/>
    <n v="2"/>
    <x v="1"/>
    <s v="Recovered"/>
    <x v="1"/>
    <x v="0"/>
    <s v="Cash"/>
    <n v="12"/>
    <x v="3200"/>
    <s v="Yes"/>
    <x v="0"/>
  </r>
  <r>
    <x v="3216"/>
    <x v="5"/>
    <x v="1"/>
    <x v="0"/>
    <x v="956"/>
    <d v="2023-06-18T00:00:00"/>
    <x v="6"/>
    <x v="2"/>
    <x v="3"/>
    <x v="3215"/>
    <n v="9"/>
    <x v="0"/>
    <s v="Recovered"/>
    <x v="0"/>
    <x v="2"/>
    <s v="Card"/>
    <n v="4"/>
    <x v="3201"/>
    <s v="Yes"/>
    <x v="1"/>
  </r>
  <r>
    <x v="3217"/>
    <x v="61"/>
    <x v="0"/>
    <x v="7"/>
    <x v="274"/>
    <d v="2024-03-19T00:00:00"/>
    <x v="8"/>
    <x v="6"/>
    <x v="7"/>
    <x v="3216"/>
    <n v="29"/>
    <x v="0"/>
    <s v="Recovered"/>
    <x v="2"/>
    <x v="2"/>
    <s v="Insurance"/>
    <n v="2"/>
    <x v="3202"/>
    <s v="Yes"/>
    <x v="0"/>
  </r>
  <r>
    <x v="3218"/>
    <x v="8"/>
    <x v="1"/>
    <x v="0"/>
    <x v="221"/>
    <d v="2023-09-11T00:00:00"/>
    <x v="6"/>
    <x v="2"/>
    <x v="4"/>
    <x v="3217"/>
    <n v="4"/>
    <x v="0"/>
    <s v="Recovered"/>
    <x v="2"/>
    <x v="1"/>
    <s v="Card"/>
    <n v="9"/>
    <x v="3203"/>
    <s v="Yes"/>
    <x v="1"/>
  </r>
  <r>
    <x v="3219"/>
    <x v="37"/>
    <x v="0"/>
    <x v="0"/>
    <x v="915"/>
    <d v="2024-04-09T00:00:00"/>
    <x v="9"/>
    <x v="5"/>
    <x v="6"/>
    <x v="3218"/>
    <n v="4"/>
    <x v="1"/>
    <s v="Recovered"/>
    <x v="2"/>
    <x v="2"/>
    <s v="Cash"/>
    <n v="12"/>
    <x v="3204"/>
    <s v="No"/>
    <x v="0"/>
  </r>
  <r>
    <x v="3220"/>
    <x v="67"/>
    <x v="0"/>
    <x v="6"/>
    <x v="641"/>
    <d v="2023-12-26T00:00:00"/>
    <x v="1"/>
    <x v="1"/>
    <x v="0"/>
    <x v="3219"/>
    <n v="7"/>
    <x v="1"/>
    <s v="Recovered"/>
    <x v="1"/>
    <x v="3"/>
    <s v="Cash"/>
    <n v="13"/>
    <x v="3205"/>
    <s v="No"/>
    <x v="0"/>
  </r>
  <r>
    <x v="3221"/>
    <x v="65"/>
    <x v="0"/>
    <x v="0"/>
    <x v="600"/>
    <d v="2025-07-23T00:00:00"/>
    <x v="2"/>
    <x v="2"/>
    <x v="2"/>
    <x v="3220"/>
    <n v="18"/>
    <x v="0"/>
    <s v="Recovered"/>
    <x v="1"/>
    <x v="2"/>
    <s v="UPI"/>
    <n v="14"/>
    <x v="3206"/>
    <s v="Yes"/>
    <x v="0"/>
  </r>
  <r>
    <x v="3222"/>
    <x v="10"/>
    <x v="0"/>
    <x v="6"/>
    <x v="830"/>
    <d v="2024-01-29T00:00:00"/>
    <x v="0"/>
    <x v="0"/>
    <x v="7"/>
    <x v="3221"/>
    <n v="14"/>
    <x v="0"/>
    <s v="Recovered"/>
    <x v="0"/>
    <x v="1"/>
    <s v="Card"/>
    <n v="1"/>
    <x v="3207"/>
    <s v="Yes"/>
    <x v="0"/>
  </r>
  <r>
    <x v="3223"/>
    <x v="56"/>
    <x v="1"/>
    <x v="5"/>
    <x v="391"/>
    <d v="2023-04-03T00:00:00"/>
    <x v="1"/>
    <x v="1"/>
    <x v="6"/>
    <x v="3222"/>
    <n v="18"/>
    <x v="0"/>
    <s v="Recovered"/>
    <x v="1"/>
    <x v="0"/>
    <s v="Cash"/>
    <n v="4"/>
    <x v="3208"/>
    <s v="No"/>
    <x v="1"/>
  </r>
  <r>
    <x v="3224"/>
    <x v="28"/>
    <x v="1"/>
    <x v="3"/>
    <x v="957"/>
    <d v="2023-09-18T00:00:00"/>
    <x v="9"/>
    <x v="5"/>
    <x v="6"/>
    <x v="3223"/>
    <n v="22"/>
    <x v="0"/>
    <s v="Recovered"/>
    <x v="0"/>
    <x v="2"/>
    <s v="Cash"/>
    <n v="9"/>
    <x v="3209"/>
    <s v="Yes"/>
    <x v="0"/>
  </r>
  <r>
    <x v="3225"/>
    <x v="31"/>
    <x v="0"/>
    <x v="0"/>
    <x v="261"/>
    <d v="2023-09-20T00:00:00"/>
    <x v="0"/>
    <x v="0"/>
    <x v="4"/>
    <x v="3224"/>
    <n v="30"/>
    <x v="1"/>
    <s v="Recovered"/>
    <x v="0"/>
    <x v="2"/>
    <s v="Insurance"/>
    <n v="11"/>
    <x v="3210"/>
    <s v="No"/>
    <x v="0"/>
  </r>
  <r>
    <x v="3226"/>
    <x v="2"/>
    <x v="1"/>
    <x v="4"/>
    <x v="490"/>
    <d v="2023-10-23T00:00:00"/>
    <x v="3"/>
    <x v="0"/>
    <x v="7"/>
    <x v="3225"/>
    <n v="9"/>
    <x v="0"/>
    <s v="Recovered"/>
    <x v="0"/>
    <x v="3"/>
    <s v="Card"/>
    <n v="9"/>
    <x v="3211"/>
    <s v="Yes"/>
    <x v="1"/>
  </r>
  <r>
    <x v="3227"/>
    <x v="10"/>
    <x v="0"/>
    <x v="2"/>
    <x v="703"/>
    <d v="2023-11-11T00:00:00"/>
    <x v="7"/>
    <x v="5"/>
    <x v="4"/>
    <x v="3226"/>
    <n v="9"/>
    <x v="1"/>
    <s v="Recovered"/>
    <x v="0"/>
    <x v="1"/>
    <s v="Cash"/>
    <n v="1"/>
    <x v="3212"/>
    <s v="Yes"/>
    <x v="0"/>
  </r>
  <r>
    <x v="3228"/>
    <x v="5"/>
    <x v="1"/>
    <x v="1"/>
    <x v="706"/>
    <d v="2025-02-16T00:00:00"/>
    <x v="4"/>
    <x v="3"/>
    <x v="4"/>
    <x v="3227"/>
    <n v="7"/>
    <x v="0"/>
    <s v="Recovered"/>
    <x v="1"/>
    <x v="2"/>
    <s v="Cash"/>
    <n v="12"/>
    <x v="3213"/>
    <s v="Yes"/>
    <x v="0"/>
  </r>
  <r>
    <x v="3229"/>
    <x v="11"/>
    <x v="1"/>
    <x v="0"/>
    <x v="725"/>
    <d v="2024-11-05T00:00:00"/>
    <x v="3"/>
    <x v="0"/>
    <x v="1"/>
    <x v="3228"/>
    <n v="17"/>
    <x v="0"/>
    <s v="Recovered"/>
    <x v="1"/>
    <x v="0"/>
    <s v="Insurance"/>
    <n v="3"/>
    <x v="3214"/>
    <s v="No"/>
    <x v="0"/>
  </r>
  <r>
    <x v="3230"/>
    <x v="51"/>
    <x v="0"/>
    <x v="0"/>
    <x v="633"/>
    <d v="2025-08-03T00:00:00"/>
    <x v="2"/>
    <x v="2"/>
    <x v="7"/>
    <x v="3229"/>
    <n v="3"/>
    <x v="0"/>
    <s v="Recovered"/>
    <x v="0"/>
    <x v="3"/>
    <s v="UPI"/>
    <n v="12"/>
    <x v="3215"/>
    <s v="Yes"/>
    <x v="1"/>
  </r>
  <r>
    <x v="3231"/>
    <x v="8"/>
    <x v="1"/>
    <x v="5"/>
    <x v="704"/>
    <d v="2024-06-19T00:00:00"/>
    <x v="3"/>
    <x v="0"/>
    <x v="3"/>
    <x v="3230"/>
    <n v="4"/>
    <x v="0"/>
    <s v="Recovered"/>
    <x v="2"/>
    <x v="3"/>
    <s v="Insurance"/>
    <n v="8"/>
    <x v="3216"/>
    <s v="No"/>
    <x v="0"/>
  </r>
  <r>
    <x v="3232"/>
    <x v="16"/>
    <x v="1"/>
    <x v="7"/>
    <x v="14"/>
    <d v="2023-10-22T00:00:00"/>
    <x v="7"/>
    <x v="5"/>
    <x v="1"/>
    <x v="3231"/>
    <n v="4"/>
    <x v="0"/>
    <s v="Recovered"/>
    <x v="2"/>
    <x v="1"/>
    <s v="Card"/>
    <n v="5"/>
    <x v="3217"/>
    <s v="No"/>
    <x v="0"/>
  </r>
  <r>
    <x v="3233"/>
    <x v="44"/>
    <x v="1"/>
    <x v="0"/>
    <x v="528"/>
    <d v="2023-06-06T00:00:00"/>
    <x v="8"/>
    <x v="6"/>
    <x v="6"/>
    <x v="3232"/>
    <n v="9"/>
    <x v="0"/>
    <s v="Under Observation"/>
    <x v="0"/>
    <x v="1"/>
    <s v="Insurance"/>
    <n v="14"/>
    <x v="3218"/>
    <s v="Yes"/>
    <x v="0"/>
  </r>
  <r>
    <x v="3234"/>
    <x v="71"/>
    <x v="0"/>
    <x v="6"/>
    <x v="111"/>
    <d v="2023-05-03T00:00:00"/>
    <x v="3"/>
    <x v="0"/>
    <x v="3"/>
    <x v="3233"/>
    <n v="19"/>
    <x v="0"/>
    <s v="Recovered"/>
    <x v="2"/>
    <x v="1"/>
    <s v="Card"/>
    <n v="11"/>
    <x v="3219"/>
    <s v="Yes"/>
    <x v="0"/>
  </r>
  <r>
    <x v="3235"/>
    <x v="39"/>
    <x v="0"/>
    <x v="0"/>
    <x v="901"/>
    <d v="2024-10-13T00:00:00"/>
    <x v="3"/>
    <x v="0"/>
    <x v="2"/>
    <x v="3234"/>
    <n v="12"/>
    <x v="1"/>
    <s v="Under Observation"/>
    <x v="2"/>
    <x v="1"/>
    <s v="Card"/>
    <n v="2"/>
    <x v="3220"/>
    <s v="Yes"/>
    <x v="0"/>
  </r>
  <r>
    <x v="3236"/>
    <x v="0"/>
    <x v="0"/>
    <x v="6"/>
    <x v="374"/>
    <d v="2024-09-08T00:00:00"/>
    <x v="3"/>
    <x v="0"/>
    <x v="5"/>
    <x v="3235"/>
    <n v="26"/>
    <x v="1"/>
    <s v="Recovered"/>
    <x v="0"/>
    <x v="2"/>
    <s v="Cash"/>
    <n v="14"/>
    <x v="3221"/>
    <s v="Yes"/>
    <x v="1"/>
  </r>
  <r>
    <x v="3237"/>
    <x v="24"/>
    <x v="1"/>
    <x v="0"/>
    <x v="307"/>
    <d v="2024-07-05T00:00:00"/>
    <x v="3"/>
    <x v="0"/>
    <x v="7"/>
    <x v="3236"/>
    <n v="18"/>
    <x v="1"/>
    <s v="Recovered"/>
    <x v="0"/>
    <x v="2"/>
    <s v="UPI"/>
    <n v="4"/>
    <x v="3222"/>
    <s v="Yes"/>
    <x v="0"/>
  </r>
  <r>
    <x v="3238"/>
    <x v="7"/>
    <x v="1"/>
    <x v="7"/>
    <x v="465"/>
    <d v="2025-01-05T00:00:00"/>
    <x v="9"/>
    <x v="5"/>
    <x v="5"/>
    <x v="3237"/>
    <n v="19"/>
    <x v="0"/>
    <s v="Recovered"/>
    <x v="2"/>
    <x v="0"/>
    <s v="Insurance"/>
    <n v="10"/>
    <x v="3223"/>
    <s v="Yes"/>
    <x v="0"/>
  </r>
  <r>
    <x v="3239"/>
    <x v="29"/>
    <x v="1"/>
    <x v="7"/>
    <x v="958"/>
    <d v="2023-09-29T00:00:00"/>
    <x v="2"/>
    <x v="2"/>
    <x v="6"/>
    <x v="3238"/>
    <n v="8"/>
    <x v="0"/>
    <s v="Recovered"/>
    <x v="2"/>
    <x v="1"/>
    <s v="Card"/>
    <n v="5"/>
    <x v="3224"/>
    <s v="No"/>
    <x v="1"/>
  </r>
  <r>
    <x v="3240"/>
    <x v="63"/>
    <x v="0"/>
    <x v="3"/>
    <x v="754"/>
    <d v="2023-07-05T00:00:00"/>
    <x v="4"/>
    <x v="3"/>
    <x v="3"/>
    <x v="3239"/>
    <n v="13"/>
    <x v="0"/>
    <s v="Under Observation"/>
    <x v="2"/>
    <x v="1"/>
    <s v="Cash"/>
    <n v="1"/>
    <x v="3225"/>
    <s v="Yes"/>
    <x v="0"/>
  </r>
  <r>
    <x v="3241"/>
    <x v="71"/>
    <x v="1"/>
    <x v="1"/>
    <x v="177"/>
    <d v="2025-04-02T00:00:00"/>
    <x v="1"/>
    <x v="1"/>
    <x v="5"/>
    <x v="3240"/>
    <n v="20"/>
    <x v="0"/>
    <s v="Recovered"/>
    <x v="1"/>
    <x v="3"/>
    <s v="UPI"/>
    <n v="1"/>
    <x v="3226"/>
    <s v="Yes"/>
    <x v="0"/>
  </r>
  <r>
    <x v="3242"/>
    <x v="59"/>
    <x v="0"/>
    <x v="5"/>
    <x v="951"/>
    <d v="2023-09-19T00:00:00"/>
    <x v="7"/>
    <x v="5"/>
    <x v="3"/>
    <x v="3241"/>
    <n v="17"/>
    <x v="1"/>
    <s v="Recovered"/>
    <x v="2"/>
    <x v="2"/>
    <s v="UPI"/>
    <n v="1"/>
    <x v="3227"/>
    <s v="Yes"/>
    <x v="1"/>
  </r>
  <r>
    <x v="3243"/>
    <x v="23"/>
    <x v="1"/>
    <x v="1"/>
    <x v="410"/>
    <d v="2025-03-20T00:00:00"/>
    <x v="5"/>
    <x v="4"/>
    <x v="0"/>
    <x v="3242"/>
    <n v="5"/>
    <x v="1"/>
    <s v="Recovered"/>
    <x v="0"/>
    <x v="0"/>
    <s v="Insurance"/>
    <n v="12"/>
    <x v="3228"/>
    <s v="Yes"/>
    <x v="0"/>
  </r>
  <r>
    <x v="3244"/>
    <x v="64"/>
    <x v="0"/>
    <x v="3"/>
    <x v="85"/>
    <d v="2023-12-05T00:00:00"/>
    <x v="7"/>
    <x v="5"/>
    <x v="7"/>
    <x v="3243"/>
    <n v="22"/>
    <x v="0"/>
    <s v="Deceased"/>
    <x v="1"/>
    <x v="2"/>
    <s v="Insurance"/>
    <n v="8"/>
    <x v="3229"/>
    <s v="No"/>
    <x v="1"/>
  </r>
  <r>
    <x v="3245"/>
    <x v="44"/>
    <x v="1"/>
    <x v="0"/>
    <x v="882"/>
    <d v="2024-09-22T00:00:00"/>
    <x v="4"/>
    <x v="3"/>
    <x v="2"/>
    <x v="3244"/>
    <n v="1"/>
    <x v="0"/>
    <s v="Recovered"/>
    <x v="1"/>
    <x v="1"/>
    <s v="Insurance"/>
    <n v="15"/>
    <x v="3230"/>
    <s v="No"/>
    <x v="0"/>
  </r>
  <r>
    <x v="3246"/>
    <x v="64"/>
    <x v="0"/>
    <x v="5"/>
    <x v="406"/>
    <d v="2023-06-08T00:00:00"/>
    <x v="3"/>
    <x v="0"/>
    <x v="6"/>
    <x v="3245"/>
    <n v="5"/>
    <x v="1"/>
    <s v="Recovered"/>
    <x v="1"/>
    <x v="2"/>
    <s v="Card"/>
    <n v="6"/>
    <x v="3231"/>
    <s v="No"/>
    <x v="0"/>
  </r>
  <r>
    <x v="3247"/>
    <x v="16"/>
    <x v="1"/>
    <x v="4"/>
    <x v="197"/>
    <d v="2024-07-13T00:00:00"/>
    <x v="9"/>
    <x v="5"/>
    <x v="5"/>
    <x v="3246"/>
    <n v="10"/>
    <x v="0"/>
    <s v="Recovered"/>
    <x v="0"/>
    <x v="3"/>
    <s v="Cash"/>
    <n v="11"/>
    <x v="3232"/>
    <s v="Yes"/>
    <x v="0"/>
  </r>
  <r>
    <x v="3248"/>
    <x v="43"/>
    <x v="0"/>
    <x v="4"/>
    <x v="800"/>
    <d v="2024-09-20T00:00:00"/>
    <x v="6"/>
    <x v="2"/>
    <x v="6"/>
    <x v="3247"/>
    <n v="20"/>
    <x v="1"/>
    <s v="Referred"/>
    <x v="0"/>
    <x v="3"/>
    <s v="Card"/>
    <n v="14"/>
    <x v="3233"/>
    <s v="No"/>
    <x v="0"/>
  </r>
  <r>
    <x v="3249"/>
    <x v="15"/>
    <x v="1"/>
    <x v="4"/>
    <x v="411"/>
    <d v="2025-05-25T00:00:00"/>
    <x v="3"/>
    <x v="0"/>
    <x v="2"/>
    <x v="3248"/>
    <n v="8"/>
    <x v="1"/>
    <s v="Recovered"/>
    <x v="0"/>
    <x v="1"/>
    <s v="Card"/>
    <n v="10"/>
    <x v="3234"/>
    <s v="Yes"/>
    <x v="1"/>
  </r>
  <r>
    <x v="3250"/>
    <x v="48"/>
    <x v="1"/>
    <x v="2"/>
    <x v="791"/>
    <d v="2024-11-02T00:00:00"/>
    <x v="1"/>
    <x v="1"/>
    <x v="4"/>
    <x v="3249"/>
    <n v="13"/>
    <x v="1"/>
    <s v="Recovered"/>
    <x v="0"/>
    <x v="0"/>
    <s v="UPI"/>
    <n v="11"/>
    <x v="3235"/>
    <s v="No"/>
    <x v="0"/>
  </r>
  <r>
    <x v="3251"/>
    <x v="4"/>
    <x v="0"/>
    <x v="3"/>
    <x v="233"/>
    <d v="2025-01-08T00:00:00"/>
    <x v="9"/>
    <x v="5"/>
    <x v="5"/>
    <x v="3250"/>
    <n v="6"/>
    <x v="1"/>
    <s v="Recovered"/>
    <x v="1"/>
    <x v="3"/>
    <s v="Card"/>
    <n v="5"/>
    <x v="3236"/>
    <s v="No"/>
    <x v="0"/>
  </r>
  <r>
    <x v="3252"/>
    <x v="35"/>
    <x v="1"/>
    <x v="6"/>
    <x v="44"/>
    <d v="2023-06-11T00:00:00"/>
    <x v="5"/>
    <x v="4"/>
    <x v="5"/>
    <x v="3251"/>
    <n v="17"/>
    <x v="0"/>
    <s v="Recovered"/>
    <x v="2"/>
    <x v="2"/>
    <s v="Card"/>
    <n v="6"/>
    <x v="3237"/>
    <s v="No"/>
    <x v="0"/>
  </r>
  <r>
    <x v="3253"/>
    <x v="17"/>
    <x v="1"/>
    <x v="7"/>
    <x v="22"/>
    <d v="2024-01-23T00:00:00"/>
    <x v="7"/>
    <x v="5"/>
    <x v="1"/>
    <x v="3252"/>
    <n v="5"/>
    <x v="0"/>
    <s v="Recovered"/>
    <x v="2"/>
    <x v="0"/>
    <s v="Cash"/>
    <n v="14"/>
    <x v="3238"/>
    <s v="No"/>
    <x v="0"/>
  </r>
  <r>
    <x v="3254"/>
    <x v="11"/>
    <x v="0"/>
    <x v="2"/>
    <x v="789"/>
    <d v="2024-09-12T00:00:00"/>
    <x v="9"/>
    <x v="5"/>
    <x v="2"/>
    <x v="3253"/>
    <n v="14"/>
    <x v="0"/>
    <s v="Under Observation"/>
    <x v="2"/>
    <x v="2"/>
    <s v="Insurance"/>
    <n v="12"/>
    <x v="3239"/>
    <s v="No"/>
    <x v="0"/>
  </r>
  <r>
    <x v="3255"/>
    <x v="26"/>
    <x v="0"/>
    <x v="3"/>
    <x v="915"/>
    <d v="2024-04-16T00:00:00"/>
    <x v="9"/>
    <x v="5"/>
    <x v="2"/>
    <x v="3254"/>
    <n v="11"/>
    <x v="0"/>
    <s v="Recovered"/>
    <x v="1"/>
    <x v="1"/>
    <s v="Card"/>
    <n v="7"/>
    <x v="3240"/>
    <s v="No"/>
    <x v="0"/>
  </r>
  <r>
    <x v="3256"/>
    <x v="1"/>
    <x v="1"/>
    <x v="3"/>
    <x v="640"/>
    <d v="2023-02-05T00:00:00"/>
    <x v="8"/>
    <x v="6"/>
    <x v="6"/>
    <x v="3255"/>
    <n v="8"/>
    <x v="1"/>
    <s v="Referred"/>
    <x v="2"/>
    <x v="3"/>
    <s v="UPI"/>
    <n v="8"/>
    <x v="3241"/>
    <s v="No"/>
    <x v="1"/>
  </r>
  <r>
    <x v="3257"/>
    <x v="23"/>
    <x v="0"/>
    <x v="0"/>
    <x v="417"/>
    <d v="2023-11-26T00:00:00"/>
    <x v="3"/>
    <x v="0"/>
    <x v="7"/>
    <x v="3256"/>
    <n v="16"/>
    <x v="0"/>
    <s v="Recovered"/>
    <x v="2"/>
    <x v="3"/>
    <s v="UPI"/>
    <n v="14"/>
    <x v="3242"/>
    <s v="Yes"/>
    <x v="0"/>
  </r>
  <r>
    <x v="3258"/>
    <x v="37"/>
    <x v="0"/>
    <x v="2"/>
    <x v="547"/>
    <d v="2024-06-05T00:00:00"/>
    <x v="6"/>
    <x v="2"/>
    <x v="0"/>
    <x v="3257"/>
    <n v="15"/>
    <x v="0"/>
    <s v="Recovered"/>
    <x v="0"/>
    <x v="3"/>
    <s v="Card"/>
    <n v="8"/>
    <x v="3243"/>
    <s v="No"/>
    <x v="0"/>
  </r>
  <r>
    <x v="3259"/>
    <x v="28"/>
    <x v="0"/>
    <x v="7"/>
    <x v="243"/>
    <d v="2024-03-24T00:00:00"/>
    <x v="5"/>
    <x v="4"/>
    <x v="0"/>
    <x v="3258"/>
    <n v="17"/>
    <x v="1"/>
    <s v="Under Observation"/>
    <x v="2"/>
    <x v="2"/>
    <s v="Cash"/>
    <n v="11"/>
    <x v="3244"/>
    <s v="Yes"/>
    <x v="0"/>
  </r>
  <r>
    <x v="3260"/>
    <x v="43"/>
    <x v="0"/>
    <x v="3"/>
    <x v="49"/>
    <d v="2025-07-06T00:00:00"/>
    <x v="1"/>
    <x v="1"/>
    <x v="1"/>
    <x v="3259"/>
    <n v="26"/>
    <x v="0"/>
    <s v="Referred"/>
    <x v="2"/>
    <x v="2"/>
    <s v="UPI"/>
    <n v="9"/>
    <x v="3245"/>
    <s v="Yes"/>
    <x v="0"/>
  </r>
  <r>
    <x v="3261"/>
    <x v="2"/>
    <x v="1"/>
    <x v="6"/>
    <x v="637"/>
    <d v="2023-01-24T00:00:00"/>
    <x v="2"/>
    <x v="2"/>
    <x v="4"/>
    <x v="3260"/>
    <n v="14"/>
    <x v="0"/>
    <s v="Under Observation"/>
    <x v="2"/>
    <x v="3"/>
    <s v="Card"/>
    <n v="10"/>
    <x v="3246"/>
    <s v="No"/>
    <x v="1"/>
  </r>
  <r>
    <x v="3262"/>
    <x v="7"/>
    <x v="1"/>
    <x v="1"/>
    <x v="350"/>
    <d v="2023-02-02T00:00:00"/>
    <x v="9"/>
    <x v="5"/>
    <x v="3"/>
    <x v="3261"/>
    <n v="12"/>
    <x v="0"/>
    <s v="Recovered"/>
    <x v="0"/>
    <x v="3"/>
    <s v="UPI"/>
    <n v="10"/>
    <x v="3247"/>
    <s v="Yes"/>
    <x v="0"/>
  </r>
  <r>
    <x v="3263"/>
    <x v="24"/>
    <x v="1"/>
    <x v="6"/>
    <x v="439"/>
    <d v="2024-10-17T00:00:00"/>
    <x v="4"/>
    <x v="3"/>
    <x v="0"/>
    <x v="3262"/>
    <n v="8"/>
    <x v="1"/>
    <s v="Recovered"/>
    <x v="0"/>
    <x v="0"/>
    <s v="UPI"/>
    <n v="1"/>
    <x v="3248"/>
    <s v="Yes"/>
    <x v="0"/>
  </r>
  <r>
    <x v="3264"/>
    <x v="8"/>
    <x v="0"/>
    <x v="6"/>
    <x v="431"/>
    <d v="2025-09-05T00:00:00"/>
    <x v="3"/>
    <x v="0"/>
    <x v="3"/>
    <x v="3263"/>
    <n v="9"/>
    <x v="0"/>
    <s v="Recovered"/>
    <x v="0"/>
    <x v="1"/>
    <s v="Insurance"/>
    <n v="14"/>
    <x v="3249"/>
    <s v="No"/>
    <x v="0"/>
  </r>
  <r>
    <x v="3265"/>
    <x v="69"/>
    <x v="1"/>
    <x v="0"/>
    <x v="55"/>
    <d v="2025-08-07T00:00:00"/>
    <x v="1"/>
    <x v="1"/>
    <x v="5"/>
    <x v="3264"/>
    <n v="1"/>
    <x v="1"/>
    <s v="Deceased"/>
    <x v="2"/>
    <x v="0"/>
    <s v="Cash"/>
    <n v="4"/>
    <x v="3250"/>
    <s v="Yes"/>
    <x v="0"/>
  </r>
  <r>
    <x v="3266"/>
    <x v="53"/>
    <x v="1"/>
    <x v="6"/>
    <x v="872"/>
    <d v="2023-08-24T00:00:00"/>
    <x v="3"/>
    <x v="0"/>
    <x v="5"/>
    <x v="3265"/>
    <n v="12"/>
    <x v="0"/>
    <s v="Recovered"/>
    <x v="1"/>
    <x v="0"/>
    <s v="Insurance"/>
    <n v="3"/>
    <x v="3251"/>
    <s v="No"/>
    <x v="0"/>
  </r>
  <r>
    <x v="3267"/>
    <x v="4"/>
    <x v="1"/>
    <x v="5"/>
    <x v="301"/>
    <d v="2024-02-14T00:00:00"/>
    <x v="0"/>
    <x v="0"/>
    <x v="0"/>
    <x v="3266"/>
    <n v="14"/>
    <x v="1"/>
    <s v="Recovered"/>
    <x v="1"/>
    <x v="3"/>
    <s v="UPI"/>
    <n v="14"/>
    <x v="3252"/>
    <s v="Yes"/>
    <x v="0"/>
  </r>
  <r>
    <x v="3268"/>
    <x v="7"/>
    <x v="1"/>
    <x v="4"/>
    <x v="467"/>
    <d v="2024-01-15T00:00:00"/>
    <x v="2"/>
    <x v="2"/>
    <x v="5"/>
    <x v="3267"/>
    <n v="20"/>
    <x v="0"/>
    <s v="Recovered"/>
    <x v="0"/>
    <x v="1"/>
    <s v="Card"/>
    <n v="1"/>
    <x v="3253"/>
    <s v="No"/>
    <x v="0"/>
  </r>
  <r>
    <x v="3269"/>
    <x v="32"/>
    <x v="0"/>
    <x v="6"/>
    <x v="768"/>
    <d v="2024-12-26T00:00:00"/>
    <x v="3"/>
    <x v="0"/>
    <x v="7"/>
    <x v="3268"/>
    <n v="18"/>
    <x v="0"/>
    <s v="Recovered"/>
    <x v="0"/>
    <x v="0"/>
    <s v="UPI"/>
    <n v="6"/>
    <x v="3254"/>
    <s v="Yes"/>
    <x v="0"/>
  </r>
  <r>
    <x v="3270"/>
    <x v="36"/>
    <x v="0"/>
    <x v="0"/>
    <x v="746"/>
    <d v="2024-05-14T00:00:00"/>
    <x v="7"/>
    <x v="5"/>
    <x v="6"/>
    <x v="3269"/>
    <n v="15"/>
    <x v="0"/>
    <s v="Recovered"/>
    <x v="2"/>
    <x v="3"/>
    <s v="Card"/>
    <n v="13"/>
    <x v="3255"/>
    <s v="No"/>
    <x v="0"/>
  </r>
  <r>
    <x v="3271"/>
    <x v="21"/>
    <x v="1"/>
    <x v="6"/>
    <x v="258"/>
    <d v="2023-08-26T00:00:00"/>
    <x v="2"/>
    <x v="2"/>
    <x v="1"/>
    <x v="3270"/>
    <n v="10"/>
    <x v="1"/>
    <s v="Recovered"/>
    <x v="2"/>
    <x v="1"/>
    <s v="Insurance"/>
    <n v="8"/>
    <x v="3256"/>
    <s v="No"/>
    <x v="0"/>
  </r>
  <r>
    <x v="3272"/>
    <x v="26"/>
    <x v="0"/>
    <x v="0"/>
    <x v="27"/>
    <d v="2023-06-10T00:00:00"/>
    <x v="0"/>
    <x v="0"/>
    <x v="4"/>
    <x v="3271"/>
    <n v="4"/>
    <x v="1"/>
    <s v="Recovered"/>
    <x v="2"/>
    <x v="0"/>
    <s v="Card"/>
    <n v="11"/>
    <x v="3257"/>
    <s v="Yes"/>
    <x v="0"/>
  </r>
  <r>
    <x v="3273"/>
    <x v="15"/>
    <x v="1"/>
    <x v="6"/>
    <x v="314"/>
    <d v="2024-12-10T00:00:00"/>
    <x v="8"/>
    <x v="6"/>
    <x v="5"/>
    <x v="3272"/>
    <n v="3"/>
    <x v="0"/>
    <s v="Recovered"/>
    <x v="1"/>
    <x v="1"/>
    <s v="Card"/>
    <n v="5"/>
    <x v="3258"/>
    <s v="Yes"/>
    <x v="0"/>
  </r>
  <r>
    <x v="3274"/>
    <x v="66"/>
    <x v="0"/>
    <x v="0"/>
    <x v="419"/>
    <d v="2023-04-17T00:00:00"/>
    <x v="9"/>
    <x v="5"/>
    <x v="0"/>
    <x v="3273"/>
    <n v="19"/>
    <x v="1"/>
    <s v="Recovered"/>
    <x v="2"/>
    <x v="0"/>
    <s v="Insurance"/>
    <n v="15"/>
    <x v="3259"/>
    <s v="No"/>
    <x v="0"/>
  </r>
  <r>
    <x v="3275"/>
    <x v="56"/>
    <x v="0"/>
    <x v="4"/>
    <x v="36"/>
    <d v="2023-04-17T00:00:00"/>
    <x v="1"/>
    <x v="1"/>
    <x v="0"/>
    <x v="3274"/>
    <n v="17"/>
    <x v="1"/>
    <s v="Recovered"/>
    <x v="2"/>
    <x v="0"/>
    <s v="Insurance"/>
    <n v="15"/>
    <x v="3260"/>
    <s v="No"/>
    <x v="0"/>
  </r>
  <r>
    <x v="3276"/>
    <x v="64"/>
    <x v="1"/>
    <x v="1"/>
    <x v="485"/>
    <d v="2024-06-22T00:00:00"/>
    <x v="0"/>
    <x v="0"/>
    <x v="3"/>
    <x v="3275"/>
    <n v="4"/>
    <x v="1"/>
    <s v="Recovered"/>
    <x v="1"/>
    <x v="1"/>
    <s v="Card"/>
    <n v="10"/>
    <x v="3261"/>
    <s v="No"/>
    <x v="0"/>
  </r>
  <r>
    <x v="3277"/>
    <x v="44"/>
    <x v="1"/>
    <x v="2"/>
    <x v="712"/>
    <d v="2024-02-27T00:00:00"/>
    <x v="4"/>
    <x v="3"/>
    <x v="6"/>
    <x v="3276"/>
    <n v="10"/>
    <x v="1"/>
    <s v="Recovered"/>
    <x v="2"/>
    <x v="1"/>
    <s v="Cash"/>
    <n v="3"/>
    <x v="3262"/>
    <s v="No"/>
    <x v="0"/>
  </r>
  <r>
    <x v="3278"/>
    <x v="3"/>
    <x v="1"/>
    <x v="1"/>
    <x v="871"/>
    <d v="2023-07-04T00:00:00"/>
    <x v="6"/>
    <x v="2"/>
    <x v="6"/>
    <x v="3277"/>
    <n v="19"/>
    <x v="1"/>
    <s v="Under Observation"/>
    <x v="0"/>
    <x v="2"/>
    <s v="Card"/>
    <n v="1"/>
    <x v="3263"/>
    <s v="Yes"/>
    <x v="0"/>
  </r>
  <r>
    <x v="3279"/>
    <x v="6"/>
    <x v="1"/>
    <x v="3"/>
    <x v="388"/>
    <d v="2024-05-21T00:00:00"/>
    <x v="6"/>
    <x v="2"/>
    <x v="1"/>
    <x v="3278"/>
    <n v="12"/>
    <x v="1"/>
    <s v="Recovered"/>
    <x v="0"/>
    <x v="3"/>
    <s v="Card"/>
    <n v="7"/>
    <x v="3264"/>
    <s v="Yes"/>
    <x v="0"/>
  </r>
  <r>
    <x v="3280"/>
    <x v="31"/>
    <x v="0"/>
    <x v="0"/>
    <x v="151"/>
    <d v="2025-02-13T00:00:00"/>
    <x v="8"/>
    <x v="6"/>
    <x v="1"/>
    <x v="3279"/>
    <n v="20"/>
    <x v="1"/>
    <s v="Recovered"/>
    <x v="0"/>
    <x v="1"/>
    <s v="Cash"/>
    <n v="4"/>
    <x v="3265"/>
    <s v="Yes"/>
    <x v="0"/>
  </r>
  <r>
    <x v="3281"/>
    <x v="36"/>
    <x v="0"/>
    <x v="0"/>
    <x v="158"/>
    <d v="2023-06-13T00:00:00"/>
    <x v="5"/>
    <x v="4"/>
    <x v="1"/>
    <x v="3280"/>
    <n v="8"/>
    <x v="0"/>
    <s v="Under Observation"/>
    <x v="1"/>
    <x v="0"/>
    <s v="Cash"/>
    <n v="7"/>
    <x v="3266"/>
    <s v="Yes"/>
    <x v="0"/>
  </r>
  <r>
    <x v="3282"/>
    <x v="21"/>
    <x v="1"/>
    <x v="3"/>
    <x v="764"/>
    <d v="2023-03-11T00:00:00"/>
    <x v="5"/>
    <x v="4"/>
    <x v="5"/>
    <x v="3281"/>
    <n v="5"/>
    <x v="1"/>
    <s v="Recovered"/>
    <x v="2"/>
    <x v="2"/>
    <s v="Card"/>
    <n v="14"/>
    <x v="3267"/>
    <s v="No"/>
    <x v="0"/>
  </r>
  <r>
    <x v="3283"/>
    <x v="5"/>
    <x v="0"/>
    <x v="1"/>
    <x v="533"/>
    <d v="2025-03-14T00:00:00"/>
    <x v="9"/>
    <x v="5"/>
    <x v="2"/>
    <x v="3282"/>
    <n v="12"/>
    <x v="1"/>
    <s v="Under Observation"/>
    <x v="2"/>
    <x v="0"/>
    <s v="Card"/>
    <n v="4"/>
    <x v="3268"/>
    <s v="Yes"/>
    <x v="0"/>
  </r>
  <r>
    <x v="3284"/>
    <x v="49"/>
    <x v="1"/>
    <x v="0"/>
    <x v="411"/>
    <d v="2025-05-24T00:00:00"/>
    <x v="6"/>
    <x v="2"/>
    <x v="6"/>
    <x v="3283"/>
    <n v="7"/>
    <x v="1"/>
    <s v="Recovered"/>
    <x v="0"/>
    <x v="1"/>
    <s v="UPI"/>
    <n v="3"/>
    <x v="3269"/>
    <s v="Yes"/>
    <x v="0"/>
  </r>
  <r>
    <x v="3285"/>
    <x v="23"/>
    <x v="0"/>
    <x v="1"/>
    <x v="425"/>
    <d v="2023-04-25T00:00:00"/>
    <x v="3"/>
    <x v="0"/>
    <x v="3"/>
    <x v="3284"/>
    <n v="17"/>
    <x v="0"/>
    <s v="Under Observation"/>
    <x v="0"/>
    <x v="0"/>
    <s v="Card"/>
    <n v="4"/>
    <x v="3270"/>
    <s v="Yes"/>
    <x v="0"/>
  </r>
  <r>
    <x v="3286"/>
    <x v="39"/>
    <x v="0"/>
    <x v="6"/>
    <x v="605"/>
    <d v="2025-03-11T00:00:00"/>
    <x v="9"/>
    <x v="5"/>
    <x v="6"/>
    <x v="3285"/>
    <n v="6"/>
    <x v="0"/>
    <s v="Recovered"/>
    <x v="2"/>
    <x v="2"/>
    <s v="Cash"/>
    <n v="14"/>
    <x v="3271"/>
    <s v="Yes"/>
    <x v="0"/>
  </r>
  <r>
    <x v="3287"/>
    <x v="1"/>
    <x v="1"/>
    <x v="1"/>
    <x v="679"/>
    <d v="2025-04-24T00:00:00"/>
    <x v="8"/>
    <x v="6"/>
    <x v="6"/>
    <x v="3286"/>
    <n v="18"/>
    <x v="0"/>
    <s v="Recovered"/>
    <x v="0"/>
    <x v="1"/>
    <s v="Card"/>
    <n v="14"/>
    <x v="3272"/>
    <s v="No"/>
    <x v="0"/>
  </r>
  <r>
    <x v="3288"/>
    <x v="9"/>
    <x v="1"/>
    <x v="0"/>
    <x v="57"/>
    <d v="2023-06-24T00:00:00"/>
    <x v="1"/>
    <x v="1"/>
    <x v="3"/>
    <x v="3287"/>
    <n v="14"/>
    <x v="1"/>
    <s v="Recovered"/>
    <x v="0"/>
    <x v="0"/>
    <s v="Cash"/>
    <n v="13"/>
    <x v="3273"/>
    <s v="No"/>
    <x v="0"/>
  </r>
  <r>
    <x v="3289"/>
    <x v="38"/>
    <x v="1"/>
    <x v="3"/>
    <x v="73"/>
    <d v="2024-11-03T00:00:00"/>
    <x v="2"/>
    <x v="2"/>
    <x v="7"/>
    <x v="3288"/>
    <n v="11"/>
    <x v="0"/>
    <s v="Recovered"/>
    <x v="0"/>
    <x v="3"/>
    <s v="Insurance"/>
    <n v="9"/>
    <x v="3274"/>
    <s v="Yes"/>
    <x v="0"/>
  </r>
  <r>
    <x v="3290"/>
    <x v="24"/>
    <x v="0"/>
    <x v="0"/>
    <x v="35"/>
    <d v="2025-02-14T00:00:00"/>
    <x v="4"/>
    <x v="3"/>
    <x v="5"/>
    <x v="3289"/>
    <n v="10"/>
    <x v="0"/>
    <s v="Recovered"/>
    <x v="2"/>
    <x v="2"/>
    <s v="UPI"/>
    <n v="8"/>
    <x v="3275"/>
    <s v="No"/>
    <x v="0"/>
  </r>
  <r>
    <x v="3291"/>
    <x v="31"/>
    <x v="1"/>
    <x v="1"/>
    <x v="64"/>
    <d v="2023-09-17T00:00:00"/>
    <x v="6"/>
    <x v="2"/>
    <x v="5"/>
    <x v="3290"/>
    <n v="5"/>
    <x v="1"/>
    <s v="Recovered"/>
    <x v="1"/>
    <x v="0"/>
    <s v="UPI"/>
    <n v="1"/>
    <x v="3276"/>
    <s v="Yes"/>
    <x v="1"/>
  </r>
  <r>
    <x v="3292"/>
    <x v="42"/>
    <x v="1"/>
    <x v="0"/>
    <x v="680"/>
    <d v="2023-10-08T00:00:00"/>
    <x v="5"/>
    <x v="4"/>
    <x v="1"/>
    <x v="3291"/>
    <n v="20"/>
    <x v="1"/>
    <s v="Recovered"/>
    <x v="1"/>
    <x v="1"/>
    <s v="Card"/>
    <n v="14"/>
    <x v="3277"/>
    <s v="Yes"/>
    <x v="0"/>
  </r>
  <r>
    <x v="3293"/>
    <x v="51"/>
    <x v="0"/>
    <x v="2"/>
    <x v="339"/>
    <d v="2023-05-09T00:00:00"/>
    <x v="1"/>
    <x v="1"/>
    <x v="5"/>
    <x v="3292"/>
    <n v="4"/>
    <x v="1"/>
    <s v="Referred"/>
    <x v="1"/>
    <x v="3"/>
    <s v="Cash"/>
    <n v="4"/>
    <x v="3278"/>
    <s v="Yes"/>
    <x v="0"/>
  </r>
  <r>
    <x v="3294"/>
    <x v="41"/>
    <x v="0"/>
    <x v="4"/>
    <x v="109"/>
    <d v="2023-02-24T00:00:00"/>
    <x v="5"/>
    <x v="4"/>
    <x v="0"/>
    <x v="3293"/>
    <n v="17"/>
    <x v="0"/>
    <s v="Recovered"/>
    <x v="2"/>
    <x v="0"/>
    <s v="UPI"/>
    <n v="13"/>
    <x v="3279"/>
    <s v="No"/>
    <x v="0"/>
  </r>
  <r>
    <x v="3295"/>
    <x v="5"/>
    <x v="0"/>
    <x v="2"/>
    <x v="320"/>
    <d v="2024-09-03T00:00:00"/>
    <x v="1"/>
    <x v="1"/>
    <x v="1"/>
    <x v="3294"/>
    <n v="11"/>
    <x v="1"/>
    <s v="Under Observation"/>
    <x v="0"/>
    <x v="2"/>
    <s v="UPI"/>
    <n v="13"/>
    <x v="3280"/>
    <s v="Yes"/>
    <x v="0"/>
  </r>
  <r>
    <x v="3296"/>
    <x v="61"/>
    <x v="1"/>
    <x v="3"/>
    <x v="8"/>
    <d v="2023-03-10T00:00:00"/>
    <x v="8"/>
    <x v="6"/>
    <x v="3"/>
    <x v="3295"/>
    <n v="18"/>
    <x v="0"/>
    <s v="Recovered"/>
    <x v="1"/>
    <x v="3"/>
    <s v="Cash"/>
    <n v="1"/>
    <x v="3281"/>
    <s v="Yes"/>
    <x v="0"/>
  </r>
  <r>
    <x v="3297"/>
    <x v="45"/>
    <x v="0"/>
    <x v="7"/>
    <x v="115"/>
    <d v="2023-06-21T00:00:00"/>
    <x v="1"/>
    <x v="1"/>
    <x v="2"/>
    <x v="3296"/>
    <n v="9"/>
    <x v="1"/>
    <s v="Recovered"/>
    <x v="2"/>
    <x v="3"/>
    <s v="Cash"/>
    <n v="13"/>
    <x v="3282"/>
    <s v="Yes"/>
    <x v="0"/>
  </r>
  <r>
    <x v="3298"/>
    <x v="9"/>
    <x v="1"/>
    <x v="6"/>
    <x v="959"/>
    <d v="2024-07-19T00:00:00"/>
    <x v="5"/>
    <x v="4"/>
    <x v="3"/>
    <x v="3297"/>
    <n v="25"/>
    <x v="1"/>
    <s v="Recovered"/>
    <x v="0"/>
    <x v="2"/>
    <s v="Cash"/>
    <n v="9"/>
    <x v="3283"/>
    <s v="Yes"/>
    <x v="0"/>
  </r>
  <r>
    <x v="3299"/>
    <x v="46"/>
    <x v="0"/>
    <x v="1"/>
    <x v="837"/>
    <d v="2023-02-26T00:00:00"/>
    <x v="1"/>
    <x v="1"/>
    <x v="1"/>
    <x v="3298"/>
    <n v="4"/>
    <x v="0"/>
    <s v="Recovered"/>
    <x v="0"/>
    <x v="1"/>
    <s v="Insurance"/>
    <n v="12"/>
    <x v="3284"/>
    <s v="No"/>
    <x v="0"/>
  </r>
  <r>
    <x v="3300"/>
    <x v="66"/>
    <x v="1"/>
    <x v="1"/>
    <x v="227"/>
    <d v="2024-09-20T00:00:00"/>
    <x v="1"/>
    <x v="1"/>
    <x v="6"/>
    <x v="3299"/>
    <n v="12"/>
    <x v="0"/>
    <s v="Recovered"/>
    <x v="1"/>
    <x v="1"/>
    <s v="UPI"/>
    <n v="6"/>
    <x v="3285"/>
    <s v="No"/>
    <x v="0"/>
  </r>
  <r>
    <x v="3301"/>
    <x v="45"/>
    <x v="1"/>
    <x v="6"/>
    <x v="862"/>
    <d v="2023-02-18T00:00:00"/>
    <x v="7"/>
    <x v="5"/>
    <x v="4"/>
    <x v="3300"/>
    <n v="12"/>
    <x v="1"/>
    <s v="Deceased"/>
    <x v="2"/>
    <x v="3"/>
    <s v="Card"/>
    <n v="3"/>
    <x v="3286"/>
    <s v="No"/>
    <x v="0"/>
  </r>
  <r>
    <x v="3302"/>
    <x v="66"/>
    <x v="0"/>
    <x v="6"/>
    <x v="224"/>
    <d v="2023-10-27T00:00:00"/>
    <x v="8"/>
    <x v="6"/>
    <x v="3"/>
    <x v="3301"/>
    <n v="18"/>
    <x v="0"/>
    <s v="Under Observation"/>
    <x v="0"/>
    <x v="1"/>
    <s v="Card"/>
    <n v="10"/>
    <x v="3287"/>
    <s v="No"/>
    <x v="0"/>
  </r>
  <r>
    <x v="3303"/>
    <x v="13"/>
    <x v="0"/>
    <x v="7"/>
    <x v="186"/>
    <d v="2023-03-28T00:00:00"/>
    <x v="5"/>
    <x v="4"/>
    <x v="4"/>
    <x v="3302"/>
    <n v="14"/>
    <x v="0"/>
    <s v="Deceased"/>
    <x v="2"/>
    <x v="1"/>
    <s v="UPI"/>
    <n v="13"/>
    <x v="3288"/>
    <s v="No"/>
    <x v="0"/>
  </r>
  <r>
    <x v="3304"/>
    <x v="44"/>
    <x v="1"/>
    <x v="6"/>
    <x v="41"/>
    <d v="2023-09-01T00:00:00"/>
    <x v="9"/>
    <x v="5"/>
    <x v="0"/>
    <x v="3303"/>
    <n v="13"/>
    <x v="0"/>
    <s v="Recovered"/>
    <x v="0"/>
    <x v="1"/>
    <s v="Insurance"/>
    <n v="14"/>
    <x v="3289"/>
    <s v="No"/>
    <x v="0"/>
  </r>
  <r>
    <x v="3305"/>
    <x v="48"/>
    <x v="1"/>
    <x v="6"/>
    <x v="621"/>
    <d v="2024-12-21T00:00:00"/>
    <x v="5"/>
    <x v="4"/>
    <x v="2"/>
    <x v="3304"/>
    <n v="12"/>
    <x v="0"/>
    <s v="Recovered"/>
    <x v="1"/>
    <x v="0"/>
    <s v="Insurance"/>
    <n v="15"/>
    <x v="3290"/>
    <s v="No"/>
    <x v="1"/>
  </r>
  <r>
    <x v="3306"/>
    <x v="37"/>
    <x v="1"/>
    <x v="6"/>
    <x v="89"/>
    <d v="2025-06-27T00:00:00"/>
    <x v="1"/>
    <x v="1"/>
    <x v="7"/>
    <x v="3305"/>
    <n v="12"/>
    <x v="0"/>
    <s v="Recovered"/>
    <x v="1"/>
    <x v="3"/>
    <s v="Card"/>
    <n v="3"/>
    <x v="3291"/>
    <s v="No"/>
    <x v="0"/>
  </r>
  <r>
    <x v="3307"/>
    <x v="12"/>
    <x v="1"/>
    <x v="3"/>
    <x v="782"/>
    <d v="2025-05-12T00:00:00"/>
    <x v="9"/>
    <x v="5"/>
    <x v="5"/>
    <x v="3306"/>
    <n v="10"/>
    <x v="0"/>
    <s v="Recovered"/>
    <x v="1"/>
    <x v="2"/>
    <s v="UPI"/>
    <n v="1"/>
    <x v="3292"/>
    <s v="No"/>
    <x v="0"/>
  </r>
  <r>
    <x v="3308"/>
    <x v="23"/>
    <x v="1"/>
    <x v="3"/>
    <x v="32"/>
    <d v="2023-03-17T00:00:00"/>
    <x v="0"/>
    <x v="0"/>
    <x v="1"/>
    <x v="3307"/>
    <n v="6"/>
    <x v="1"/>
    <s v="Recovered"/>
    <x v="1"/>
    <x v="1"/>
    <s v="Card"/>
    <n v="2"/>
    <x v="3293"/>
    <s v="Yes"/>
    <x v="0"/>
  </r>
  <r>
    <x v="3309"/>
    <x v="15"/>
    <x v="1"/>
    <x v="7"/>
    <x v="103"/>
    <d v="2024-04-10T00:00:00"/>
    <x v="7"/>
    <x v="5"/>
    <x v="6"/>
    <x v="3308"/>
    <n v="17"/>
    <x v="0"/>
    <s v="Recovered"/>
    <x v="0"/>
    <x v="3"/>
    <s v="UPI"/>
    <n v="12"/>
    <x v="3294"/>
    <s v="No"/>
    <x v="0"/>
  </r>
  <r>
    <x v="3310"/>
    <x v="68"/>
    <x v="1"/>
    <x v="2"/>
    <x v="315"/>
    <d v="2024-11-23T00:00:00"/>
    <x v="4"/>
    <x v="3"/>
    <x v="4"/>
    <x v="3309"/>
    <n v="7"/>
    <x v="1"/>
    <s v="Under Observation"/>
    <x v="2"/>
    <x v="1"/>
    <s v="Card"/>
    <n v="12"/>
    <x v="3295"/>
    <s v="No"/>
    <x v="0"/>
  </r>
  <r>
    <x v="3311"/>
    <x v="25"/>
    <x v="1"/>
    <x v="1"/>
    <x v="94"/>
    <d v="2023-01-28T00:00:00"/>
    <x v="1"/>
    <x v="1"/>
    <x v="7"/>
    <x v="3310"/>
    <n v="19"/>
    <x v="0"/>
    <s v="Recovered"/>
    <x v="1"/>
    <x v="3"/>
    <s v="Insurance"/>
    <n v="3"/>
    <x v="3296"/>
    <s v="No"/>
    <x v="1"/>
  </r>
  <r>
    <x v="3312"/>
    <x v="20"/>
    <x v="1"/>
    <x v="7"/>
    <x v="403"/>
    <d v="2025-09-22T00:00:00"/>
    <x v="6"/>
    <x v="2"/>
    <x v="6"/>
    <x v="3311"/>
    <n v="6"/>
    <x v="1"/>
    <s v="Recovered"/>
    <x v="1"/>
    <x v="3"/>
    <s v="Insurance"/>
    <n v="6"/>
    <x v="3297"/>
    <s v="Yes"/>
    <x v="0"/>
  </r>
  <r>
    <x v="3313"/>
    <x v="44"/>
    <x v="0"/>
    <x v="1"/>
    <x v="103"/>
    <d v="2024-03-28T00:00:00"/>
    <x v="3"/>
    <x v="0"/>
    <x v="6"/>
    <x v="3312"/>
    <n v="4"/>
    <x v="0"/>
    <s v="Recovered"/>
    <x v="1"/>
    <x v="3"/>
    <s v="Insurance"/>
    <n v="8"/>
    <x v="3298"/>
    <s v="No"/>
    <x v="0"/>
  </r>
  <r>
    <x v="3314"/>
    <x v="67"/>
    <x v="1"/>
    <x v="6"/>
    <x v="403"/>
    <d v="2025-09-24T00:00:00"/>
    <x v="1"/>
    <x v="1"/>
    <x v="1"/>
    <x v="3313"/>
    <n v="8"/>
    <x v="0"/>
    <s v="Recovered"/>
    <x v="1"/>
    <x v="3"/>
    <s v="Insurance"/>
    <n v="4"/>
    <x v="3299"/>
    <s v="No"/>
    <x v="0"/>
  </r>
  <r>
    <x v="3315"/>
    <x v="41"/>
    <x v="1"/>
    <x v="4"/>
    <x v="121"/>
    <d v="2023-05-27T00:00:00"/>
    <x v="6"/>
    <x v="2"/>
    <x v="3"/>
    <x v="3314"/>
    <n v="20"/>
    <x v="1"/>
    <s v="Under Observation"/>
    <x v="2"/>
    <x v="1"/>
    <s v="Cash"/>
    <n v="4"/>
    <x v="3300"/>
    <s v="No"/>
    <x v="0"/>
  </r>
  <r>
    <x v="3316"/>
    <x v="31"/>
    <x v="1"/>
    <x v="6"/>
    <x v="669"/>
    <d v="2025-10-14T00:00:00"/>
    <x v="2"/>
    <x v="2"/>
    <x v="5"/>
    <x v="3315"/>
    <n v="18"/>
    <x v="0"/>
    <s v="Recovered"/>
    <x v="2"/>
    <x v="0"/>
    <s v="Card"/>
    <n v="3"/>
    <x v="3301"/>
    <s v="No"/>
    <x v="0"/>
  </r>
  <r>
    <x v="3317"/>
    <x v="50"/>
    <x v="0"/>
    <x v="6"/>
    <x v="445"/>
    <d v="2025-07-09T00:00:00"/>
    <x v="5"/>
    <x v="4"/>
    <x v="6"/>
    <x v="3316"/>
    <n v="11"/>
    <x v="0"/>
    <s v="Recovered"/>
    <x v="2"/>
    <x v="2"/>
    <s v="UPI"/>
    <n v="13"/>
    <x v="3302"/>
    <s v="Yes"/>
    <x v="0"/>
  </r>
  <r>
    <x v="3318"/>
    <x v="30"/>
    <x v="1"/>
    <x v="6"/>
    <x v="655"/>
    <d v="2024-09-09T00:00:00"/>
    <x v="6"/>
    <x v="2"/>
    <x v="6"/>
    <x v="3317"/>
    <n v="25"/>
    <x v="0"/>
    <s v="Under Observation"/>
    <x v="0"/>
    <x v="2"/>
    <s v="Card"/>
    <n v="15"/>
    <x v="3303"/>
    <s v="No"/>
    <x v="0"/>
  </r>
  <r>
    <x v="3319"/>
    <x v="43"/>
    <x v="1"/>
    <x v="1"/>
    <x v="451"/>
    <d v="2024-11-21T00:00:00"/>
    <x v="0"/>
    <x v="0"/>
    <x v="6"/>
    <x v="3318"/>
    <n v="11"/>
    <x v="0"/>
    <s v="Recovered"/>
    <x v="1"/>
    <x v="3"/>
    <s v="UPI"/>
    <n v="8"/>
    <x v="3304"/>
    <s v="Yes"/>
    <x v="0"/>
  </r>
  <r>
    <x v="3320"/>
    <x v="61"/>
    <x v="0"/>
    <x v="5"/>
    <x v="135"/>
    <d v="2024-10-08T00:00:00"/>
    <x v="7"/>
    <x v="5"/>
    <x v="2"/>
    <x v="3319"/>
    <n v="1"/>
    <x v="0"/>
    <s v="Recovered"/>
    <x v="1"/>
    <x v="1"/>
    <s v="UPI"/>
    <n v="3"/>
    <x v="3305"/>
    <s v="Yes"/>
    <x v="0"/>
  </r>
  <r>
    <x v="3321"/>
    <x v="62"/>
    <x v="1"/>
    <x v="7"/>
    <x v="960"/>
    <d v="2024-07-05T00:00:00"/>
    <x v="7"/>
    <x v="5"/>
    <x v="1"/>
    <x v="3320"/>
    <n v="6"/>
    <x v="0"/>
    <s v="Recovered"/>
    <x v="0"/>
    <x v="1"/>
    <s v="Cash"/>
    <n v="7"/>
    <x v="3306"/>
    <s v="Yes"/>
    <x v="0"/>
  </r>
  <r>
    <x v="3322"/>
    <x v="16"/>
    <x v="1"/>
    <x v="0"/>
    <x v="507"/>
    <d v="2025-06-04T00:00:00"/>
    <x v="7"/>
    <x v="5"/>
    <x v="5"/>
    <x v="3321"/>
    <n v="6"/>
    <x v="1"/>
    <s v="Recovered"/>
    <x v="2"/>
    <x v="1"/>
    <s v="Card"/>
    <n v="5"/>
    <x v="3307"/>
    <s v="No"/>
    <x v="0"/>
  </r>
  <r>
    <x v="3323"/>
    <x v="10"/>
    <x v="1"/>
    <x v="3"/>
    <x v="584"/>
    <d v="2024-10-17T00:00:00"/>
    <x v="3"/>
    <x v="0"/>
    <x v="6"/>
    <x v="3322"/>
    <n v="17"/>
    <x v="1"/>
    <s v="Recovered"/>
    <x v="1"/>
    <x v="1"/>
    <s v="UPI"/>
    <n v="5"/>
    <x v="3308"/>
    <s v="No"/>
    <x v="0"/>
  </r>
  <r>
    <x v="3324"/>
    <x v="20"/>
    <x v="0"/>
    <x v="6"/>
    <x v="38"/>
    <d v="2025-06-16T00:00:00"/>
    <x v="3"/>
    <x v="0"/>
    <x v="3"/>
    <x v="3323"/>
    <n v="7"/>
    <x v="0"/>
    <s v="Recovered"/>
    <x v="2"/>
    <x v="3"/>
    <s v="Card"/>
    <n v="10"/>
    <x v="3309"/>
    <s v="No"/>
    <x v="0"/>
  </r>
  <r>
    <x v="3325"/>
    <x v="48"/>
    <x v="1"/>
    <x v="1"/>
    <x v="739"/>
    <d v="2024-02-29T00:00:00"/>
    <x v="4"/>
    <x v="3"/>
    <x v="7"/>
    <x v="3324"/>
    <n v="11"/>
    <x v="1"/>
    <s v="Recovered"/>
    <x v="2"/>
    <x v="1"/>
    <s v="Card"/>
    <n v="13"/>
    <x v="3310"/>
    <s v="Yes"/>
    <x v="0"/>
  </r>
  <r>
    <x v="3326"/>
    <x v="9"/>
    <x v="1"/>
    <x v="3"/>
    <x v="755"/>
    <d v="2023-04-30T00:00:00"/>
    <x v="7"/>
    <x v="5"/>
    <x v="5"/>
    <x v="3325"/>
    <n v="2"/>
    <x v="1"/>
    <s v="Recovered"/>
    <x v="1"/>
    <x v="1"/>
    <s v="Insurance"/>
    <n v="5"/>
    <x v="3311"/>
    <s v="Yes"/>
    <x v="0"/>
  </r>
  <r>
    <x v="3327"/>
    <x v="28"/>
    <x v="1"/>
    <x v="2"/>
    <x v="573"/>
    <d v="2024-12-24T00:00:00"/>
    <x v="4"/>
    <x v="3"/>
    <x v="3"/>
    <x v="3326"/>
    <n v="13"/>
    <x v="0"/>
    <s v="Under Observation"/>
    <x v="0"/>
    <x v="3"/>
    <s v="Card"/>
    <n v="11"/>
    <x v="3312"/>
    <s v="No"/>
    <x v="0"/>
  </r>
  <r>
    <x v="3328"/>
    <x v="51"/>
    <x v="1"/>
    <x v="2"/>
    <x v="135"/>
    <d v="2024-10-09T00:00:00"/>
    <x v="2"/>
    <x v="2"/>
    <x v="2"/>
    <x v="3327"/>
    <n v="2"/>
    <x v="0"/>
    <s v="Recovered"/>
    <x v="2"/>
    <x v="3"/>
    <s v="Card"/>
    <n v="15"/>
    <x v="3313"/>
    <s v="No"/>
    <x v="0"/>
  </r>
  <r>
    <x v="3329"/>
    <x v="8"/>
    <x v="0"/>
    <x v="0"/>
    <x v="884"/>
    <d v="2024-06-14T00:00:00"/>
    <x v="4"/>
    <x v="3"/>
    <x v="7"/>
    <x v="3328"/>
    <n v="2"/>
    <x v="1"/>
    <s v="Under Observation"/>
    <x v="0"/>
    <x v="3"/>
    <s v="UPI"/>
    <n v="8"/>
    <x v="3314"/>
    <s v="Yes"/>
    <x v="0"/>
  </r>
  <r>
    <x v="3330"/>
    <x v="43"/>
    <x v="0"/>
    <x v="7"/>
    <x v="194"/>
    <d v="2025-03-29T00:00:00"/>
    <x v="4"/>
    <x v="3"/>
    <x v="5"/>
    <x v="3329"/>
    <n v="1"/>
    <x v="1"/>
    <s v="Recovered"/>
    <x v="2"/>
    <x v="0"/>
    <s v="UPI"/>
    <n v="9"/>
    <x v="3315"/>
    <s v="No"/>
    <x v="0"/>
  </r>
  <r>
    <x v="3331"/>
    <x v="72"/>
    <x v="0"/>
    <x v="2"/>
    <x v="364"/>
    <d v="2024-04-23T00:00:00"/>
    <x v="1"/>
    <x v="1"/>
    <x v="0"/>
    <x v="3330"/>
    <n v="20"/>
    <x v="0"/>
    <s v="Recovered"/>
    <x v="2"/>
    <x v="3"/>
    <s v="Card"/>
    <n v="4"/>
    <x v="3316"/>
    <s v="Yes"/>
    <x v="0"/>
  </r>
  <r>
    <x v="3332"/>
    <x v="66"/>
    <x v="0"/>
    <x v="3"/>
    <x v="656"/>
    <d v="2024-10-16T00:00:00"/>
    <x v="3"/>
    <x v="0"/>
    <x v="4"/>
    <x v="3331"/>
    <n v="1"/>
    <x v="0"/>
    <s v="Recovered"/>
    <x v="0"/>
    <x v="3"/>
    <s v="Cash"/>
    <n v="1"/>
    <x v="3317"/>
    <s v="Yes"/>
    <x v="0"/>
  </r>
  <r>
    <x v="3333"/>
    <x v="17"/>
    <x v="0"/>
    <x v="4"/>
    <x v="247"/>
    <d v="2024-10-21T00:00:00"/>
    <x v="5"/>
    <x v="4"/>
    <x v="4"/>
    <x v="3332"/>
    <n v="4"/>
    <x v="1"/>
    <s v="Recovered"/>
    <x v="0"/>
    <x v="1"/>
    <s v="Cash"/>
    <n v="5"/>
    <x v="3318"/>
    <s v="Yes"/>
    <x v="1"/>
  </r>
  <r>
    <x v="3334"/>
    <x v="52"/>
    <x v="1"/>
    <x v="6"/>
    <x v="460"/>
    <d v="2024-06-28T00:00:00"/>
    <x v="0"/>
    <x v="0"/>
    <x v="4"/>
    <x v="3333"/>
    <n v="17"/>
    <x v="0"/>
    <s v="Referred"/>
    <x v="0"/>
    <x v="1"/>
    <s v="Cash"/>
    <n v="11"/>
    <x v="3319"/>
    <s v="Yes"/>
    <x v="0"/>
  </r>
  <r>
    <x v="3335"/>
    <x v="25"/>
    <x v="1"/>
    <x v="1"/>
    <x v="922"/>
    <d v="2023-12-06T00:00:00"/>
    <x v="9"/>
    <x v="5"/>
    <x v="1"/>
    <x v="3334"/>
    <n v="27"/>
    <x v="0"/>
    <s v="Recovered"/>
    <x v="0"/>
    <x v="2"/>
    <s v="UPI"/>
    <n v="13"/>
    <x v="3320"/>
    <s v="Yes"/>
    <x v="0"/>
  </r>
  <r>
    <x v="3336"/>
    <x v="5"/>
    <x v="0"/>
    <x v="4"/>
    <x v="367"/>
    <d v="2023-11-17T00:00:00"/>
    <x v="3"/>
    <x v="0"/>
    <x v="2"/>
    <x v="3335"/>
    <n v="25"/>
    <x v="1"/>
    <s v="Recovered"/>
    <x v="2"/>
    <x v="2"/>
    <s v="Insurance"/>
    <n v="2"/>
    <x v="3321"/>
    <s v="Yes"/>
    <x v="0"/>
  </r>
  <r>
    <x v="3337"/>
    <x v="33"/>
    <x v="1"/>
    <x v="3"/>
    <x v="215"/>
    <d v="2023-09-01T00:00:00"/>
    <x v="7"/>
    <x v="5"/>
    <x v="0"/>
    <x v="3336"/>
    <n v="3"/>
    <x v="0"/>
    <s v="Recovered"/>
    <x v="2"/>
    <x v="3"/>
    <s v="Insurance"/>
    <n v="12"/>
    <x v="3322"/>
    <s v="Yes"/>
    <x v="0"/>
  </r>
  <r>
    <x v="3338"/>
    <x v="29"/>
    <x v="1"/>
    <x v="7"/>
    <x v="319"/>
    <d v="2023-03-04T00:00:00"/>
    <x v="7"/>
    <x v="5"/>
    <x v="4"/>
    <x v="3337"/>
    <n v="13"/>
    <x v="0"/>
    <s v="Recovered"/>
    <x v="1"/>
    <x v="1"/>
    <s v="UPI"/>
    <n v="13"/>
    <x v="3323"/>
    <s v="No"/>
    <x v="1"/>
  </r>
  <r>
    <x v="3339"/>
    <x v="15"/>
    <x v="1"/>
    <x v="0"/>
    <x v="336"/>
    <d v="2023-06-09T00:00:00"/>
    <x v="3"/>
    <x v="0"/>
    <x v="6"/>
    <x v="3338"/>
    <n v="13"/>
    <x v="1"/>
    <s v="Recovered"/>
    <x v="2"/>
    <x v="1"/>
    <s v="Card"/>
    <n v="7"/>
    <x v="3324"/>
    <s v="Yes"/>
    <x v="1"/>
  </r>
  <r>
    <x v="3340"/>
    <x v="8"/>
    <x v="0"/>
    <x v="2"/>
    <x v="390"/>
    <d v="2023-11-10T00:00:00"/>
    <x v="3"/>
    <x v="0"/>
    <x v="3"/>
    <x v="3339"/>
    <n v="11"/>
    <x v="1"/>
    <s v="Recovered"/>
    <x v="2"/>
    <x v="2"/>
    <s v="UPI"/>
    <n v="4"/>
    <x v="3325"/>
    <s v="Yes"/>
    <x v="0"/>
  </r>
  <r>
    <x v="3341"/>
    <x v="30"/>
    <x v="0"/>
    <x v="1"/>
    <x v="137"/>
    <d v="2024-06-02T00:00:00"/>
    <x v="6"/>
    <x v="2"/>
    <x v="2"/>
    <x v="3340"/>
    <n v="13"/>
    <x v="0"/>
    <s v="Recovered"/>
    <x v="1"/>
    <x v="0"/>
    <s v="Cash"/>
    <n v="2"/>
    <x v="3326"/>
    <s v="No"/>
    <x v="0"/>
  </r>
  <r>
    <x v="3342"/>
    <x v="37"/>
    <x v="1"/>
    <x v="4"/>
    <x v="277"/>
    <d v="2025-02-27T00:00:00"/>
    <x v="6"/>
    <x v="2"/>
    <x v="6"/>
    <x v="3341"/>
    <n v="14"/>
    <x v="0"/>
    <s v="Recovered"/>
    <x v="1"/>
    <x v="1"/>
    <s v="Card"/>
    <n v="1"/>
    <x v="3327"/>
    <s v="Yes"/>
    <x v="0"/>
  </r>
  <r>
    <x v="3343"/>
    <x v="5"/>
    <x v="0"/>
    <x v="7"/>
    <x v="261"/>
    <d v="2023-09-03T00:00:00"/>
    <x v="9"/>
    <x v="5"/>
    <x v="1"/>
    <x v="3342"/>
    <n v="13"/>
    <x v="0"/>
    <s v="Recovered"/>
    <x v="2"/>
    <x v="3"/>
    <s v="Card"/>
    <n v="15"/>
    <x v="3328"/>
    <s v="No"/>
    <x v="1"/>
  </r>
  <r>
    <x v="3344"/>
    <x v="62"/>
    <x v="1"/>
    <x v="0"/>
    <x v="946"/>
    <d v="2025-03-31T00:00:00"/>
    <x v="7"/>
    <x v="5"/>
    <x v="5"/>
    <x v="3343"/>
    <n v="20"/>
    <x v="1"/>
    <s v="Referred"/>
    <x v="2"/>
    <x v="2"/>
    <s v="Card"/>
    <n v="1"/>
    <x v="3329"/>
    <s v="Yes"/>
    <x v="0"/>
  </r>
  <r>
    <x v="3345"/>
    <x v="38"/>
    <x v="0"/>
    <x v="5"/>
    <x v="508"/>
    <d v="2024-05-05T00:00:00"/>
    <x v="3"/>
    <x v="0"/>
    <x v="5"/>
    <x v="3344"/>
    <n v="11"/>
    <x v="0"/>
    <s v="Recovered"/>
    <x v="1"/>
    <x v="0"/>
    <s v="Card"/>
    <n v="2"/>
    <x v="3330"/>
    <s v="Yes"/>
    <x v="0"/>
  </r>
  <r>
    <x v="3346"/>
    <x v="24"/>
    <x v="0"/>
    <x v="6"/>
    <x v="331"/>
    <d v="2024-03-27T00:00:00"/>
    <x v="4"/>
    <x v="3"/>
    <x v="3"/>
    <x v="3345"/>
    <n v="1"/>
    <x v="0"/>
    <s v="Under Observation"/>
    <x v="1"/>
    <x v="0"/>
    <s v="Cash"/>
    <n v="14"/>
    <x v="3331"/>
    <s v="Yes"/>
    <x v="0"/>
  </r>
  <r>
    <x v="3347"/>
    <x v="59"/>
    <x v="0"/>
    <x v="0"/>
    <x v="177"/>
    <d v="2025-03-24T00:00:00"/>
    <x v="1"/>
    <x v="1"/>
    <x v="4"/>
    <x v="3346"/>
    <n v="11"/>
    <x v="1"/>
    <s v="Referred"/>
    <x v="0"/>
    <x v="0"/>
    <s v="Card"/>
    <n v="14"/>
    <x v="3332"/>
    <s v="Yes"/>
    <x v="0"/>
  </r>
  <r>
    <x v="3348"/>
    <x v="69"/>
    <x v="1"/>
    <x v="2"/>
    <x v="210"/>
    <d v="2023-12-15T00:00:00"/>
    <x v="1"/>
    <x v="1"/>
    <x v="0"/>
    <x v="3347"/>
    <n v="5"/>
    <x v="0"/>
    <s v="Recovered"/>
    <x v="0"/>
    <x v="0"/>
    <s v="UPI"/>
    <n v="15"/>
    <x v="3333"/>
    <s v="No"/>
    <x v="0"/>
  </r>
  <r>
    <x v="3349"/>
    <x v="42"/>
    <x v="1"/>
    <x v="0"/>
    <x v="435"/>
    <d v="2025-09-16T00:00:00"/>
    <x v="2"/>
    <x v="2"/>
    <x v="6"/>
    <x v="3348"/>
    <n v="9"/>
    <x v="0"/>
    <s v="Referred"/>
    <x v="0"/>
    <x v="0"/>
    <s v="Insurance"/>
    <n v="15"/>
    <x v="3334"/>
    <s v="Yes"/>
    <x v="1"/>
  </r>
  <r>
    <x v="3350"/>
    <x v="32"/>
    <x v="1"/>
    <x v="7"/>
    <x v="89"/>
    <d v="2025-06-22T00:00:00"/>
    <x v="1"/>
    <x v="1"/>
    <x v="3"/>
    <x v="3349"/>
    <n v="7"/>
    <x v="0"/>
    <s v="Recovered"/>
    <x v="1"/>
    <x v="0"/>
    <s v="UPI"/>
    <n v="14"/>
    <x v="3335"/>
    <s v="No"/>
    <x v="0"/>
  </r>
  <r>
    <x v="3351"/>
    <x v="66"/>
    <x v="0"/>
    <x v="5"/>
    <x v="659"/>
    <d v="2025-06-09T00:00:00"/>
    <x v="4"/>
    <x v="3"/>
    <x v="6"/>
    <x v="3350"/>
    <n v="5"/>
    <x v="0"/>
    <s v="Recovered"/>
    <x v="0"/>
    <x v="2"/>
    <s v="Insurance"/>
    <n v="2"/>
    <x v="3336"/>
    <s v="Yes"/>
    <x v="0"/>
  </r>
  <r>
    <x v="3352"/>
    <x v="17"/>
    <x v="1"/>
    <x v="0"/>
    <x v="961"/>
    <d v="2025-03-04T00:00:00"/>
    <x v="9"/>
    <x v="5"/>
    <x v="0"/>
    <x v="3351"/>
    <n v="11"/>
    <x v="1"/>
    <s v="Recovered"/>
    <x v="2"/>
    <x v="3"/>
    <s v="UPI"/>
    <n v="11"/>
    <x v="3337"/>
    <s v="Yes"/>
    <x v="0"/>
  </r>
  <r>
    <x v="3353"/>
    <x v="16"/>
    <x v="1"/>
    <x v="1"/>
    <x v="102"/>
    <d v="2023-07-28T00:00:00"/>
    <x v="8"/>
    <x v="6"/>
    <x v="3"/>
    <x v="3352"/>
    <n v="4"/>
    <x v="0"/>
    <s v="Recovered"/>
    <x v="0"/>
    <x v="3"/>
    <s v="Card"/>
    <n v="1"/>
    <x v="3338"/>
    <s v="Yes"/>
    <x v="0"/>
  </r>
  <r>
    <x v="3354"/>
    <x v="57"/>
    <x v="0"/>
    <x v="5"/>
    <x v="710"/>
    <d v="2024-05-03T00:00:00"/>
    <x v="0"/>
    <x v="0"/>
    <x v="3"/>
    <x v="3353"/>
    <n v="18"/>
    <x v="1"/>
    <s v="Recovered"/>
    <x v="2"/>
    <x v="1"/>
    <s v="Card"/>
    <n v="15"/>
    <x v="3339"/>
    <s v="Yes"/>
    <x v="0"/>
  </r>
  <r>
    <x v="3355"/>
    <x v="27"/>
    <x v="0"/>
    <x v="1"/>
    <x v="648"/>
    <d v="2023-07-15T00:00:00"/>
    <x v="3"/>
    <x v="0"/>
    <x v="1"/>
    <x v="3354"/>
    <n v="28"/>
    <x v="0"/>
    <s v="Recovered"/>
    <x v="2"/>
    <x v="2"/>
    <s v="Insurance"/>
    <n v="2"/>
    <x v="3340"/>
    <s v="No"/>
    <x v="0"/>
  </r>
  <r>
    <x v="3356"/>
    <x v="6"/>
    <x v="0"/>
    <x v="0"/>
    <x v="585"/>
    <d v="2024-11-30T00:00:00"/>
    <x v="8"/>
    <x v="6"/>
    <x v="7"/>
    <x v="3355"/>
    <n v="7"/>
    <x v="1"/>
    <s v="Recovered"/>
    <x v="2"/>
    <x v="2"/>
    <s v="Card"/>
    <n v="10"/>
    <x v="3341"/>
    <s v="Yes"/>
    <x v="0"/>
  </r>
  <r>
    <x v="3357"/>
    <x v="50"/>
    <x v="1"/>
    <x v="1"/>
    <x v="638"/>
    <d v="2023-11-06T00:00:00"/>
    <x v="3"/>
    <x v="0"/>
    <x v="0"/>
    <x v="3356"/>
    <n v="24"/>
    <x v="1"/>
    <s v="Recovered"/>
    <x v="2"/>
    <x v="2"/>
    <s v="Cash"/>
    <n v="6"/>
    <x v="3342"/>
    <s v="Yes"/>
    <x v="0"/>
  </r>
  <r>
    <x v="3358"/>
    <x v="68"/>
    <x v="1"/>
    <x v="6"/>
    <x v="117"/>
    <d v="2023-01-15T00:00:00"/>
    <x v="8"/>
    <x v="6"/>
    <x v="6"/>
    <x v="3357"/>
    <n v="14"/>
    <x v="1"/>
    <s v="Recovered"/>
    <x v="2"/>
    <x v="0"/>
    <s v="Card"/>
    <n v="2"/>
    <x v="3343"/>
    <s v="No"/>
    <x v="0"/>
  </r>
  <r>
    <x v="3359"/>
    <x v="50"/>
    <x v="0"/>
    <x v="6"/>
    <x v="411"/>
    <d v="2025-06-03T00:00:00"/>
    <x v="0"/>
    <x v="0"/>
    <x v="7"/>
    <x v="3358"/>
    <n v="17"/>
    <x v="1"/>
    <s v="Recovered"/>
    <x v="2"/>
    <x v="0"/>
    <s v="Insurance"/>
    <n v="11"/>
    <x v="3344"/>
    <s v="No"/>
    <x v="1"/>
  </r>
  <r>
    <x v="3360"/>
    <x v="17"/>
    <x v="0"/>
    <x v="5"/>
    <x v="622"/>
    <d v="2024-10-26T00:00:00"/>
    <x v="6"/>
    <x v="2"/>
    <x v="1"/>
    <x v="3359"/>
    <n v="13"/>
    <x v="0"/>
    <s v="Under Observation"/>
    <x v="2"/>
    <x v="2"/>
    <s v="Cash"/>
    <n v="4"/>
    <x v="3345"/>
    <s v="No"/>
    <x v="0"/>
  </r>
  <r>
    <x v="3361"/>
    <x v="27"/>
    <x v="0"/>
    <x v="0"/>
    <x v="195"/>
    <d v="2023-03-01T00:00:00"/>
    <x v="3"/>
    <x v="0"/>
    <x v="3"/>
    <x v="3360"/>
    <n v="12"/>
    <x v="1"/>
    <s v="Deceased"/>
    <x v="2"/>
    <x v="2"/>
    <s v="Cash"/>
    <n v="9"/>
    <x v="3346"/>
    <s v="No"/>
    <x v="0"/>
  </r>
  <r>
    <x v="3362"/>
    <x v="1"/>
    <x v="1"/>
    <x v="1"/>
    <x v="442"/>
    <d v="2024-02-22T00:00:00"/>
    <x v="2"/>
    <x v="2"/>
    <x v="6"/>
    <x v="3361"/>
    <n v="6"/>
    <x v="1"/>
    <s v="Recovered"/>
    <x v="0"/>
    <x v="1"/>
    <s v="Insurance"/>
    <n v="4"/>
    <x v="3347"/>
    <s v="Yes"/>
    <x v="1"/>
  </r>
  <r>
    <x v="3363"/>
    <x v="49"/>
    <x v="1"/>
    <x v="2"/>
    <x v="956"/>
    <d v="2023-07-01T00:00:00"/>
    <x v="0"/>
    <x v="0"/>
    <x v="7"/>
    <x v="3362"/>
    <n v="22"/>
    <x v="1"/>
    <s v="Under Observation"/>
    <x v="0"/>
    <x v="2"/>
    <s v="Insurance"/>
    <n v="7"/>
    <x v="3348"/>
    <s v="Yes"/>
    <x v="0"/>
  </r>
  <r>
    <x v="3364"/>
    <x v="8"/>
    <x v="1"/>
    <x v="1"/>
    <x v="210"/>
    <d v="2023-12-23T00:00:00"/>
    <x v="9"/>
    <x v="5"/>
    <x v="1"/>
    <x v="3363"/>
    <n v="13"/>
    <x v="0"/>
    <s v="Recovered"/>
    <x v="1"/>
    <x v="1"/>
    <s v="UPI"/>
    <n v="1"/>
    <x v="3349"/>
    <s v="Yes"/>
    <x v="0"/>
  </r>
  <r>
    <x v="3365"/>
    <x v="60"/>
    <x v="0"/>
    <x v="2"/>
    <x v="208"/>
    <d v="2023-02-15T00:00:00"/>
    <x v="5"/>
    <x v="4"/>
    <x v="0"/>
    <x v="3364"/>
    <n v="1"/>
    <x v="0"/>
    <s v="Deceased"/>
    <x v="2"/>
    <x v="3"/>
    <s v="Insurance"/>
    <n v="6"/>
    <x v="3350"/>
    <s v="No"/>
    <x v="0"/>
  </r>
  <r>
    <x v="3366"/>
    <x v="61"/>
    <x v="0"/>
    <x v="2"/>
    <x v="576"/>
    <d v="2025-05-23T00:00:00"/>
    <x v="1"/>
    <x v="1"/>
    <x v="2"/>
    <x v="3365"/>
    <n v="4"/>
    <x v="1"/>
    <s v="Under Observation"/>
    <x v="0"/>
    <x v="3"/>
    <s v="Insurance"/>
    <n v="6"/>
    <x v="3351"/>
    <s v="No"/>
    <x v="0"/>
  </r>
  <r>
    <x v="3367"/>
    <x v="70"/>
    <x v="0"/>
    <x v="4"/>
    <x v="962"/>
    <d v="2025-04-24T00:00:00"/>
    <x v="8"/>
    <x v="6"/>
    <x v="4"/>
    <x v="3366"/>
    <n v="20"/>
    <x v="0"/>
    <s v="Recovered"/>
    <x v="2"/>
    <x v="3"/>
    <s v="UPI"/>
    <n v="11"/>
    <x v="3352"/>
    <s v="No"/>
    <x v="0"/>
  </r>
  <r>
    <x v="3368"/>
    <x v="17"/>
    <x v="0"/>
    <x v="6"/>
    <x v="509"/>
    <d v="2024-05-01T00:00:00"/>
    <x v="9"/>
    <x v="5"/>
    <x v="5"/>
    <x v="3367"/>
    <n v="4"/>
    <x v="1"/>
    <s v="Recovered"/>
    <x v="2"/>
    <x v="0"/>
    <s v="Card"/>
    <n v="12"/>
    <x v="3353"/>
    <s v="Yes"/>
    <x v="0"/>
  </r>
  <r>
    <x v="3369"/>
    <x v="4"/>
    <x v="1"/>
    <x v="4"/>
    <x v="659"/>
    <d v="2025-06-19T00:00:00"/>
    <x v="1"/>
    <x v="1"/>
    <x v="6"/>
    <x v="3368"/>
    <n v="15"/>
    <x v="0"/>
    <s v="Recovered"/>
    <x v="1"/>
    <x v="2"/>
    <s v="Card"/>
    <n v="15"/>
    <x v="3354"/>
    <s v="Yes"/>
    <x v="0"/>
  </r>
  <r>
    <x v="3370"/>
    <x v="39"/>
    <x v="1"/>
    <x v="1"/>
    <x v="67"/>
    <d v="2023-02-14T00:00:00"/>
    <x v="3"/>
    <x v="0"/>
    <x v="4"/>
    <x v="3369"/>
    <n v="20"/>
    <x v="1"/>
    <s v="Referred"/>
    <x v="1"/>
    <x v="2"/>
    <s v="UPI"/>
    <n v="15"/>
    <x v="3355"/>
    <s v="Yes"/>
    <x v="0"/>
  </r>
  <r>
    <x v="3371"/>
    <x v="49"/>
    <x v="1"/>
    <x v="6"/>
    <x v="3"/>
    <d v="2023-12-03T00:00:00"/>
    <x v="2"/>
    <x v="2"/>
    <x v="3"/>
    <x v="3370"/>
    <n v="10"/>
    <x v="1"/>
    <s v="Referred"/>
    <x v="1"/>
    <x v="3"/>
    <s v="Cash"/>
    <n v="11"/>
    <x v="3356"/>
    <s v="Yes"/>
    <x v="0"/>
  </r>
  <r>
    <x v="3372"/>
    <x v="32"/>
    <x v="0"/>
    <x v="7"/>
    <x v="738"/>
    <d v="2025-06-30T00:00:00"/>
    <x v="7"/>
    <x v="5"/>
    <x v="6"/>
    <x v="3371"/>
    <n v="7"/>
    <x v="0"/>
    <s v="Recovered"/>
    <x v="1"/>
    <x v="3"/>
    <s v="Card"/>
    <n v="10"/>
    <x v="3357"/>
    <s v="No"/>
    <x v="0"/>
  </r>
  <r>
    <x v="3373"/>
    <x v="3"/>
    <x v="0"/>
    <x v="6"/>
    <x v="82"/>
    <d v="2025-09-27T00:00:00"/>
    <x v="4"/>
    <x v="3"/>
    <x v="2"/>
    <x v="3372"/>
    <n v="5"/>
    <x v="1"/>
    <s v="Recovered"/>
    <x v="0"/>
    <x v="1"/>
    <s v="Cash"/>
    <n v="8"/>
    <x v="3358"/>
    <s v="Yes"/>
    <x v="0"/>
  </r>
  <r>
    <x v="3374"/>
    <x v="68"/>
    <x v="1"/>
    <x v="7"/>
    <x v="314"/>
    <d v="2024-12-24T00:00:00"/>
    <x v="8"/>
    <x v="6"/>
    <x v="2"/>
    <x v="3373"/>
    <n v="17"/>
    <x v="1"/>
    <s v="Recovered"/>
    <x v="2"/>
    <x v="0"/>
    <s v="Insurance"/>
    <n v="12"/>
    <x v="3359"/>
    <s v="Yes"/>
    <x v="0"/>
  </r>
  <r>
    <x v="3375"/>
    <x v="50"/>
    <x v="0"/>
    <x v="0"/>
    <x v="205"/>
    <d v="2025-05-07T00:00:00"/>
    <x v="4"/>
    <x v="3"/>
    <x v="3"/>
    <x v="3374"/>
    <n v="9"/>
    <x v="0"/>
    <s v="Recovered"/>
    <x v="1"/>
    <x v="3"/>
    <s v="UPI"/>
    <n v="14"/>
    <x v="3360"/>
    <s v="No"/>
    <x v="0"/>
  </r>
  <r>
    <x v="3376"/>
    <x v="20"/>
    <x v="1"/>
    <x v="0"/>
    <x v="798"/>
    <d v="2024-08-13T00:00:00"/>
    <x v="2"/>
    <x v="2"/>
    <x v="2"/>
    <x v="3375"/>
    <n v="30"/>
    <x v="1"/>
    <s v="Referred"/>
    <x v="2"/>
    <x v="2"/>
    <s v="Insurance"/>
    <n v="5"/>
    <x v="3361"/>
    <s v="No"/>
    <x v="0"/>
  </r>
  <r>
    <x v="3377"/>
    <x v="34"/>
    <x v="0"/>
    <x v="7"/>
    <x v="458"/>
    <d v="2025-08-22T00:00:00"/>
    <x v="8"/>
    <x v="6"/>
    <x v="0"/>
    <x v="3376"/>
    <n v="8"/>
    <x v="0"/>
    <s v="Recovered"/>
    <x v="1"/>
    <x v="0"/>
    <s v="Insurance"/>
    <n v="7"/>
    <x v="3362"/>
    <s v="Yes"/>
    <x v="0"/>
  </r>
  <r>
    <x v="3378"/>
    <x v="14"/>
    <x v="1"/>
    <x v="6"/>
    <x v="712"/>
    <d v="2024-03-08T00:00:00"/>
    <x v="7"/>
    <x v="5"/>
    <x v="3"/>
    <x v="3377"/>
    <n v="20"/>
    <x v="1"/>
    <s v="Under Observation"/>
    <x v="2"/>
    <x v="3"/>
    <s v="UPI"/>
    <n v="14"/>
    <x v="3363"/>
    <s v="Yes"/>
    <x v="1"/>
  </r>
  <r>
    <x v="3379"/>
    <x v="0"/>
    <x v="0"/>
    <x v="2"/>
    <x v="857"/>
    <d v="2024-06-15T00:00:00"/>
    <x v="2"/>
    <x v="2"/>
    <x v="3"/>
    <x v="3378"/>
    <n v="10"/>
    <x v="1"/>
    <s v="Recovered"/>
    <x v="2"/>
    <x v="2"/>
    <s v="UPI"/>
    <n v="1"/>
    <x v="3364"/>
    <s v="No"/>
    <x v="0"/>
  </r>
  <r>
    <x v="3380"/>
    <x v="16"/>
    <x v="1"/>
    <x v="5"/>
    <x v="677"/>
    <d v="2023-07-13T00:00:00"/>
    <x v="5"/>
    <x v="4"/>
    <x v="2"/>
    <x v="3379"/>
    <n v="17"/>
    <x v="0"/>
    <s v="Recovered"/>
    <x v="1"/>
    <x v="1"/>
    <s v="UPI"/>
    <n v="9"/>
    <x v="3365"/>
    <s v="Yes"/>
    <x v="1"/>
  </r>
  <r>
    <x v="3381"/>
    <x v="31"/>
    <x v="1"/>
    <x v="7"/>
    <x v="364"/>
    <d v="2024-04-30T00:00:00"/>
    <x v="7"/>
    <x v="5"/>
    <x v="2"/>
    <x v="3380"/>
    <n v="27"/>
    <x v="1"/>
    <s v="Recovered"/>
    <x v="0"/>
    <x v="2"/>
    <s v="Cash"/>
    <n v="4"/>
    <x v="3366"/>
    <s v="Yes"/>
    <x v="0"/>
  </r>
  <r>
    <x v="3382"/>
    <x v="64"/>
    <x v="0"/>
    <x v="6"/>
    <x v="831"/>
    <d v="2023-05-09T00:00:00"/>
    <x v="2"/>
    <x v="2"/>
    <x v="4"/>
    <x v="3381"/>
    <n v="13"/>
    <x v="0"/>
    <s v="Recovered"/>
    <x v="1"/>
    <x v="3"/>
    <s v="Cash"/>
    <n v="12"/>
    <x v="3367"/>
    <s v="No"/>
    <x v="1"/>
  </r>
  <r>
    <x v="3383"/>
    <x v="59"/>
    <x v="1"/>
    <x v="2"/>
    <x v="471"/>
    <d v="2025-07-26T00:00:00"/>
    <x v="7"/>
    <x v="5"/>
    <x v="0"/>
    <x v="3382"/>
    <n v="1"/>
    <x v="0"/>
    <s v="Recovered"/>
    <x v="0"/>
    <x v="1"/>
    <s v="UPI"/>
    <n v="12"/>
    <x v="3368"/>
    <s v="No"/>
    <x v="0"/>
  </r>
  <r>
    <x v="3384"/>
    <x v="29"/>
    <x v="0"/>
    <x v="7"/>
    <x v="436"/>
    <d v="2025-08-05T00:00:00"/>
    <x v="3"/>
    <x v="0"/>
    <x v="1"/>
    <x v="3383"/>
    <n v="9"/>
    <x v="1"/>
    <s v="Under Observation"/>
    <x v="1"/>
    <x v="3"/>
    <s v="Insurance"/>
    <n v="8"/>
    <x v="3369"/>
    <s v="Yes"/>
    <x v="0"/>
  </r>
  <r>
    <x v="3385"/>
    <x v="10"/>
    <x v="0"/>
    <x v="6"/>
    <x v="937"/>
    <d v="2025-03-19T00:00:00"/>
    <x v="2"/>
    <x v="2"/>
    <x v="4"/>
    <x v="3384"/>
    <n v="1"/>
    <x v="1"/>
    <s v="Under Observation"/>
    <x v="0"/>
    <x v="3"/>
    <s v="UPI"/>
    <n v="13"/>
    <x v="3370"/>
    <s v="No"/>
    <x v="0"/>
  </r>
  <r>
    <x v="3386"/>
    <x v="9"/>
    <x v="1"/>
    <x v="3"/>
    <x v="608"/>
    <d v="2025-07-17T00:00:00"/>
    <x v="7"/>
    <x v="5"/>
    <x v="7"/>
    <x v="3385"/>
    <n v="4"/>
    <x v="0"/>
    <s v="Recovered"/>
    <x v="2"/>
    <x v="1"/>
    <s v="Card"/>
    <n v="12"/>
    <x v="3371"/>
    <s v="No"/>
    <x v="0"/>
  </r>
  <r>
    <x v="3387"/>
    <x v="35"/>
    <x v="0"/>
    <x v="7"/>
    <x v="888"/>
    <d v="2023-11-18T00:00:00"/>
    <x v="6"/>
    <x v="2"/>
    <x v="2"/>
    <x v="3386"/>
    <n v="2"/>
    <x v="0"/>
    <s v="Referred"/>
    <x v="2"/>
    <x v="1"/>
    <s v="Card"/>
    <n v="2"/>
    <x v="3372"/>
    <s v="Yes"/>
    <x v="0"/>
  </r>
  <r>
    <x v="3388"/>
    <x v="5"/>
    <x v="1"/>
    <x v="3"/>
    <x v="27"/>
    <d v="2023-06-26T00:00:00"/>
    <x v="9"/>
    <x v="5"/>
    <x v="5"/>
    <x v="3387"/>
    <n v="20"/>
    <x v="1"/>
    <s v="Recovered"/>
    <x v="1"/>
    <x v="3"/>
    <s v="Cash"/>
    <n v="10"/>
    <x v="3373"/>
    <s v="Yes"/>
    <x v="0"/>
  </r>
  <r>
    <x v="3389"/>
    <x v="20"/>
    <x v="0"/>
    <x v="6"/>
    <x v="963"/>
    <d v="2024-09-23T00:00:00"/>
    <x v="7"/>
    <x v="5"/>
    <x v="1"/>
    <x v="3388"/>
    <n v="8"/>
    <x v="0"/>
    <s v="Recovered"/>
    <x v="0"/>
    <x v="3"/>
    <s v="Insurance"/>
    <n v="1"/>
    <x v="3374"/>
    <s v="Yes"/>
    <x v="0"/>
  </r>
  <r>
    <x v="3390"/>
    <x v="61"/>
    <x v="1"/>
    <x v="3"/>
    <x v="253"/>
    <d v="2024-02-16T00:00:00"/>
    <x v="0"/>
    <x v="0"/>
    <x v="0"/>
    <x v="3389"/>
    <n v="19"/>
    <x v="1"/>
    <s v="Recovered"/>
    <x v="0"/>
    <x v="1"/>
    <s v="UPI"/>
    <n v="6"/>
    <x v="3375"/>
    <s v="Yes"/>
    <x v="0"/>
  </r>
  <r>
    <x v="3391"/>
    <x v="8"/>
    <x v="0"/>
    <x v="6"/>
    <x v="964"/>
    <d v="2024-06-07T00:00:00"/>
    <x v="3"/>
    <x v="0"/>
    <x v="3"/>
    <x v="3390"/>
    <n v="13"/>
    <x v="1"/>
    <s v="Recovered"/>
    <x v="2"/>
    <x v="2"/>
    <s v="Insurance"/>
    <n v="6"/>
    <x v="3376"/>
    <s v="No"/>
    <x v="0"/>
  </r>
  <r>
    <x v="3392"/>
    <x v="31"/>
    <x v="0"/>
    <x v="0"/>
    <x v="80"/>
    <d v="2025-02-11T00:00:00"/>
    <x v="3"/>
    <x v="0"/>
    <x v="2"/>
    <x v="3391"/>
    <n v="20"/>
    <x v="0"/>
    <s v="Recovered"/>
    <x v="1"/>
    <x v="3"/>
    <s v="Insurance"/>
    <n v="13"/>
    <x v="3377"/>
    <s v="Yes"/>
    <x v="0"/>
  </r>
  <r>
    <x v="3393"/>
    <x v="0"/>
    <x v="1"/>
    <x v="1"/>
    <x v="965"/>
    <d v="2025-08-26T00:00:00"/>
    <x v="3"/>
    <x v="0"/>
    <x v="6"/>
    <x v="3392"/>
    <n v="11"/>
    <x v="0"/>
    <s v="Recovered"/>
    <x v="0"/>
    <x v="1"/>
    <s v="Insurance"/>
    <n v="14"/>
    <x v="3378"/>
    <s v="No"/>
    <x v="0"/>
  </r>
  <r>
    <x v="3394"/>
    <x v="10"/>
    <x v="0"/>
    <x v="2"/>
    <x v="316"/>
    <d v="2025-02-26T00:00:00"/>
    <x v="4"/>
    <x v="3"/>
    <x v="1"/>
    <x v="3393"/>
    <n v="2"/>
    <x v="1"/>
    <s v="Recovered"/>
    <x v="2"/>
    <x v="0"/>
    <s v="Insurance"/>
    <n v="10"/>
    <x v="3379"/>
    <s v="No"/>
    <x v="0"/>
  </r>
  <r>
    <x v="3395"/>
    <x v="60"/>
    <x v="1"/>
    <x v="2"/>
    <x v="41"/>
    <d v="2023-09-08T00:00:00"/>
    <x v="7"/>
    <x v="5"/>
    <x v="0"/>
    <x v="3394"/>
    <n v="20"/>
    <x v="1"/>
    <s v="Under Observation"/>
    <x v="1"/>
    <x v="0"/>
    <s v="Card"/>
    <n v="13"/>
    <x v="3380"/>
    <s v="Yes"/>
    <x v="0"/>
  </r>
  <r>
    <x v="3396"/>
    <x v="68"/>
    <x v="1"/>
    <x v="7"/>
    <x v="596"/>
    <d v="2024-09-24T00:00:00"/>
    <x v="6"/>
    <x v="2"/>
    <x v="7"/>
    <x v="3395"/>
    <n v="17"/>
    <x v="0"/>
    <s v="Recovered"/>
    <x v="2"/>
    <x v="3"/>
    <s v="Card"/>
    <n v="3"/>
    <x v="3381"/>
    <s v="Yes"/>
    <x v="0"/>
  </r>
  <r>
    <x v="3397"/>
    <x v="22"/>
    <x v="1"/>
    <x v="5"/>
    <x v="98"/>
    <d v="2023-05-21T00:00:00"/>
    <x v="3"/>
    <x v="0"/>
    <x v="4"/>
    <x v="3396"/>
    <n v="9"/>
    <x v="1"/>
    <s v="Under Observation"/>
    <x v="2"/>
    <x v="0"/>
    <s v="Cash"/>
    <n v="15"/>
    <x v="3382"/>
    <s v="Yes"/>
    <x v="0"/>
  </r>
  <r>
    <x v="3398"/>
    <x v="63"/>
    <x v="0"/>
    <x v="2"/>
    <x v="179"/>
    <d v="2024-11-30T00:00:00"/>
    <x v="5"/>
    <x v="4"/>
    <x v="2"/>
    <x v="3397"/>
    <n v="29"/>
    <x v="1"/>
    <s v="Recovered"/>
    <x v="0"/>
    <x v="2"/>
    <s v="Cash"/>
    <n v="1"/>
    <x v="3383"/>
    <s v="No"/>
    <x v="0"/>
  </r>
  <r>
    <x v="3399"/>
    <x v="0"/>
    <x v="0"/>
    <x v="0"/>
    <x v="774"/>
    <d v="2024-07-01T00:00:00"/>
    <x v="2"/>
    <x v="2"/>
    <x v="7"/>
    <x v="3398"/>
    <n v="5"/>
    <x v="0"/>
    <s v="Recovered"/>
    <x v="2"/>
    <x v="2"/>
    <s v="Insurance"/>
    <n v="10"/>
    <x v="3384"/>
    <s v="No"/>
    <x v="1"/>
  </r>
  <r>
    <x v="3400"/>
    <x v="24"/>
    <x v="0"/>
    <x v="6"/>
    <x v="66"/>
    <d v="2023-10-07T00:00:00"/>
    <x v="8"/>
    <x v="6"/>
    <x v="7"/>
    <x v="3399"/>
    <n v="4"/>
    <x v="0"/>
    <s v="Recovered"/>
    <x v="0"/>
    <x v="1"/>
    <s v="Card"/>
    <n v="7"/>
    <x v="3385"/>
    <s v="No"/>
    <x v="0"/>
  </r>
  <r>
    <x v="3401"/>
    <x v="52"/>
    <x v="0"/>
    <x v="2"/>
    <x v="73"/>
    <d v="2024-11-03T00:00:00"/>
    <x v="8"/>
    <x v="6"/>
    <x v="1"/>
    <x v="3400"/>
    <n v="11"/>
    <x v="1"/>
    <s v="Recovered"/>
    <x v="0"/>
    <x v="3"/>
    <s v="Card"/>
    <n v="11"/>
    <x v="3386"/>
    <s v="Yes"/>
    <x v="0"/>
  </r>
  <r>
    <x v="3402"/>
    <x v="18"/>
    <x v="0"/>
    <x v="6"/>
    <x v="506"/>
    <d v="2024-06-25T00:00:00"/>
    <x v="4"/>
    <x v="3"/>
    <x v="4"/>
    <x v="3401"/>
    <n v="5"/>
    <x v="1"/>
    <s v="Under Observation"/>
    <x v="1"/>
    <x v="1"/>
    <s v="Cash"/>
    <n v="5"/>
    <x v="3387"/>
    <s v="Yes"/>
    <x v="0"/>
  </r>
  <r>
    <x v="3403"/>
    <x v="15"/>
    <x v="1"/>
    <x v="6"/>
    <x v="431"/>
    <d v="2025-08-31T00:00:00"/>
    <x v="3"/>
    <x v="0"/>
    <x v="0"/>
    <x v="3402"/>
    <n v="4"/>
    <x v="0"/>
    <s v="Recovered"/>
    <x v="0"/>
    <x v="3"/>
    <s v="Cash"/>
    <n v="6"/>
    <x v="3388"/>
    <s v="Yes"/>
    <x v="0"/>
  </r>
  <r>
    <x v="3404"/>
    <x v="19"/>
    <x v="1"/>
    <x v="6"/>
    <x v="966"/>
    <d v="2025-07-31T00:00:00"/>
    <x v="3"/>
    <x v="0"/>
    <x v="1"/>
    <x v="3403"/>
    <n v="13"/>
    <x v="1"/>
    <s v="Recovered"/>
    <x v="0"/>
    <x v="3"/>
    <s v="Card"/>
    <n v="5"/>
    <x v="3389"/>
    <s v="No"/>
    <x v="0"/>
  </r>
  <r>
    <x v="3405"/>
    <x v="1"/>
    <x v="1"/>
    <x v="1"/>
    <x v="162"/>
    <d v="2024-06-04T00:00:00"/>
    <x v="0"/>
    <x v="0"/>
    <x v="5"/>
    <x v="3404"/>
    <n v="5"/>
    <x v="0"/>
    <s v="Recovered"/>
    <x v="1"/>
    <x v="1"/>
    <s v="Card"/>
    <n v="7"/>
    <x v="3390"/>
    <s v="No"/>
    <x v="0"/>
  </r>
  <r>
    <x v="3406"/>
    <x v="69"/>
    <x v="1"/>
    <x v="7"/>
    <x v="388"/>
    <d v="2024-05-29T00:00:00"/>
    <x v="9"/>
    <x v="5"/>
    <x v="7"/>
    <x v="3405"/>
    <n v="20"/>
    <x v="1"/>
    <s v="Recovered"/>
    <x v="0"/>
    <x v="0"/>
    <s v="Cash"/>
    <n v="12"/>
    <x v="3391"/>
    <s v="No"/>
    <x v="0"/>
  </r>
  <r>
    <x v="3407"/>
    <x v="10"/>
    <x v="0"/>
    <x v="3"/>
    <x v="927"/>
    <d v="2024-01-14T00:00:00"/>
    <x v="8"/>
    <x v="6"/>
    <x v="2"/>
    <x v="3406"/>
    <n v="20"/>
    <x v="1"/>
    <s v="Recovered"/>
    <x v="1"/>
    <x v="1"/>
    <s v="Cash"/>
    <n v="7"/>
    <x v="3392"/>
    <s v="Yes"/>
    <x v="0"/>
  </r>
  <r>
    <x v="3408"/>
    <x v="30"/>
    <x v="1"/>
    <x v="5"/>
    <x v="354"/>
    <d v="2023-05-19T00:00:00"/>
    <x v="9"/>
    <x v="5"/>
    <x v="6"/>
    <x v="3407"/>
    <n v="5"/>
    <x v="1"/>
    <s v="Recovered"/>
    <x v="0"/>
    <x v="0"/>
    <s v="Insurance"/>
    <n v="4"/>
    <x v="3393"/>
    <s v="No"/>
    <x v="1"/>
  </r>
  <r>
    <x v="3409"/>
    <x v="0"/>
    <x v="1"/>
    <x v="0"/>
    <x v="606"/>
    <d v="2025-03-06T00:00:00"/>
    <x v="6"/>
    <x v="2"/>
    <x v="7"/>
    <x v="3408"/>
    <n v="16"/>
    <x v="1"/>
    <s v="Under Observation"/>
    <x v="2"/>
    <x v="2"/>
    <s v="Insurance"/>
    <n v="7"/>
    <x v="3394"/>
    <s v="Yes"/>
    <x v="0"/>
  </r>
  <r>
    <x v="3410"/>
    <x v="46"/>
    <x v="1"/>
    <x v="4"/>
    <x v="962"/>
    <d v="2025-04-09T00:00:00"/>
    <x v="5"/>
    <x v="4"/>
    <x v="7"/>
    <x v="3409"/>
    <n v="5"/>
    <x v="1"/>
    <s v="Recovered"/>
    <x v="0"/>
    <x v="0"/>
    <s v="UPI"/>
    <n v="11"/>
    <x v="3395"/>
    <s v="No"/>
    <x v="0"/>
  </r>
  <r>
    <x v="3411"/>
    <x v="24"/>
    <x v="1"/>
    <x v="7"/>
    <x v="967"/>
    <d v="2024-07-09T00:00:00"/>
    <x v="0"/>
    <x v="0"/>
    <x v="4"/>
    <x v="3410"/>
    <n v="16"/>
    <x v="1"/>
    <s v="Recovered"/>
    <x v="2"/>
    <x v="1"/>
    <s v="UPI"/>
    <n v="15"/>
    <x v="3396"/>
    <s v="Yes"/>
    <x v="0"/>
  </r>
  <r>
    <x v="3412"/>
    <x v="60"/>
    <x v="0"/>
    <x v="4"/>
    <x v="824"/>
    <d v="2025-05-19T00:00:00"/>
    <x v="3"/>
    <x v="0"/>
    <x v="2"/>
    <x v="3411"/>
    <n v="4"/>
    <x v="0"/>
    <s v="Recovered"/>
    <x v="1"/>
    <x v="1"/>
    <s v="Card"/>
    <n v="11"/>
    <x v="3397"/>
    <s v="Yes"/>
    <x v="1"/>
  </r>
  <r>
    <x v="3413"/>
    <x v="8"/>
    <x v="0"/>
    <x v="1"/>
    <x v="142"/>
    <d v="2025-07-19T00:00:00"/>
    <x v="3"/>
    <x v="0"/>
    <x v="3"/>
    <x v="3412"/>
    <n v="8"/>
    <x v="1"/>
    <s v="Recovered"/>
    <x v="0"/>
    <x v="3"/>
    <s v="Cash"/>
    <n v="9"/>
    <x v="3398"/>
    <s v="No"/>
    <x v="1"/>
  </r>
  <r>
    <x v="3414"/>
    <x v="24"/>
    <x v="1"/>
    <x v="2"/>
    <x v="274"/>
    <d v="2024-03-01T00:00:00"/>
    <x v="2"/>
    <x v="2"/>
    <x v="6"/>
    <x v="3413"/>
    <n v="11"/>
    <x v="1"/>
    <s v="Recovered"/>
    <x v="1"/>
    <x v="3"/>
    <s v="Cash"/>
    <n v="15"/>
    <x v="3399"/>
    <s v="Yes"/>
    <x v="1"/>
  </r>
  <r>
    <x v="3415"/>
    <x v="38"/>
    <x v="0"/>
    <x v="3"/>
    <x v="911"/>
    <d v="2025-10-07T00:00:00"/>
    <x v="7"/>
    <x v="5"/>
    <x v="6"/>
    <x v="3414"/>
    <n v="13"/>
    <x v="0"/>
    <s v="Under Observation"/>
    <x v="0"/>
    <x v="3"/>
    <s v="Card"/>
    <n v="2"/>
    <x v="3400"/>
    <s v="Yes"/>
    <x v="1"/>
  </r>
  <r>
    <x v="3416"/>
    <x v="2"/>
    <x v="1"/>
    <x v="2"/>
    <x v="355"/>
    <d v="2023-01-22T00:00:00"/>
    <x v="1"/>
    <x v="1"/>
    <x v="2"/>
    <x v="3415"/>
    <n v="2"/>
    <x v="0"/>
    <s v="Recovered"/>
    <x v="1"/>
    <x v="1"/>
    <s v="Insurance"/>
    <n v="6"/>
    <x v="3401"/>
    <s v="Yes"/>
    <x v="0"/>
  </r>
  <r>
    <x v="3417"/>
    <x v="18"/>
    <x v="0"/>
    <x v="1"/>
    <x v="523"/>
    <d v="2023-11-11T00:00:00"/>
    <x v="0"/>
    <x v="0"/>
    <x v="2"/>
    <x v="3416"/>
    <n v="18"/>
    <x v="0"/>
    <s v="Recovered"/>
    <x v="0"/>
    <x v="2"/>
    <s v="Card"/>
    <n v="3"/>
    <x v="3402"/>
    <s v="Yes"/>
    <x v="0"/>
  </r>
  <r>
    <x v="3418"/>
    <x v="65"/>
    <x v="0"/>
    <x v="7"/>
    <x v="968"/>
    <d v="2023-07-06T00:00:00"/>
    <x v="8"/>
    <x v="6"/>
    <x v="6"/>
    <x v="3417"/>
    <n v="8"/>
    <x v="0"/>
    <s v="Recovered"/>
    <x v="1"/>
    <x v="3"/>
    <s v="Card"/>
    <n v="15"/>
    <x v="3403"/>
    <s v="Yes"/>
    <x v="0"/>
  </r>
  <r>
    <x v="3419"/>
    <x v="40"/>
    <x v="0"/>
    <x v="5"/>
    <x v="799"/>
    <d v="2025-05-03T00:00:00"/>
    <x v="9"/>
    <x v="5"/>
    <x v="7"/>
    <x v="3418"/>
    <n v="11"/>
    <x v="0"/>
    <s v="Recovered"/>
    <x v="0"/>
    <x v="0"/>
    <s v="UPI"/>
    <n v="6"/>
    <x v="3404"/>
    <s v="Yes"/>
    <x v="0"/>
  </r>
  <r>
    <x v="3420"/>
    <x v="22"/>
    <x v="1"/>
    <x v="4"/>
    <x v="646"/>
    <d v="2023-12-06T00:00:00"/>
    <x v="7"/>
    <x v="5"/>
    <x v="3"/>
    <x v="3419"/>
    <n v="15"/>
    <x v="0"/>
    <s v="Recovered"/>
    <x v="2"/>
    <x v="3"/>
    <s v="Card"/>
    <n v="1"/>
    <x v="3405"/>
    <s v="Yes"/>
    <x v="0"/>
  </r>
  <r>
    <x v="3421"/>
    <x v="2"/>
    <x v="1"/>
    <x v="0"/>
    <x v="305"/>
    <d v="2023-09-09T00:00:00"/>
    <x v="5"/>
    <x v="4"/>
    <x v="0"/>
    <x v="3420"/>
    <n v="16"/>
    <x v="1"/>
    <s v="Recovered"/>
    <x v="0"/>
    <x v="3"/>
    <s v="Card"/>
    <n v="8"/>
    <x v="3406"/>
    <s v="No"/>
    <x v="0"/>
  </r>
  <r>
    <x v="3422"/>
    <x v="37"/>
    <x v="0"/>
    <x v="3"/>
    <x v="320"/>
    <d v="2024-09-08T00:00:00"/>
    <x v="5"/>
    <x v="4"/>
    <x v="0"/>
    <x v="3421"/>
    <n v="16"/>
    <x v="1"/>
    <s v="Recovered"/>
    <x v="2"/>
    <x v="0"/>
    <s v="Insurance"/>
    <n v="11"/>
    <x v="3407"/>
    <s v="Yes"/>
    <x v="0"/>
  </r>
  <r>
    <x v="3423"/>
    <x v="17"/>
    <x v="1"/>
    <x v="4"/>
    <x v="268"/>
    <d v="2024-12-10T00:00:00"/>
    <x v="4"/>
    <x v="3"/>
    <x v="7"/>
    <x v="3422"/>
    <n v="9"/>
    <x v="0"/>
    <s v="Under Observation"/>
    <x v="2"/>
    <x v="0"/>
    <s v="UPI"/>
    <n v="8"/>
    <x v="3408"/>
    <s v="Yes"/>
    <x v="0"/>
  </r>
  <r>
    <x v="3424"/>
    <x v="60"/>
    <x v="0"/>
    <x v="4"/>
    <x v="680"/>
    <d v="2023-10-07T00:00:00"/>
    <x v="0"/>
    <x v="0"/>
    <x v="5"/>
    <x v="3423"/>
    <n v="19"/>
    <x v="1"/>
    <s v="Recovered"/>
    <x v="2"/>
    <x v="1"/>
    <s v="Insurance"/>
    <n v="5"/>
    <x v="3409"/>
    <s v="Yes"/>
    <x v="0"/>
  </r>
  <r>
    <x v="3425"/>
    <x v="61"/>
    <x v="0"/>
    <x v="7"/>
    <x v="932"/>
    <d v="2025-05-07T00:00:00"/>
    <x v="0"/>
    <x v="0"/>
    <x v="7"/>
    <x v="3424"/>
    <n v="17"/>
    <x v="1"/>
    <s v="Recovered"/>
    <x v="1"/>
    <x v="0"/>
    <s v="Card"/>
    <n v="6"/>
    <x v="3410"/>
    <s v="No"/>
    <x v="0"/>
  </r>
  <r>
    <x v="3426"/>
    <x v="22"/>
    <x v="0"/>
    <x v="1"/>
    <x v="721"/>
    <d v="2024-03-05T00:00:00"/>
    <x v="5"/>
    <x v="4"/>
    <x v="6"/>
    <x v="3425"/>
    <n v="9"/>
    <x v="1"/>
    <s v="Under Observation"/>
    <x v="2"/>
    <x v="3"/>
    <s v="Insurance"/>
    <n v="1"/>
    <x v="3411"/>
    <s v="No"/>
    <x v="0"/>
  </r>
  <r>
    <x v="3427"/>
    <x v="68"/>
    <x v="1"/>
    <x v="6"/>
    <x v="443"/>
    <d v="2025-08-05T00:00:00"/>
    <x v="0"/>
    <x v="0"/>
    <x v="1"/>
    <x v="3426"/>
    <n v="21"/>
    <x v="0"/>
    <s v="Recovered"/>
    <x v="1"/>
    <x v="2"/>
    <s v="Card"/>
    <n v="4"/>
    <x v="3412"/>
    <s v="No"/>
    <x v="0"/>
  </r>
  <r>
    <x v="3428"/>
    <x v="66"/>
    <x v="1"/>
    <x v="4"/>
    <x v="276"/>
    <d v="2025-03-09T00:00:00"/>
    <x v="4"/>
    <x v="3"/>
    <x v="3"/>
    <x v="3427"/>
    <n v="2"/>
    <x v="0"/>
    <s v="Recovered"/>
    <x v="0"/>
    <x v="0"/>
    <s v="UPI"/>
    <n v="10"/>
    <x v="3413"/>
    <s v="Yes"/>
    <x v="0"/>
  </r>
  <r>
    <x v="3429"/>
    <x v="28"/>
    <x v="0"/>
    <x v="5"/>
    <x v="155"/>
    <d v="2024-03-14T00:00:00"/>
    <x v="0"/>
    <x v="0"/>
    <x v="7"/>
    <x v="3428"/>
    <n v="10"/>
    <x v="0"/>
    <s v="Recovered"/>
    <x v="1"/>
    <x v="1"/>
    <s v="Cash"/>
    <n v="11"/>
    <x v="3414"/>
    <s v="Yes"/>
    <x v="0"/>
  </r>
  <r>
    <x v="3430"/>
    <x v="23"/>
    <x v="1"/>
    <x v="6"/>
    <x v="488"/>
    <d v="2023-01-19T00:00:00"/>
    <x v="1"/>
    <x v="1"/>
    <x v="5"/>
    <x v="3429"/>
    <n v="2"/>
    <x v="0"/>
    <s v="Referred"/>
    <x v="2"/>
    <x v="3"/>
    <s v="Insurance"/>
    <n v="7"/>
    <x v="3415"/>
    <s v="No"/>
    <x v="0"/>
  </r>
  <r>
    <x v="3431"/>
    <x v="29"/>
    <x v="1"/>
    <x v="7"/>
    <x v="817"/>
    <d v="2025-06-17T00:00:00"/>
    <x v="7"/>
    <x v="5"/>
    <x v="0"/>
    <x v="3430"/>
    <n v="6"/>
    <x v="0"/>
    <s v="Under Observation"/>
    <x v="1"/>
    <x v="0"/>
    <s v="UPI"/>
    <n v="1"/>
    <x v="3416"/>
    <s v="No"/>
    <x v="0"/>
  </r>
  <r>
    <x v="3432"/>
    <x v="14"/>
    <x v="0"/>
    <x v="1"/>
    <x v="369"/>
    <d v="2023-12-19T00:00:00"/>
    <x v="0"/>
    <x v="0"/>
    <x v="3"/>
    <x v="3431"/>
    <n v="20"/>
    <x v="1"/>
    <s v="Recovered"/>
    <x v="1"/>
    <x v="0"/>
    <s v="Insurance"/>
    <n v="7"/>
    <x v="3417"/>
    <s v="Yes"/>
    <x v="0"/>
  </r>
  <r>
    <x v="3433"/>
    <x v="44"/>
    <x v="0"/>
    <x v="0"/>
    <x v="751"/>
    <d v="2024-07-26T00:00:00"/>
    <x v="4"/>
    <x v="3"/>
    <x v="0"/>
    <x v="3432"/>
    <n v="28"/>
    <x v="1"/>
    <s v="Deceased"/>
    <x v="2"/>
    <x v="2"/>
    <s v="Cash"/>
    <n v="8"/>
    <x v="3418"/>
    <s v="Yes"/>
    <x v="0"/>
  </r>
  <r>
    <x v="3434"/>
    <x v="9"/>
    <x v="1"/>
    <x v="0"/>
    <x v="580"/>
    <d v="2023-03-25T00:00:00"/>
    <x v="4"/>
    <x v="3"/>
    <x v="3"/>
    <x v="3433"/>
    <n v="26"/>
    <x v="1"/>
    <s v="Recovered"/>
    <x v="1"/>
    <x v="2"/>
    <s v="Card"/>
    <n v="13"/>
    <x v="3419"/>
    <s v="No"/>
    <x v="0"/>
  </r>
  <r>
    <x v="3435"/>
    <x v="55"/>
    <x v="1"/>
    <x v="7"/>
    <x v="325"/>
    <d v="2024-07-22T00:00:00"/>
    <x v="3"/>
    <x v="0"/>
    <x v="7"/>
    <x v="3434"/>
    <n v="3"/>
    <x v="1"/>
    <s v="Deceased"/>
    <x v="1"/>
    <x v="1"/>
    <s v="Insurance"/>
    <n v="3"/>
    <x v="3420"/>
    <s v="Yes"/>
    <x v="0"/>
  </r>
  <r>
    <x v="3436"/>
    <x v="56"/>
    <x v="1"/>
    <x v="2"/>
    <x v="15"/>
    <d v="2024-01-24T00:00:00"/>
    <x v="4"/>
    <x v="3"/>
    <x v="0"/>
    <x v="3435"/>
    <n v="18"/>
    <x v="1"/>
    <s v="Recovered"/>
    <x v="1"/>
    <x v="3"/>
    <s v="UPI"/>
    <n v="13"/>
    <x v="3421"/>
    <s v="No"/>
    <x v="0"/>
  </r>
  <r>
    <x v="3437"/>
    <x v="57"/>
    <x v="1"/>
    <x v="7"/>
    <x v="68"/>
    <d v="2024-07-29T00:00:00"/>
    <x v="7"/>
    <x v="5"/>
    <x v="2"/>
    <x v="3436"/>
    <n v="16"/>
    <x v="1"/>
    <s v="Under Observation"/>
    <x v="1"/>
    <x v="1"/>
    <s v="Card"/>
    <n v="3"/>
    <x v="3422"/>
    <s v="Yes"/>
    <x v="0"/>
  </r>
  <r>
    <x v="3438"/>
    <x v="49"/>
    <x v="0"/>
    <x v="3"/>
    <x v="677"/>
    <d v="2023-07-07T00:00:00"/>
    <x v="5"/>
    <x v="4"/>
    <x v="6"/>
    <x v="3437"/>
    <n v="11"/>
    <x v="0"/>
    <s v="Recovered"/>
    <x v="2"/>
    <x v="2"/>
    <s v="Insurance"/>
    <n v="13"/>
    <x v="3423"/>
    <s v="Yes"/>
    <x v="0"/>
  </r>
  <r>
    <x v="3439"/>
    <x v="5"/>
    <x v="1"/>
    <x v="2"/>
    <x v="594"/>
    <d v="2025-06-19T00:00:00"/>
    <x v="6"/>
    <x v="2"/>
    <x v="5"/>
    <x v="3438"/>
    <n v="1"/>
    <x v="1"/>
    <s v="Referred"/>
    <x v="0"/>
    <x v="1"/>
    <s v="Cash"/>
    <n v="7"/>
    <x v="3424"/>
    <s v="No"/>
    <x v="0"/>
  </r>
  <r>
    <x v="3440"/>
    <x v="44"/>
    <x v="0"/>
    <x v="1"/>
    <x v="248"/>
    <d v="2023-03-18T00:00:00"/>
    <x v="2"/>
    <x v="2"/>
    <x v="2"/>
    <x v="3439"/>
    <n v="8"/>
    <x v="1"/>
    <s v="Recovered"/>
    <x v="2"/>
    <x v="3"/>
    <s v="Card"/>
    <n v="9"/>
    <x v="3425"/>
    <s v="Yes"/>
    <x v="0"/>
  </r>
  <r>
    <x v="3441"/>
    <x v="45"/>
    <x v="1"/>
    <x v="1"/>
    <x v="98"/>
    <d v="2023-06-01T00:00:00"/>
    <x v="1"/>
    <x v="1"/>
    <x v="2"/>
    <x v="3440"/>
    <n v="20"/>
    <x v="1"/>
    <s v="Referred"/>
    <x v="0"/>
    <x v="0"/>
    <s v="Card"/>
    <n v="1"/>
    <x v="3426"/>
    <s v="Yes"/>
    <x v="0"/>
  </r>
  <r>
    <x v="3442"/>
    <x v="62"/>
    <x v="1"/>
    <x v="6"/>
    <x v="830"/>
    <d v="2024-02-01T00:00:00"/>
    <x v="6"/>
    <x v="2"/>
    <x v="3"/>
    <x v="3441"/>
    <n v="17"/>
    <x v="0"/>
    <s v="Recovered"/>
    <x v="1"/>
    <x v="3"/>
    <s v="UPI"/>
    <n v="7"/>
    <x v="3427"/>
    <s v="No"/>
    <x v="0"/>
  </r>
  <r>
    <x v="3443"/>
    <x v="33"/>
    <x v="1"/>
    <x v="6"/>
    <x v="368"/>
    <d v="2023-06-06T00:00:00"/>
    <x v="4"/>
    <x v="3"/>
    <x v="2"/>
    <x v="3442"/>
    <n v="2"/>
    <x v="1"/>
    <s v="Recovered"/>
    <x v="0"/>
    <x v="1"/>
    <s v="UPI"/>
    <n v="1"/>
    <x v="3428"/>
    <s v="Yes"/>
    <x v="1"/>
  </r>
  <r>
    <x v="3444"/>
    <x v="70"/>
    <x v="1"/>
    <x v="1"/>
    <x v="754"/>
    <d v="2023-07-01T00:00:00"/>
    <x v="1"/>
    <x v="1"/>
    <x v="7"/>
    <x v="3443"/>
    <n v="9"/>
    <x v="1"/>
    <s v="Recovered"/>
    <x v="1"/>
    <x v="0"/>
    <s v="Insurance"/>
    <n v="8"/>
    <x v="3429"/>
    <s v="No"/>
    <x v="0"/>
  </r>
  <r>
    <x v="3445"/>
    <x v="28"/>
    <x v="0"/>
    <x v="4"/>
    <x v="104"/>
    <d v="2023-02-23T00:00:00"/>
    <x v="4"/>
    <x v="3"/>
    <x v="1"/>
    <x v="3444"/>
    <n v="28"/>
    <x v="0"/>
    <s v="Recovered"/>
    <x v="2"/>
    <x v="2"/>
    <s v="Insurance"/>
    <n v="14"/>
    <x v="3430"/>
    <s v="No"/>
    <x v="0"/>
  </r>
  <r>
    <x v="3446"/>
    <x v="72"/>
    <x v="0"/>
    <x v="4"/>
    <x v="602"/>
    <d v="2024-01-31T00:00:00"/>
    <x v="4"/>
    <x v="3"/>
    <x v="7"/>
    <x v="3445"/>
    <n v="2"/>
    <x v="0"/>
    <s v="Referred"/>
    <x v="2"/>
    <x v="3"/>
    <s v="UPI"/>
    <n v="4"/>
    <x v="3431"/>
    <s v="Yes"/>
    <x v="0"/>
  </r>
  <r>
    <x v="3447"/>
    <x v="15"/>
    <x v="1"/>
    <x v="3"/>
    <x v="370"/>
    <d v="2024-10-26T00:00:00"/>
    <x v="0"/>
    <x v="0"/>
    <x v="2"/>
    <x v="3446"/>
    <n v="2"/>
    <x v="0"/>
    <s v="Recovered"/>
    <x v="1"/>
    <x v="0"/>
    <s v="Cash"/>
    <n v="9"/>
    <x v="3432"/>
    <s v="Yes"/>
    <x v="0"/>
  </r>
  <r>
    <x v="3448"/>
    <x v="0"/>
    <x v="1"/>
    <x v="7"/>
    <x v="292"/>
    <d v="2024-10-21T00:00:00"/>
    <x v="0"/>
    <x v="0"/>
    <x v="5"/>
    <x v="3447"/>
    <n v="9"/>
    <x v="1"/>
    <s v="Recovered"/>
    <x v="0"/>
    <x v="3"/>
    <s v="Insurance"/>
    <n v="5"/>
    <x v="3433"/>
    <s v="No"/>
    <x v="0"/>
  </r>
  <r>
    <x v="3449"/>
    <x v="70"/>
    <x v="0"/>
    <x v="3"/>
    <x v="243"/>
    <d v="2024-03-27T00:00:00"/>
    <x v="8"/>
    <x v="6"/>
    <x v="1"/>
    <x v="3448"/>
    <n v="20"/>
    <x v="1"/>
    <s v="Recovered"/>
    <x v="2"/>
    <x v="3"/>
    <s v="Cash"/>
    <n v="4"/>
    <x v="3434"/>
    <s v="No"/>
    <x v="0"/>
  </r>
  <r>
    <x v="3450"/>
    <x v="29"/>
    <x v="1"/>
    <x v="0"/>
    <x v="758"/>
    <d v="2025-08-13T00:00:00"/>
    <x v="9"/>
    <x v="5"/>
    <x v="4"/>
    <x v="3449"/>
    <n v="20"/>
    <x v="1"/>
    <s v="Recovered"/>
    <x v="1"/>
    <x v="3"/>
    <s v="UPI"/>
    <n v="1"/>
    <x v="3435"/>
    <s v="Yes"/>
    <x v="0"/>
  </r>
  <r>
    <x v="3451"/>
    <x v="40"/>
    <x v="1"/>
    <x v="3"/>
    <x v="48"/>
    <d v="2025-09-01T00:00:00"/>
    <x v="1"/>
    <x v="1"/>
    <x v="3"/>
    <x v="3450"/>
    <n v="13"/>
    <x v="0"/>
    <s v="Referred"/>
    <x v="0"/>
    <x v="2"/>
    <s v="Card"/>
    <n v="5"/>
    <x v="3436"/>
    <s v="No"/>
    <x v="0"/>
  </r>
  <r>
    <x v="3452"/>
    <x v="58"/>
    <x v="0"/>
    <x v="5"/>
    <x v="42"/>
    <d v="2023-06-06T00:00:00"/>
    <x v="8"/>
    <x v="6"/>
    <x v="0"/>
    <x v="3451"/>
    <n v="6"/>
    <x v="0"/>
    <s v="Recovered"/>
    <x v="2"/>
    <x v="1"/>
    <s v="Card"/>
    <n v="1"/>
    <x v="3437"/>
    <s v="No"/>
    <x v="0"/>
  </r>
  <r>
    <x v="3453"/>
    <x v="19"/>
    <x v="0"/>
    <x v="2"/>
    <x v="240"/>
    <d v="2024-01-09T00:00:00"/>
    <x v="1"/>
    <x v="1"/>
    <x v="6"/>
    <x v="3452"/>
    <n v="18"/>
    <x v="0"/>
    <s v="Recovered"/>
    <x v="1"/>
    <x v="1"/>
    <s v="UPI"/>
    <n v="5"/>
    <x v="3438"/>
    <s v="No"/>
    <x v="1"/>
  </r>
  <r>
    <x v="3454"/>
    <x v="71"/>
    <x v="1"/>
    <x v="4"/>
    <x v="403"/>
    <d v="2025-09-21T00:00:00"/>
    <x v="8"/>
    <x v="6"/>
    <x v="7"/>
    <x v="3453"/>
    <n v="5"/>
    <x v="0"/>
    <s v="Recovered"/>
    <x v="2"/>
    <x v="3"/>
    <s v="Insurance"/>
    <n v="8"/>
    <x v="3439"/>
    <s v="Yes"/>
    <x v="0"/>
  </r>
  <r>
    <x v="3455"/>
    <x v="2"/>
    <x v="1"/>
    <x v="7"/>
    <x v="881"/>
    <d v="2025-04-02T00:00:00"/>
    <x v="6"/>
    <x v="2"/>
    <x v="1"/>
    <x v="3454"/>
    <n v="6"/>
    <x v="1"/>
    <s v="Recovered"/>
    <x v="2"/>
    <x v="3"/>
    <s v="UPI"/>
    <n v="4"/>
    <x v="3440"/>
    <s v="No"/>
    <x v="0"/>
  </r>
  <r>
    <x v="3456"/>
    <x v="16"/>
    <x v="1"/>
    <x v="0"/>
    <x v="505"/>
    <d v="2024-04-12T00:00:00"/>
    <x v="4"/>
    <x v="3"/>
    <x v="2"/>
    <x v="3455"/>
    <n v="4"/>
    <x v="0"/>
    <s v="Recovered"/>
    <x v="2"/>
    <x v="0"/>
    <s v="Cash"/>
    <n v="15"/>
    <x v="3441"/>
    <s v="Yes"/>
    <x v="0"/>
  </r>
  <r>
    <x v="3457"/>
    <x v="39"/>
    <x v="1"/>
    <x v="1"/>
    <x v="969"/>
    <d v="2025-01-14T00:00:00"/>
    <x v="3"/>
    <x v="0"/>
    <x v="3"/>
    <x v="3456"/>
    <n v="11"/>
    <x v="1"/>
    <s v="Recovered"/>
    <x v="2"/>
    <x v="3"/>
    <s v="UPI"/>
    <n v="5"/>
    <x v="3442"/>
    <s v="Yes"/>
    <x v="0"/>
  </r>
  <r>
    <x v="3458"/>
    <x v="35"/>
    <x v="1"/>
    <x v="5"/>
    <x v="159"/>
    <d v="2023-07-24T00:00:00"/>
    <x v="9"/>
    <x v="5"/>
    <x v="0"/>
    <x v="3457"/>
    <n v="16"/>
    <x v="1"/>
    <s v="Recovered"/>
    <x v="2"/>
    <x v="1"/>
    <s v="Card"/>
    <n v="3"/>
    <x v="3443"/>
    <s v="Yes"/>
    <x v="0"/>
  </r>
  <r>
    <x v="3459"/>
    <x v="30"/>
    <x v="1"/>
    <x v="5"/>
    <x v="199"/>
    <d v="2025-07-23T00:00:00"/>
    <x v="7"/>
    <x v="5"/>
    <x v="6"/>
    <x v="3458"/>
    <n v="17"/>
    <x v="0"/>
    <s v="Recovered"/>
    <x v="2"/>
    <x v="2"/>
    <s v="Insurance"/>
    <n v="6"/>
    <x v="3444"/>
    <s v="Yes"/>
    <x v="0"/>
  </r>
  <r>
    <x v="3460"/>
    <x v="28"/>
    <x v="0"/>
    <x v="1"/>
    <x v="292"/>
    <d v="2024-10-28T00:00:00"/>
    <x v="8"/>
    <x v="6"/>
    <x v="5"/>
    <x v="3459"/>
    <n v="16"/>
    <x v="1"/>
    <s v="Recovered"/>
    <x v="0"/>
    <x v="3"/>
    <s v="Cash"/>
    <n v="8"/>
    <x v="3445"/>
    <s v="Yes"/>
    <x v="0"/>
  </r>
  <r>
    <x v="3461"/>
    <x v="23"/>
    <x v="0"/>
    <x v="3"/>
    <x v="619"/>
    <d v="2025-01-21T00:00:00"/>
    <x v="9"/>
    <x v="5"/>
    <x v="2"/>
    <x v="3460"/>
    <n v="2"/>
    <x v="1"/>
    <s v="Recovered"/>
    <x v="2"/>
    <x v="3"/>
    <s v="Card"/>
    <n v="3"/>
    <x v="3446"/>
    <s v="No"/>
    <x v="0"/>
  </r>
  <r>
    <x v="3462"/>
    <x v="47"/>
    <x v="1"/>
    <x v="5"/>
    <x v="158"/>
    <d v="2023-06-16T00:00:00"/>
    <x v="2"/>
    <x v="2"/>
    <x v="2"/>
    <x v="3461"/>
    <n v="11"/>
    <x v="1"/>
    <s v="Recovered"/>
    <x v="1"/>
    <x v="0"/>
    <s v="UPI"/>
    <n v="10"/>
    <x v="3447"/>
    <s v="Yes"/>
    <x v="0"/>
  </r>
  <r>
    <x v="3463"/>
    <x v="63"/>
    <x v="1"/>
    <x v="3"/>
    <x v="387"/>
    <d v="2025-04-22T00:00:00"/>
    <x v="7"/>
    <x v="5"/>
    <x v="5"/>
    <x v="3462"/>
    <n v="15"/>
    <x v="1"/>
    <s v="Recovered"/>
    <x v="0"/>
    <x v="1"/>
    <s v="Cash"/>
    <n v="3"/>
    <x v="3448"/>
    <s v="Yes"/>
    <x v="0"/>
  </r>
  <r>
    <x v="3464"/>
    <x v="33"/>
    <x v="1"/>
    <x v="6"/>
    <x v="883"/>
    <d v="2025-05-30T00:00:00"/>
    <x v="0"/>
    <x v="0"/>
    <x v="1"/>
    <x v="3463"/>
    <n v="8"/>
    <x v="0"/>
    <s v="Recovered"/>
    <x v="1"/>
    <x v="3"/>
    <s v="Card"/>
    <n v="1"/>
    <x v="3449"/>
    <s v="No"/>
    <x v="0"/>
  </r>
  <r>
    <x v="3465"/>
    <x v="26"/>
    <x v="1"/>
    <x v="5"/>
    <x v="868"/>
    <d v="2025-06-07T00:00:00"/>
    <x v="9"/>
    <x v="5"/>
    <x v="3"/>
    <x v="3464"/>
    <n v="22"/>
    <x v="1"/>
    <s v="Deceased"/>
    <x v="1"/>
    <x v="2"/>
    <s v="Card"/>
    <n v="9"/>
    <x v="3450"/>
    <s v="Yes"/>
    <x v="0"/>
  </r>
  <r>
    <x v="3466"/>
    <x v="71"/>
    <x v="1"/>
    <x v="6"/>
    <x v="635"/>
    <d v="2024-09-20T00:00:00"/>
    <x v="2"/>
    <x v="2"/>
    <x v="0"/>
    <x v="3465"/>
    <n v="11"/>
    <x v="1"/>
    <s v="Recovered"/>
    <x v="0"/>
    <x v="3"/>
    <s v="Card"/>
    <n v="9"/>
    <x v="3451"/>
    <s v="No"/>
    <x v="0"/>
  </r>
  <r>
    <x v="3467"/>
    <x v="5"/>
    <x v="0"/>
    <x v="3"/>
    <x v="426"/>
    <d v="2025-03-13T00:00:00"/>
    <x v="5"/>
    <x v="4"/>
    <x v="0"/>
    <x v="3466"/>
    <n v="16"/>
    <x v="1"/>
    <s v="Recovered"/>
    <x v="2"/>
    <x v="3"/>
    <s v="UPI"/>
    <n v="10"/>
    <x v="3452"/>
    <s v="Yes"/>
    <x v="1"/>
  </r>
  <r>
    <x v="3468"/>
    <x v="39"/>
    <x v="0"/>
    <x v="4"/>
    <x v="844"/>
    <d v="2025-01-05T00:00:00"/>
    <x v="7"/>
    <x v="5"/>
    <x v="4"/>
    <x v="3467"/>
    <n v="5"/>
    <x v="0"/>
    <s v="Recovered"/>
    <x v="1"/>
    <x v="1"/>
    <s v="UPI"/>
    <n v="5"/>
    <x v="3453"/>
    <s v="Yes"/>
    <x v="0"/>
  </r>
  <r>
    <x v="3469"/>
    <x v="39"/>
    <x v="0"/>
    <x v="2"/>
    <x v="943"/>
    <d v="2024-05-24T00:00:00"/>
    <x v="4"/>
    <x v="3"/>
    <x v="5"/>
    <x v="3468"/>
    <n v="16"/>
    <x v="0"/>
    <s v="Recovered"/>
    <x v="1"/>
    <x v="0"/>
    <s v="Card"/>
    <n v="14"/>
    <x v="3454"/>
    <s v="No"/>
    <x v="0"/>
  </r>
  <r>
    <x v="3470"/>
    <x v="67"/>
    <x v="1"/>
    <x v="0"/>
    <x v="6"/>
    <d v="2024-04-06T00:00:00"/>
    <x v="8"/>
    <x v="6"/>
    <x v="7"/>
    <x v="3469"/>
    <n v="28"/>
    <x v="0"/>
    <s v="Recovered"/>
    <x v="1"/>
    <x v="2"/>
    <s v="Cash"/>
    <n v="10"/>
    <x v="3455"/>
    <s v="No"/>
    <x v="0"/>
  </r>
  <r>
    <x v="3471"/>
    <x v="23"/>
    <x v="0"/>
    <x v="6"/>
    <x v="497"/>
    <d v="2025-04-15T00:00:00"/>
    <x v="6"/>
    <x v="2"/>
    <x v="2"/>
    <x v="3470"/>
    <n v="6"/>
    <x v="1"/>
    <s v="Recovered"/>
    <x v="2"/>
    <x v="3"/>
    <s v="UPI"/>
    <n v="14"/>
    <x v="3456"/>
    <s v="Yes"/>
    <x v="0"/>
  </r>
  <r>
    <x v="3472"/>
    <x v="50"/>
    <x v="1"/>
    <x v="6"/>
    <x v="111"/>
    <d v="2023-05-04T00:00:00"/>
    <x v="1"/>
    <x v="1"/>
    <x v="0"/>
    <x v="3471"/>
    <n v="20"/>
    <x v="1"/>
    <s v="Recovered"/>
    <x v="1"/>
    <x v="1"/>
    <s v="Card"/>
    <n v="15"/>
    <x v="3457"/>
    <s v="Yes"/>
    <x v="0"/>
  </r>
  <r>
    <x v="3473"/>
    <x v="61"/>
    <x v="0"/>
    <x v="3"/>
    <x v="605"/>
    <d v="2025-03-20T00:00:00"/>
    <x v="1"/>
    <x v="1"/>
    <x v="0"/>
    <x v="3472"/>
    <n v="15"/>
    <x v="0"/>
    <s v="Recovered"/>
    <x v="2"/>
    <x v="2"/>
    <s v="Card"/>
    <n v="10"/>
    <x v="3458"/>
    <s v="Yes"/>
    <x v="0"/>
  </r>
  <r>
    <x v="3474"/>
    <x v="61"/>
    <x v="1"/>
    <x v="2"/>
    <x v="164"/>
    <d v="2025-09-01T00:00:00"/>
    <x v="5"/>
    <x v="4"/>
    <x v="4"/>
    <x v="3473"/>
    <n v="19"/>
    <x v="1"/>
    <s v="Recovered"/>
    <x v="0"/>
    <x v="0"/>
    <s v="Cash"/>
    <n v="4"/>
    <x v="3459"/>
    <s v="Yes"/>
    <x v="0"/>
  </r>
  <r>
    <x v="3475"/>
    <x v="57"/>
    <x v="0"/>
    <x v="2"/>
    <x v="885"/>
    <d v="2024-02-17T00:00:00"/>
    <x v="5"/>
    <x v="4"/>
    <x v="0"/>
    <x v="3474"/>
    <n v="8"/>
    <x v="0"/>
    <s v="Recovered"/>
    <x v="0"/>
    <x v="3"/>
    <s v="Cash"/>
    <n v="1"/>
    <x v="3460"/>
    <s v="Yes"/>
    <x v="0"/>
  </r>
  <r>
    <x v="3476"/>
    <x v="15"/>
    <x v="1"/>
    <x v="4"/>
    <x v="970"/>
    <d v="2023-02-03T00:00:00"/>
    <x v="4"/>
    <x v="3"/>
    <x v="0"/>
    <x v="3475"/>
    <n v="15"/>
    <x v="0"/>
    <s v="Recovered"/>
    <x v="0"/>
    <x v="3"/>
    <s v="Card"/>
    <n v="7"/>
    <x v="3461"/>
    <s v="Yes"/>
    <x v="0"/>
  </r>
  <r>
    <x v="3477"/>
    <x v="18"/>
    <x v="0"/>
    <x v="7"/>
    <x v="552"/>
    <d v="2023-05-15T00:00:00"/>
    <x v="6"/>
    <x v="2"/>
    <x v="1"/>
    <x v="3476"/>
    <n v="30"/>
    <x v="1"/>
    <s v="Recovered"/>
    <x v="2"/>
    <x v="2"/>
    <s v="UPI"/>
    <n v="1"/>
    <x v="3462"/>
    <s v="Yes"/>
    <x v="0"/>
  </r>
  <r>
    <x v="3478"/>
    <x v="54"/>
    <x v="1"/>
    <x v="5"/>
    <x v="856"/>
    <d v="2023-01-22T00:00:00"/>
    <x v="4"/>
    <x v="3"/>
    <x v="7"/>
    <x v="3477"/>
    <n v="15"/>
    <x v="1"/>
    <s v="Recovered"/>
    <x v="1"/>
    <x v="2"/>
    <s v="Cash"/>
    <n v="12"/>
    <x v="3463"/>
    <s v="Yes"/>
    <x v="0"/>
  </r>
  <r>
    <x v="3479"/>
    <x v="69"/>
    <x v="0"/>
    <x v="3"/>
    <x v="483"/>
    <d v="2024-08-29T00:00:00"/>
    <x v="9"/>
    <x v="5"/>
    <x v="0"/>
    <x v="3478"/>
    <n v="3"/>
    <x v="1"/>
    <s v="Recovered"/>
    <x v="2"/>
    <x v="0"/>
    <s v="Insurance"/>
    <n v="4"/>
    <x v="3464"/>
    <s v="Yes"/>
    <x v="0"/>
  </r>
  <r>
    <x v="3480"/>
    <x v="64"/>
    <x v="0"/>
    <x v="7"/>
    <x v="285"/>
    <d v="2023-08-29T00:00:00"/>
    <x v="1"/>
    <x v="1"/>
    <x v="6"/>
    <x v="3479"/>
    <n v="11"/>
    <x v="0"/>
    <s v="Recovered"/>
    <x v="1"/>
    <x v="2"/>
    <s v="UPI"/>
    <n v="14"/>
    <x v="3465"/>
    <s v="No"/>
    <x v="0"/>
  </r>
  <r>
    <x v="3481"/>
    <x v="37"/>
    <x v="1"/>
    <x v="6"/>
    <x v="129"/>
    <d v="2023-07-04T00:00:00"/>
    <x v="0"/>
    <x v="0"/>
    <x v="1"/>
    <x v="3480"/>
    <n v="20"/>
    <x v="1"/>
    <s v="Under Observation"/>
    <x v="0"/>
    <x v="2"/>
    <s v="Card"/>
    <n v="12"/>
    <x v="3466"/>
    <s v="Yes"/>
    <x v="0"/>
  </r>
  <r>
    <x v="3482"/>
    <x v="56"/>
    <x v="1"/>
    <x v="3"/>
    <x v="286"/>
    <d v="2023-10-11T00:00:00"/>
    <x v="1"/>
    <x v="1"/>
    <x v="0"/>
    <x v="3481"/>
    <n v="30"/>
    <x v="1"/>
    <s v="Recovered"/>
    <x v="1"/>
    <x v="2"/>
    <s v="Cash"/>
    <n v="4"/>
    <x v="3467"/>
    <s v="Yes"/>
    <x v="0"/>
  </r>
  <r>
    <x v="3483"/>
    <x v="5"/>
    <x v="0"/>
    <x v="0"/>
    <x v="289"/>
    <d v="2025-09-13T00:00:00"/>
    <x v="1"/>
    <x v="1"/>
    <x v="7"/>
    <x v="3482"/>
    <n v="9"/>
    <x v="1"/>
    <s v="Recovered"/>
    <x v="1"/>
    <x v="2"/>
    <s v="UPI"/>
    <n v="6"/>
    <x v="3468"/>
    <s v="Yes"/>
    <x v="0"/>
  </r>
  <r>
    <x v="3484"/>
    <x v="46"/>
    <x v="1"/>
    <x v="7"/>
    <x v="439"/>
    <d v="2024-10-19T00:00:00"/>
    <x v="2"/>
    <x v="2"/>
    <x v="4"/>
    <x v="3483"/>
    <n v="10"/>
    <x v="1"/>
    <s v="Recovered"/>
    <x v="1"/>
    <x v="2"/>
    <s v="UPI"/>
    <n v="13"/>
    <x v="3469"/>
    <s v="No"/>
    <x v="0"/>
  </r>
  <r>
    <x v="3485"/>
    <x v="14"/>
    <x v="1"/>
    <x v="4"/>
    <x v="181"/>
    <d v="2023-07-11T00:00:00"/>
    <x v="8"/>
    <x v="6"/>
    <x v="2"/>
    <x v="3484"/>
    <n v="5"/>
    <x v="0"/>
    <s v="Recovered"/>
    <x v="1"/>
    <x v="0"/>
    <s v="Card"/>
    <n v="4"/>
    <x v="3470"/>
    <s v="Yes"/>
    <x v="1"/>
  </r>
  <r>
    <x v="3486"/>
    <x v="34"/>
    <x v="1"/>
    <x v="5"/>
    <x v="722"/>
    <d v="2025-01-12T00:00:00"/>
    <x v="3"/>
    <x v="0"/>
    <x v="5"/>
    <x v="3485"/>
    <n v="16"/>
    <x v="1"/>
    <s v="Recovered"/>
    <x v="2"/>
    <x v="1"/>
    <s v="Card"/>
    <n v="14"/>
    <x v="3471"/>
    <s v="Yes"/>
    <x v="0"/>
  </r>
  <r>
    <x v="3487"/>
    <x v="19"/>
    <x v="1"/>
    <x v="4"/>
    <x v="711"/>
    <d v="2023-07-02T00:00:00"/>
    <x v="1"/>
    <x v="1"/>
    <x v="0"/>
    <x v="3486"/>
    <n v="3"/>
    <x v="0"/>
    <s v="Recovered"/>
    <x v="0"/>
    <x v="3"/>
    <s v="UPI"/>
    <n v="5"/>
    <x v="3472"/>
    <s v="No"/>
    <x v="0"/>
  </r>
  <r>
    <x v="3488"/>
    <x v="10"/>
    <x v="1"/>
    <x v="0"/>
    <x v="427"/>
    <d v="2024-07-09T00:00:00"/>
    <x v="5"/>
    <x v="4"/>
    <x v="7"/>
    <x v="3487"/>
    <n v="5"/>
    <x v="1"/>
    <s v="Recovered"/>
    <x v="0"/>
    <x v="0"/>
    <s v="Insurance"/>
    <n v="14"/>
    <x v="3473"/>
    <s v="Yes"/>
    <x v="0"/>
  </r>
  <r>
    <x v="3489"/>
    <x v="43"/>
    <x v="0"/>
    <x v="4"/>
    <x v="229"/>
    <d v="2024-07-31T00:00:00"/>
    <x v="2"/>
    <x v="2"/>
    <x v="0"/>
    <x v="3488"/>
    <n v="16"/>
    <x v="0"/>
    <s v="Recovered"/>
    <x v="2"/>
    <x v="1"/>
    <s v="UPI"/>
    <n v="6"/>
    <x v="3474"/>
    <s v="Yes"/>
    <x v="0"/>
  </r>
  <r>
    <x v="3490"/>
    <x v="63"/>
    <x v="0"/>
    <x v="5"/>
    <x v="390"/>
    <d v="2023-11-09T00:00:00"/>
    <x v="6"/>
    <x v="2"/>
    <x v="3"/>
    <x v="3489"/>
    <n v="10"/>
    <x v="0"/>
    <s v="Recovered"/>
    <x v="1"/>
    <x v="3"/>
    <s v="UPI"/>
    <n v="8"/>
    <x v="3475"/>
    <s v="No"/>
    <x v="1"/>
  </r>
  <r>
    <x v="3491"/>
    <x v="45"/>
    <x v="0"/>
    <x v="6"/>
    <x v="778"/>
    <d v="2024-07-17T00:00:00"/>
    <x v="2"/>
    <x v="2"/>
    <x v="7"/>
    <x v="3490"/>
    <n v="16"/>
    <x v="1"/>
    <s v="Recovered"/>
    <x v="2"/>
    <x v="3"/>
    <s v="Card"/>
    <n v="3"/>
    <x v="3476"/>
    <s v="Yes"/>
    <x v="0"/>
  </r>
  <r>
    <x v="3492"/>
    <x v="10"/>
    <x v="0"/>
    <x v="3"/>
    <x v="463"/>
    <d v="2023-12-14T00:00:00"/>
    <x v="9"/>
    <x v="5"/>
    <x v="0"/>
    <x v="3491"/>
    <n v="9"/>
    <x v="0"/>
    <s v="Recovered"/>
    <x v="2"/>
    <x v="1"/>
    <s v="Cash"/>
    <n v="13"/>
    <x v="3477"/>
    <s v="Yes"/>
    <x v="0"/>
  </r>
  <r>
    <x v="3493"/>
    <x v="53"/>
    <x v="1"/>
    <x v="4"/>
    <x v="235"/>
    <d v="2023-07-19T00:00:00"/>
    <x v="5"/>
    <x v="4"/>
    <x v="3"/>
    <x v="3492"/>
    <n v="9"/>
    <x v="1"/>
    <s v="Recovered"/>
    <x v="2"/>
    <x v="2"/>
    <s v="Card"/>
    <n v="15"/>
    <x v="3478"/>
    <s v="Yes"/>
    <x v="0"/>
  </r>
  <r>
    <x v="3494"/>
    <x v="27"/>
    <x v="0"/>
    <x v="2"/>
    <x v="152"/>
    <d v="2025-06-13T00:00:00"/>
    <x v="3"/>
    <x v="0"/>
    <x v="3"/>
    <x v="3493"/>
    <n v="12"/>
    <x v="0"/>
    <s v="Recovered"/>
    <x v="0"/>
    <x v="3"/>
    <s v="UPI"/>
    <n v="12"/>
    <x v="3479"/>
    <s v="Yes"/>
    <x v="0"/>
  </r>
  <r>
    <x v="3495"/>
    <x v="29"/>
    <x v="1"/>
    <x v="3"/>
    <x v="714"/>
    <d v="2025-02-05T00:00:00"/>
    <x v="9"/>
    <x v="5"/>
    <x v="0"/>
    <x v="3494"/>
    <n v="5"/>
    <x v="1"/>
    <s v="Recovered"/>
    <x v="0"/>
    <x v="3"/>
    <s v="Card"/>
    <n v="3"/>
    <x v="3480"/>
    <s v="Yes"/>
    <x v="0"/>
  </r>
  <r>
    <x v="3496"/>
    <x v="53"/>
    <x v="0"/>
    <x v="1"/>
    <x v="80"/>
    <d v="2025-02-02T00:00:00"/>
    <x v="9"/>
    <x v="5"/>
    <x v="0"/>
    <x v="3495"/>
    <n v="11"/>
    <x v="0"/>
    <s v="Recovered"/>
    <x v="2"/>
    <x v="1"/>
    <s v="UPI"/>
    <n v="8"/>
    <x v="3481"/>
    <s v="No"/>
    <x v="0"/>
  </r>
  <r>
    <x v="3497"/>
    <x v="10"/>
    <x v="1"/>
    <x v="5"/>
    <x v="766"/>
    <d v="2024-11-11T00:00:00"/>
    <x v="2"/>
    <x v="2"/>
    <x v="1"/>
    <x v="3496"/>
    <n v="16"/>
    <x v="1"/>
    <s v="Recovered"/>
    <x v="0"/>
    <x v="0"/>
    <s v="UPI"/>
    <n v="1"/>
    <x v="3482"/>
    <s v="Yes"/>
    <x v="1"/>
  </r>
  <r>
    <x v="3498"/>
    <x v="48"/>
    <x v="0"/>
    <x v="4"/>
    <x v="948"/>
    <d v="2024-03-06T00:00:00"/>
    <x v="6"/>
    <x v="2"/>
    <x v="5"/>
    <x v="3497"/>
    <n v="20"/>
    <x v="0"/>
    <s v="Recovered"/>
    <x v="1"/>
    <x v="0"/>
    <s v="UPI"/>
    <n v="1"/>
    <x v="3483"/>
    <s v="No"/>
    <x v="0"/>
  </r>
  <r>
    <x v="3499"/>
    <x v="24"/>
    <x v="0"/>
    <x v="3"/>
    <x v="419"/>
    <d v="2023-04-10T00:00:00"/>
    <x v="4"/>
    <x v="3"/>
    <x v="6"/>
    <x v="3498"/>
    <n v="12"/>
    <x v="0"/>
    <s v="Recovered"/>
    <x v="0"/>
    <x v="3"/>
    <s v="Card"/>
    <n v="14"/>
    <x v="3484"/>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C038D5-8FE9-43AE-A13D-447B3368B98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7:C65" firstHeaderRow="1" firstDataRow="1" firstDataCol="1"/>
  <pivotFields count="23">
    <pivotField showAll="0"/>
    <pivotField showAll="0"/>
    <pivotField showAll="0"/>
    <pivotField showAll="0"/>
    <pivotField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pivotField axis="axisRow" showAll="0">
      <items count="8">
        <item x="0"/>
        <item x="3"/>
        <item x="6"/>
        <item x="4"/>
        <item x="2"/>
        <item x="1"/>
        <item x="5"/>
        <item t="default"/>
      </items>
    </pivotField>
    <pivotField showAll="0">
      <items count="9">
        <item x="2"/>
        <item x="7"/>
        <item x="6"/>
        <item x="0"/>
        <item x="3"/>
        <item x="4"/>
        <item x="1"/>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8">
    <i>
      <x/>
    </i>
    <i>
      <x v="1"/>
    </i>
    <i>
      <x v="2"/>
    </i>
    <i>
      <x v="3"/>
    </i>
    <i>
      <x v="4"/>
    </i>
    <i>
      <x v="5"/>
    </i>
    <i>
      <x v="6"/>
    </i>
    <i t="grand">
      <x/>
    </i>
  </rowItems>
  <colItems count="1">
    <i/>
  </colItems>
  <dataFields count="1">
    <dataField name="Average of Treatment_Cost_USD" fld="9"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E3A79D-4621-4D5C-A97B-13E5BAAA4C44}"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F46:G54" firstHeaderRow="1" firstDataRow="1" firstDataCol="1"/>
  <pivotFields count="23">
    <pivotField dataField="1" compact="0" outline="0" showAll="0">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default"/>
      </items>
    </pivotField>
    <pivotField compact="0" outline="0" showAll="0"/>
    <pivotField compact="0" outline="0" showAll="0"/>
    <pivotField compact="0" outline="0" showAll="0">
      <items count="9">
        <item x="2"/>
        <item x="6"/>
        <item x="3"/>
        <item x="1"/>
        <item x="4"/>
        <item x="0"/>
        <item x="7"/>
        <item x="5"/>
        <item t="default"/>
      </items>
    </pivotField>
    <pivotField compact="0" numFmtId="164" outline="0"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compact="0" numFmtId="166" outline="0" showAll="0"/>
    <pivotField compact="0" outline="0" showAll="0">
      <items count="11">
        <item x="7"/>
        <item x="8"/>
        <item x="4"/>
        <item x="1"/>
        <item x="3"/>
        <item x="0"/>
        <item x="5"/>
        <item x="2"/>
        <item x="9"/>
        <item x="6"/>
        <item t="default"/>
      </items>
    </pivotField>
    <pivotField axis="axisRow" compact="0" outline="0" showAll="0">
      <items count="8">
        <item x="0"/>
        <item x="3"/>
        <item x="6"/>
        <item x="4"/>
        <item x="2"/>
        <item x="1"/>
        <item x="5"/>
        <item t="default"/>
      </items>
    </pivotField>
    <pivotField compact="0" outline="0" showAll="0">
      <items count="9">
        <item x="2"/>
        <item x="7"/>
        <item x="6"/>
        <item x="0"/>
        <item x="3"/>
        <item x="4"/>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5">
        <item h="1" x="0"/>
        <item x="1"/>
        <item h="1" x="2"/>
        <item h="1" x="3"/>
        <item h="1" x="4"/>
      </items>
    </pivotField>
  </pivotFields>
  <rowFields count="1">
    <field x="7"/>
  </rowFields>
  <rowItems count="8">
    <i>
      <x/>
    </i>
    <i>
      <x v="1"/>
    </i>
    <i>
      <x v="2"/>
    </i>
    <i>
      <x v="3"/>
    </i>
    <i>
      <x v="4"/>
    </i>
    <i>
      <x v="5"/>
    </i>
    <i>
      <x v="6"/>
    </i>
    <i t="grand">
      <x/>
    </i>
  </rowItems>
  <colItems count="1">
    <i/>
  </colItems>
  <dataFields count="1">
    <dataField name="Count of Patient_ID" fld="0" subtotal="count" baseField="0" baseItem="0"/>
  </dataFields>
  <chartFormats count="15">
    <chartFormat chart="3" format="21" series="1">
      <pivotArea type="data" outline="0" fieldPosition="0">
        <references count="1">
          <reference field="7" count="1" selected="0">
            <x v="0"/>
          </reference>
        </references>
      </pivotArea>
    </chartFormat>
    <chartFormat chart="3" format="22" series="1">
      <pivotArea type="data" outline="0" fieldPosition="0">
        <references count="1">
          <reference field="7" count="1" selected="0">
            <x v="1"/>
          </reference>
        </references>
      </pivotArea>
    </chartFormat>
    <chartFormat chart="3" format="23" series="1">
      <pivotArea type="data" outline="0" fieldPosition="0">
        <references count="1">
          <reference field="7" count="1" selected="0">
            <x v="2"/>
          </reference>
        </references>
      </pivotArea>
    </chartFormat>
    <chartFormat chart="3" format="24" series="1">
      <pivotArea type="data" outline="0" fieldPosition="0">
        <references count="1">
          <reference field="7" count="1" selected="0">
            <x v="3"/>
          </reference>
        </references>
      </pivotArea>
    </chartFormat>
    <chartFormat chart="3" format="25" series="1">
      <pivotArea type="data" outline="0" fieldPosition="0">
        <references count="1">
          <reference field="7" count="1" selected="0">
            <x v="4"/>
          </reference>
        </references>
      </pivotArea>
    </chartFormat>
    <chartFormat chart="3" format="26" series="1">
      <pivotArea type="data" outline="0" fieldPosition="0">
        <references count="1">
          <reference field="7" count="1" selected="0">
            <x v="5"/>
          </reference>
        </references>
      </pivotArea>
    </chartFormat>
    <chartFormat chart="3" format="27" series="1">
      <pivotArea type="data" outline="0" fieldPosition="0">
        <references count="1">
          <reference field="7" count="1" selected="0">
            <x v="6"/>
          </reference>
        </references>
      </pivotArea>
    </chartFormat>
    <chartFormat chart="3" format="28" series="1">
      <pivotArea type="data" outline="0" fieldPosition="0">
        <references count="2">
          <reference field="4294967294" count="1" selected="0">
            <x v="0"/>
          </reference>
          <reference field="7" count="1" selected="0">
            <x v="0"/>
          </reference>
        </references>
      </pivotArea>
    </chartFormat>
    <chartFormat chart="3" format="29" series="1">
      <pivotArea type="data" outline="0" fieldPosition="0">
        <references count="2">
          <reference field="4294967294" count="1" selected="0">
            <x v="0"/>
          </reference>
          <reference field="7" count="1" selected="0">
            <x v="1"/>
          </reference>
        </references>
      </pivotArea>
    </chartFormat>
    <chartFormat chart="3" format="30" series="1">
      <pivotArea type="data" outline="0" fieldPosition="0">
        <references count="2">
          <reference field="4294967294" count="1" selected="0">
            <x v="0"/>
          </reference>
          <reference field="7" count="1" selected="0">
            <x v="2"/>
          </reference>
        </references>
      </pivotArea>
    </chartFormat>
    <chartFormat chart="3" format="31" series="1">
      <pivotArea type="data" outline="0" fieldPosition="0">
        <references count="2">
          <reference field="4294967294" count="1" selected="0">
            <x v="0"/>
          </reference>
          <reference field="7" count="1" selected="0">
            <x v="3"/>
          </reference>
        </references>
      </pivotArea>
    </chartFormat>
    <chartFormat chart="3" format="32" series="1">
      <pivotArea type="data" outline="0" fieldPosition="0">
        <references count="2">
          <reference field="4294967294" count="1" selected="0">
            <x v="0"/>
          </reference>
          <reference field="7" count="1" selected="0">
            <x v="4"/>
          </reference>
        </references>
      </pivotArea>
    </chartFormat>
    <chartFormat chart="3" format="33" series="1">
      <pivotArea type="data" outline="0" fieldPosition="0">
        <references count="2">
          <reference field="4294967294" count="1" selected="0">
            <x v="0"/>
          </reference>
          <reference field="7" count="1" selected="0">
            <x v="5"/>
          </reference>
        </references>
      </pivotArea>
    </chartFormat>
    <chartFormat chart="3" format="34" series="1">
      <pivotArea type="data" outline="0" fieldPosition="0">
        <references count="2">
          <reference field="4294967294" count="1" selected="0">
            <x v="0"/>
          </reference>
          <reference field="7" count="1" selected="0">
            <x v="6"/>
          </reference>
        </references>
      </pivotArea>
    </chartFormat>
    <chartFormat chart="3"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D405B-D2F1-4E05-9F68-B747AEAB7EE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2" rowHeaderCaption="DIAGNOSIS">
  <location ref="C2:D11" firstHeaderRow="1" firstDataRow="1" firstDataCol="1"/>
  <pivotFields count="23">
    <pivotField dataField="1" compact="0" outline="0" showAll="0">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default"/>
      </items>
    </pivotField>
    <pivotField compact="0" outline="0" showAll="0"/>
    <pivotField compact="0" outline="0" showAll="0"/>
    <pivotField axis="axisRow" compact="0" outline="0" showAll="0">
      <items count="9">
        <item x="2"/>
        <item x="6"/>
        <item x="3"/>
        <item x="1"/>
        <item x="4"/>
        <item x="0"/>
        <item x="7"/>
        <item x="5"/>
        <item t="default"/>
      </items>
    </pivotField>
    <pivotField compact="0" numFmtId="164" outline="0"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compact="0" numFmtId="166" outline="0" showAll="0"/>
    <pivotField compact="0" outline="0" showAll="0">
      <items count="11">
        <item x="7"/>
        <item x="8"/>
        <item x="4"/>
        <item x="1"/>
        <item x="3"/>
        <item x="0"/>
        <item x="5"/>
        <item x="2"/>
        <item x="9"/>
        <item x="6"/>
        <item t="default"/>
      </items>
    </pivotField>
    <pivotField compact="0" outline="0" showAll="0">
      <items count="8">
        <item x="0"/>
        <item x="3"/>
        <item x="6"/>
        <item x="4"/>
        <item x="2"/>
        <item x="1"/>
        <item x="5"/>
        <item t="default"/>
      </items>
    </pivotField>
    <pivotField compact="0" outline="0" showAll="0">
      <items count="9">
        <item x="2"/>
        <item x="7"/>
        <item x="6"/>
        <item x="0"/>
        <item x="3"/>
        <item x="4"/>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h="1" x="0"/>
        <item x="1"/>
        <item h="1" x="2"/>
        <item h="1" x="3"/>
        <item h="1" x="4"/>
        <item t="default"/>
      </items>
    </pivotField>
  </pivotFields>
  <rowFields count="1">
    <field x="3"/>
  </rowFields>
  <rowItems count="9">
    <i>
      <x/>
    </i>
    <i>
      <x v="1"/>
    </i>
    <i>
      <x v="2"/>
    </i>
    <i>
      <x v="3"/>
    </i>
    <i>
      <x v="4"/>
    </i>
    <i>
      <x v="5"/>
    </i>
    <i>
      <x v="6"/>
    </i>
    <i>
      <x v="7"/>
    </i>
    <i t="grand">
      <x/>
    </i>
  </rowItems>
  <colItems count="1">
    <i/>
  </colItems>
  <dataFields count="1">
    <dataField name="Count of Patient_ID" fld="0" subtotal="count" baseField="0" baseItem="0"/>
  </dataFields>
  <chartFormats count="9">
    <chartFormat chart="9" format="35"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3" count="1" selected="0">
            <x v="1"/>
          </reference>
        </references>
      </pivotArea>
    </chartFormat>
    <chartFormat chart="9" format="38">
      <pivotArea type="data" outline="0" fieldPosition="0">
        <references count="2">
          <reference field="4294967294" count="1" selected="0">
            <x v="0"/>
          </reference>
          <reference field="3" count="1" selected="0">
            <x v="0"/>
          </reference>
        </references>
      </pivotArea>
    </chartFormat>
    <chartFormat chart="9" format="39">
      <pivotArea type="data" outline="0" fieldPosition="0">
        <references count="2">
          <reference field="4294967294" count="1" selected="0">
            <x v="0"/>
          </reference>
          <reference field="3" count="1" selected="0">
            <x v="2"/>
          </reference>
        </references>
      </pivotArea>
    </chartFormat>
    <chartFormat chart="9" format="40">
      <pivotArea type="data" outline="0" fieldPosition="0">
        <references count="2">
          <reference field="4294967294" count="1" selected="0">
            <x v="0"/>
          </reference>
          <reference field="3" count="1" selected="0">
            <x v="3"/>
          </reference>
        </references>
      </pivotArea>
    </chartFormat>
    <chartFormat chart="9" format="41">
      <pivotArea type="data" outline="0" fieldPosition="0">
        <references count="2">
          <reference field="4294967294" count="1" selected="0">
            <x v="0"/>
          </reference>
          <reference field="3" count="1" selected="0">
            <x v="4"/>
          </reference>
        </references>
      </pivotArea>
    </chartFormat>
    <chartFormat chart="9" format="42">
      <pivotArea type="data" outline="0" fieldPosition="0">
        <references count="2">
          <reference field="4294967294" count="1" selected="0">
            <x v="0"/>
          </reference>
          <reference field="3" count="1" selected="0">
            <x v="5"/>
          </reference>
        </references>
      </pivotArea>
    </chartFormat>
    <chartFormat chart="9" format="43">
      <pivotArea type="data" outline="0" fieldPosition="0">
        <references count="2">
          <reference field="4294967294" count="1" selected="0">
            <x v="0"/>
          </reference>
          <reference field="3" count="1" selected="0">
            <x v="6"/>
          </reference>
        </references>
      </pivotArea>
    </chartFormat>
    <chartFormat chart="9" format="44">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DC707-8742-4888-AA88-484EFC82F471}"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rowHeaderCaption="Admission Type">
  <location ref="A2:B6" firstHeaderRow="1" firstDataRow="1" firstDataCol="1"/>
  <pivotFields count="23">
    <pivotField dataField="1" compact="0" outline="0" showAll="0">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default"/>
      </items>
    </pivotField>
    <pivotField compact="0" outline="0" showAll="0"/>
    <pivotField compact="0" outline="0" showAll="0"/>
    <pivotField compact="0" outline="0" showAll="0">
      <items count="9">
        <item x="2"/>
        <item x="6"/>
        <item x="3"/>
        <item x="1"/>
        <item x="4"/>
        <item x="0"/>
        <item x="7"/>
        <item x="5"/>
        <item t="default"/>
      </items>
    </pivotField>
    <pivotField compact="0" numFmtId="164" outline="0"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compact="0" numFmtId="166" outline="0" showAll="0"/>
    <pivotField compact="0" outline="0" showAll="0">
      <items count="11">
        <item x="7"/>
        <item x="8"/>
        <item x="4"/>
        <item x="1"/>
        <item x="3"/>
        <item x="0"/>
        <item x="5"/>
        <item x="2"/>
        <item x="9"/>
        <item x="6"/>
        <item t="default"/>
      </items>
    </pivotField>
    <pivotField compact="0" outline="0" showAll="0">
      <items count="8">
        <item x="0"/>
        <item x="3"/>
        <item x="6"/>
        <item x="4"/>
        <item x="2"/>
        <item x="1"/>
        <item x="5"/>
        <item t="default"/>
      </items>
    </pivotField>
    <pivotField compact="0" outline="0" showAll="0">
      <items count="9">
        <item x="2"/>
        <item x="7"/>
        <item x="6"/>
        <item x="0"/>
        <item x="3"/>
        <item x="4"/>
        <item x="1"/>
        <item x="5"/>
        <item t="default"/>
      </items>
    </pivotField>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5">
        <item h="1" x="0"/>
        <item x="1"/>
        <item h="1" x="2"/>
        <item h="1" x="3"/>
        <item h="1" x="4"/>
      </items>
    </pivotField>
  </pivotFields>
  <rowFields count="1">
    <field x="13"/>
  </rowFields>
  <rowItems count="4">
    <i>
      <x/>
    </i>
    <i>
      <x v="1"/>
    </i>
    <i>
      <x v="2"/>
    </i>
    <i t="grand">
      <x/>
    </i>
  </rowItems>
  <colItems count="1">
    <i/>
  </colItems>
  <dataFields count="1">
    <dataField name="Count of Patient_ID" fld="0" subtotal="count" baseField="13" baseItem="0"/>
  </dataFields>
  <chartFormats count="5">
    <chartFormat chart="1" format="0" series="1">
      <pivotArea type="data" outline="0" fieldPosition="0">
        <references count="1">
          <reference field="4294967294" count="1" selected="0">
            <x v="0"/>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13" count="1" selected="0">
            <x v="0"/>
          </reference>
        </references>
      </pivotArea>
    </chartFormat>
    <chartFormat chart="16" format="32">
      <pivotArea type="data" outline="0" fieldPosition="0">
        <references count="2">
          <reference field="4294967294" count="1" selected="0">
            <x v="0"/>
          </reference>
          <reference field="13" count="1" selected="0">
            <x v="1"/>
          </reference>
        </references>
      </pivotArea>
    </chartFormat>
    <chartFormat chart="16" format="3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87051-A6BB-4184-8B1E-DC2925F47A0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I42" firstHeaderRow="1" firstDataRow="2" firstDataCol="1"/>
  <pivotFields count="23">
    <pivotField dataField="1" compact="0" outline="0" showAll="0"/>
    <pivotField compact="0" outline="0" showAll="0"/>
    <pivotField compact="0" outline="0" showAll="0"/>
    <pivotField compact="0" outline="0" showAll="0"/>
    <pivotField compact="0" numFmtId="164" outline="0"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compact="0" numFmtId="166" outline="0" showAll="0"/>
    <pivotField compact="0" outline="0" showAll="0"/>
    <pivotField axis="axisCol" compact="0" outline="0" showAll="0">
      <items count="8">
        <item x="0"/>
        <item x="3"/>
        <item x="6"/>
        <item x="4"/>
        <item x="2"/>
        <item x="1"/>
        <item x="5"/>
        <item t="default"/>
      </items>
    </pivotField>
    <pivotField axis="axisRow" compact="0" outline="0" showAll="0">
      <items count="9">
        <item x="2"/>
        <item x="7"/>
        <item x="6"/>
        <item x="0"/>
        <item x="3"/>
        <item x="4"/>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5">
        <item x="0"/>
        <item x="1"/>
        <item x="2"/>
        <item x="3"/>
        <item x="4"/>
      </items>
    </pivotField>
  </pivotFields>
  <rowFields count="1">
    <field x="8"/>
  </rowFields>
  <rowItems count="9">
    <i>
      <x/>
    </i>
    <i>
      <x v="1"/>
    </i>
    <i>
      <x v="2"/>
    </i>
    <i>
      <x v="3"/>
    </i>
    <i>
      <x v="4"/>
    </i>
    <i>
      <x v="5"/>
    </i>
    <i>
      <x v="6"/>
    </i>
    <i>
      <x v="7"/>
    </i>
    <i t="grand">
      <x/>
    </i>
  </rowItems>
  <colFields count="1">
    <field x="7"/>
  </colFields>
  <colItems count="8">
    <i>
      <x/>
    </i>
    <i>
      <x v="1"/>
    </i>
    <i>
      <x v="2"/>
    </i>
    <i>
      <x v="3"/>
    </i>
    <i>
      <x v="4"/>
    </i>
    <i>
      <x v="5"/>
    </i>
    <i>
      <x v="6"/>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0649FC-DE35-4B91-B1E0-910FF16E36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6:C54" firstHeaderRow="1" firstDataRow="1" firstDataCol="1"/>
  <pivotFields count="23">
    <pivotField showAll="0">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default"/>
      </items>
    </pivotField>
    <pivotField showAll="0"/>
    <pivotField showAll="0"/>
    <pivotField showAll="0">
      <items count="9">
        <item x="2"/>
        <item x="6"/>
        <item x="3"/>
        <item x="1"/>
        <item x="4"/>
        <item x="0"/>
        <item x="7"/>
        <item x="5"/>
        <item t="default"/>
      </items>
    </pivotField>
    <pivotField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items count="11">
        <item x="7"/>
        <item x="8"/>
        <item x="4"/>
        <item x="1"/>
        <item x="3"/>
        <item x="0"/>
        <item x="5"/>
        <item x="2"/>
        <item x="9"/>
        <item x="6"/>
        <item t="default"/>
      </items>
    </pivotField>
    <pivotField axis="axisRow" showAll="0">
      <items count="8">
        <item x="0"/>
        <item x="3"/>
        <item x="6"/>
        <item x="4"/>
        <item x="2"/>
        <item x="1"/>
        <item x="5"/>
        <item t="default"/>
      </items>
    </pivotField>
    <pivotField showAll="0">
      <items count="9">
        <item x="2"/>
        <item x="7"/>
        <item x="6"/>
        <item x="0"/>
        <item x="3"/>
        <item x="4"/>
        <item x="1"/>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h="1" x="0"/>
        <item x="1"/>
        <item h="1" x="2"/>
        <item h="1" x="3"/>
        <item h="1" x="4"/>
      </items>
    </pivotField>
  </pivotFields>
  <rowFields count="1">
    <field x="7"/>
  </rowFields>
  <rowItems count="8">
    <i>
      <x/>
    </i>
    <i>
      <x v="1"/>
    </i>
    <i>
      <x v="2"/>
    </i>
    <i>
      <x v="3"/>
    </i>
    <i>
      <x v="4"/>
    </i>
    <i>
      <x v="5"/>
    </i>
    <i>
      <x v="6"/>
    </i>
    <i t="grand">
      <x/>
    </i>
  </rowItems>
  <colItems count="1">
    <i/>
  </colItems>
  <dataFields count="1">
    <dataField name="Average of Length_of_Stay" fld="10" subtotal="average" baseField="7" baseItem="5" numFmtId="167"/>
  </dataFields>
  <chartFormats count="7">
    <chartFormat chart="8" format="9"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9" format="15" series="1">
      <pivotArea type="data" outline="0" fieldPosition="0">
        <references count="1">
          <reference field="4294967294" count="1" selected="0">
            <x v="0"/>
          </reference>
        </references>
      </pivotArea>
    </chartFormat>
    <chartFormat chart="2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3F5B80-ECD0-405E-B98A-E516B57FA1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1:M34" firstHeaderRow="1" firstDataRow="1" firstDataCol="1"/>
  <pivotFields count="23">
    <pivotField dataField="1" showAll="0"/>
    <pivotField showAll="0"/>
    <pivotField showAll="0"/>
    <pivotField showAll="0">
      <items count="9">
        <item x="2"/>
        <item x="6"/>
        <item x="3"/>
        <item x="1"/>
        <item x="4"/>
        <item x="0"/>
        <item x="7"/>
        <item x="5"/>
        <item t="default"/>
      </items>
    </pivotField>
    <pivotField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pivotField showAll="0">
      <items count="8">
        <item x="0"/>
        <item x="3"/>
        <item x="6"/>
        <item x="4"/>
        <item x="2"/>
        <item x="1"/>
        <item x="5"/>
        <item t="default"/>
      </items>
    </pivotField>
    <pivotField showAll="0">
      <items count="9">
        <item x="2"/>
        <item x="7"/>
        <item x="6"/>
        <item x="0"/>
        <item x="3"/>
        <item x="4"/>
        <item x="1"/>
        <item x="5"/>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h="1" x="0"/>
        <item x="1"/>
        <item h="1" x="2"/>
        <item h="1" x="3"/>
        <item h="1" x="4"/>
      </items>
    </pivotField>
  </pivotFields>
  <rowFields count="1">
    <field x="11"/>
  </rowFields>
  <rowItems count="3">
    <i>
      <x/>
    </i>
    <i>
      <x v="1"/>
    </i>
    <i t="grand">
      <x/>
    </i>
  </rowItems>
  <colItems count="1">
    <i/>
  </colItems>
  <dataFields count="1">
    <dataField name="Count of Patient_ID" fld="0" subtotal="count"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A0641C-A63D-4148-8883-87B93595058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8:B17" firstHeaderRow="1" firstDataRow="1" firstDataCol="1"/>
  <pivotFields count="23">
    <pivotField dataField="1" compact="0" outline="0" showAll="0">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default"/>
      </items>
    </pivotField>
    <pivotField compact="0" outline="0" showAll="0"/>
    <pivotField compact="0" outline="0" showAll="0"/>
    <pivotField compact="0" outline="0" showAll="0">
      <items count="9">
        <item x="2"/>
        <item x="6"/>
        <item x="3"/>
        <item x="1"/>
        <item x="4"/>
        <item x="0"/>
        <item x="7"/>
        <item x="5"/>
        <item t="default"/>
      </items>
    </pivotField>
    <pivotField compact="0" numFmtId="164" outline="0"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compact="0" numFmtId="166" outline="0" showAll="0"/>
    <pivotField compact="0" outline="0" showAll="0">
      <items count="11">
        <item x="7"/>
        <item x="8"/>
        <item x="4"/>
        <item x="1"/>
        <item x="3"/>
        <item x="0"/>
        <item x="5"/>
        <item x="2"/>
        <item x="9"/>
        <item x="6"/>
        <item t="default"/>
      </items>
    </pivotField>
    <pivotField compact="0" outline="0" showAll="0">
      <items count="8">
        <item x="0"/>
        <item x="3"/>
        <item x="6"/>
        <item x="4"/>
        <item x="2"/>
        <item x="1"/>
        <item x="5"/>
        <item t="default"/>
      </items>
    </pivotField>
    <pivotField axis="axisRow" compact="0" outline="0" showAll="0">
      <items count="9">
        <item x="2"/>
        <item x="7"/>
        <item x="6"/>
        <item x="0"/>
        <item x="3"/>
        <item x="4"/>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5">
        <item h="1" x="0"/>
        <item x="1"/>
        <item h="1" x="2"/>
        <item h="1" x="3"/>
        <item h="1" x="4"/>
      </items>
    </pivotField>
  </pivotFields>
  <rowFields count="1">
    <field x="8"/>
  </rowFields>
  <rowItems count="9">
    <i>
      <x/>
    </i>
    <i>
      <x v="1"/>
    </i>
    <i>
      <x v="2"/>
    </i>
    <i>
      <x v="3"/>
    </i>
    <i>
      <x v="4"/>
    </i>
    <i>
      <x v="5"/>
    </i>
    <i>
      <x v="6"/>
    </i>
    <i>
      <x v="7"/>
    </i>
    <i t="grand">
      <x/>
    </i>
  </rowItems>
  <colItems count="1">
    <i/>
  </colItems>
  <dataFields count="1">
    <dataField name="Count of Patient_ID" fld="0" subtotal="count"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16"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405A74-195E-4926-97E3-986A39CCD4BD}"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2" rowHeaderCaption="MONTHS">
  <location ref="C14:D28" firstHeaderRow="1" firstDataRow="2" firstDataCol="1"/>
  <pivotFields count="23">
    <pivotField dataField="1" compact="0" outline="0" showAll="0" countASubtotal="1">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countA"/>
      </items>
    </pivotField>
    <pivotField compact="0" outline="0" showAll="0"/>
    <pivotField compact="0" outline="0" showAll="0"/>
    <pivotField compact="0" outline="0" showAll="0">
      <items count="9">
        <item x="2"/>
        <item x="6"/>
        <item x="3"/>
        <item x="1"/>
        <item x="4"/>
        <item x="0"/>
        <item x="7"/>
        <item x="5"/>
        <item t="default"/>
      </items>
    </pivotField>
    <pivotField compact="0" numFmtId="164" outline="0"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compact="0" numFmtId="166" outline="0" showAll="0"/>
    <pivotField compact="0" outline="0" showAll="0">
      <items count="11">
        <item x="7"/>
        <item x="8"/>
        <item x="4"/>
        <item x="1"/>
        <item x="3"/>
        <item x="0"/>
        <item x="5"/>
        <item x="2"/>
        <item x="9"/>
        <item x="6"/>
        <item t="default"/>
      </items>
    </pivotField>
    <pivotField compact="0" outline="0" showAll="0">
      <items count="8">
        <item x="0"/>
        <item x="3"/>
        <item x="6"/>
        <item x="4"/>
        <item x="2"/>
        <item x="1"/>
        <item x="5"/>
        <item t="default"/>
      </items>
    </pivotField>
    <pivotField compact="0" outline="0" showAll="0">
      <items count="9">
        <item x="2"/>
        <item x="7"/>
        <item x="6"/>
        <item x="0"/>
        <item x="3"/>
        <item x="4"/>
        <item x="1"/>
        <item x="5"/>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4">
        <item sd="0" x="0"/>
        <item x="1"/>
        <item x="2"/>
        <item sd="0" x="3"/>
        <item sd="0" x="4"/>
        <item x="5"/>
        <item sd="0" x="6"/>
        <item sd="0" x="7"/>
        <item sd="0" x="8"/>
        <item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5">
        <item h="1" sd="0" x="0"/>
        <item x="1"/>
        <item h="1" x="2"/>
        <item h="1" x="3"/>
        <item h="1" sd="0" x="4"/>
      </items>
    </pivotField>
  </pivotFields>
  <rowFields count="1">
    <field x="20"/>
  </rowFields>
  <rowItems count="13">
    <i>
      <x v="1"/>
    </i>
    <i>
      <x v="2"/>
    </i>
    <i>
      <x v="3"/>
    </i>
    <i>
      <x v="4"/>
    </i>
    <i>
      <x v="5"/>
    </i>
    <i>
      <x v="6"/>
    </i>
    <i>
      <x v="7"/>
    </i>
    <i>
      <x v="8"/>
    </i>
    <i>
      <x v="9"/>
    </i>
    <i>
      <x v="10"/>
    </i>
    <i>
      <x v="11"/>
    </i>
    <i>
      <x v="12"/>
    </i>
    <i t="grand">
      <x/>
    </i>
  </rowItems>
  <colFields count="1">
    <field x="22"/>
  </colFields>
  <colItems count="1">
    <i>
      <x v="1"/>
    </i>
  </colItems>
  <dataFields count="1">
    <dataField name="Count of Patient_ID" fld="0" subtotal="count" baseField="0" baseItem="0"/>
  </dataFields>
  <chartFormats count="8">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2">
          <reference field="4294967294" count="1" selected="0">
            <x v="0"/>
          </reference>
          <reference field="22" count="1" selected="0">
            <x v="2"/>
          </reference>
        </references>
      </pivotArea>
    </chartFormat>
    <chartFormat chart="25" format="4" series="1">
      <pivotArea type="data" outline="0" fieldPosition="0">
        <references count="2">
          <reference field="4294967294" count="1" selected="0">
            <x v="0"/>
          </reference>
          <reference field="22" count="1" selected="0">
            <x v="3"/>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2">
          <reference field="4294967294" count="1" selected="0">
            <x v="0"/>
          </reference>
          <reference field="22" count="1" selected="0">
            <x v="3"/>
          </reference>
        </references>
      </pivotArea>
    </chartFormat>
    <chartFormat chart="29" format="1" series="1">
      <pivotArea type="data" outline="0" fieldPosition="0">
        <references count="2">
          <reference field="4294967294" count="1" selected="0">
            <x v="0"/>
          </reference>
          <reference field="22" count="1" selected="0">
            <x v="3"/>
          </reference>
        </references>
      </pivotArea>
    </chartFormat>
    <chartFormat chart="25"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600247-C78D-4121-AB3D-A98B23ECADF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admission ">
  <location ref="O26:P31" firstHeaderRow="1" firstDataRow="1" firstDataCol="1"/>
  <pivotFields count="23">
    <pivotField dataField="1" showAll="0"/>
    <pivotField showAll="0"/>
    <pivotField showAll="0"/>
    <pivotField showAll="0"/>
    <pivotField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pivotField showAll="0"/>
    <pivotField showAll="0">
      <items count="9">
        <item x="2"/>
        <item x="7"/>
        <item x="6"/>
        <item x="0"/>
        <item x="3"/>
        <item x="4"/>
        <item x="1"/>
        <item x="5"/>
        <item t="default"/>
      </items>
    </pivotField>
    <pivotField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5">
    <i>
      <x/>
    </i>
    <i>
      <x v="1"/>
    </i>
    <i>
      <x v="2"/>
    </i>
    <i>
      <x v="3"/>
    </i>
    <i t="grand">
      <x/>
    </i>
  </rowItems>
  <colItems count="1">
    <i/>
  </colItems>
  <dataFields count="1">
    <dataField name="Count of Patient_ID" fld="0" subtotal="count" baseField="0" baseItem="0"/>
  </dataFields>
  <chartFormats count="3">
    <chartFormat chart="1"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FDD657-BD89-438C-95E0-A00A560804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26:M29" firstHeaderRow="1" firstDataRow="1" firstDataCol="1"/>
  <pivotFields count="23">
    <pivotField dataField="1" showAll="0">
      <items count="3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t="default"/>
      </items>
    </pivotField>
    <pivotField showAll="0"/>
    <pivotField axis="axisRow" showAll="0">
      <items count="3">
        <item x="1"/>
        <item x="0"/>
        <item t="default"/>
      </items>
    </pivotField>
    <pivotField showAll="0">
      <items count="9">
        <item x="2"/>
        <item x="6"/>
        <item x="3"/>
        <item x="1"/>
        <item x="4"/>
        <item x="0"/>
        <item x="7"/>
        <item x="5"/>
        <item t="default"/>
      </items>
    </pivotField>
    <pivotField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pivotField showAll="0">
      <items count="8">
        <item x="0"/>
        <item x="3"/>
        <item x="6"/>
        <item x="4"/>
        <item x="2"/>
        <item x="1"/>
        <item x="5"/>
        <item t="default"/>
      </items>
    </pivotField>
    <pivotField showAll="0">
      <items count="9">
        <item x="2"/>
        <item x="7"/>
        <item x="6"/>
        <item x="0"/>
        <item x="3"/>
        <item x="4"/>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h="1" x="0"/>
        <item x="1"/>
        <item h="1" x="2"/>
        <item h="1" x="3"/>
        <item h="1" x="4"/>
      </items>
    </pivotField>
  </pivotFields>
  <rowFields count="1">
    <field x="2"/>
  </rowFields>
  <rowItems count="3">
    <i>
      <x/>
    </i>
    <i>
      <x v="1"/>
    </i>
    <i t="grand">
      <x/>
    </i>
  </rowItems>
  <colItems count="1">
    <i/>
  </colItems>
  <dataFields count="1">
    <dataField name="Count of Patient_ID" fld="0" subtotal="count" baseField="0" baseItem="0"/>
  </dataFields>
  <chartFormats count="4">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C575FC-27F8-44E8-9F0D-CBD6709C6A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 firstHeaderRow="0" firstDataRow="0" firstDataCol="0" rowPageCount="1" colPageCount="1"/>
  <pivotFields count="23">
    <pivotField showAll="0"/>
    <pivotField showAll="0"/>
    <pivotField showAll="0"/>
    <pivotField showAll="0"/>
    <pivotField axis="axisPage"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pivotField showAll="0"/>
    <pivotField showAll="0">
      <items count="9">
        <item x="2"/>
        <item x="7"/>
        <item x="6"/>
        <item x="0"/>
        <item x="3"/>
        <item x="4"/>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pageFields count="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E7CEB9-21B8-4F86-AC21-86E2E5BC2A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pivotField axis="axisPage" numFmtId="164" showAll="0">
      <items count="972">
        <item x="117"/>
        <item x="592"/>
        <item x="76"/>
        <item x="466"/>
        <item x="518"/>
        <item x="933"/>
        <item x="856"/>
        <item x="251"/>
        <item x="94"/>
        <item x="637"/>
        <item x="366"/>
        <item x="45"/>
        <item x="636"/>
        <item x="553"/>
        <item x="582"/>
        <item x="168"/>
        <item x="488"/>
        <item x="867"/>
        <item x="970"/>
        <item x="355"/>
        <item x="350"/>
        <item x="833"/>
        <item x="304"/>
        <item x="290"/>
        <item x="67"/>
        <item x="104"/>
        <item x="870"/>
        <item x="640"/>
        <item x="498"/>
        <item x="88"/>
        <item x="563"/>
        <item x="461"/>
        <item x="420"/>
        <item x="493"/>
        <item x="170"/>
        <item x="717"/>
        <item x="862"/>
        <item x="109"/>
        <item x="491"/>
        <item x="432"/>
        <item x="150"/>
        <item x="566"/>
        <item x="544"/>
        <item x="351"/>
        <item x="208"/>
        <item x="838"/>
        <item x="449"/>
        <item x="195"/>
        <item x="319"/>
        <item x="8"/>
        <item x="407"/>
        <item x="837"/>
        <item x="183"/>
        <item x="174"/>
        <item x="613"/>
        <item x="324"/>
        <item x="580"/>
        <item x="683"/>
        <item x="474"/>
        <item x="548"/>
        <item x="133"/>
        <item x="910"/>
        <item x="618"/>
        <item x="764"/>
        <item x="645"/>
        <item x="252"/>
        <item x="453"/>
        <item x="248"/>
        <item x="32"/>
        <item x="530"/>
        <item x="116"/>
        <item x="186"/>
        <item x="492"/>
        <item x="391"/>
        <item x="812"/>
        <item x="29"/>
        <item x="275"/>
        <item x="167"/>
        <item x="615"/>
        <item x="909"/>
        <item x="610"/>
        <item x="83"/>
        <item x="165"/>
        <item x="400"/>
        <item x="729"/>
        <item x="160"/>
        <item x="419"/>
        <item x="343"/>
        <item x="36"/>
        <item x="306"/>
        <item x="783"/>
        <item x="809"/>
        <item x="437"/>
        <item x="13"/>
        <item x="529"/>
        <item x="191"/>
        <item x="425"/>
        <item x="77"/>
        <item x="829"/>
        <item x="108"/>
        <item x="879"/>
        <item x="894"/>
        <item x="111"/>
        <item x="552"/>
        <item x="125"/>
        <item x="71"/>
        <item x="741"/>
        <item x="841"/>
        <item x="220"/>
        <item x="476"/>
        <item x="947"/>
        <item x="843"/>
        <item x="79"/>
        <item x="831"/>
        <item x="839"/>
        <item x="755"/>
        <item x="698"/>
        <item x="246"/>
        <item x="326"/>
        <item x="876"/>
        <item x="311"/>
        <item x="291"/>
        <item x="339"/>
        <item x="753"/>
        <item x="121"/>
        <item x="597"/>
        <item x="365"/>
        <item x="1"/>
        <item x="98"/>
        <item x="69"/>
        <item x="354"/>
        <item x="532"/>
        <item x="255"/>
        <item x="804"/>
        <item x="825"/>
        <item x="459"/>
        <item x="875"/>
        <item x="171"/>
        <item x="24"/>
        <item x="271"/>
        <item x="551"/>
        <item x="44"/>
        <item x="344"/>
        <item x="336"/>
        <item x="528"/>
        <item x="728"/>
        <item x="702"/>
        <item x="42"/>
        <item x="897"/>
        <item x="827"/>
        <item x="406"/>
        <item x="368"/>
        <item x="158"/>
        <item x="27"/>
        <item x="793"/>
        <item x="65"/>
        <item x="956"/>
        <item x="57"/>
        <item x="745"/>
        <item x="115"/>
        <item x="560"/>
        <item x="129"/>
        <item x="871"/>
        <item x="790"/>
        <item x="648"/>
        <item x="47"/>
        <item x="477"/>
        <item x="918"/>
        <item x="754"/>
        <item x="664"/>
        <item x="685"/>
        <item x="677"/>
        <item x="433"/>
        <item x="968"/>
        <item x="711"/>
        <item x="736"/>
        <item x="568"/>
        <item x="172"/>
        <item x="145"/>
        <item x="902"/>
        <item x="434"/>
        <item x="181"/>
        <item x="866"/>
        <item x="159"/>
        <item x="409"/>
        <item x="235"/>
        <item x="662"/>
        <item x="955"/>
        <item x="470"/>
        <item x="321"/>
        <item x="405"/>
        <item x="545"/>
        <item x="360"/>
        <item x="418"/>
        <item x="575"/>
        <item x="674"/>
        <item x="182"/>
        <item x="715"/>
        <item x="554"/>
        <item x="102"/>
        <item x="481"/>
        <item x="524"/>
        <item x="187"/>
        <item x="207"/>
        <item x="861"/>
        <item x="908"/>
        <item x="383"/>
        <item x="940"/>
        <item x="935"/>
        <item x="720"/>
        <item x="74"/>
        <item x="114"/>
        <item x="516"/>
        <item x="5"/>
        <item x="141"/>
        <item x="853"/>
        <item x="565"/>
        <item x="204"/>
        <item x="872"/>
        <item x="629"/>
        <item x="357"/>
        <item x="263"/>
        <item x="258"/>
        <item x="520"/>
        <item x="285"/>
        <item x="41"/>
        <item x="267"/>
        <item x="261"/>
        <item x="131"/>
        <item x="206"/>
        <item x="305"/>
        <item x="916"/>
        <item x="957"/>
        <item x="213"/>
        <item x="215"/>
        <item x="218"/>
        <item x="392"/>
        <item x="284"/>
        <item x="951"/>
        <item x="709"/>
        <item x="924"/>
        <item x="293"/>
        <item x="651"/>
        <item x="221"/>
        <item x="650"/>
        <item x="743"/>
        <item x="286"/>
        <item x="64"/>
        <item x="198"/>
        <item x="244"/>
        <item x="478"/>
        <item x="257"/>
        <item x="693"/>
        <item x="680"/>
        <item x="178"/>
        <item x="939"/>
        <item x="958"/>
        <item x="249"/>
        <item x="538"/>
        <item x="139"/>
        <item x="10"/>
        <item x="653"/>
        <item x="12"/>
        <item x="26"/>
        <item x="232"/>
        <item x="690"/>
        <item x="931"/>
        <item x="66"/>
        <item x="667"/>
        <item x="17"/>
        <item x="887"/>
        <item x="402"/>
        <item x="127"/>
        <item x="224"/>
        <item x="864"/>
        <item x="298"/>
        <item x="786"/>
        <item x="638"/>
        <item x="490"/>
        <item x="549"/>
        <item x="389"/>
        <item x="14"/>
        <item x="949"/>
        <item x="130"/>
        <item x="265"/>
        <item x="146"/>
        <item x="367"/>
        <item x="523"/>
        <item x="469"/>
        <item x="880"/>
        <item x="848"/>
        <item x="631"/>
        <item x="87"/>
        <item x="390"/>
        <item x="81"/>
        <item x="352"/>
        <item x="703"/>
        <item x="378"/>
        <item x="226"/>
        <item x="616"/>
        <item x="869"/>
        <item x="787"/>
        <item x="923"/>
        <item x="922"/>
        <item x="417"/>
        <item x="394"/>
        <item x="583"/>
        <item x="85"/>
        <item x="811"/>
        <item x="572"/>
        <item x="888"/>
        <item x="176"/>
        <item x="945"/>
        <item x="840"/>
        <item x="649"/>
        <item x="646"/>
        <item x="279"/>
        <item x="3"/>
        <item x="806"/>
        <item x="740"/>
        <item x="40"/>
        <item x="628"/>
        <item x="448"/>
        <item x="369"/>
        <item x="762"/>
        <item x="379"/>
        <item x="942"/>
        <item x="906"/>
        <item x="695"/>
        <item x="463"/>
        <item x="512"/>
        <item x="952"/>
        <item x="665"/>
        <item x="210"/>
        <item x="99"/>
        <item x="558"/>
        <item x="50"/>
        <item x="604"/>
        <item x="678"/>
        <item x="456"/>
        <item x="641"/>
        <item x="767"/>
        <item x="457"/>
        <item x="240"/>
        <item x="802"/>
        <item x="927"/>
        <item x="467"/>
        <item x="536"/>
        <item x="658"/>
        <item x="770"/>
        <item x="393"/>
        <item x="919"/>
        <item x="43"/>
        <item x="820"/>
        <item x="797"/>
        <item x="422"/>
        <item x="542"/>
        <item x="15"/>
        <item x="607"/>
        <item x="537"/>
        <item x="936"/>
        <item x="855"/>
        <item x="337"/>
        <item x="203"/>
        <item x="404"/>
        <item x="84"/>
        <item x="830"/>
        <item x="747"/>
        <item x="652"/>
        <item x="22"/>
        <item x="166"/>
        <item x="892"/>
        <item x="245"/>
        <item x="564"/>
        <item x="612"/>
        <item x="587"/>
        <item x="642"/>
        <item x="250"/>
        <item x="733"/>
        <item x="253"/>
        <item x="602"/>
        <item x="813"/>
        <item x="301"/>
        <item x="295"/>
        <item x="815"/>
        <item x="34"/>
        <item x="832"/>
        <item x="333"/>
        <item x="185"/>
        <item x="643"/>
        <item x="859"/>
        <item x="885"/>
        <item x="644"/>
        <item x="348"/>
        <item x="51"/>
        <item x="280"/>
        <item x="332"/>
        <item x="948"/>
        <item x="442"/>
        <item x="712"/>
        <item x="739"/>
        <item x="274"/>
        <item x="23"/>
        <item x="676"/>
        <item x="847"/>
        <item x="929"/>
        <item x="718"/>
        <item x="721"/>
        <item x="577"/>
        <item x="60"/>
        <item x="734"/>
        <item x="773"/>
        <item x="896"/>
        <item x="330"/>
        <item x="895"/>
        <item x="155"/>
        <item x="452"/>
        <item x="371"/>
        <item x="243"/>
        <item x="522"/>
        <item x="6"/>
        <item x="184"/>
        <item x="381"/>
        <item x="300"/>
        <item x="726"/>
        <item x="822"/>
        <item x="2"/>
        <item x="408"/>
        <item x="694"/>
        <item x="513"/>
        <item x="475"/>
        <item x="53"/>
        <item x="863"/>
        <item x="591"/>
        <item x="103"/>
        <item x="784"/>
        <item x="331"/>
        <item x="559"/>
        <item x="727"/>
        <item x="297"/>
        <item x="569"/>
        <item x="95"/>
        <item x="527"/>
        <item x="54"/>
        <item x="364"/>
        <item x="660"/>
        <item x="915"/>
        <item x="462"/>
        <item x="96"/>
        <item x="505"/>
        <item x="70"/>
        <item x="777"/>
        <item x="907"/>
        <item x="890"/>
        <item x="757"/>
        <item x="373"/>
        <item x="710"/>
        <item x="842"/>
        <item x="495"/>
        <item x="423"/>
        <item x="570"/>
        <item x="561"/>
        <item x="149"/>
        <item x="217"/>
        <item x="737"/>
        <item x="508"/>
        <item x="303"/>
        <item x="756"/>
        <item x="509"/>
        <item x="925"/>
        <item x="746"/>
        <item x="189"/>
        <item x="136"/>
        <item x="428"/>
        <item x="429"/>
        <item x="920"/>
        <item x="617"/>
        <item x="943"/>
        <item x="388"/>
        <item x="874"/>
        <item x="322"/>
        <item x="905"/>
        <item x="347"/>
        <item x="515"/>
        <item x="701"/>
        <item x="763"/>
        <item x="377"/>
        <item x="705"/>
        <item x="414"/>
        <item x="137"/>
        <item x="547"/>
        <item x="903"/>
        <item x="228"/>
        <item x="500"/>
        <item x="964"/>
        <item x="278"/>
        <item x="579"/>
        <item x="846"/>
        <item x="345"/>
        <item x="162"/>
        <item x="287"/>
        <item x="430"/>
        <item x="346"/>
        <item x="930"/>
        <item x="675"/>
        <item x="857"/>
        <item x="264"/>
        <item x="954"/>
        <item x="719"/>
        <item x="826"/>
        <item x="692"/>
        <item x="460"/>
        <item x="884"/>
        <item x="450"/>
        <item x="193"/>
        <item x="704"/>
        <item x="161"/>
        <item x="307"/>
        <item x="485"/>
        <item x="599"/>
        <item x="506"/>
        <item x="296"/>
        <item x="914"/>
        <item x="967"/>
        <item x="959"/>
        <item x="556"/>
        <item x="774"/>
        <item x="684"/>
        <item x="751"/>
        <item x="960"/>
        <item x="273"/>
        <item x="778"/>
        <item x="849"/>
        <item x="197"/>
        <item x="427"/>
        <item x="938"/>
        <item x="424"/>
        <item x="211"/>
        <item x="724"/>
        <item x="691"/>
        <item x="464"/>
        <item x="540"/>
        <item x="90"/>
        <item x="68"/>
        <item x="798"/>
        <item x="229"/>
        <item x="353"/>
        <item x="256"/>
        <item x="325"/>
        <item x="775"/>
        <item x="214"/>
        <item x="779"/>
        <item x="601"/>
        <item x="97"/>
        <item x="37"/>
        <item x="562"/>
        <item x="921"/>
        <item x="156"/>
        <item x="441"/>
        <item x="269"/>
        <item x="372"/>
        <item x="52"/>
        <item x="776"/>
        <item x="816"/>
        <item x="283"/>
        <item x="192"/>
        <item x="503"/>
        <item x="742"/>
        <item x="535"/>
        <item x="589"/>
        <item x="696"/>
        <item x="521"/>
        <item x="374"/>
        <item x="338"/>
        <item x="655"/>
        <item x="845"/>
        <item x="539"/>
        <item x="761"/>
        <item x="294"/>
        <item x="634"/>
        <item x="201"/>
        <item x="21"/>
        <item x="320"/>
        <item x="898"/>
        <item x="819"/>
        <item x="483"/>
        <item x="416"/>
        <item x="789"/>
        <item x="913"/>
        <item x="800"/>
        <item x="323"/>
        <item x="63"/>
        <item x="59"/>
        <item x="147"/>
        <item x="818"/>
        <item x="851"/>
        <item x="596"/>
        <item x="227"/>
        <item x="635"/>
        <item x="31"/>
        <item x="780"/>
        <item x="380"/>
        <item x="358"/>
        <item x="928"/>
        <item x="963"/>
        <item x="821"/>
        <item x="836"/>
        <item x="860"/>
        <item x="123"/>
        <item x="25"/>
        <item x="882"/>
        <item x="514"/>
        <item x="501"/>
        <item x="496"/>
        <item x="760"/>
        <item x="16"/>
        <item x="707"/>
        <item x="473"/>
        <item x="242"/>
        <item x="584"/>
        <item x="901"/>
        <item x="401"/>
        <item x="455"/>
        <item x="209"/>
        <item x="603"/>
        <item x="135"/>
        <item x="359"/>
        <item x="439"/>
        <item x="175"/>
        <item x="835"/>
        <item x="292"/>
        <item x="622"/>
        <item x="105"/>
        <item x="656"/>
        <item x="697"/>
        <item x="247"/>
        <item x="397"/>
        <item x="725"/>
        <item x="791"/>
        <item x="810"/>
        <item x="216"/>
        <item x="73"/>
        <item x="370"/>
        <item x="886"/>
        <item x="766"/>
        <item x="196"/>
        <item x="541"/>
        <item x="484"/>
        <item x="134"/>
        <item x="299"/>
        <item x="179"/>
        <item x="735"/>
        <item x="700"/>
        <item x="262"/>
        <item x="623"/>
        <item x="748"/>
        <item x="574"/>
        <item x="438"/>
        <item x="329"/>
        <item x="451"/>
        <item x="92"/>
        <item x="107"/>
        <item x="517"/>
        <item x="666"/>
        <item x="593"/>
        <item x="315"/>
        <item x="219"/>
        <item x="110"/>
        <item x="398"/>
        <item x="794"/>
        <item x="670"/>
        <item x="281"/>
        <item x="585"/>
        <item x="100"/>
        <item x="834"/>
        <item x="384"/>
        <item x="598"/>
        <item x="230"/>
        <item x="143"/>
        <item x="20"/>
        <item x="268"/>
        <item x="630"/>
        <item x="771"/>
        <item x="555"/>
        <item x="157"/>
        <item x="132"/>
        <item x="314"/>
        <item x="768"/>
        <item x="621"/>
        <item x="502"/>
        <item x="573"/>
        <item x="625"/>
        <item x="534"/>
        <item x="395"/>
        <item x="266"/>
        <item x="225"/>
        <item x="465"/>
        <item x="682"/>
        <item x="342"/>
        <item x="396"/>
        <item x="272"/>
        <item x="30"/>
        <item x="61"/>
        <item x="212"/>
        <item x="663"/>
        <item x="386"/>
        <item x="722"/>
        <item x="138"/>
        <item x="699"/>
        <item x="844"/>
        <item x="550"/>
        <item x="233"/>
        <item x="969"/>
        <item x="926"/>
        <item x="202"/>
        <item x="941"/>
        <item x="327"/>
        <item x="376"/>
        <item x="119"/>
        <item x="689"/>
        <item x="56"/>
        <item x="223"/>
        <item x="731"/>
        <item x="878"/>
        <item x="222"/>
        <item x="546"/>
        <item x="154"/>
        <item x="619"/>
        <item x="46"/>
        <item x="647"/>
        <item x="80"/>
        <item x="627"/>
        <item x="151"/>
        <item x="334"/>
        <item x="668"/>
        <item x="944"/>
        <item x="708"/>
        <item x="282"/>
        <item x="714"/>
        <item x="504"/>
        <item x="112"/>
        <item x="413"/>
        <item x="35"/>
        <item x="482"/>
        <item x="661"/>
        <item x="260"/>
        <item x="313"/>
        <item x="706"/>
        <item x="86"/>
        <item x="494"/>
        <item x="900"/>
        <item x="277"/>
        <item x="624"/>
        <item x="486"/>
        <item x="335"/>
        <item x="606"/>
        <item x="11"/>
        <item x="78"/>
        <item x="961"/>
        <item x="873"/>
        <item x="893"/>
        <item x="316"/>
        <item x="426"/>
        <item x="259"/>
        <item x="673"/>
        <item x="765"/>
        <item x="519"/>
        <item x="533"/>
        <item x="39"/>
        <item x="796"/>
        <item x="605"/>
        <item x="687"/>
        <item x="276"/>
        <item x="241"/>
        <item x="62"/>
        <item x="917"/>
        <item x="946"/>
        <item x="904"/>
        <item x="177"/>
        <item x="889"/>
        <item x="410"/>
        <item x="671"/>
        <item x="140"/>
        <item x="937"/>
        <item x="356"/>
        <item x="231"/>
        <item x="72"/>
        <item x="489"/>
        <item x="531"/>
        <item x="752"/>
        <item x="118"/>
        <item x="881"/>
        <item x="194"/>
        <item x="0"/>
        <item x="510"/>
        <item x="7"/>
        <item x="571"/>
        <item x="385"/>
        <item x="781"/>
        <item x="962"/>
        <item x="349"/>
        <item x="679"/>
        <item x="387"/>
        <item x="309"/>
        <item x="497"/>
        <item x="654"/>
        <item x="611"/>
        <item x="75"/>
        <item x="785"/>
        <item x="9"/>
        <item x="805"/>
        <item x="200"/>
        <item x="318"/>
        <item x="302"/>
        <item x="382"/>
        <item x="932"/>
        <item x="468"/>
        <item x="799"/>
        <item x="588"/>
        <item x="877"/>
        <item x="657"/>
        <item x="341"/>
        <item x="180"/>
        <item x="205"/>
        <item x="511"/>
        <item x="190"/>
        <item x="782"/>
        <item x="543"/>
        <item x="126"/>
        <item x="801"/>
        <item x="106"/>
        <item x="759"/>
        <item x="288"/>
        <item x="769"/>
        <item x="828"/>
        <item x="444"/>
        <item x="626"/>
        <item x="526"/>
        <item x="375"/>
        <item x="824"/>
        <item x="868"/>
        <item x="411"/>
        <item x="163"/>
        <item x="576"/>
        <item x="891"/>
        <item x="58"/>
        <item x="883"/>
        <item x="732"/>
        <item x="772"/>
        <item x="934"/>
        <item x="101"/>
        <item x="713"/>
        <item x="507"/>
        <item x="363"/>
        <item x="950"/>
        <item x="152"/>
        <item x="525"/>
        <item x="620"/>
        <item x="659"/>
        <item x="399"/>
        <item x="169"/>
        <item x="672"/>
        <item x="479"/>
        <item x="38"/>
        <item x="49"/>
        <item x="817"/>
        <item x="472"/>
        <item x="823"/>
        <item x="238"/>
        <item x="89"/>
        <item x="237"/>
        <item x="912"/>
        <item x="594"/>
        <item x="803"/>
        <item x="91"/>
        <item x="254"/>
        <item x="738"/>
        <item x="730"/>
        <item x="723"/>
        <item x="236"/>
        <item x="788"/>
        <item x="445"/>
        <item x="188"/>
        <item x="270"/>
        <item x="865"/>
        <item x="440"/>
        <item x="153"/>
        <item x="148"/>
        <item x="600"/>
        <item x="199"/>
        <item x="446"/>
        <item x="447"/>
        <item x="808"/>
        <item x="361"/>
        <item x="142"/>
        <item x="608"/>
        <item x="581"/>
        <item x="443"/>
        <item x="899"/>
        <item x="340"/>
        <item x="966"/>
        <item x="234"/>
        <item x="454"/>
        <item x="854"/>
        <item x="567"/>
        <item x="557"/>
        <item x="758"/>
        <item x="471"/>
        <item x="499"/>
        <item x="436"/>
        <item x="578"/>
        <item x="317"/>
        <item x="850"/>
        <item x="633"/>
        <item x="93"/>
        <item x="487"/>
        <item x="639"/>
        <item x="124"/>
        <item x="614"/>
        <item x="55"/>
        <item x="28"/>
        <item x="792"/>
        <item x="113"/>
        <item x="312"/>
        <item x="18"/>
        <item x="852"/>
        <item x="164"/>
        <item x="458"/>
        <item x="965"/>
        <item x="128"/>
        <item x="4"/>
        <item x="173"/>
        <item x="48"/>
        <item x="858"/>
        <item x="688"/>
        <item x="120"/>
        <item x="686"/>
        <item x="33"/>
        <item x="749"/>
        <item x="308"/>
        <item x="431"/>
        <item x="328"/>
        <item x="953"/>
        <item x="590"/>
        <item x="586"/>
        <item x="19"/>
        <item x="814"/>
        <item x="289"/>
        <item x="421"/>
        <item x="412"/>
        <item x="435"/>
        <item x="122"/>
        <item x="750"/>
        <item x="681"/>
        <item x="807"/>
        <item x="239"/>
        <item x="595"/>
        <item x="144"/>
        <item x="480"/>
        <item x="403"/>
        <item x="632"/>
        <item x="716"/>
        <item x="310"/>
        <item x="744"/>
        <item x="609"/>
        <item x="82"/>
        <item x="795"/>
        <item x="911"/>
        <item x="362"/>
        <item x="669"/>
        <item x="415"/>
        <item t="default"/>
      </items>
    </pivotField>
    <pivotField numFmtId="166" showAll="0"/>
    <pivotField showAll="0"/>
    <pivotField showAll="0"/>
    <pivotField showAll="0">
      <items count="9">
        <item x="2"/>
        <item x="7"/>
        <item x="6"/>
        <item x="0"/>
        <item x="3"/>
        <item x="4"/>
        <item x="1"/>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pageFields count="1">
    <pageField fld="4" hier="-1"/>
  </pageFields>
  <dataFields count="1">
    <dataField name="Average of Treatment_Cost_USD"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4F8EDDF6-A0F6-4BA0-A185-EB44B7214C51}" sourceName="Doctor">
  <pivotTables>
    <pivotTable tabId="4" name="PivotTable2"/>
    <pivotTable tabId="4" name="PivotTable5"/>
    <pivotTable tabId="4" name="PivotTable1"/>
    <pivotTable tabId="4" name="PivotTable3"/>
    <pivotTable tabId="4" name="PivotTable4"/>
    <pivotTable tabId="4" name="PivotTable7"/>
    <pivotTable tabId="4" name="PivotTable8"/>
    <pivotTable tabId="4" name="PivotTable9"/>
    <pivotTable tabId="4" name="PivotTable10"/>
    <pivotTable tabId="4" name="PivotTable12"/>
    <pivotTable tabId="4" name="PivotTable6"/>
    <pivotTable tabId="7" name="PivotTable2"/>
    <pivotTable tabId="8" name="PivotTable1"/>
  </pivotTables>
  <data>
    <tabular pivotCacheId="525698873">
      <items count="8">
        <i x="2" s="1"/>
        <i x="7" s="1"/>
        <i x="6" s="1"/>
        <i x="0" s="1"/>
        <i x="3"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Admission_Date" xr10:uid="{A2C8E1C1-334F-4347-B86C-79634E3E4010}" sourceName="Months (Admission_Date)">
  <pivotTables>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 tabId="4" name="PivotTable10"/>
    <pivotTable tabId="4" name="PivotTable12"/>
    <pivotTable tabId="4" name="PivotTable6"/>
    <pivotTable tabId="7" name="PivotTable2"/>
    <pivotTable tabId="8" name="PivotTable1"/>
  </pivotTables>
  <data>
    <tabular pivotCacheId="52569887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5BF46FB3-7E83-4299-B718-DC04F46E24E1}" sourceName="Years (Admission_Date)">
  <pivotTables>
    <pivotTable tabId="4" name="PivotTable4"/>
    <pivotTable tabId="4" name="PivotTable1"/>
    <pivotTable tabId="4" name="PivotTable2"/>
    <pivotTable tabId="4" name="PivotTable3"/>
    <pivotTable tabId="4" name="PivotTable5"/>
    <pivotTable tabId="4" name="PivotTable7"/>
    <pivotTable tabId="4" name="PivotTable8"/>
    <pivotTable tabId="4" name="PivotTable9"/>
  </pivotTables>
  <data>
    <tabular pivotCacheId="525698873">
      <items count="5">
        <i x="1" s="1"/>
        <i x="2"/>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xr10:uid="{36B85630-3BCB-4513-8520-C4E939833203}" cache="Slicer_Doctor" caption="Doctor" columnCount="2" rowHeight="234950"/>
  <slicer name="Months (Admission_Date)" xr10:uid="{C5B63102-ECE5-4EAD-A0C0-6E794D691568}" cache="Slicer_Months__Admission_Date" caption="Months (Admission_Date)" columnCount="12" rowHeight="234950"/>
  <slicer name="Years (Admission_Date)" xr10:uid="{43946F7F-DA97-4E11-A601-727696108E41}" cache="Slicer_Years__Admission_Date" caption="Years (Admission_D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F731C-9447-4327-A3C5-BB24A4DD09CC}" name="Hospital_Operations_Data" displayName="Hospital_Operations_Data" ref="A1:S3501" totalsRowShown="0">
  <autoFilter ref="A1:S3501" xr:uid="{B4EF731C-9447-4327-A3C5-BB24A4DD09CC}"/>
  <tableColumns count="19">
    <tableColumn id="1" xr3:uid="{BDBCAB74-011D-40CD-B72E-2632407FF947}" name="Column1"/>
    <tableColumn id="2" xr3:uid="{6BA62BA5-5AFE-40D1-A10D-B74BBFD013EE}" name="Age"/>
    <tableColumn id="3" xr3:uid="{7B8604F7-CB37-4C60-B156-4EE8D319F1A8}" name="Gender"/>
    <tableColumn id="4" xr3:uid="{CB91AAFF-6695-433A-AE96-B3BB1EBF72CF}" name="City"/>
    <tableColumn id="5" xr3:uid="{53494941-E9F8-4167-87C3-FDF8A10D4DE2}" name="Admission_Date" dataDxfId="2"/>
    <tableColumn id="6" xr3:uid="{E55E0772-1C9D-4AB1-952C-EC9C27EDB28C}" name="Discharge_Date" dataDxfId="1"/>
    <tableColumn id="7" xr3:uid="{3583A559-47D5-497C-8708-35D4CED2DA1F}" name="Diagnosis"/>
    <tableColumn id="8" xr3:uid="{DD70F6BF-C798-4E25-9772-6F8669028B12}" name="Department"/>
    <tableColumn id="9" xr3:uid="{DC66267E-B74B-4650-B8A8-C71715CBAC82}" name="Doctor"/>
    <tableColumn id="10" xr3:uid="{1E0D46B4-EEB4-458D-ACC9-7DA0C38444F5}" name="Treatment_Cost_USD" dataDxfId="0"/>
    <tableColumn id="11" xr3:uid="{F46578A0-6249-4FA5-90A8-29916D50055B}" name="Length_of_Stay"/>
    <tableColumn id="12" xr3:uid="{17589C4E-C3A0-498F-9F74-E02BEC7E6374}" name="Insurance_Status"/>
    <tableColumn id="13" xr3:uid="{3B3733FD-7AAA-4377-93B3-F34D4330FC64}" name="Outcome"/>
    <tableColumn id="14" xr3:uid="{98902B2D-787B-41B4-9200-C0F620FD2A26}" name="Admission_Type"/>
    <tableColumn id="15" xr3:uid="{F934C4C4-0BF2-4C9B-A3CB-D919FA68445C}" name="Bed_Type"/>
    <tableColumn id="16" xr3:uid="{283EA2B7-5923-4B3E-B5A0-CC0B5D2BF948}" name="Payment_Method"/>
    <tableColumn id="17" xr3:uid="{B34B0795-8C0B-4EE3-A21B-CF13A1C1022A}" name="Lab_Tests_Count"/>
    <tableColumn id="18" xr3:uid="{C598286D-A9A7-4690-8977-AEA5D73629C0}" name="Medication_Cost_USD"/>
    <tableColumn id="20" xr3:uid="{7F4D3633-6637-4DC3-BD23-17243853FE8F}" name="Readmission_Within_30_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501"/>
  <sheetViews>
    <sheetView topLeftCell="N1" zoomScaleNormal="100" workbookViewId="0">
      <selection activeCell="AA6" sqref="AA6"/>
    </sheetView>
  </sheetViews>
  <sheetFormatPr defaultRowHeight="14.4" x14ac:dyDescent="0.3"/>
  <cols>
    <col min="1" max="1" width="11.44140625" customWidth="1"/>
    <col min="2" max="2" width="11.33203125" customWidth="1"/>
    <col min="4" max="4" width="12.77734375" customWidth="1"/>
    <col min="5" max="5" width="22.6640625" customWidth="1"/>
    <col min="6" max="6" width="22.77734375" style="2" customWidth="1"/>
    <col min="7" max="7" width="10.5546875" customWidth="1"/>
    <col min="8" max="8" width="12.6640625" customWidth="1"/>
    <col min="9" max="9" width="11.109375" customWidth="1"/>
    <col min="10" max="10" width="20.5546875" customWidth="1"/>
    <col min="11" max="11" width="24.109375" customWidth="1"/>
    <col min="12" max="12" width="16.77734375" customWidth="1"/>
    <col min="13" max="13" width="10.44140625" customWidth="1"/>
    <col min="14" max="14" width="16" customWidth="1"/>
    <col min="15" max="15" width="10.88671875" customWidth="1"/>
    <col min="16" max="16" width="16.109375" customWidth="1"/>
    <col min="17" max="17" width="15.21875" customWidth="1"/>
    <col min="18" max="18" width="19" customWidth="1"/>
    <col min="19" max="19" width="18.33203125" customWidth="1"/>
    <col min="20" max="20" width="25.44140625" customWidth="1"/>
    <col min="24" max="24" width="11.21875" customWidth="1"/>
    <col min="27" max="27" width="9.44140625" bestFit="1" customWidth="1"/>
    <col min="28" max="28" width="12" bestFit="1" customWidth="1"/>
    <col min="29" max="29" width="20.21875" customWidth="1"/>
    <col min="30" max="30" width="11" bestFit="1" customWidth="1"/>
    <col min="34" max="34" width="10.77734375" bestFit="1" customWidth="1"/>
    <col min="35" max="35" width="12.88671875" bestFit="1" customWidth="1"/>
    <col min="36" max="36" width="11.33203125" bestFit="1" customWidth="1"/>
    <col min="37" max="37" width="9.5546875" bestFit="1" customWidth="1"/>
    <col min="38" max="38" width="7.88671875" bestFit="1" customWidth="1"/>
    <col min="39" max="39" width="5.21875" bestFit="1" customWidth="1"/>
    <col min="40" max="40" width="10.21875" bestFit="1" customWidth="1"/>
    <col min="41" max="41" width="7.33203125" bestFit="1" customWidth="1"/>
    <col min="42" max="42" width="8.109375" bestFit="1" customWidth="1"/>
    <col min="43" max="43" width="10.77734375" bestFit="1" customWidth="1"/>
  </cols>
  <sheetData>
    <row r="1" spans="1:28" x14ac:dyDescent="0.3">
      <c r="A1" t="s">
        <v>3593</v>
      </c>
      <c r="B1" t="s">
        <v>0</v>
      </c>
      <c r="C1" t="s">
        <v>1</v>
      </c>
      <c r="D1" t="s">
        <v>2</v>
      </c>
      <c r="E1" t="s">
        <v>3</v>
      </c>
      <c r="F1" s="2" t="s">
        <v>4</v>
      </c>
      <c r="G1" t="s">
        <v>5</v>
      </c>
      <c r="H1" t="s">
        <v>6</v>
      </c>
      <c r="I1" t="s">
        <v>7</v>
      </c>
      <c r="J1" t="s">
        <v>8</v>
      </c>
      <c r="K1" t="s">
        <v>9</v>
      </c>
      <c r="L1" t="s">
        <v>10</v>
      </c>
      <c r="M1" t="s">
        <v>11</v>
      </c>
      <c r="N1" t="s">
        <v>12</v>
      </c>
      <c r="O1" t="s">
        <v>13</v>
      </c>
      <c r="P1" t="s">
        <v>14</v>
      </c>
      <c r="Q1" t="s">
        <v>15</v>
      </c>
      <c r="R1" t="s">
        <v>16</v>
      </c>
      <c r="S1" t="s">
        <v>17</v>
      </c>
    </row>
    <row r="2" spans="1:28" x14ac:dyDescent="0.3">
      <c r="A2" t="s">
        <v>18</v>
      </c>
      <c r="B2">
        <v>38</v>
      </c>
      <c r="C2" t="s">
        <v>19</v>
      </c>
      <c r="D2" t="s">
        <v>20</v>
      </c>
      <c r="E2" s="1">
        <v>45745</v>
      </c>
      <c r="F2" s="3">
        <v>45750</v>
      </c>
      <c r="G2" t="s">
        <v>21</v>
      </c>
      <c r="H2" t="s">
        <v>22</v>
      </c>
      <c r="I2" t="s">
        <v>23</v>
      </c>
      <c r="J2">
        <v>4260.53</v>
      </c>
      <c r="K2">
        <v>5</v>
      </c>
      <c r="L2" t="s">
        <v>24</v>
      </c>
      <c r="M2" t="s">
        <v>25</v>
      </c>
      <c r="N2" t="s">
        <v>26</v>
      </c>
      <c r="O2" t="s">
        <v>27</v>
      </c>
      <c r="P2" t="s">
        <v>28</v>
      </c>
      <c r="Q2">
        <v>6</v>
      </c>
      <c r="R2">
        <v>1688.46</v>
      </c>
      <c r="S2" t="s">
        <v>29</v>
      </c>
    </row>
    <row r="3" spans="1:28" x14ac:dyDescent="0.3">
      <c r="A3" t="s">
        <v>30</v>
      </c>
      <c r="B3">
        <v>77</v>
      </c>
      <c r="C3" t="s">
        <v>31</v>
      </c>
      <c r="D3" t="s">
        <v>32</v>
      </c>
      <c r="E3" s="1">
        <v>45057</v>
      </c>
      <c r="F3" s="3">
        <v>45071</v>
      </c>
      <c r="G3" t="s">
        <v>33</v>
      </c>
      <c r="H3" t="s">
        <v>34</v>
      </c>
      <c r="I3" t="s">
        <v>35</v>
      </c>
      <c r="J3">
        <v>5691.41</v>
      </c>
      <c r="K3">
        <v>14</v>
      </c>
      <c r="L3" t="s">
        <v>36</v>
      </c>
      <c r="M3" t="s">
        <v>25</v>
      </c>
      <c r="N3" t="s">
        <v>26</v>
      </c>
      <c r="O3" t="s">
        <v>37</v>
      </c>
      <c r="P3" t="s">
        <v>38</v>
      </c>
      <c r="Q3">
        <v>12</v>
      </c>
      <c r="R3">
        <v>881.02</v>
      </c>
      <c r="S3" t="s">
        <v>29</v>
      </c>
    </row>
    <row r="4" spans="1:28" x14ac:dyDescent="0.3">
      <c r="A4" t="s">
        <v>40</v>
      </c>
      <c r="B4">
        <v>75</v>
      </c>
      <c r="C4" t="s">
        <v>31</v>
      </c>
      <c r="D4" t="s">
        <v>32</v>
      </c>
      <c r="E4" s="1">
        <v>45366</v>
      </c>
      <c r="F4" s="3">
        <v>45378</v>
      </c>
      <c r="G4" t="s">
        <v>41</v>
      </c>
      <c r="H4" t="s">
        <v>42</v>
      </c>
      <c r="I4" t="s">
        <v>43</v>
      </c>
      <c r="J4">
        <v>5061.49</v>
      </c>
      <c r="K4">
        <v>12</v>
      </c>
      <c r="L4" t="s">
        <v>36</v>
      </c>
      <c r="M4" t="s">
        <v>25</v>
      </c>
      <c r="N4" t="s">
        <v>44</v>
      </c>
      <c r="O4" t="s">
        <v>37</v>
      </c>
      <c r="P4" t="s">
        <v>45</v>
      </c>
      <c r="Q4">
        <v>7</v>
      </c>
      <c r="R4">
        <v>1607.29</v>
      </c>
      <c r="S4" t="s">
        <v>29</v>
      </c>
    </row>
    <row r="5" spans="1:28" x14ac:dyDescent="0.3">
      <c r="A5" t="s">
        <v>46</v>
      </c>
      <c r="B5">
        <v>31</v>
      </c>
      <c r="C5" t="s">
        <v>19</v>
      </c>
      <c r="D5" t="s">
        <v>47</v>
      </c>
      <c r="E5" s="1">
        <v>45253</v>
      </c>
      <c r="F5" s="3">
        <v>45275</v>
      </c>
      <c r="G5" t="s">
        <v>48</v>
      </c>
      <c r="H5" t="s">
        <v>22</v>
      </c>
      <c r="I5" t="s">
        <v>43</v>
      </c>
      <c r="J5">
        <v>17385.64</v>
      </c>
      <c r="K5">
        <v>22</v>
      </c>
      <c r="L5" t="s">
        <v>24</v>
      </c>
      <c r="M5" t="s">
        <v>25</v>
      </c>
      <c r="N5" t="s">
        <v>26</v>
      </c>
      <c r="O5" t="s">
        <v>49</v>
      </c>
      <c r="P5" t="s">
        <v>50</v>
      </c>
      <c r="Q5">
        <v>12</v>
      </c>
      <c r="R5">
        <v>3628.01</v>
      </c>
      <c r="S5" t="s">
        <v>29</v>
      </c>
      <c r="X5" t="s">
        <v>3582</v>
      </c>
      <c r="AA5" t="s">
        <v>3572</v>
      </c>
    </row>
    <row r="6" spans="1:28" x14ac:dyDescent="0.3">
      <c r="A6" t="s">
        <v>51</v>
      </c>
      <c r="B6">
        <v>25</v>
      </c>
      <c r="C6" t="s">
        <v>31</v>
      </c>
      <c r="D6" t="s">
        <v>47</v>
      </c>
      <c r="E6" s="1">
        <v>45886</v>
      </c>
      <c r="F6" s="3">
        <v>45896</v>
      </c>
      <c r="G6" t="s">
        <v>52</v>
      </c>
      <c r="H6" t="s">
        <v>53</v>
      </c>
      <c r="I6" t="s">
        <v>54</v>
      </c>
      <c r="J6">
        <v>3612.63</v>
      </c>
      <c r="K6">
        <v>10</v>
      </c>
      <c r="L6" t="s">
        <v>24</v>
      </c>
      <c r="M6" t="s">
        <v>25</v>
      </c>
      <c r="N6" t="s">
        <v>55</v>
      </c>
      <c r="O6" t="s">
        <v>56</v>
      </c>
      <c r="P6" t="s">
        <v>45</v>
      </c>
      <c r="Q6">
        <v>4</v>
      </c>
      <c r="R6">
        <v>746.48</v>
      </c>
      <c r="S6" t="s">
        <v>29</v>
      </c>
      <c r="X6">
        <f>COUNTIF(Hospital_Operations_Data[Insurance_Status],"insured")</f>
        <v>1746</v>
      </c>
      <c r="AA6">
        <f>AVERAGE(Hospital_Operations_Data[Treatment_Cost_USD])</f>
        <v>7926.0228514285964</v>
      </c>
    </row>
    <row r="7" spans="1:28" x14ac:dyDescent="0.3">
      <c r="A7" t="s">
        <v>57</v>
      </c>
      <c r="B7">
        <v>54</v>
      </c>
      <c r="C7" t="s">
        <v>31</v>
      </c>
      <c r="D7" t="s">
        <v>47</v>
      </c>
      <c r="E7" s="1">
        <v>45145</v>
      </c>
      <c r="F7" s="3">
        <v>45148</v>
      </c>
      <c r="G7" t="s">
        <v>33</v>
      </c>
      <c r="H7" t="s">
        <v>34</v>
      </c>
      <c r="I7" t="s">
        <v>58</v>
      </c>
      <c r="J7">
        <v>4769.8</v>
      </c>
      <c r="K7">
        <v>3</v>
      </c>
      <c r="L7" t="s">
        <v>24</v>
      </c>
      <c r="M7" t="s">
        <v>59</v>
      </c>
      <c r="N7" t="s">
        <v>26</v>
      </c>
      <c r="O7" t="s">
        <v>56</v>
      </c>
      <c r="P7" t="s">
        <v>45</v>
      </c>
      <c r="Q7">
        <v>13</v>
      </c>
      <c r="R7">
        <v>1161.42</v>
      </c>
      <c r="S7" t="s">
        <v>29</v>
      </c>
      <c r="AA7" t="s">
        <v>3573</v>
      </c>
    </row>
    <row r="8" spans="1:28" x14ac:dyDescent="0.3">
      <c r="A8" t="s">
        <v>60</v>
      </c>
      <c r="B8">
        <v>39</v>
      </c>
      <c r="C8" t="s">
        <v>31</v>
      </c>
      <c r="D8" t="s">
        <v>61</v>
      </c>
      <c r="E8" s="1">
        <v>45360</v>
      </c>
      <c r="F8" s="3">
        <v>45383</v>
      </c>
      <c r="G8" t="s">
        <v>62</v>
      </c>
      <c r="H8" t="s">
        <v>63</v>
      </c>
      <c r="I8" t="s">
        <v>43</v>
      </c>
      <c r="J8">
        <v>21099.599999999999</v>
      </c>
      <c r="K8">
        <v>23</v>
      </c>
      <c r="L8" t="s">
        <v>36</v>
      </c>
      <c r="M8" t="s">
        <v>25</v>
      </c>
      <c r="N8" t="s">
        <v>44</v>
      </c>
      <c r="O8" t="s">
        <v>49</v>
      </c>
      <c r="P8" t="s">
        <v>45</v>
      </c>
      <c r="Q8">
        <v>10</v>
      </c>
      <c r="R8">
        <v>4701.24</v>
      </c>
      <c r="S8" t="s">
        <v>29</v>
      </c>
      <c r="X8" t="s">
        <v>3583</v>
      </c>
      <c r="AA8">
        <f>AVERAGE(Hospital_Operations_Data[Medication_Cost_USD])</f>
        <v>2174.6683857142812</v>
      </c>
    </row>
    <row r="9" spans="1:28" x14ac:dyDescent="0.3">
      <c r="A9" t="s">
        <v>64</v>
      </c>
      <c r="B9">
        <v>29</v>
      </c>
      <c r="C9" t="s">
        <v>19</v>
      </c>
      <c r="D9" t="s">
        <v>47</v>
      </c>
      <c r="E9" s="1">
        <v>45747</v>
      </c>
      <c r="F9" s="3">
        <v>45766</v>
      </c>
      <c r="G9" t="s">
        <v>33</v>
      </c>
      <c r="H9" t="s">
        <v>34</v>
      </c>
      <c r="I9" t="s">
        <v>43</v>
      </c>
      <c r="J9">
        <v>5967.06</v>
      </c>
      <c r="K9">
        <v>19</v>
      </c>
      <c r="L9" t="s">
        <v>24</v>
      </c>
      <c r="M9" t="s">
        <v>25</v>
      </c>
      <c r="N9" t="s">
        <v>55</v>
      </c>
      <c r="O9" t="s">
        <v>56</v>
      </c>
      <c r="P9" t="s">
        <v>50</v>
      </c>
      <c r="Q9">
        <v>10</v>
      </c>
      <c r="R9">
        <v>1873.44</v>
      </c>
      <c r="S9" t="s">
        <v>29</v>
      </c>
      <c r="X9">
        <f>COUNTIF(Hospital_Operations_Data[Insurance_Status],"not insured")</f>
        <v>1754</v>
      </c>
      <c r="AA9" t="s">
        <v>3575</v>
      </c>
    </row>
    <row r="10" spans="1:28" x14ac:dyDescent="0.3">
      <c r="A10" t="s">
        <v>65</v>
      </c>
      <c r="B10">
        <v>89</v>
      </c>
      <c r="C10" t="s">
        <v>31</v>
      </c>
      <c r="D10" t="s">
        <v>66</v>
      </c>
      <c r="E10" s="1">
        <v>44977</v>
      </c>
      <c r="F10" s="3">
        <v>45003</v>
      </c>
      <c r="G10" t="s">
        <v>67</v>
      </c>
      <c r="H10" t="s">
        <v>42</v>
      </c>
      <c r="I10" t="s">
        <v>43</v>
      </c>
      <c r="J10">
        <v>16916.37</v>
      </c>
      <c r="K10">
        <v>26</v>
      </c>
      <c r="L10" t="s">
        <v>24</v>
      </c>
      <c r="M10" t="s">
        <v>25</v>
      </c>
      <c r="N10" t="s">
        <v>26</v>
      </c>
      <c r="O10" t="s">
        <v>49</v>
      </c>
      <c r="P10" t="s">
        <v>50</v>
      </c>
      <c r="Q10">
        <v>13</v>
      </c>
      <c r="R10">
        <v>4295.42</v>
      </c>
      <c r="S10" t="s">
        <v>29</v>
      </c>
      <c r="AA10">
        <f>AVERAGE(Length_of_Stay)</f>
        <v>12.044</v>
      </c>
      <c r="AB10" t="s">
        <v>3576</v>
      </c>
    </row>
    <row r="11" spans="1:28" x14ac:dyDescent="0.3">
      <c r="A11" t="s">
        <v>68</v>
      </c>
      <c r="B11">
        <v>69</v>
      </c>
      <c r="C11" t="s">
        <v>31</v>
      </c>
      <c r="D11" t="s">
        <v>66</v>
      </c>
      <c r="E11" s="1">
        <v>45761</v>
      </c>
      <c r="F11" s="3">
        <v>45764</v>
      </c>
      <c r="G11" t="s">
        <v>33</v>
      </c>
      <c r="H11" t="s">
        <v>34</v>
      </c>
      <c r="I11" t="s">
        <v>35</v>
      </c>
      <c r="J11">
        <v>2833.18</v>
      </c>
      <c r="K11">
        <v>3</v>
      </c>
      <c r="L11" t="s">
        <v>36</v>
      </c>
      <c r="M11" t="s">
        <v>25</v>
      </c>
      <c r="N11" t="s">
        <v>44</v>
      </c>
      <c r="O11" t="s">
        <v>27</v>
      </c>
      <c r="P11" t="s">
        <v>28</v>
      </c>
      <c r="Q11">
        <v>7</v>
      </c>
      <c r="R11">
        <v>824.65</v>
      </c>
      <c r="S11" t="s">
        <v>29</v>
      </c>
    </row>
    <row r="12" spans="1:28" x14ac:dyDescent="0.3">
      <c r="A12" t="s">
        <v>69</v>
      </c>
      <c r="B12">
        <v>81</v>
      </c>
      <c r="C12" t="s">
        <v>31</v>
      </c>
      <c r="D12" t="s">
        <v>70</v>
      </c>
      <c r="E12" s="1">
        <v>45195</v>
      </c>
      <c r="F12" s="3">
        <v>45224</v>
      </c>
      <c r="G12" t="s">
        <v>71</v>
      </c>
      <c r="H12" t="s">
        <v>72</v>
      </c>
      <c r="I12" t="s">
        <v>54</v>
      </c>
      <c r="J12">
        <v>17354.47</v>
      </c>
      <c r="K12">
        <v>29</v>
      </c>
      <c r="L12" t="s">
        <v>36</v>
      </c>
      <c r="M12" t="s">
        <v>25</v>
      </c>
      <c r="N12" t="s">
        <v>44</v>
      </c>
      <c r="O12" t="s">
        <v>49</v>
      </c>
      <c r="P12" t="s">
        <v>50</v>
      </c>
      <c r="Q12">
        <v>3</v>
      </c>
      <c r="R12">
        <v>4829.25</v>
      </c>
      <c r="S12" t="s">
        <v>29</v>
      </c>
      <c r="X12" t="s">
        <v>3589</v>
      </c>
    </row>
    <row r="13" spans="1:28" x14ac:dyDescent="0.3">
      <c r="A13" t="s">
        <v>73</v>
      </c>
      <c r="B13">
        <v>33</v>
      </c>
      <c r="C13" t="s">
        <v>19</v>
      </c>
      <c r="D13" t="s">
        <v>47</v>
      </c>
      <c r="E13" s="1">
        <v>45707</v>
      </c>
      <c r="F13" s="3">
        <v>45713</v>
      </c>
      <c r="G13" t="s">
        <v>74</v>
      </c>
      <c r="H13" t="s">
        <v>75</v>
      </c>
      <c r="I13" t="s">
        <v>43</v>
      </c>
      <c r="J13">
        <v>3497.71</v>
      </c>
      <c r="K13">
        <v>6</v>
      </c>
      <c r="L13" t="s">
        <v>36</v>
      </c>
      <c r="M13" t="s">
        <v>76</v>
      </c>
      <c r="N13" t="s">
        <v>55</v>
      </c>
      <c r="O13" t="s">
        <v>37</v>
      </c>
      <c r="P13" t="s">
        <v>45</v>
      </c>
      <c r="Q13">
        <v>2</v>
      </c>
      <c r="R13">
        <v>984.95</v>
      </c>
      <c r="S13" t="s">
        <v>39</v>
      </c>
      <c r="X13">
        <f>X6+X9</f>
        <v>3500</v>
      </c>
    </row>
    <row r="14" spans="1:28" x14ac:dyDescent="0.3">
      <c r="A14" t="s">
        <v>77</v>
      </c>
      <c r="B14">
        <v>62</v>
      </c>
      <c r="C14" t="s">
        <v>31</v>
      </c>
      <c r="D14" t="s">
        <v>47</v>
      </c>
      <c r="E14" s="1">
        <v>45197</v>
      </c>
      <c r="F14" s="3">
        <v>45216</v>
      </c>
      <c r="G14" t="s">
        <v>71</v>
      </c>
      <c r="H14" t="s">
        <v>72</v>
      </c>
      <c r="I14" t="s">
        <v>43</v>
      </c>
      <c r="J14">
        <v>4110.2700000000004</v>
      </c>
      <c r="K14">
        <v>19</v>
      </c>
      <c r="L14" t="s">
        <v>36</v>
      </c>
      <c r="M14" t="s">
        <v>25</v>
      </c>
      <c r="N14" t="s">
        <v>55</v>
      </c>
      <c r="O14" t="s">
        <v>27</v>
      </c>
      <c r="P14" t="s">
        <v>45</v>
      </c>
      <c r="Q14">
        <v>5</v>
      </c>
      <c r="R14">
        <v>1541.74</v>
      </c>
      <c r="S14" t="s">
        <v>29</v>
      </c>
      <c r="AA14" t="s">
        <v>3578</v>
      </c>
    </row>
    <row r="15" spans="1:28" x14ac:dyDescent="0.3">
      <c r="A15" t="s">
        <v>78</v>
      </c>
      <c r="B15">
        <v>76</v>
      </c>
      <c r="C15" t="s">
        <v>19</v>
      </c>
      <c r="D15" t="s">
        <v>79</v>
      </c>
      <c r="E15" s="1">
        <v>45021</v>
      </c>
      <c r="F15" s="3">
        <v>45051</v>
      </c>
      <c r="G15" t="s">
        <v>74</v>
      </c>
      <c r="H15" t="s">
        <v>75</v>
      </c>
      <c r="I15" t="s">
        <v>54</v>
      </c>
      <c r="J15">
        <v>23080.18</v>
      </c>
      <c r="K15">
        <v>30</v>
      </c>
      <c r="L15" t="s">
        <v>36</v>
      </c>
      <c r="M15" t="s">
        <v>25</v>
      </c>
      <c r="N15" t="s">
        <v>55</v>
      </c>
      <c r="O15" t="s">
        <v>49</v>
      </c>
      <c r="P15" t="s">
        <v>28</v>
      </c>
      <c r="Q15">
        <v>12</v>
      </c>
      <c r="R15">
        <v>5808.67</v>
      </c>
      <c r="S15" t="s">
        <v>29</v>
      </c>
      <c r="Z15">
        <f>SUM(Treatment_Cost_USD)</f>
        <v>27741079.980000086</v>
      </c>
      <c r="AA15" s="9"/>
    </row>
    <row r="16" spans="1:28" x14ac:dyDescent="0.3">
      <c r="A16" t="s">
        <v>80</v>
      </c>
      <c r="B16">
        <v>75</v>
      </c>
      <c r="C16" t="s">
        <v>19</v>
      </c>
      <c r="D16" t="s">
        <v>20</v>
      </c>
      <c r="E16" s="1">
        <v>45217</v>
      </c>
      <c r="F16" s="3">
        <v>45231</v>
      </c>
      <c r="G16" t="s">
        <v>71</v>
      </c>
      <c r="H16" t="s">
        <v>72</v>
      </c>
      <c r="I16" t="s">
        <v>81</v>
      </c>
      <c r="J16">
        <v>2879.88</v>
      </c>
      <c r="K16">
        <v>14</v>
      </c>
      <c r="L16" t="s">
        <v>24</v>
      </c>
      <c r="M16" t="s">
        <v>25</v>
      </c>
      <c r="N16" t="s">
        <v>26</v>
      </c>
      <c r="O16" t="s">
        <v>27</v>
      </c>
      <c r="P16" t="s">
        <v>38</v>
      </c>
      <c r="Q16">
        <v>8</v>
      </c>
      <c r="R16">
        <v>726.06</v>
      </c>
      <c r="S16" t="s">
        <v>29</v>
      </c>
      <c r="X16" t="s">
        <v>3590</v>
      </c>
      <c r="AA16" t="s">
        <v>3579</v>
      </c>
    </row>
    <row r="17" spans="1:28" x14ac:dyDescent="0.3">
      <c r="A17" t="s">
        <v>82</v>
      </c>
      <c r="B17">
        <v>49</v>
      </c>
      <c r="C17" t="s">
        <v>19</v>
      </c>
      <c r="D17" t="s">
        <v>32</v>
      </c>
      <c r="E17" s="1">
        <v>45297</v>
      </c>
      <c r="F17" s="3">
        <v>45310</v>
      </c>
      <c r="G17" t="s">
        <v>67</v>
      </c>
      <c r="H17" t="s">
        <v>42</v>
      </c>
      <c r="I17" t="s">
        <v>83</v>
      </c>
      <c r="J17">
        <v>8909.5499999999993</v>
      </c>
      <c r="K17">
        <v>13</v>
      </c>
      <c r="L17" t="s">
        <v>24</v>
      </c>
      <c r="M17" t="s">
        <v>25</v>
      </c>
      <c r="N17" t="s">
        <v>55</v>
      </c>
      <c r="O17" t="s">
        <v>27</v>
      </c>
      <c r="P17" t="s">
        <v>50</v>
      </c>
      <c r="Q17">
        <v>11</v>
      </c>
      <c r="R17">
        <v>2786.11</v>
      </c>
      <c r="S17" t="s">
        <v>29</v>
      </c>
      <c r="X17">
        <f>COUNTIF(Hospital_Operations_Data[Readmission_Within_30_Days],"YES")</f>
        <v>414</v>
      </c>
      <c r="Z17">
        <f>SUM(Medication_Cost_USD)</f>
        <v>7611339.3499999847</v>
      </c>
      <c r="AA17" s="9"/>
    </row>
    <row r="18" spans="1:28" x14ac:dyDescent="0.3">
      <c r="A18" t="s">
        <v>84</v>
      </c>
      <c r="B18">
        <v>33</v>
      </c>
      <c r="C18" t="s">
        <v>31</v>
      </c>
      <c r="D18" t="s">
        <v>20</v>
      </c>
      <c r="E18" s="1">
        <v>45561</v>
      </c>
      <c r="F18" s="3">
        <v>45568</v>
      </c>
      <c r="G18" t="s">
        <v>52</v>
      </c>
      <c r="H18" t="s">
        <v>53</v>
      </c>
      <c r="I18" t="s">
        <v>83</v>
      </c>
      <c r="J18">
        <v>2202.61</v>
      </c>
      <c r="K18">
        <v>7</v>
      </c>
      <c r="L18" t="s">
        <v>24</v>
      </c>
      <c r="M18" t="s">
        <v>25</v>
      </c>
      <c r="N18" t="s">
        <v>44</v>
      </c>
      <c r="O18" t="s">
        <v>27</v>
      </c>
      <c r="P18" t="s">
        <v>28</v>
      </c>
      <c r="Q18">
        <v>1</v>
      </c>
      <c r="R18">
        <v>453.13</v>
      </c>
      <c r="S18" t="s">
        <v>29</v>
      </c>
      <c r="AA18" t="s">
        <v>3577</v>
      </c>
      <c r="AB18">
        <f>Z15+Z17</f>
        <v>35352419.330000073</v>
      </c>
    </row>
    <row r="19" spans="1:28" x14ac:dyDescent="0.3">
      <c r="A19" t="s">
        <v>85</v>
      </c>
      <c r="B19">
        <v>36</v>
      </c>
      <c r="C19" t="s">
        <v>31</v>
      </c>
      <c r="D19" t="s">
        <v>70</v>
      </c>
      <c r="E19" s="1">
        <v>45204</v>
      </c>
      <c r="F19" s="3">
        <v>45211</v>
      </c>
      <c r="G19" t="s">
        <v>41</v>
      </c>
      <c r="H19" t="s">
        <v>42</v>
      </c>
      <c r="I19" t="s">
        <v>35</v>
      </c>
      <c r="J19">
        <v>8922</v>
      </c>
      <c r="K19">
        <v>7</v>
      </c>
      <c r="L19" t="s">
        <v>36</v>
      </c>
      <c r="M19" t="s">
        <v>25</v>
      </c>
      <c r="N19" t="s">
        <v>26</v>
      </c>
      <c r="O19" t="s">
        <v>49</v>
      </c>
      <c r="P19" t="s">
        <v>50</v>
      </c>
      <c r="Q19">
        <v>3</v>
      </c>
      <c r="R19">
        <v>2667.42</v>
      </c>
      <c r="S19" t="s">
        <v>29</v>
      </c>
      <c r="X19" t="s">
        <v>3591</v>
      </c>
      <c r="Z19" t="s">
        <v>3592</v>
      </c>
      <c r="AA19" s="9"/>
    </row>
    <row r="20" spans="1:28" x14ac:dyDescent="0.3">
      <c r="A20" t="s">
        <v>86</v>
      </c>
      <c r="B20">
        <v>72</v>
      </c>
      <c r="C20" t="s">
        <v>19</v>
      </c>
      <c r="D20" t="s">
        <v>47</v>
      </c>
      <c r="E20" s="1">
        <v>45880</v>
      </c>
      <c r="F20" s="3">
        <v>45889</v>
      </c>
      <c r="G20" t="s">
        <v>52</v>
      </c>
      <c r="H20" t="s">
        <v>53</v>
      </c>
      <c r="I20" t="s">
        <v>58</v>
      </c>
      <c r="J20">
        <v>4928.59</v>
      </c>
      <c r="K20">
        <v>9</v>
      </c>
      <c r="L20" t="s">
        <v>36</v>
      </c>
      <c r="M20" t="s">
        <v>25</v>
      </c>
      <c r="N20" t="s">
        <v>26</v>
      </c>
      <c r="O20" t="s">
        <v>56</v>
      </c>
      <c r="P20" t="s">
        <v>45</v>
      </c>
      <c r="Q20">
        <v>13</v>
      </c>
      <c r="R20">
        <v>813.57</v>
      </c>
      <c r="S20" t="s">
        <v>29</v>
      </c>
      <c r="X20" s="6">
        <f>X17/X13</f>
        <v>0.11828571428571429</v>
      </c>
    </row>
    <row r="21" spans="1:28" x14ac:dyDescent="0.3">
      <c r="A21" t="s">
        <v>87</v>
      </c>
      <c r="B21">
        <v>71</v>
      </c>
      <c r="C21" t="s">
        <v>31</v>
      </c>
      <c r="D21" t="s">
        <v>20</v>
      </c>
      <c r="E21" s="1">
        <v>45902</v>
      </c>
      <c r="F21" s="3">
        <v>45914</v>
      </c>
      <c r="G21" t="s">
        <v>74</v>
      </c>
      <c r="H21" t="s">
        <v>75</v>
      </c>
      <c r="I21" t="s">
        <v>23</v>
      </c>
      <c r="J21">
        <v>4739.5600000000004</v>
      </c>
      <c r="K21">
        <v>12</v>
      </c>
      <c r="L21" t="s">
        <v>36</v>
      </c>
      <c r="M21" t="s">
        <v>25</v>
      </c>
      <c r="N21" t="s">
        <v>26</v>
      </c>
      <c r="O21" t="s">
        <v>56</v>
      </c>
      <c r="P21" t="s">
        <v>28</v>
      </c>
      <c r="Q21">
        <v>10</v>
      </c>
      <c r="R21">
        <v>1055.75</v>
      </c>
      <c r="S21" t="s">
        <v>29</v>
      </c>
    </row>
    <row r="22" spans="1:28" x14ac:dyDescent="0.3">
      <c r="A22" t="s">
        <v>88</v>
      </c>
      <c r="B22">
        <v>72</v>
      </c>
      <c r="C22" t="s">
        <v>31</v>
      </c>
      <c r="D22" t="s">
        <v>89</v>
      </c>
      <c r="E22" s="1">
        <v>45626</v>
      </c>
      <c r="F22" s="3">
        <v>45643</v>
      </c>
      <c r="G22" t="s">
        <v>52</v>
      </c>
      <c r="H22" t="s">
        <v>53</v>
      </c>
      <c r="I22" t="s">
        <v>81</v>
      </c>
      <c r="J22">
        <v>19010.03</v>
      </c>
      <c r="K22">
        <v>17</v>
      </c>
      <c r="L22" t="s">
        <v>24</v>
      </c>
      <c r="M22" t="s">
        <v>25</v>
      </c>
      <c r="N22" t="s">
        <v>26</v>
      </c>
      <c r="O22" t="s">
        <v>49</v>
      </c>
      <c r="P22" t="s">
        <v>28</v>
      </c>
      <c r="Q22">
        <v>4</v>
      </c>
      <c r="R22">
        <v>4420.1499999999996</v>
      </c>
      <c r="S22" t="s">
        <v>29</v>
      </c>
    </row>
    <row r="23" spans="1:28" x14ac:dyDescent="0.3">
      <c r="A23" t="s">
        <v>90</v>
      </c>
      <c r="B23">
        <v>57</v>
      </c>
      <c r="C23" t="s">
        <v>31</v>
      </c>
      <c r="D23" t="s">
        <v>66</v>
      </c>
      <c r="E23" s="1">
        <v>45526</v>
      </c>
      <c r="F23" s="3">
        <v>45545</v>
      </c>
      <c r="G23" t="s">
        <v>67</v>
      </c>
      <c r="H23" t="s">
        <v>42</v>
      </c>
      <c r="I23" t="s">
        <v>91</v>
      </c>
      <c r="J23">
        <v>11109.05</v>
      </c>
      <c r="K23">
        <v>19</v>
      </c>
      <c r="L23" t="s">
        <v>36</v>
      </c>
      <c r="M23" t="s">
        <v>25</v>
      </c>
      <c r="N23" t="s">
        <v>26</v>
      </c>
      <c r="O23" t="s">
        <v>37</v>
      </c>
      <c r="P23" t="s">
        <v>50</v>
      </c>
      <c r="Q23">
        <v>4</v>
      </c>
      <c r="R23">
        <v>3556.45</v>
      </c>
      <c r="S23" t="s">
        <v>29</v>
      </c>
      <c r="Y23" t="s">
        <v>3596</v>
      </c>
    </row>
    <row r="24" spans="1:28" x14ac:dyDescent="0.3">
      <c r="A24" t="s">
        <v>92</v>
      </c>
      <c r="B24">
        <v>82</v>
      </c>
      <c r="C24" t="s">
        <v>31</v>
      </c>
      <c r="D24" t="s">
        <v>79</v>
      </c>
      <c r="E24" s="1">
        <v>45309</v>
      </c>
      <c r="F24" s="3">
        <v>45325</v>
      </c>
      <c r="G24" t="s">
        <v>93</v>
      </c>
      <c r="H24" t="s">
        <v>72</v>
      </c>
      <c r="I24" t="s">
        <v>91</v>
      </c>
      <c r="J24">
        <v>11765.09</v>
      </c>
      <c r="K24">
        <v>16</v>
      </c>
      <c r="L24" t="s">
        <v>36</v>
      </c>
      <c r="M24" t="s">
        <v>25</v>
      </c>
      <c r="N24" t="s">
        <v>26</v>
      </c>
      <c r="O24" t="s">
        <v>56</v>
      </c>
      <c r="P24" t="s">
        <v>38</v>
      </c>
      <c r="Q24">
        <v>7</v>
      </c>
      <c r="R24">
        <v>3646.76</v>
      </c>
      <c r="S24" t="s">
        <v>29</v>
      </c>
      <c r="Y24">
        <f>COUNTIF(Hospital_Operations_Data[Admission_Type],"Emergency")</f>
        <v>1153</v>
      </c>
    </row>
    <row r="25" spans="1:28" x14ac:dyDescent="0.3">
      <c r="A25" t="s">
        <v>94</v>
      </c>
      <c r="B25">
        <v>31</v>
      </c>
      <c r="C25" t="s">
        <v>31</v>
      </c>
      <c r="D25" t="s">
        <v>66</v>
      </c>
      <c r="E25" s="1">
        <v>45342</v>
      </c>
      <c r="F25" s="3">
        <v>45348</v>
      </c>
      <c r="G25" t="s">
        <v>71</v>
      </c>
      <c r="H25" t="s">
        <v>72</v>
      </c>
      <c r="I25" t="s">
        <v>43</v>
      </c>
      <c r="J25">
        <v>4092.24</v>
      </c>
      <c r="K25">
        <v>6</v>
      </c>
      <c r="L25" t="s">
        <v>24</v>
      </c>
      <c r="M25" t="s">
        <v>25</v>
      </c>
      <c r="N25" t="s">
        <v>55</v>
      </c>
      <c r="O25" t="s">
        <v>37</v>
      </c>
      <c r="P25" t="s">
        <v>45</v>
      </c>
      <c r="Q25">
        <v>2</v>
      </c>
      <c r="R25">
        <v>1075.3599999999999</v>
      </c>
      <c r="S25" t="s">
        <v>39</v>
      </c>
      <c r="Y25" t="s">
        <v>3597</v>
      </c>
    </row>
    <row r="26" spans="1:28" x14ac:dyDescent="0.3">
      <c r="A26" t="s">
        <v>95</v>
      </c>
      <c r="B26">
        <v>68</v>
      </c>
      <c r="C26" t="s">
        <v>31</v>
      </c>
      <c r="D26" t="s">
        <v>47</v>
      </c>
      <c r="E26" s="1">
        <v>45068</v>
      </c>
      <c r="F26" s="3">
        <v>45076</v>
      </c>
      <c r="G26" t="s">
        <v>48</v>
      </c>
      <c r="H26" t="s">
        <v>22</v>
      </c>
      <c r="I26" t="s">
        <v>35</v>
      </c>
      <c r="J26">
        <v>3181.76</v>
      </c>
      <c r="K26">
        <v>8</v>
      </c>
      <c r="L26" t="s">
        <v>36</v>
      </c>
      <c r="M26" t="s">
        <v>25</v>
      </c>
      <c r="N26" t="s">
        <v>26</v>
      </c>
      <c r="O26" t="s">
        <v>37</v>
      </c>
      <c r="P26" t="s">
        <v>50</v>
      </c>
      <c r="Q26">
        <v>1</v>
      </c>
      <c r="R26">
        <v>516.33000000000004</v>
      </c>
      <c r="S26" t="s">
        <v>29</v>
      </c>
      <c r="Y26" s="6">
        <f>Y24/X13</f>
        <v>0.3294285714285714</v>
      </c>
    </row>
    <row r="27" spans="1:28" x14ac:dyDescent="0.3">
      <c r="A27" t="s">
        <v>96</v>
      </c>
      <c r="B27">
        <v>63</v>
      </c>
      <c r="C27" t="s">
        <v>19</v>
      </c>
      <c r="D27" t="s">
        <v>61</v>
      </c>
      <c r="E27" s="1">
        <v>45555</v>
      </c>
      <c r="F27" s="3">
        <v>45564</v>
      </c>
      <c r="G27" t="s">
        <v>41</v>
      </c>
      <c r="H27" t="s">
        <v>42</v>
      </c>
      <c r="I27" t="s">
        <v>91</v>
      </c>
      <c r="J27">
        <v>4782.1499999999996</v>
      </c>
      <c r="K27">
        <v>9</v>
      </c>
      <c r="L27" t="s">
        <v>36</v>
      </c>
      <c r="M27" t="s">
        <v>25</v>
      </c>
      <c r="N27" t="s">
        <v>55</v>
      </c>
      <c r="O27" t="s">
        <v>27</v>
      </c>
      <c r="P27" t="s">
        <v>45</v>
      </c>
      <c r="Q27">
        <v>13</v>
      </c>
      <c r="R27">
        <v>1606.86</v>
      </c>
      <c r="S27" t="s">
        <v>29</v>
      </c>
    </row>
    <row r="28" spans="1:28" x14ac:dyDescent="0.3">
      <c r="A28" t="s">
        <v>97</v>
      </c>
      <c r="B28">
        <v>80</v>
      </c>
      <c r="C28" t="s">
        <v>31</v>
      </c>
      <c r="D28" t="s">
        <v>20</v>
      </c>
      <c r="E28" s="1">
        <v>45198</v>
      </c>
      <c r="F28" s="3">
        <v>45206</v>
      </c>
      <c r="G28" t="s">
        <v>67</v>
      </c>
      <c r="H28" t="s">
        <v>42</v>
      </c>
      <c r="I28" t="s">
        <v>35</v>
      </c>
      <c r="J28">
        <v>4568.43</v>
      </c>
      <c r="K28">
        <v>8</v>
      </c>
      <c r="L28" t="s">
        <v>24</v>
      </c>
      <c r="M28" t="s">
        <v>25</v>
      </c>
      <c r="N28" t="s">
        <v>26</v>
      </c>
      <c r="O28" t="s">
        <v>27</v>
      </c>
      <c r="P28" t="s">
        <v>50</v>
      </c>
      <c r="Q28">
        <v>2</v>
      </c>
      <c r="R28">
        <v>881.51</v>
      </c>
      <c r="S28" t="s">
        <v>29</v>
      </c>
    </row>
    <row r="29" spans="1:28" x14ac:dyDescent="0.3">
      <c r="A29" t="s">
        <v>98</v>
      </c>
      <c r="B29">
        <v>83</v>
      </c>
      <c r="C29" t="s">
        <v>31</v>
      </c>
      <c r="D29" t="s">
        <v>20</v>
      </c>
      <c r="E29" s="1">
        <v>45083</v>
      </c>
      <c r="F29" s="3">
        <v>45100</v>
      </c>
      <c r="G29" t="s">
        <v>67</v>
      </c>
      <c r="H29" t="s">
        <v>42</v>
      </c>
      <c r="I29" t="s">
        <v>83</v>
      </c>
      <c r="J29">
        <v>10649.35</v>
      </c>
      <c r="K29">
        <v>17</v>
      </c>
      <c r="L29" t="s">
        <v>24</v>
      </c>
      <c r="M29" t="s">
        <v>25</v>
      </c>
      <c r="N29" t="s">
        <v>44</v>
      </c>
      <c r="O29" t="s">
        <v>37</v>
      </c>
      <c r="P29" t="s">
        <v>45</v>
      </c>
      <c r="Q29">
        <v>6</v>
      </c>
      <c r="R29">
        <v>1963.91</v>
      </c>
      <c r="S29" t="s">
        <v>29</v>
      </c>
    </row>
    <row r="30" spans="1:28" x14ac:dyDescent="0.3">
      <c r="A30" t="s">
        <v>99</v>
      </c>
      <c r="B30">
        <v>52</v>
      </c>
      <c r="C30" t="s">
        <v>19</v>
      </c>
      <c r="D30" t="s">
        <v>20</v>
      </c>
      <c r="E30" s="1">
        <v>45876</v>
      </c>
      <c r="F30" s="3">
        <v>45886</v>
      </c>
      <c r="G30" t="s">
        <v>62</v>
      </c>
      <c r="H30" t="s">
        <v>63</v>
      </c>
      <c r="I30" t="s">
        <v>83</v>
      </c>
      <c r="J30">
        <v>5573.81</v>
      </c>
      <c r="K30">
        <v>10</v>
      </c>
      <c r="L30" t="s">
        <v>36</v>
      </c>
      <c r="M30" t="s">
        <v>25</v>
      </c>
      <c r="N30" t="s">
        <v>44</v>
      </c>
      <c r="O30" t="s">
        <v>56</v>
      </c>
      <c r="P30" t="s">
        <v>38</v>
      </c>
      <c r="Q30">
        <v>10</v>
      </c>
      <c r="R30">
        <v>1179.71</v>
      </c>
      <c r="S30" t="s">
        <v>29</v>
      </c>
    </row>
    <row r="31" spans="1:28" x14ac:dyDescent="0.3">
      <c r="A31" t="s">
        <v>100</v>
      </c>
      <c r="B31">
        <v>69</v>
      </c>
      <c r="C31" t="s">
        <v>19</v>
      </c>
      <c r="D31" t="s">
        <v>66</v>
      </c>
      <c r="E31" s="1">
        <v>45003</v>
      </c>
      <c r="F31" s="3">
        <v>45028</v>
      </c>
      <c r="G31" t="s">
        <v>71</v>
      </c>
      <c r="H31" t="s">
        <v>72</v>
      </c>
      <c r="I31" t="s">
        <v>81</v>
      </c>
      <c r="J31">
        <v>19447.509999999998</v>
      </c>
      <c r="K31">
        <v>25</v>
      </c>
      <c r="L31" t="s">
        <v>24</v>
      </c>
      <c r="M31" t="s">
        <v>101</v>
      </c>
      <c r="N31" t="s">
        <v>44</v>
      </c>
      <c r="O31" t="s">
        <v>49</v>
      </c>
      <c r="P31" t="s">
        <v>45</v>
      </c>
      <c r="Q31">
        <v>9</v>
      </c>
      <c r="R31">
        <v>4117.88</v>
      </c>
      <c r="S31" t="s">
        <v>39</v>
      </c>
    </row>
    <row r="32" spans="1:28" x14ac:dyDescent="0.3">
      <c r="A32" t="s">
        <v>102</v>
      </c>
      <c r="B32">
        <v>23</v>
      </c>
      <c r="C32" t="s">
        <v>31</v>
      </c>
      <c r="D32" t="s">
        <v>61</v>
      </c>
      <c r="E32" s="1">
        <v>45648</v>
      </c>
      <c r="F32" s="3">
        <v>45651</v>
      </c>
      <c r="G32" t="s">
        <v>62</v>
      </c>
      <c r="H32" t="s">
        <v>63</v>
      </c>
      <c r="I32" t="s">
        <v>83</v>
      </c>
      <c r="J32">
        <v>2314.0300000000002</v>
      </c>
      <c r="K32">
        <v>3</v>
      </c>
      <c r="L32" t="s">
        <v>24</v>
      </c>
      <c r="M32" t="s">
        <v>25</v>
      </c>
      <c r="N32" t="s">
        <v>44</v>
      </c>
      <c r="O32" t="s">
        <v>27</v>
      </c>
      <c r="P32" t="s">
        <v>28</v>
      </c>
      <c r="Q32">
        <v>5</v>
      </c>
      <c r="R32">
        <v>789.51</v>
      </c>
      <c r="S32" t="s">
        <v>39</v>
      </c>
    </row>
    <row r="33" spans="1:19" x14ac:dyDescent="0.3">
      <c r="A33" t="s">
        <v>103</v>
      </c>
      <c r="B33">
        <v>49</v>
      </c>
      <c r="C33" t="s">
        <v>19</v>
      </c>
      <c r="D33" t="s">
        <v>66</v>
      </c>
      <c r="E33" s="1">
        <v>45545</v>
      </c>
      <c r="F33" s="3">
        <v>45555</v>
      </c>
      <c r="G33" t="s">
        <v>71</v>
      </c>
      <c r="H33" t="s">
        <v>72</v>
      </c>
      <c r="I33" t="s">
        <v>81</v>
      </c>
      <c r="J33">
        <v>8338.6299999999992</v>
      </c>
      <c r="K33">
        <v>10</v>
      </c>
      <c r="L33" t="s">
        <v>24</v>
      </c>
      <c r="M33" t="s">
        <v>59</v>
      </c>
      <c r="N33" t="s">
        <v>44</v>
      </c>
      <c r="O33" t="s">
        <v>56</v>
      </c>
      <c r="P33" t="s">
        <v>45</v>
      </c>
      <c r="Q33">
        <v>13</v>
      </c>
      <c r="R33">
        <v>2142.63</v>
      </c>
      <c r="S33" t="s">
        <v>29</v>
      </c>
    </row>
    <row r="34" spans="1:19" x14ac:dyDescent="0.3">
      <c r="A34" t="s">
        <v>104</v>
      </c>
      <c r="B34">
        <v>69</v>
      </c>
      <c r="C34" t="s">
        <v>31</v>
      </c>
      <c r="D34" t="s">
        <v>47</v>
      </c>
      <c r="E34" s="1">
        <v>44996</v>
      </c>
      <c r="F34" s="3">
        <v>44998</v>
      </c>
      <c r="G34" t="s">
        <v>67</v>
      </c>
      <c r="H34" t="s">
        <v>42</v>
      </c>
      <c r="I34" t="s">
        <v>43</v>
      </c>
      <c r="J34">
        <v>3682.21</v>
      </c>
      <c r="K34">
        <v>2</v>
      </c>
      <c r="L34" t="s">
        <v>24</v>
      </c>
      <c r="M34" t="s">
        <v>25</v>
      </c>
      <c r="N34" t="s">
        <v>55</v>
      </c>
      <c r="O34" t="s">
        <v>27</v>
      </c>
      <c r="P34" t="s">
        <v>38</v>
      </c>
      <c r="Q34">
        <v>4</v>
      </c>
      <c r="R34">
        <v>1015.6</v>
      </c>
      <c r="S34" t="s">
        <v>29</v>
      </c>
    </row>
    <row r="35" spans="1:19" x14ac:dyDescent="0.3">
      <c r="A35" t="s">
        <v>105</v>
      </c>
      <c r="B35">
        <v>24</v>
      </c>
      <c r="C35" t="s">
        <v>19</v>
      </c>
      <c r="D35" t="s">
        <v>32</v>
      </c>
      <c r="E35" s="1">
        <v>45893</v>
      </c>
      <c r="F35" s="3">
        <v>45900</v>
      </c>
      <c r="G35" t="s">
        <v>62</v>
      </c>
      <c r="H35" t="s">
        <v>63</v>
      </c>
      <c r="I35" t="s">
        <v>43</v>
      </c>
      <c r="J35">
        <v>4473.0600000000004</v>
      </c>
      <c r="K35">
        <v>7</v>
      </c>
      <c r="L35" t="s">
        <v>36</v>
      </c>
      <c r="M35" t="s">
        <v>25</v>
      </c>
      <c r="N35" t="s">
        <v>44</v>
      </c>
      <c r="O35" t="s">
        <v>37</v>
      </c>
      <c r="P35" t="s">
        <v>50</v>
      </c>
      <c r="Q35">
        <v>15</v>
      </c>
      <c r="R35">
        <v>1703.94</v>
      </c>
      <c r="S35" t="s">
        <v>29</v>
      </c>
    </row>
    <row r="36" spans="1:19" x14ac:dyDescent="0.3">
      <c r="A36" t="s">
        <v>106</v>
      </c>
      <c r="B36">
        <v>70</v>
      </c>
      <c r="C36" t="s">
        <v>19</v>
      </c>
      <c r="D36" t="s">
        <v>79</v>
      </c>
      <c r="E36" s="1">
        <v>45325</v>
      </c>
      <c r="F36" s="3">
        <v>45334</v>
      </c>
      <c r="G36" t="s">
        <v>21</v>
      </c>
      <c r="H36" t="s">
        <v>22</v>
      </c>
      <c r="I36" t="s">
        <v>91</v>
      </c>
      <c r="J36">
        <v>2214.2600000000002</v>
      </c>
      <c r="K36">
        <v>9</v>
      </c>
      <c r="L36" t="s">
        <v>24</v>
      </c>
      <c r="M36" t="s">
        <v>25</v>
      </c>
      <c r="N36" t="s">
        <v>26</v>
      </c>
      <c r="O36" t="s">
        <v>56</v>
      </c>
      <c r="P36" t="s">
        <v>50</v>
      </c>
      <c r="Q36">
        <v>7</v>
      </c>
      <c r="R36">
        <v>459.44</v>
      </c>
      <c r="S36" t="s">
        <v>29</v>
      </c>
    </row>
    <row r="37" spans="1:19" x14ac:dyDescent="0.3">
      <c r="A37" t="s">
        <v>107</v>
      </c>
      <c r="B37">
        <v>56</v>
      </c>
      <c r="C37" t="s">
        <v>19</v>
      </c>
      <c r="D37" t="s">
        <v>70</v>
      </c>
      <c r="E37" s="1">
        <v>45692</v>
      </c>
      <c r="F37" s="3">
        <v>45700</v>
      </c>
      <c r="G37" t="s">
        <v>33</v>
      </c>
      <c r="H37" t="s">
        <v>34</v>
      </c>
      <c r="I37" t="s">
        <v>23</v>
      </c>
      <c r="J37">
        <v>11241.51</v>
      </c>
      <c r="K37">
        <v>8</v>
      </c>
      <c r="L37" t="s">
        <v>36</v>
      </c>
      <c r="M37" t="s">
        <v>25</v>
      </c>
      <c r="N37" t="s">
        <v>55</v>
      </c>
      <c r="O37" t="s">
        <v>49</v>
      </c>
      <c r="P37" t="s">
        <v>50</v>
      </c>
      <c r="Q37">
        <v>7</v>
      </c>
      <c r="R37">
        <v>3044.11</v>
      </c>
      <c r="S37" t="s">
        <v>39</v>
      </c>
    </row>
    <row r="38" spans="1:19" x14ac:dyDescent="0.3">
      <c r="A38" t="s">
        <v>108</v>
      </c>
      <c r="B38">
        <v>53</v>
      </c>
      <c r="C38" t="s">
        <v>31</v>
      </c>
      <c r="D38" t="s">
        <v>32</v>
      </c>
      <c r="E38" s="1">
        <v>45016</v>
      </c>
      <c r="F38" s="3">
        <v>45021</v>
      </c>
      <c r="G38" t="s">
        <v>33</v>
      </c>
      <c r="H38" t="s">
        <v>34</v>
      </c>
      <c r="I38" t="s">
        <v>83</v>
      </c>
      <c r="J38">
        <v>3284.22</v>
      </c>
      <c r="K38">
        <v>5</v>
      </c>
      <c r="L38" t="s">
        <v>24</v>
      </c>
      <c r="M38" t="s">
        <v>25</v>
      </c>
      <c r="N38" t="s">
        <v>55</v>
      </c>
      <c r="O38" t="s">
        <v>56</v>
      </c>
      <c r="P38" t="s">
        <v>38</v>
      </c>
      <c r="Q38">
        <v>10</v>
      </c>
      <c r="R38">
        <v>567.29999999999995</v>
      </c>
      <c r="S38" t="s">
        <v>29</v>
      </c>
    </row>
    <row r="39" spans="1:19" x14ac:dyDescent="0.3">
      <c r="A39" t="s">
        <v>109</v>
      </c>
      <c r="B39">
        <v>86</v>
      </c>
      <c r="C39" t="s">
        <v>19</v>
      </c>
      <c r="D39" t="s">
        <v>89</v>
      </c>
      <c r="E39" s="1">
        <v>45499</v>
      </c>
      <c r="F39" s="3">
        <v>45512</v>
      </c>
      <c r="G39" t="s">
        <v>33</v>
      </c>
      <c r="H39" t="s">
        <v>34</v>
      </c>
      <c r="I39" t="s">
        <v>91</v>
      </c>
      <c r="J39">
        <v>7398.49</v>
      </c>
      <c r="K39">
        <v>13</v>
      </c>
      <c r="L39" t="s">
        <v>36</v>
      </c>
      <c r="M39" t="s">
        <v>25</v>
      </c>
      <c r="N39" t="s">
        <v>26</v>
      </c>
      <c r="O39" t="s">
        <v>56</v>
      </c>
      <c r="P39" t="s">
        <v>45</v>
      </c>
      <c r="Q39">
        <v>13</v>
      </c>
      <c r="R39">
        <v>2781.18</v>
      </c>
      <c r="S39" t="s">
        <v>29</v>
      </c>
    </row>
    <row r="40" spans="1:19" x14ac:dyDescent="0.3">
      <c r="A40" t="s">
        <v>110</v>
      </c>
      <c r="B40">
        <v>54</v>
      </c>
      <c r="C40" t="s">
        <v>19</v>
      </c>
      <c r="D40" t="s">
        <v>66</v>
      </c>
      <c r="E40" s="1">
        <v>45817</v>
      </c>
      <c r="F40" s="3">
        <v>45829</v>
      </c>
      <c r="G40" t="s">
        <v>41</v>
      </c>
      <c r="H40" t="s">
        <v>42</v>
      </c>
      <c r="I40" t="s">
        <v>43</v>
      </c>
      <c r="J40">
        <v>6394.09</v>
      </c>
      <c r="K40">
        <v>12</v>
      </c>
      <c r="L40" t="s">
        <v>24</v>
      </c>
      <c r="M40" t="s">
        <v>59</v>
      </c>
      <c r="N40" t="s">
        <v>44</v>
      </c>
      <c r="O40" t="s">
        <v>27</v>
      </c>
      <c r="P40" t="s">
        <v>38</v>
      </c>
      <c r="Q40">
        <v>5</v>
      </c>
      <c r="R40">
        <v>1798.29</v>
      </c>
      <c r="S40" t="s">
        <v>29</v>
      </c>
    </row>
    <row r="41" spans="1:19" x14ac:dyDescent="0.3">
      <c r="A41" t="s">
        <v>111</v>
      </c>
      <c r="B41">
        <v>55</v>
      </c>
      <c r="C41" t="s">
        <v>31</v>
      </c>
      <c r="D41" t="s">
        <v>66</v>
      </c>
      <c r="E41" s="1">
        <v>45719</v>
      </c>
      <c r="F41" s="3">
        <v>45722</v>
      </c>
      <c r="G41" t="s">
        <v>67</v>
      </c>
      <c r="H41" t="s">
        <v>42</v>
      </c>
      <c r="I41" t="s">
        <v>43</v>
      </c>
      <c r="J41">
        <v>3878.2</v>
      </c>
      <c r="K41">
        <v>3</v>
      </c>
      <c r="L41" t="s">
        <v>24</v>
      </c>
      <c r="M41" t="s">
        <v>25</v>
      </c>
      <c r="N41" t="s">
        <v>26</v>
      </c>
      <c r="O41" t="s">
        <v>37</v>
      </c>
      <c r="P41" t="s">
        <v>38</v>
      </c>
      <c r="Q41">
        <v>8</v>
      </c>
      <c r="R41">
        <v>1248.1600000000001</v>
      </c>
      <c r="S41" t="s">
        <v>29</v>
      </c>
    </row>
    <row r="42" spans="1:19" x14ac:dyDescent="0.3">
      <c r="A42" t="s">
        <v>112</v>
      </c>
      <c r="B42">
        <v>22</v>
      </c>
      <c r="C42" t="s">
        <v>19</v>
      </c>
      <c r="D42" t="s">
        <v>70</v>
      </c>
      <c r="E42" s="1">
        <v>45256</v>
      </c>
      <c r="F42" s="3">
        <v>45271</v>
      </c>
      <c r="G42" t="s">
        <v>74</v>
      </c>
      <c r="H42" t="s">
        <v>75</v>
      </c>
      <c r="I42" t="s">
        <v>23</v>
      </c>
      <c r="J42">
        <v>10946.49</v>
      </c>
      <c r="K42">
        <v>15</v>
      </c>
      <c r="L42" t="s">
        <v>36</v>
      </c>
      <c r="M42" t="s">
        <v>76</v>
      </c>
      <c r="N42" t="s">
        <v>55</v>
      </c>
      <c r="O42" t="s">
        <v>27</v>
      </c>
      <c r="P42" t="s">
        <v>50</v>
      </c>
      <c r="Q42">
        <v>13</v>
      </c>
      <c r="R42">
        <v>2958.56</v>
      </c>
      <c r="S42" t="s">
        <v>29</v>
      </c>
    </row>
    <row r="43" spans="1:19" x14ac:dyDescent="0.3">
      <c r="A43" t="s">
        <v>113</v>
      </c>
      <c r="B43">
        <v>89</v>
      </c>
      <c r="C43" t="s">
        <v>19</v>
      </c>
      <c r="D43" t="s">
        <v>70</v>
      </c>
      <c r="E43" s="1">
        <v>45157</v>
      </c>
      <c r="F43" s="3">
        <v>45160</v>
      </c>
      <c r="G43" t="s">
        <v>52</v>
      </c>
      <c r="H43" t="s">
        <v>53</v>
      </c>
      <c r="I43" t="s">
        <v>83</v>
      </c>
      <c r="J43">
        <v>4485.72</v>
      </c>
      <c r="K43">
        <v>3</v>
      </c>
      <c r="L43" t="s">
        <v>24</v>
      </c>
      <c r="M43" t="s">
        <v>25</v>
      </c>
      <c r="N43" t="s">
        <v>55</v>
      </c>
      <c r="O43" t="s">
        <v>37</v>
      </c>
      <c r="P43" t="s">
        <v>28</v>
      </c>
      <c r="Q43">
        <v>14</v>
      </c>
      <c r="R43">
        <v>1444.06</v>
      </c>
      <c r="S43" t="s">
        <v>29</v>
      </c>
    </row>
    <row r="44" spans="1:19" x14ac:dyDescent="0.3">
      <c r="A44" t="s">
        <v>114</v>
      </c>
      <c r="B44">
        <v>86</v>
      </c>
      <c r="C44" t="s">
        <v>19</v>
      </c>
      <c r="D44" t="s">
        <v>47</v>
      </c>
      <c r="E44" s="1">
        <v>45195</v>
      </c>
      <c r="F44" s="3">
        <v>45206</v>
      </c>
      <c r="G44" t="s">
        <v>52</v>
      </c>
      <c r="H44" t="s">
        <v>53</v>
      </c>
      <c r="I44" t="s">
        <v>83</v>
      </c>
      <c r="J44">
        <v>3886.99</v>
      </c>
      <c r="K44">
        <v>11</v>
      </c>
      <c r="L44" t="s">
        <v>36</v>
      </c>
      <c r="M44" t="s">
        <v>25</v>
      </c>
      <c r="N44" t="s">
        <v>26</v>
      </c>
      <c r="O44" t="s">
        <v>56</v>
      </c>
      <c r="P44" t="s">
        <v>38</v>
      </c>
      <c r="Q44">
        <v>4</v>
      </c>
      <c r="R44">
        <v>660.41</v>
      </c>
      <c r="S44" t="s">
        <v>29</v>
      </c>
    </row>
    <row r="45" spans="1:19" x14ac:dyDescent="0.3">
      <c r="A45" t="s">
        <v>115</v>
      </c>
      <c r="B45">
        <v>48</v>
      </c>
      <c r="C45" t="s">
        <v>31</v>
      </c>
      <c r="D45" t="s">
        <v>61</v>
      </c>
      <c r="E45" s="1">
        <v>45077</v>
      </c>
      <c r="F45" s="3">
        <v>45101</v>
      </c>
      <c r="G45" t="s">
        <v>48</v>
      </c>
      <c r="H45" t="s">
        <v>22</v>
      </c>
      <c r="I45" t="s">
        <v>43</v>
      </c>
      <c r="J45">
        <v>20063.18</v>
      </c>
      <c r="K45">
        <v>24</v>
      </c>
      <c r="L45" t="s">
        <v>36</v>
      </c>
      <c r="M45" t="s">
        <v>25</v>
      </c>
      <c r="N45" t="s">
        <v>55</v>
      </c>
      <c r="O45" t="s">
        <v>49</v>
      </c>
      <c r="P45" t="s">
        <v>50</v>
      </c>
      <c r="Q45">
        <v>8</v>
      </c>
      <c r="R45">
        <v>3106.76</v>
      </c>
      <c r="S45" t="s">
        <v>29</v>
      </c>
    </row>
    <row r="46" spans="1:19" x14ac:dyDescent="0.3">
      <c r="A46" t="s">
        <v>116</v>
      </c>
      <c r="B46">
        <v>57</v>
      </c>
      <c r="C46" t="s">
        <v>31</v>
      </c>
      <c r="D46" t="s">
        <v>66</v>
      </c>
      <c r="E46" s="1">
        <v>45292</v>
      </c>
      <c r="F46" s="3">
        <v>45310</v>
      </c>
      <c r="G46" t="s">
        <v>48</v>
      </c>
      <c r="H46" t="s">
        <v>22</v>
      </c>
      <c r="I46" t="s">
        <v>35</v>
      </c>
      <c r="J46">
        <v>11625.96</v>
      </c>
      <c r="K46">
        <v>18</v>
      </c>
      <c r="L46" t="s">
        <v>24</v>
      </c>
      <c r="M46" t="s">
        <v>25</v>
      </c>
      <c r="N46" t="s">
        <v>44</v>
      </c>
      <c r="O46" t="s">
        <v>27</v>
      </c>
      <c r="P46" t="s">
        <v>50</v>
      </c>
      <c r="Q46">
        <v>6</v>
      </c>
      <c r="R46">
        <v>2436.4299999999998</v>
      </c>
      <c r="S46" t="s">
        <v>29</v>
      </c>
    </row>
    <row r="47" spans="1:19" x14ac:dyDescent="0.3">
      <c r="A47" t="s">
        <v>117</v>
      </c>
      <c r="B47">
        <v>27</v>
      </c>
      <c r="C47" t="s">
        <v>19</v>
      </c>
      <c r="D47" t="s">
        <v>47</v>
      </c>
      <c r="E47" s="1">
        <v>45071</v>
      </c>
      <c r="F47" s="3">
        <v>45076</v>
      </c>
      <c r="G47" t="s">
        <v>52</v>
      </c>
      <c r="H47" t="s">
        <v>53</v>
      </c>
      <c r="I47" t="s">
        <v>83</v>
      </c>
      <c r="J47">
        <v>3878.08</v>
      </c>
      <c r="K47">
        <v>5</v>
      </c>
      <c r="L47" t="s">
        <v>36</v>
      </c>
      <c r="M47" t="s">
        <v>25</v>
      </c>
      <c r="N47" t="s">
        <v>26</v>
      </c>
      <c r="O47" t="s">
        <v>37</v>
      </c>
      <c r="P47" t="s">
        <v>38</v>
      </c>
      <c r="Q47">
        <v>12</v>
      </c>
      <c r="R47">
        <v>630.51</v>
      </c>
      <c r="S47" t="s">
        <v>29</v>
      </c>
    </row>
    <row r="48" spans="1:19" x14ac:dyDescent="0.3">
      <c r="A48" t="s">
        <v>118</v>
      </c>
      <c r="B48">
        <v>55</v>
      </c>
      <c r="C48" t="s">
        <v>19</v>
      </c>
      <c r="D48" t="s">
        <v>66</v>
      </c>
      <c r="E48" s="1">
        <v>45198</v>
      </c>
      <c r="F48" s="3">
        <v>45203</v>
      </c>
      <c r="G48" t="s">
        <v>41</v>
      </c>
      <c r="H48" t="s">
        <v>42</v>
      </c>
      <c r="I48" t="s">
        <v>43</v>
      </c>
      <c r="J48">
        <v>3009.17</v>
      </c>
      <c r="K48">
        <v>5</v>
      </c>
      <c r="L48" t="s">
        <v>24</v>
      </c>
      <c r="M48" t="s">
        <v>25</v>
      </c>
      <c r="N48" t="s">
        <v>55</v>
      </c>
      <c r="O48" t="s">
        <v>37</v>
      </c>
      <c r="P48" t="s">
        <v>50</v>
      </c>
      <c r="Q48">
        <v>7</v>
      </c>
      <c r="R48">
        <v>1120.8800000000001</v>
      </c>
      <c r="S48" t="s">
        <v>29</v>
      </c>
    </row>
    <row r="49" spans="1:19" x14ac:dyDescent="0.3">
      <c r="A49" t="s">
        <v>119</v>
      </c>
      <c r="B49">
        <v>23</v>
      </c>
      <c r="C49" t="s">
        <v>19</v>
      </c>
      <c r="D49" t="s">
        <v>32</v>
      </c>
      <c r="E49" s="1">
        <v>44938</v>
      </c>
      <c r="F49" s="3">
        <v>44952</v>
      </c>
      <c r="G49" t="s">
        <v>71</v>
      </c>
      <c r="H49" t="s">
        <v>72</v>
      </c>
      <c r="I49" t="s">
        <v>83</v>
      </c>
      <c r="J49">
        <v>6937.68</v>
      </c>
      <c r="K49">
        <v>14</v>
      </c>
      <c r="L49" t="s">
        <v>36</v>
      </c>
      <c r="M49" t="s">
        <v>25</v>
      </c>
      <c r="N49" t="s">
        <v>26</v>
      </c>
      <c r="O49" t="s">
        <v>56</v>
      </c>
      <c r="P49" t="s">
        <v>28</v>
      </c>
      <c r="Q49">
        <v>8</v>
      </c>
      <c r="R49">
        <v>2111.7399999999998</v>
      </c>
      <c r="S49" t="s">
        <v>29</v>
      </c>
    </row>
    <row r="50" spans="1:19" x14ac:dyDescent="0.3">
      <c r="A50" t="s">
        <v>120</v>
      </c>
      <c r="B50">
        <v>32</v>
      </c>
      <c r="C50" t="s">
        <v>19</v>
      </c>
      <c r="D50" t="s">
        <v>70</v>
      </c>
      <c r="E50" s="1">
        <v>45677</v>
      </c>
      <c r="F50" s="3">
        <v>45688</v>
      </c>
      <c r="G50" t="s">
        <v>71</v>
      </c>
      <c r="H50" t="s">
        <v>72</v>
      </c>
      <c r="I50" t="s">
        <v>83</v>
      </c>
      <c r="J50">
        <v>8343.15</v>
      </c>
      <c r="K50">
        <v>11</v>
      </c>
      <c r="L50" t="s">
        <v>24</v>
      </c>
      <c r="M50" t="s">
        <v>25</v>
      </c>
      <c r="N50" t="s">
        <v>44</v>
      </c>
      <c r="O50" t="s">
        <v>49</v>
      </c>
      <c r="P50" t="s">
        <v>38</v>
      </c>
      <c r="Q50">
        <v>3</v>
      </c>
      <c r="R50">
        <v>2483.4499999999998</v>
      </c>
      <c r="S50" t="s">
        <v>29</v>
      </c>
    </row>
    <row r="51" spans="1:19" x14ac:dyDescent="0.3">
      <c r="A51" t="s">
        <v>121</v>
      </c>
      <c r="B51">
        <v>20</v>
      </c>
      <c r="C51" t="s">
        <v>31</v>
      </c>
      <c r="D51" t="s">
        <v>70</v>
      </c>
      <c r="E51" s="1">
        <v>45095</v>
      </c>
      <c r="F51" s="3">
        <v>45111</v>
      </c>
      <c r="G51" t="s">
        <v>93</v>
      </c>
      <c r="H51" t="s">
        <v>72</v>
      </c>
      <c r="I51" t="s">
        <v>58</v>
      </c>
      <c r="J51">
        <v>8303.06</v>
      </c>
      <c r="K51">
        <v>16</v>
      </c>
      <c r="L51" t="s">
        <v>24</v>
      </c>
      <c r="M51" t="s">
        <v>25</v>
      </c>
      <c r="N51" t="s">
        <v>44</v>
      </c>
      <c r="O51" t="s">
        <v>49</v>
      </c>
      <c r="P51" t="s">
        <v>50</v>
      </c>
      <c r="Q51">
        <v>14</v>
      </c>
      <c r="R51">
        <v>2320.88</v>
      </c>
      <c r="S51" t="s">
        <v>29</v>
      </c>
    </row>
    <row r="52" spans="1:19" x14ac:dyDescent="0.3">
      <c r="A52" t="s">
        <v>122</v>
      </c>
      <c r="B52">
        <v>73</v>
      </c>
      <c r="C52" t="s">
        <v>19</v>
      </c>
      <c r="D52" t="s">
        <v>20</v>
      </c>
      <c r="E52" s="1">
        <v>45888</v>
      </c>
      <c r="F52" s="3">
        <v>45897</v>
      </c>
      <c r="G52" t="s">
        <v>21</v>
      </c>
      <c r="H52" t="s">
        <v>22</v>
      </c>
      <c r="I52" t="s">
        <v>81</v>
      </c>
      <c r="J52">
        <v>3949.66</v>
      </c>
      <c r="K52">
        <v>9</v>
      </c>
      <c r="L52" t="s">
        <v>36</v>
      </c>
      <c r="M52" t="s">
        <v>25</v>
      </c>
      <c r="N52" t="s">
        <v>55</v>
      </c>
      <c r="O52" t="s">
        <v>37</v>
      </c>
      <c r="P52" t="s">
        <v>38</v>
      </c>
      <c r="Q52">
        <v>6</v>
      </c>
      <c r="R52">
        <v>764.1</v>
      </c>
      <c r="S52" t="s">
        <v>29</v>
      </c>
    </row>
    <row r="53" spans="1:19" x14ac:dyDescent="0.3">
      <c r="A53" t="s">
        <v>123</v>
      </c>
      <c r="B53">
        <v>22</v>
      </c>
      <c r="C53" t="s">
        <v>19</v>
      </c>
      <c r="D53" t="s">
        <v>61</v>
      </c>
      <c r="E53" s="1">
        <v>45818</v>
      </c>
      <c r="F53" s="3">
        <v>45828</v>
      </c>
      <c r="G53" t="s">
        <v>67</v>
      </c>
      <c r="H53" t="s">
        <v>42</v>
      </c>
      <c r="I53" t="s">
        <v>43</v>
      </c>
      <c r="J53">
        <v>3071.42</v>
      </c>
      <c r="K53">
        <v>10</v>
      </c>
      <c r="L53" t="s">
        <v>24</v>
      </c>
      <c r="M53" t="s">
        <v>25</v>
      </c>
      <c r="N53" t="s">
        <v>44</v>
      </c>
      <c r="O53" t="s">
        <v>56</v>
      </c>
      <c r="P53" t="s">
        <v>45</v>
      </c>
      <c r="Q53">
        <v>9</v>
      </c>
      <c r="R53">
        <v>1042.67</v>
      </c>
      <c r="S53" t="s">
        <v>29</v>
      </c>
    </row>
    <row r="54" spans="1:19" x14ac:dyDescent="0.3">
      <c r="A54" t="s">
        <v>124</v>
      </c>
      <c r="B54">
        <v>57</v>
      </c>
      <c r="C54" t="s">
        <v>19</v>
      </c>
      <c r="D54" t="s">
        <v>47</v>
      </c>
      <c r="E54" s="1">
        <v>45275</v>
      </c>
      <c r="F54" s="3">
        <v>45282</v>
      </c>
      <c r="G54" t="s">
        <v>52</v>
      </c>
      <c r="H54" t="s">
        <v>53</v>
      </c>
      <c r="I54" t="s">
        <v>91</v>
      </c>
      <c r="J54">
        <v>4871.3999999999996</v>
      </c>
      <c r="K54">
        <v>7</v>
      </c>
      <c r="L54" t="s">
        <v>24</v>
      </c>
      <c r="M54" t="s">
        <v>25</v>
      </c>
      <c r="N54" t="s">
        <v>26</v>
      </c>
      <c r="O54" t="s">
        <v>27</v>
      </c>
      <c r="P54" t="s">
        <v>45</v>
      </c>
      <c r="Q54">
        <v>9</v>
      </c>
      <c r="R54">
        <v>1335.87</v>
      </c>
      <c r="S54" t="s">
        <v>29</v>
      </c>
    </row>
    <row r="55" spans="1:19" x14ac:dyDescent="0.3">
      <c r="A55" t="s">
        <v>125</v>
      </c>
      <c r="B55">
        <v>22</v>
      </c>
      <c r="C55" t="s">
        <v>31</v>
      </c>
      <c r="D55" t="s">
        <v>20</v>
      </c>
      <c r="E55" s="1">
        <v>45334</v>
      </c>
      <c r="F55" s="3">
        <v>45349</v>
      </c>
      <c r="G55" t="s">
        <v>33</v>
      </c>
      <c r="H55" t="s">
        <v>34</v>
      </c>
      <c r="I55" t="s">
        <v>83</v>
      </c>
      <c r="J55">
        <v>9193.16</v>
      </c>
      <c r="K55">
        <v>15</v>
      </c>
      <c r="L55" t="s">
        <v>36</v>
      </c>
      <c r="M55" t="s">
        <v>101</v>
      </c>
      <c r="N55" t="s">
        <v>55</v>
      </c>
      <c r="O55" t="s">
        <v>56</v>
      </c>
      <c r="P55" t="s">
        <v>50</v>
      </c>
      <c r="Q55">
        <v>6</v>
      </c>
      <c r="R55">
        <v>2690.47</v>
      </c>
      <c r="S55" t="s">
        <v>29</v>
      </c>
    </row>
    <row r="56" spans="1:19" x14ac:dyDescent="0.3">
      <c r="A56" t="s">
        <v>126</v>
      </c>
      <c r="B56">
        <v>36</v>
      </c>
      <c r="C56" t="s">
        <v>31</v>
      </c>
      <c r="D56" t="s">
        <v>61</v>
      </c>
      <c r="E56" s="1">
        <v>45506</v>
      </c>
      <c r="F56" s="3">
        <v>45514</v>
      </c>
      <c r="G56" t="s">
        <v>52</v>
      </c>
      <c r="H56" t="s">
        <v>53</v>
      </c>
      <c r="I56" t="s">
        <v>91</v>
      </c>
      <c r="J56">
        <v>3547.2</v>
      </c>
      <c r="K56">
        <v>8</v>
      </c>
      <c r="L56" t="s">
        <v>24</v>
      </c>
      <c r="M56" t="s">
        <v>101</v>
      </c>
      <c r="N56" t="s">
        <v>55</v>
      </c>
      <c r="O56" t="s">
        <v>27</v>
      </c>
      <c r="P56" t="s">
        <v>50</v>
      </c>
      <c r="Q56">
        <v>10</v>
      </c>
      <c r="R56">
        <v>1015.94</v>
      </c>
      <c r="S56" t="s">
        <v>29</v>
      </c>
    </row>
    <row r="57" spans="1:19" x14ac:dyDescent="0.3">
      <c r="A57" t="s">
        <v>127</v>
      </c>
      <c r="B57">
        <v>18</v>
      </c>
      <c r="C57" t="s">
        <v>31</v>
      </c>
      <c r="D57" t="s">
        <v>70</v>
      </c>
      <c r="E57" s="1">
        <v>45372</v>
      </c>
      <c r="F57" s="3">
        <v>45388</v>
      </c>
      <c r="G57" t="s">
        <v>21</v>
      </c>
      <c r="H57" t="s">
        <v>22</v>
      </c>
      <c r="I57" t="s">
        <v>58</v>
      </c>
      <c r="J57">
        <v>8402.4699999999993</v>
      </c>
      <c r="K57">
        <v>16</v>
      </c>
      <c r="L57" t="s">
        <v>36</v>
      </c>
      <c r="M57" t="s">
        <v>25</v>
      </c>
      <c r="N57" t="s">
        <v>44</v>
      </c>
      <c r="O57" t="s">
        <v>56</v>
      </c>
      <c r="P57" t="s">
        <v>45</v>
      </c>
      <c r="Q57">
        <v>4</v>
      </c>
      <c r="R57">
        <v>1739.34</v>
      </c>
      <c r="S57" t="s">
        <v>29</v>
      </c>
    </row>
    <row r="58" spans="1:19" x14ac:dyDescent="0.3">
      <c r="A58" t="s">
        <v>128</v>
      </c>
      <c r="B58">
        <v>56</v>
      </c>
      <c r="C58" t="s">
        <v>31</v>
      </c>
      <c r="D58" t="s">
        <v>66</v>
      </c>
      <c r="E58" s="1">
        <v>45384</v>
      </c>
      <c r="F58" s="3">
        <v>45397</v>
      </c>
      <c r="G58" t="s">
        <v>93</v>
      </c>
      <c r="H58" t="s">
        <v>72</v>
      </c>
      <c r="I58" t="s">
        <v>81</v>
      </c>
      <c r="J58">
        <v>5730.07</v>
      </c>
      <c r="K58">
        <v>13</v>
      </c>
      <c r="L58" t="s">
        <v>24</v>
      </c>
      <c r="M58" t="s">
        <v>59</v>
      </c>
      <c r="N58" t="s">
        <v>26</v>
      </c>
      <c r="O58" t="s">
        <v>27</v>
      </c>
      <c r="P58" t="s">
        <v>38</v>
      </c>
      <c r="Q58">
        <v>1</v>
      </c>
      <c r="R58">
        <v>2159.69</v>
      </c>
      <c r="S58" t="s">
        <v>29</v>
      </c>
    </row>
    <row r="59" spans="1:19" x14ac:dyDescent="0.3">
      <c r="A59" t="s">
        <v>129</v>
      </c>
      <c r="B59">
        <v>86</v>
      </c>
      <c r="C59" t="s">
        <v>31</v>
      </c>
      <c r="D59" t="s">
        <v>61</v>
      </c>
      <c r="E59" s="1">
        <v>45875</v>
      </c>
      <c r="F59" s="3">
        <v>45894</v>
      </c>
      <c r="G59" t="s">
        <v>74</v>
      </c>
      <c r="H59" t="s">
        <v>75</v>
      </c>
      <c r="I59" t="s">
        <v>58</v>
      </c>
      <c r="J59">
        <v>13455.83</v>
      </c>
      <c r="K59">
        <v>19</v>
      </c>
      <c r="L59" t="s">
        <v>24</v>
      </c>
      <c r="M59" t="s">
        <v>25</v>
      </c>
      <c r="N59" t="s">
        <v>44</v>
      </c>
      <c r="O59" t="s">
        <v>27</v>
      </c>
      <c r="P59" t="s">
        <v>45</v>
      </c>
      <c r="Q59">
        <v>1</v>
      </c>
      <c r="R59">
        <v>3729.34</v>
      </c>
      <c r="S59" t="s">
        <v>39</v>
      </c>
    </row>
    <row r="60" spans="1:19" x14ac:dyDescent="0.3">
      <c r="A60" t="s">
        <v>130</v>
      </c>
      <c r="B60">
        <v>76</v>
      </c>
      <c r="C60" t="s">
        <v>19</v>
      </c>
      <c r="D60" t="s">
        <v>89</v>
      </c>
      <c r="E60" s="1">
        <v>45669</v>
      </c>
      <c r="F60" s="3">
        <v>45688</v>
      </c>
      <c r="G60" t="s">
        <v>62</v>
      </c>
      <c r="H60" t="s">
        <v>63</v>
      </c>
      <c r="I60" t="s">
        <v>54</v>
      </c>
      <c r="J60">
        <v>6551.85</v>
      </c>
      <c r="K60">
        <v>19</v>
      </c>
      <c r="L60" t="s">
        <v>24</v>
      </c>
      <c r="M60" t="s">
        <v>101</v>
      </c>
      <c r="N60" t="s">
        <v>55</v>
      </c>
      <c r="O60" t="s">
        <v>56</v>
      </c>
      <c r="P60" t="s">
        <v>45</v>
      </c>
      <c r="Q60">
        <v>8</v>
      </c>
      <c r="R60">
        <v>1995.47</v>
      </c>
      <c r="S60" t="s">
        <v>39</v>
      </c>
    </row>
    <row r="61" spans="1:19" x14ac:dyDescent="0.3">
      <c r="A61" t="s">
        <v>131</v>
      </c>
      <c r="B61">
        <v>52</v>
      </c>
      <c r="C61" t="s">
        <v>19</v>
      </c>
      <c r="D61" t="s">
        <v>20</v>
      </c>
      <c r="E61" s="1">
        <v>45087</v>
      </c>
      <c r="F61" s="3">
        <v>45098</v>
      </c>
      <c r="G61" t="s">
        <v>71</v>
      </c>
      <c r="H61" t="s">
        <v>72</v>
      </c>
      <c r="I61" t="s">
        <v>35</v>
      </c>
      <c r="J61">
        <v>4780.08</v>
      </c>
      <c r="K61">
        <v>11</v>
      </c>
      <c r="L61" t="s">
        <v>24</v>
      </c>
      <c r="M61" t="s">
        <v>25</v>
      </c>
      <c r="N61" t="s">
        <v>44</v>
      </c>
      <c r="O61" t="s">
        <v>37</v>
      </c>
      <c r="P61" t="s">
        <v>28</v>
      </c>
      <c r="Q61">
        <v>5</v>
      </c>
      <c r="R61">
        <v>897.2</v>
      </c>
      <c r="S61" t="s">
        <v>29</v>
      </c>
    </row>
    <row r="62" spans="1:19" x14ac:dyDescent="0.3">
      <c r="A62" t="s">
        <v>132</v>
      </c>
      <c r="B62">
        <v>35</v>
      </c>
      <c r="C62" t="s">
        <v>19</v>
      </c>
      <c r="D62" t="s">
        <v>47</v>
      </c>
      <c r="E62" s="1">
        <v>45798</v>
      </c>
      <c r="F62" s="3">
        <v>45808</v>
      </c>
      <c r="G62" t="s">
        <v>52</v>
      </c>
      <c r="H62" t="s">
        <v>53</v>
      </c>
      <c r="I62" t="s">
        <v>83</v>
      </c>
      <c r="J62">
        <v>4251.95</v>
      </c>
      <c r="K62">
        <v>10</v>
      </c>
      <c r="L62" t="s">
        <v>36</v>
      </c>
      <c r="M62" t="s">
        <v>25</v>
      </c>
      <c r="N62" t="s">
        <v>26</v>
      </c>
      <c r="O62" t="s">
        <v>56</v>
      </c>
      <c r="P62" t="s">
        <v>45</v>
      </c>
      <c r="Q62">
        <v>14</v>
      </c>
      <c r="R62">
        <v>810.32</v>
      </c>
      <c r="S62" t="s">
        <v>29</v>
      </c>
    </row>
    <row r="63" spans="1:19" x14ac:dyDescent="0.3">
      <c r="A63" t="s">
        <v>133</v>
      </c>
      <c r="B63">
        <v>37</v>
      </c>
      <c r="C63" t="s">
        <v>31</v>
      </c>
      <c r="D63" t="s">
        <v>32</v>
      </c>
      <c r="E63" s="1">
        <v>45538</v>
      </c>
      <c r="F63" s="3">
        <v>45544</v>
      </c>
      <c r="G63" t="s">
        <v>67</v>
      </c>
      <c r="H63" t="s">
        <v>42</v>
      </c>
      <c r="I63" t="s">
        <v>81</v>
      </c>
      <c r="J63">
        <v>2673.09</v>
      </c>
      <c r="K63">
        <v>6</v>
      </c>
      <c r="L63" t="s">
        <v>24</v>
      </c>
      <c r="M63" t="s">
        <v>25</v>
      </c>
      <c r="N63" t="s">
        <v>55</v>
      </c>
      <c r="O63" t="s">
        <v>37</v>
      </c>
      <c r="P63" t="s">
        <v>50</v>
      </c>
      <c r="Q63">
        <v>3</v>
      </c>
      <c r="R63">
        <v>934.2</v>
      </c>
      <c r="S63" t="s">
        <v>29</v>
      </c>
    </row>
    <row r="64" spans="1:19" x14ac:dyDescent="0.3">
      <c r="A64" t="s">
        <v>134</v>
      </c>
      <c r="B64">
        <v>56</v>
      </c>
      <c r="C64" t="s">
        <v>31</v>
      </c>
      <c r="D64" t="s">
        <v>20</v>
      </c>
      <c r="E64" s="1">
        <v>45349</v>
      </c>
      <c r="F64" s="3">
        <v>45363</v>
      </c>
      <c r="G64" t="s">
        <v>67</v>
      </c>
      <c r="H64" t="s">
        <v>42</v>
      </c>
      <c r="I64" t="s">
        <v>58</v>
      </c>
      <c r="J64">
        <v>6917.6</v>
      </c>
      <c r="K64">
        <v>14</v>
      </c>
      <c r="L64" t="s">
        <v>24</v>
      </c>
      <c r="M64" t="s">
        <v>101</v>
      </c>
      <c r="N64" t="s">
        <v>44</v>
      </c>
      <c r="O64" t="s">
        <v>56</v>
      </c>
      <c r="P64" t="s">
        <v>38</v>
      </c>
      <c r="Q64">
        <v>9</v>
      </c>
      <c r="R64">
        <v>1133.92</v>
      </c>
      <c r="S64" t="s">
        <v>29</v>
      </c>
    </row>
    <row r="65" spans="1:19" x14ac:dyDescent="0.3">
      <c r="A65" t="s">
        <v>135</v>
      </c>
      <c r="B65">
        <v>35</v>
      </c>
      <c r="C65" t="s">
        <v>19</v>
      </c>
      <c r="D65" t="s">
        <v>89</v>
      </c>
      <c r="E65" s="1">
        <v>45649</v>
      </c>
      <c r="F65" s="3">
        <v>45662</v>
      </c>
      <c r="G65" t="s">
        <v>67</v>
      </c>
      <c r="H65" t="s">
        <v>42</v>
      </c>
      <c r="I65" t="s">
        <v>23</v>
      </c>
      <c r="J65">
        <v>7977.84</v>
      </c>
      <c r="K65">
        <v>13</v>
      </c>
      <c r="L65" t="s">
        <v>24</v>
      </c>
      <c r="M65" t="s">
        <v>25</v>
      </c>
      <c r="N65" t="s">
        <v>26</v>
      </c>
      <c r="O65" t="s">
        <v>56</v>
      </c>
      <c r="P65" t="s">
        <v>45</v>
      </c>
      <c r="Q65">
        <v>8</v>
      </c>
      <c r="R65">
        <v>2601.0100000000002</v>
      </c>
      <c r="S65" t="s">
        <v>29</v>
      </c>
    </row>
    <row r="66" spans="1:19" x14ac:dyDescent="0.3">
      <c r="A66" t="s">
        <v>136</v>
      </c>
      <c r="B66">
        <v>26</v>
      </c>
      <c r="C66" t="s">
        <v>31</v>
      </c>
      <c r="D66" t="s">
        <v>47</v>
      </c>
      <c r="E66" s="1">
        <v>45725</v>
      </c>
      <c r="F66" s="3">
        <v>45742</v>
      </c>
      <c r="G66" t="s">
        <v>33</v>
      </c>
      <c r="H66" t="s">
        <v>34</v>
      </c>
      <c r="I66" t="s">
        <v>58</v>
      </c>
      <c r="J66">
        <v>4148</v>
      </c>
      <c r="K66">
        <v>17</v>
      </c>
      <c r="L66" t="s">
        <v>24</v>
      </c>
      <c r="M66" t="s">
        <v>101</v>
      </c>
      <c r="N66" t="s">
        <v>26</v>
      </c>
      <c r="O66" t="s">
        <v>37</v>
      </c>
      <c r="P66" t="s">
        <v>45</v>
      </c>
      <c r="Q66">
        <v>7</v>
      </c>
      <c r="R66">
        <v>1504.34</v>
      </c>
      <c r="S66" t="s">
        <v>29</v>
      </c>
    </row>
    <row r="67" spans="1:19" x14ac:dyDescent="0.3">
      <c r="A67" t="s">
        <v>137</v>
      </c>
      <c r="B67">
        <v>28</v>
      </c>
      <c r="C67" t="s">
        <v>31</v>
      </c>
      <c r="D67" t="s">
        <v>61</v>
      </c>
      <c r="E67" s="1">
        <v>45506</v>
      </c>
      <c r="F67" s="3">
        <v>45517</v>
      </c>
      <c r="G67" t="s">
        <v>48</v>
      </c>
      <c r="H67" t="s">
        <v>22</v>
      </c>
      <c r="I67" t="s">
        <v>43</v>
      </c>
      <c r="J67">
        <v>8343.42</v>
      </c>
      <c r="K67">
        <v>11</v>
      </c>
      <c r="L67" t="s">
        <v>24</v>
      </c>
      <c r="M67" t="s">
        <v>101</v>
      </c>
      <c r="N67" t="s">
        <v>26</v>
      </c>
      <c r="O67" t="s">
        <v>37</v>
      </c>
      <c r="P67" t="s">
        <v>28</v>
      </c>
      <c r="Q67">
        <v>11</v>
      </c>
      <c r="R67">
        <v>2175.9899999999998</v>
      </c>
      <c r="S67" t="s">
        <v>29</v>
      </c>
    </row>
    <row r="68" spans="1:19" x14ac:dyDescent="0.3">
      <c r="A68" t="s">
        <v>138</v>
      </c>
      <c r="B68">
        <v>38</v>
      </c>
      <c r="C68" t="s">
        <v>19</v>
      </c>
      <c r="D68" t="s">
        <v>32</v>
      </c>
      <c r="E68" s="1">
        <v>45537</v>
      </c>
      <c r="F68" s="3">
        <v>45551</v>
      </c>
      <c r="G68" t="s">
        <v>52</v>
      </c>
      <c r="H68" t="s">
        <v>53</v>
      </c>
      <c r="I68" t="s">
        <v>83</v>
      </c>
      <c r="J68">
        <v>10196.74</v>
      </c>
      <c r="K68">
        <v>14</v>
      </c>
      <c r="L68" t="s">
        <v>36</v>
      </c>
      <c r="M68" t="s">
        <v>59</v>
      </c>
      <c r="N68" t="s">
        <v>55</v>
      </c>
      <c r="O68" t="s">
        <v>27</v>
      </c>
      <c r="P68" t="s">
        <v>28</v>
      </c>
      <c r="Q68">
        <v>10</v>
      </c>
      <c r="R68">
        <v>2260.67</v>
      </c>
      <c r="S68" t="s">
        <v>29</v>
      </c>
    </row>
    <row r="69" spans="1:19" x14ac:dyDescent="0.3">
      <c r="A69" t="s">
        <v>139</v>
      </c>
      <c r="B69">
        <v>60</v>
      </c>
      <c r="C69" t="s">
        <v>19</v>
      </c>
      <c r="D69" t="s">
        <v>79</v>
      </c>
      <c r="E69" s="1">
        <v>45181</v>
      </c>
      <c r="F69" s="3">
        <v>45189</v>
      </c>
      <c r="G69" t="s">
        <v>21</v>
      </c>
      <c r="H69" t="s">
        <v>22</v>
      </c>
      <c r="I69" t="s">
        <v>23</v>
      </c>
      <c r="J69">
        <v>6035</v>
      </c>
      <c r="K69">
        <v>8</v>
      </c>
      <c r="L69" t="s">
        <v>24</v>
      </c>
      <c r="M69" t="s">
        <v>25</v>
      </c>
      <c r="N69" t="s">
        <v>26</v>
      </c>
      <c r="O69" t="s">
        <v>27</v>
      </c>
      <c r="P69" t="s">
        <v>45</v>
      </c>
      <c r="Q69">
        <v>13</v>
      </c>
      <c r="R69">
        <v>1393.92</v>
      </c>
      <c r="S69" t="s">
        <v>29</v>
      </c>
    </row>
    <row r="70" spans="1:19" x14ac:dyDescent="0.3">
      <c r="A70" t="s">
        <v>140</v>
      </c>
      <c r="B70">
        <v>68</v>
      </c>
      <c r="C70" t="s">
        <v>19</v>
      </c>
      <c r="D70" t="s">
        <v>20</v>
      </c>
      <c r="E70" s="1">
        <v>45085</v>
      </c>
      <c r="F70" s="3">
        <v>45094</v>
      </c>
      <c r="G70" t="s">
        <v>93</v>
      </c>
      <c r="H70" t="s">
        <v>72</v>
      </c>
      <c r="I70" t="s">
        <v>91</v>
      </c>
      <c r="J70">
        <v>4999.66</v>
      </c>
      <c r="K70">
        <v>9</v>
      </c>
      <c r="L70" t="s">
        <v>36</v>
      </c>
      <c r="M70" t="s">
        <v>101</v>
      </c>
      <c r="N70" t="s">
        <v>26</v>
      </c>
      <c r="O70" t="s">
        <v>27</v>
      </c>
      <c r="P70" t="s">
        <v>28</v>
      </c>
      <c r="Q70">
        <v>2</v>
      </c>
      <c r="R70">
        <v>1413.99</v>
      </c>
      <c r="S70" t="s">
        <v>29</v>
      </c>
    </row>
    <row r="71" spans="1:19" x14ac:dyDescent="0.3">
      <c r="A71" t="s">
        <v>141</v>
      </c>
      <c r="B71">
        <v>42</v>
      </c>
      <c r="C71" t="s">
        <v>19</v>
      </c>
      <c r="D71" t="s">
        <v>79</v>
      </c>
      <c r="E71" s="1">
        <v>45202</v>
      </c>
      <c r="F71" s="3">
        <v>45221</v>
      </c>
      <c r="G71" t="s">
        <v>33</v>
      </c>
      <c r="H71" t="s">
        <v>34</v>
      </c>
      <c r="I71" t="s">
        <v>23</v>
      </c>
      <c r="J71">
        <v>5533.16</v>
      </c>
      <c r="K71">
        <v>19</v>
      </c>
      <c r="L71" t="s">
        <v>24</v>
      </c>
      <c r="M71" t="s">
        <v>25</v>
      </c>
      <c r="N71" t="s">
        <v>44</v>
      </c>
      <c r="O71" t="s">
        <v>27</v>
      </c>
      <c r="P71" t="s">
        <v>45</v>
      </c>
      <c r="Q71">
        <v>15</v>
      </c>
      <c r="R71">
        <v>2084.7399999999998</v>
      </c>
      <c r="S71" t="s">
        <v>39</v>
      </c>
    </row>
    <row r="72" spans="1:19" x14ac:dyDescent="0.3">
      <c r="A72" t="s">
        <v>142</v>
      </c>
      <c r="B72">
        <v>80</v>
      </c>
      <c r="C72" t="s">
        <v>31</v>
      </c>
      <c r="D72" t="s">
        <v>61</v>
      </c>
      <c r="E72" s="1">
        <v>45555</v>
      </c>
      <c r="F72" s="3">
        <v>45583</v>
      </c>
      <c r="G72" t="s">
        <v>62</v>
      </c>
      <c r="H72" t="s">
        <v>63</v>
      </c>
      <c r="I72" t="s">
        <v>43</v>
      </c>
      <c r="J72">
        <v>23009.599999999999</v>
      </c>
      <c r="K72">
        <v>28</v>
      </c>
      <c r="L72" t="s">
        <v>36</v>
      </c>
      <c r="M72" t="s">
        <v>25</v>
      </c>
      <c r="N72" t="s">
        <v>26</v>
      </c>
      <c r="O72" t="s">
        <v>49</v>
      </c>
      <c r="P72" t="s">
        <v>38</v>
      </c>
      <c r="Q72">
        <v>4</v>
      </c>
      <c r="R72">
        <v>7912.45</v>
      </c>
      <c r="S72" t="s">
        <v>29</v>
      </c>
    </row>
    <row r="73" spans="1:19" x14ac:dyDescent="0.3">
      <c r="A73" t="s">
        <v>143</v>
      </c>
      <c r="B73">
        <v>22</v>
      </c>
      <c r="C73" t="s">
        <v>31</v>
      </c>
      <c r="D73" t="s">
        <v>79</v>
      </c>
      <c r="E73" s="1">
        <v>44951</v>
      </c>
      <c r="F73" s="3">
        <v>44960</v>
      </c>
      <c r="G73" t="s">
        <v>52</v>
      </c>
      <c r="H73" t="s">
        <v>53</v>
      </c>
      <c r="I73" t="s">
        <v>58</v>
      </c>
      <c r="J73">
        <v>11670.92</v>
      </c>
      <c r="K73">
        <v>9</v>
      </c>
      <c r="L73" t="s">
        <v>36</v>
      </c>
      <c r="M73" t="s">
        <v>25</v>
      </c>
      <c r="N73" t="s">
        <v>44</v>
      </c>
      <c r="O73" t="s">
        <v>49</v>
      </c>
      <c r="P73" t="s">
        <v>38</v>
      </c>
      <c r="Q73">
        <v>7</v>
      </c>
      <c r="R73">
        <v>2574.85</v>
      </c>
      <c r="S73" t="s">
        <v>29</v>
      </c>
    </row>
    <row r="74" spans="1:19" x14ac:dyDescent="0.3">
      <c r="A74" t="s">
        <v>144</v>
      </c>
      <c r="B74">
        <v>60</v>
      </c>
      <c r="C74" t="s">
        <v>19</v>
      </c>
      <c r="D74" t="s">
        <v>79</v>
      </c>
      <c r="E74" s="1">
        <v>45486</v>
      </c>
      <c r="F74" s="3">
        <v>45495</v>
      </c>
      <c r="G74" t="s">
        <v>62</v>
      </c>
      <c r="H74" t="s">
        <v>63</v>
      </c>
      <c r="I74" t="s">
        <v>91</v>
      </c>
      <c r="J74">
        <v>5683.05</v>
      </c>
      <c r="K74">
        <v>9</v>
      </c>
      <c r="L74" t="s">
        <v>36</v>
      </c>
      <c r="M74" t="s">
        <v>25</v>
      </c>
      <c r="N74" t="s">
        <v>26</v>
      </c>
      <c r="O74" t="s">
        <v>56</v>
      </c>
      <c r="P74" t="s">
        <v>45</v>
      </c>
      <c r="Q74">
        <v>6</v>
      </c>
      <c r="R74">
        <v>1544.79</v>
      </c>
      <c r="S74" t="s">
        <v>39</v>
      </c>
    </row>
    <row r="75" spans="1:19" x14ac:dyDescent="0.3">
      <c r="A75" t="s">
        <v>145</v>
      </c>
      <c r="B75">
        <v>88</v>
      </c>
      <c r="C75" t="s">
        <v>31</v>
      </c>
      <c r="D75" t="s">
        <v>89</v>
      </c>
      <c r="E75" s="1">
        <v>45059</v>
      </c>
      <c r="F75" s="3">
        <v>45060</v>
      </c>
      <c r="G75" t="s">
        <v>52</v>
      </c>
      <c r="H75" t="s">
        <v>53</v>
      </c>
      <c r="I75" t="s">
        <v>81</v>
      </c>
      <c r="J75">
        <v>3637.81</v>
      </c>
      <c r="K75">
        <v>1</v>
      </c>
      <c r="L75" t="s">
        <v>24</v>
      </c>
      <c r="M75" t="s">
        <v>101</v>
      </c>
      <c r="N75" t="s">
        <v>44</v>
      </c>
      <c r="O75" t="s">
        <v>56</v>
      </c>
      <c r="P75" t="s">
        <v>38</v>
      </c>
      <c r="Q75">
        <v>8</v>
      </c>
      <c r="R75">
        <v>1219.32</v>
      </c>
      <c r="S75" t="s">
        <v>29</v>
      </c>
    </row>
    <row r="76" spans="1:19" x14ac:dyDescent="0.3">
      <c r="A76" t="s">
        <v>146</v>
      </c>
      <c r="B76">
        <v>85</v>
      </c>
      <c r="C76" t="s">
        <v>19</v>
      </c>
      <c r="D76" t="s">
        <v>61</v>
      </c>
      <c r="E76" s="1">
        <v>45391</v>
      </c>
      <c r="F76" s="3">
        <v>45404</v>
      </c>
      <c r="G76" t="s">
        <v>74</v>
      </c>
      <c r="H76" t="s">
        <v>75</v>
      </c>
      <c r="I76" t="s">
        <v>58</v>
      </c>
      <c r="J76">
        <v>6221.04</v>
      </c>
      <c r="K76">
        <v>13</v>
      </c>
      <c r="L76" t="s">
        <v>36</v>
      </c>
      <c r="M76" t="s">
        <v>25</v>
      </c>
      <c r="N76" t="s">
        <v>44</v>
      </c>
      <c r="O76" t="s">
        <v>56</v>
      </c>
      <c r="P76" t="s">
        <v>50</v>
      </c>
      <c r="Q76">
        <v>7</v>
      </c>
      <c r="R76">
        <v>2109.3000000000002</v>
      </c>
      <c r="S76" t="s">
        <v>29</v>
      </c>
    </row>
    <row r="77" spans="1:19" x14ac:dyDescent="0.3">
      <c r="A77" t="s">
        <v>147</v>
      </c>
      <c r="B77">
        <v>56</v>
      </c>
      <c r="C77" t="s">
        <v>19</v>
      </c>
      <c r="D77" t="s">
        <v>20</v>
      </c>
      <c r="E77" s="1">
        <v>45033</v>
      </c>
      <c r="F77" s="3">
        <v>45043</v>
      </c>
      <c r="G77" t="s">
        <v>33</v>
      </c>
      <c r="H77" t="s">
        <v>34</v>
      </c>
      <c r="I77" t="s">
        <v>43</v>
      </c>
      <c r="J77">
        <v>9631.76</v>
      </c>
      <c r="K77">
        <v>10</v>
      </c>
      <c r="L77" t="s">
        <v>24</v>
      </c>
      <c r="M77" t="s">
        <v>25</v>
      </c>
      <c r="N77" t="s">
        <v>26</v>
      </c>
      <c r="O77" t="s">
        <v>49</v>
      </c>
      <c r="P77" t="s">
        <v>50</v>
      </c>
      <c r="Q77">
        <v>15</v>
      </c>
      <c r="R77">
        <v>3469.55</v>
      </c>
      <c r="S77" t="s">
        <v>29</v>
      </c>
    </row>
    <row r="78" spans="1:19" x14ac:dyDescent="0.3">
      <c r="A78" t="s">
        <v>148</v>
      </c>
      <c r="B78">
        <v>71</v>
      </c>
      <c r="C78" t="s">
        <v>31</v>
      </c>
      <c r="D78" t="s">
        <v>89</v>
      </c>
      <c r="E78" s="1">
        <v>45737</v>
      </c>
      <c r="F78" s="3">
        <v>45747</v>
      </c>
      <c r="G78" t="s">
        <v>67</v>
      </c>
      <c r="H78" t="s">
        <v>42</v>
      </c>
      <c r="I78" t="s">
        <v>23</v>
      </c>
      <c r="J78">
        <v>7525.35</v>
      </c>
      <c r="K78">
        <v>10</v>
      </c>
      <c r="L78" t="s">
        <v>24</v>
      </c>
      <c r="M78" t="s">
        <v>25</v>
      </c>
      <c r="N78" t="s">
        <v>26</v>
      </c>
      <c r="O78" t="s">
        <v>37</v>
      </c>
      <c r="P78" t="s">
        <v>50</v>
      </c>
      <c r="Q78">
        <v>12</v>
      </c>
      <c r="R78">
        <v>2307.31</v>
      </c>
      <c r="S78" t="s">
        <v>39</v>
      </c>
    </row>
    <row r="79" spans="1:19" x14ac:dyDescent="0.3">
      <c r="A79" t="s">
        <v>149</v>
      </c>
      <c r="B79">
        <v>53</v>
      </c>
      <c r="C79" t="s">
        <v>31</v>
      </c>
      <c r="D79" t="s">
        <v>20</v>
      </c>
      <c r="E79" s="1">
        <v>45588</v>
      </c>
      <c r="F79" s="3">
        <v>45604</v>
      </c>
      <c r="G79" t="s">
        <v>93</v>
      </c>
      <c r="H79" t="s">
        <v>72</v>
      </c>
      <c r="I79" t="s">
        <v>81</v>
      </c>
      <c r="J79">
        <v>5857.74</v>
      </c>
      <c r="K79">
        <v>16</v>
      </c>
      <c r="L79" t="s">
        <v>36</v>
      </c>
      <c r="M79" t="s">
        <v>25</v>
      </c>
      <c r="N79" t="s">
        <v>26</v>
      </c>
      <c r="O79" t="s">
        <v>56</v>
      </c>
      <c r="P79" t="s">
        <v>38</v>
      </c>
      <c r="Q79">
        <v>11</v>
      </c>
      <c r="R79">
        <v>1445.03</v>
      </c>
      <c r="S79" t="s">
        <v>29</v>
      </c>
    </row>
    <row r="80" spans="1:19" x14ac:dyDescent="0.3">
      <c r="A80" t="s">
        <v>150</v>
      </c>
      <c r="B80">
        <v>19</v>
      </c>
      <c r="C80" t="s">
        <v>19</v>
      </c>
      <c r="D80" t="s">
        <v>61</v>
      </c>
      <c r="E80" s="1">
        <v>45142</v>
      </c>
      <c r="F80" s="3">
        <v>45143</v>
      </c>
      <c r="G80" t="s">
        <v>71</v>
      </c>
      <c r="H80" t="s">
        <v>72</v>
      </c>
      <c r="I80" t="s">
        <v>23</v>
      </c>
      <c r="J80">
        <v>3457.54</v>
      </c>
      <c r="K80">
        <v>1</v>
      </c>
      <c r="L80" t="s">
        <v>36</v>
      </c>
      <c r="M80" t="s">
        <v>25</v>
      </c>
      <c r="N80" t="s">
        <v>44</v>
      </c>
      <c r="O80" t="s">
        <v>37</v>
      </c>
      <c r="P80" t="s">
        <v>45</v>
      </c>
      <c r="Q80">
        <v>10</v>
      </c>
      <c r="R80">
        <v>1380.14</v>
      </c>
      <c r="S80" t="s">
        <v>29</v>
      </c>
    </row>
    <row r="81" spans="1:19" x14ac:dyDescent="0.3">
      <c r="A81" t="s">
        <v>151</v>
      </c>
      <c r="B81">
        <v>70</v>
      </c>
      <c r="C81" t="s">
        <v>31</v>
      </c>
      <c r="D81" t="s">
        <v>70</v>
      </c>
      <c r="E81" s="1">
        <v>45759</v>
      </c>
      <c r="F81" s="3">
        <v>45764</v>
      </c>
      <c r="G81" t="s">
        <v>74</v>
      </c>
      <c r="H81" t="s">
        <v>75</v>
      </c>
      <c r="I81" t="s">
        <v>81</v>
      </c>
      <c r="J81">
        <v>2472.79</v>
      </c>
      <c r="K81">
        <v>5</v>
      </c>
      <c r="L81" t="s">
        <v>36</v>
      </c>
      <c r="M81" t="s">
        <v>25</v>
      </c>
      <c r="N81" t="s">
        <v>55</v>
      </c>
      <c r="O81" t="s">
        <v>27</v>
      </c>
      <c r="P81" t="s">
        <v>50</v>
      </c>
      <c r="Q81">
        <v>7</v>
      </c>
      <c r="R81">
        <v>915.25</v>
      </c>
      <c r="S81" t="s">
        <v>29</v>
      </c>
    </row>
    <row r="82" spans="1:19" x14ac:dyDescent="0.3">
      <c r="A82" t="s">
        <v>152</v>
      </c>
      <c r="B82">
        <v>65</v>
      </c>
      <c r="C82" t="s">
        <v>19</v>
      </c>
      <c r="D82" t="s">
        <v>66</v>
      </c>
      <c r="E82" s="1">
        <v>44929</v>
      </c>
      <c r="F82" s="3">
        <v>44940</v>
      </c>
      <c r="G82" t="s">
        <v>33</v>
      </c>
      <c r="H82" t="s">
        <v>34</v>
      </c>
      <c r="I82" t="s">
        <v>91</v>
      </c>
      <c r="J82">
        <v>6688.57</v>
      </c>
      <c r="K82">
        <v>11</v>
      </c>
      <c r="L82" t="s">
        <v>36</v>
      </c>
      <c r="M82" t="s">
        <v>25</v>
      </c>
      <c r="N82" t="s">
        <v>44</v>
      </c>
      <c r="O82" t="s">
        <v>37</v>
      </c>
      <c r="P82" t="s">
        <v>50</v>
      </c>
      <c r="Q82">
        <v>15</v>
      </c>
      <c r="R82">
        <v>1893.67</v>
      </c>
      <c r="S82" t="s">
        <v>29</v>
      </c>
    </row>
    <row r="83" spans="1:19" x14ac:dyDescent="0.3">
      <c r="A83" t="s">
        <v>153</v>
      </c>
      <c r="B83">
        <v>73</v>
      </c>
      <c r="C83" t="s">
        <v>31</v>
      </c>
      <c r="D83" t="s">
        <v>61</v>
      </c>
      <c r="E83" s="1">
        <v>45025</v>
      </c>
      <c r="F83" s="3">
        <v>45040</v>
      </c>
      <c r="G83" t="s">
        <v>21</v>
      </c>
      <c r="H83" t="s">
        <v>22</v>
      </c>
      <c r="I83" t="s">
        <v>35</v>
      </c>
      <c r="J83">
        <v>5717.42</v>
      </c>
      <c r="K83">
        <v>15</v>
      </c>
      <c r="L83" t="s">
        <v>36</v>
      </c>
      <c r="M83" t="s">
        <v>25</v>
      </c>
      <c r="N83" t="s">
        <v>44</v>
      </c>
      <c r="O83" t="s">
        <v>27</v>
      </c>
      <c r="P83" t="s">
        <v>38</v>
      </c>
      <c r="Q83">
        <v>3</v>
      </c>
      <c r="R83">
        <v>2008.31</v>
      </c>
      <c r="S83" t="s">
        <v>29</v>
      </c>
    </row>
    <row r="84" spans="1:19" x14ac:dyDescent="0.3">
      <c r="A84" t="s">
        <v>154</v>
      </c>
      <c r="B84">
        <v>55</v>
      </c>
      <c r="C84" t="s">
        <v>31</v>
      </c>
      <c r="D84" t="s">
        <v>70</v>
      </c>
      <c r="E84" s="1">
        <v>45708</v>
      </c>
      <c r="F84" s="3">
        <v>45721</v>
      </c>
      <c r="G84" t="s">
        <v>67</v>
      </c>
      <c r="H84" t="s">
        <v>42</v>
      </c>
      <c r="I84" t="s">
        <v>54</v>
      </c>
      <c r="J84">
        <v>4983.3999999999996</v>
      </c>
      <c r="K84">
        <v>13</v>
      </c>
      <c r="L84" t="s">
        <v>36</v>
      </c>
      <c r="M84" t="s">
        <v>25</v>
      </c>
      <c r="N84" t="s">
        <v>55</v>
      </c>
      <c r="O84" t="s">
        <v>56</v>
      </c>
      <c r="P84" t="s">
        <v>45</v>
      </c>
      <c r="Q84">
        <v>4</v>
      </c>
      <c r="R84">
        <v>978.07</v>
      </c>
      <c r="S84" t="s">
        <v>29</v>
      </c>
    </row>
    <row r="85" spans="1:19" x14ac:dyDescent="0.3">
      <c r="A85" t="s">
        <v>155</v>
      </c>
      <c r="B85">
        <v>66</v>
      </c>
      <c r="C85" t="s">
        <v>19</v>
      </c>
      <c r="D85" t="s">
        <v>89</v>
      </c>
      <c r="E85" s="1">
        <v>45041</v>
      </c>
      <c r="F85" s="3">
        <v>45053</v>
      </c>
      <c r="G85" t="s">
        <v>67</v>
      </c>
      <c r="H85" t="s">
        <v>42</v>
      </c>
      <c r="I85" t="s">
        <v>83</v>
      </c>
      <c r="J85">
        <v>6612.12</v>
      </c>
      <c r="K85">
        <v>12</v>
      </c>
      <c r="L85" t="s">
        <v>24</v>
      </c>
      <c r="M85" t="s">
        <v>25</v>
      </c>
      <c r="N85" t="s">
        <v>44</v>
      </c>
      <c r="O85" t="s">
        <v>56</v>
      </c>
      <c r="P85" t="s">
        <v>28</v>
      </c>
      <c r="Q85">
        <v>15</v>
      </c>
      <c r="R85">
        <v>2065.15</v>
      </c>
      <c r="S85" t="s">
        <v>29</v>
      </c>
    </row>
    <row r="86" spans="1:19" x14ac:dyDescent="0.3">
      <c r="A86" t="s">
        <v>156</v>
      </c>
      <c r="B86">
        <v>47</v>
      </c>
      <c r="C86" t="s">
        <v>31</v>
      </c>
      <c r="D86" t="s">
        <v>79</v>
      </c>
      <c r="E86" s="1">
        <v>45679</v>
      </c>
      <c r="F86" s="3">
        <v>45694</v>
      </c>
      <c r="G86" t="s">
        <v>48</v>
      </c>
      <c r="H86" t="s">
        <v>22</v>
      </c>
      <c r="I86" t="s">
        <v>83</v>
      </c>
      <c r="J86">
        <v>7526.88</v>
      </c>
      <c r="K86">
        <v>15</v>
      </c>
      <c r="L86" t="s">
        <v>24</v>
      </c>
      <c r="M86" t="s">
        <v>25</v>
      </c>
      <c r="N86" t="s">
        <v>55</v>
      </c>
      <c r="O86" t="s">
        <v>37</v>
      </c>
      <c r="P86" t="s">
        <v>38</v>
      </c>
      <c r="Q86">
        <v>2</v>
      </c>
      <c r="R86">
        <v>2835.99</v>
      </c>
      <c r="S86" t="s">
        <v>29</v>
      </c>
    </row>
    <row r="87" spans="1:19" x14ac:dyDescent="0.3">
      <c r="A87" t="s">
        <v>157</v>
      </c>
      <c r="B87">
        <v>50</v>
      </c>
      <c r="C87" t="s">
        <v>31</v>
      </c>
      <c r="D87" t="s">
        <v>70</v>
      </c>
      <c r="E87" s="1">
        <v>45230</v>
      </c>
      <c r="F87" s="3">
        <v>45246</v>
      </c>
      <c r="G87" t="s">
        <v>21</v>
      </c>
      <c r="H87" t="s">
        <v>22</v>
      </c>
      <c r="I87" t="s">
        <v>83</v>
      </c>
      <c r="J87">
        <v>5968.64</v>
      </c>
      <c r="K87">
        <v>16</v>
      </c>
      <c r="L87" t="s">
        <v>36</v>
      </c>
      <c r="M87" t="s">
        <v>25</v>
      </c>
      <c r="N87" t="s">
        <v>26</v>
      </c>
      <c r="O87" t="s">
        <v>56</v>
      </c>
      <c r="P87" t="s">
        <v>50</v>
      </c>
      <c r="Q87">
        <v>11</v>
      </c>
      <c r="R87">
        <v>1399.25</v>
      </c>
      <c r="S87" t="s">
        <v>29</v>
      </c>
    </row>
    <row r="88" spans="1:19" x14ac:dyDescent="0.3">
      <c r="A88" t="s">
        <v>158</v>
      </c>
      <c r="B88">
        <v>40</v>
      </c>
      <c r="C88" t="s">
        <v>19</v>
      </c>
      <c r="D88" t="s">
        <v>32</v>
      </c>
      <c r="E88" s="1">
        <v>45922</v>
      </c>
      <c r="F88" s="3">
        <v>45940</v>
      </c>
      <c r="G88" t="s">
        <v>71</v>
      </c>
      <c r="H88" t="s">
        <v>72</v>
      </c>
      <c r="I88" t="s">
        <v>23</v>
      </c>
      <c r="J88">
        <v>9319.5300000000007</v>
      </c>
      <c r="K88">
        <v>18</v>
      </c>
      <c r="L88" t="s">
        <v>24</v>
      </c>
      <c r="M88" t="s">
        <v>59</v>
      </c>
      <c r="N88" t="s">
        <v>26</v>
      </c>
      <c r="O88" t="s">
        <v>56</v>
      </c>
      <c r="P88" t="s">
        <v>45</v>
      </c>
      <c r="Q88">
        <v>11</v>
      </c>
      <c r="R88">
        <v>1634.49</v>
      </c>
      <c r="S88" t="s">
        <v>29</v>
      </c>
    </row>
    <row r="89" spans="1:19" x14ac:dyDescent="0.3">
      <c r="A89" t="s">
        <v>159</v>
      </c>
      <c r="B89">
        <v>24</v>
      </c>
      <c r="C89" t="s">
        <v>31</v>
      </c>
      <c r="D89" t="s">
        <v>20</v>
      </c>
      <c r="E89" s="1">
        <v>45009</v>
      </c>
      <c r="F89" s="3">
        <v>45020</v>
      </c>
      <c r="G89" t="s">
        <v>74</v>
      </c>
      <c r="H89" t="s">
        <v>75</v>
      </c>
      <c r="I89" t="s">
        <v>43</v>
      </c>
      <c r="J89">
        <v>9550.59</v>
      </c>
      <c r="K89">
        <v>11</v>
      </c>
      <c r="L89" t="s">
        <v>36</v>
      </c>
      <c r="M89" t="s">
        <v>59</v>
      </c>
      <c r="N89" t="s">
        <v>44</v>
      </c>
      <c r="O89" t="s">
        <v>27</v>
      </c>
      <c r="P89" t="s">
        <v>28</v>
      </c>
      <c r="Q89">
        <v>6</v>
      </c>
      <c r="R89">
        <v>3359.75</v>
      </c>
      <c r="S89" t="s">
        <v>29</v>
      </c>
    </row>
    <row r="90" spans="1:19" x14ac:dyDescent="0.3">
      <c r="A90" t="s">
        <v>160</v>
      </c>
      <c r="B90">
        <v>35</v>
      </c>
      <c r="C90" t="s">
        <v>31</v>
      </c>
      <c r="D90" t="s">
        <v>32</v>
      </c>
      <c r="E90" s="1">
        <v>45305</v>
      </c>
      <c r="F90" s="3">
        <v>45325</v>
      </c>
      <c r="G90" t="s">
        <v>74</v>
      </c>
      <c r="H90" t="s">
        <v>75</v>
      </c>
      <c r="I90" t="s">
        <v>35</v>
      </c>
      <c r="J90">
        <v>14737.52</v>
      </c>
      <c r="K90">
        <v>20</v>
      </c>
      <c r="L90" t="s">
        <v>24</v>
      </c>
      <c r="M90" t="s">
        <v>59</v>
      </c>
      <c r="N90" t="s">
        <v>55</v>
      </c>
      <c r="O90" t="s">
        <v>27</v>
      </c>
      <c r="P90" t="s">
        <v>50</v>
      </c>
      <c r="Q90">
        <v>11</v>
      </c>
      <c r="R90">
        <v>4635.3</v>
      </c>
      <c r="S90" t="s">
        <v>29</v>
      </c>
    </row>
    <row r="91" spans="1:19" x14ac:dyDescent="0.3">
      <c r="A91" t="s">
        <v>161</v>
      </c>
      <c r="B91">
        <v>73</v>
      </c>
      <c r="C91" t="s">
        <v>31</v>
      </c>
      <c r="D91" t="s">
        <v>66</v>
      </c>
      <c r="E91" s="1">
        <v>45243</v>
      </c>
      <c r="F91" s="3">
        <v>45253</v>
      </c>
      <c r="G91" t="s">
        <v>52</v>
      </c>
      <c r="H91" t="s">
        <v>53</v>
      </c>
      <c r="I91" t="s">
        <v>58</v>
      </c>
      <c r="J91">
        <v>6014.63</v>
      </c>
      <c r="K91">
        <v>10</v>
      </c>
      <c r="L91" t="s">
        <v>24</v>
      </c>
      <c r="M91" t="s">
        <v>25</v>
      </c>
      <c r="N91" t="s">
        <v>44</v>
      </c>
      <c r="O91" t="s">
        <v>37</v>
      </c>
      <c r="P91" t="s">
        <v>38</v>
      </c>
      <c r="Q91">
        <v>12</v>
      </c>
      <c r="R91">
        <v>980.85</v>
      </c>
      <c r="S91" t="s">
        <v>29</v>
      </c>
    </row>
    <row r="92" spans="1:19" x14ac:dyDescent="0.3">
      <c r="A92" t="s">
        <v>162</v>
      </c>
      <c r="B92">
        <v>82</v>
      </c>
      <c r="C92" t="s">
        <v>31</v>
      </c>
      <c r="D92" t="s">
        <v>47</v>
      </c>
      <c r="E92" s="1">
        <v>45698</v>
      </c>
      <c r="F92" s="3">
        <v>45701</v>
      </c>
      <c r="G92" t="s">
        <v>93</v>
      </c>
      <c r="H92" t="s">
        <v>72</v>
      </c>
      <c r="I92" t="s">
        <v>83</v>
      </c>
      <c r="J92">
        <v>4319.8</v>
      </c>
      <c r="K92">
        <v>3</v>
      </c>
      <c r="L92" t="s">
        <v>36</v>
      </c>
      <c r="M92" t="s">
        <v>25</v>
      </c>
      <c r="N92" t="s">
        <v>55</v>
      </c>
      <c r="O92" t="s">
        <v>56</v>
      </c>
      <c r="P92" t="s">
        <v>50</v>
      </c>
      <c r="Q92">
        <v>13</v>
      </c>
      <c r="R92">
        <v>920.52</v>
      </c>
      <c r="S92" t="s">
        <v>29</v>
      </c>
    </row>
    <row r="93" spans="1:19" x14ac:dyDescent="0.3">
      <c r="A93" t="s">
        <v>163</v>
      </c>
      <c r="B93">
        <v>57</v>
      </c>
      <c r="C93" t="s">
        <v>31</v>
      </c>
      <c r="D93" t="s">
        <v>89</v>
      </c>
      <c r="E93" s="1">
        <v>45228</v>
      </c>
      <c r="F93" s="3">
        <v>45242</v>
      </c>
      <c r="G93" t="s">
        <v>52</v>
      </c>
      <c r="H93" t="s">
        <v>53</v>
      </c>
      <c r="I93" t="s">
        <v>81</v>
      </c>
      <c r="J93">
        <v>6870.27</v>
      </c>
      <c r="K93">
        <v>14</v>
      </c>
      <c r="L93" t="s">
        <v>36</v>
      </c>
      <c r="M93" t="s">
        <v>25</v>
      </c>
      <c r="N93" t="s">
        <v>44</v>
      </c>
      <c r="O93" t="s">
        <v>27</v>
      </c>
      <c r="P93" t="s">
        <v>28</v>
      </c>
      <c r="Q93">
        <v>10</v>
      </c>
      <c r="R93">
        <v>1047.3900000000001</v>
      </c>
      <c r="S93" t="s">
        <v>29</v>
      </c>
    </row>
    <row r="94" spans="1:19" x14ac:dyDescent="0.3">
      <c r="A94" t="s">
        <v>164</v>
      </c>
      <c r="B94">
        <v>40</v>
      </c>
      <c r="C94" t="s">
        <v>31</v>
      </c>
      <c r="D94" t="s">
        <v>66</v>
      </c>
      <c r="E94" s="1">
        <v>44956</v>
      </c>
      <c r="F94" s="3">
        <v>44967</v>
      </c>
      <c r="G94" t="s">
        <v>67</v>
      </c>
      <c r="H94" t="s">
        <v>42</v>
      </c>
      <c r="I94" t="s">
        <v>83</v>
      </c>
      <c r="J94">
        <v>6885.55</v>
      </c>
      <c r="K94">
        <v>11</v>
      </c>
      <c r="L94" t="s">
        <v>36</v>
      </c>
      <c r="M94" t="s">
        <v>25</v>
      </c>
      <c r="N94" t="s">
        <v>44</v>
      </c>
      <c r="O94" t="s">
        <v>27</v>
      </c>
      <c r="P94" t="s">
        <v>50</v>
      </c>
      <c r="Q94">
        <v>14</v>
      </c>
      <c r="R94">
        <v>2736.09</v>
      </c>
      <c r="S94" t="s">
        <v>39</v>
      </c>
    </row>
    <row r="95" spans="1:19" x14ac:dyDescent="0.3">
      <c r="A95" t="s">
        <v>165</v>
      </c>
      <c r="B95">
        <v>32</v>
      </c>
      <c r="C95" t="s">
        <v>19</v>
      </c>
      <c r="D95" t="s">
        <v>79</v>
      </c>
      <c r="E95" s="1">
        <v>45538</v>
      </c>
      <c r="F95" s="3">
        <v>45552</v>
      </c>
      <c r="G95" t="s">
        <v>48</v>
      </c>
      <c r="H95" t="s">
        <v>22</v>
      </c>
      <c r="I95" t="s">
        <v>91</v>
      </c>
      <c r="J95">
        <v>11343.17</v>
      </c>
      <c r="K95">
        <v>14</v>
      </c>
      <c r="L95" t="s">
        <v>24</v>
      </c>
      <c r="M95" t="s">
        <v>25</v>
      </c>
      <c r="N95" t="s">
        <v>44</v>
      </c>
      <c r="O95" t="s">
        <v>37</v>
      </c>
      <c r="P95" t="s">
        <v>38</v>
      </c>
      <c r="Q95">
        <v>2</v>
      </c>
      <c r="R95">
        <v>1853.02</v>
      </c>
      <c r="S95" t="s">
        <v>29</v>
      </c>
    </row>
    <row r="96" spans="1:19" x14ac:dyDescent="0.3">
      <c r="A96" t="s">
        <v>166</v>
      </c>
      <c r="B96">
        <v>63</v>
      </c>
      <c r="C96" t="s">
        <v>19</v>
      </c>
      <c r="D96" t="s">
        <v>89</v>
      </c>
      <c r="E96" s="1">
        <v>45823</v>
      </c>
      <c r="F96" s="3">
        <v>45841</v>
      </c>
      <c r="G96" t="s">
        <v>33</v>
      </c>
      <c r="H96" t="s">
        <v>34</v>
      </c>
      <c r="I96" t="s">
        <v>23</v>
      </c>
      <c r="J96">
        <v>10815.73</v>
      </c>
      <c r="K96">
        <v>18</v>
      </c>
      <c r="L96" t="s">
        <v>24</v>
      </c>
      <c r="M96" t="s">
        <v>25</v>
      </c>
      <c r="N96" t="s">
        <v>26</v>
      </c>
      <c r="O96" t="s">
        <v>27</v>
      </c>
      <c r="P96" t="s">
        <v>28</v>
      </c>
      <c r="Q96">
        <v>8</v>
      </c>
      <c r="R96">
        <v>2134.6799999999998</v>
      </c>
      <c r="S96" t="s">
        <v>29</v>
      </c>
    </row>
    <row r="97" spans="1:19" x14ac:dyDescent="0.3">
      <c r="A97" t="s">
        <v>167</v>
      </c>
      <c r="B97">
        <v>53</v>
      </c>
      <c r="C97" t="s">
        <v>31</v>
      </c>
      <c r="D97" t="s">
        <v>79</v>
      </c>
      <c r="E97" s="1">
        <v>45485</v>
      </c>
      <c r="F97" s="3">
        <v>45500</v>
      </c>
      <c r="G97" t="s">
        <v>62</v>
      </c>
      <c r="H97" t="s">
        <v>63</v>
      </c>
      <c r="I97" t="s">
        <v>91</v>
      </c>
      <c r="J97">
        <v>9837.69</v>
      </c>
      <c r="K97">
        <v>15</v>
      </c>
      <c r="L97" t="s">
        <v>24</v>
      </c>
      <c r="M97" t="s">
        <v>25</v>
      </c>
      <c r="N97" t="s">
        <v>44</v>
      </c>
      <c r="O97" t="s">
        <v>49</v>
      </c>
      <c r="P97" t="s">
        <v>28</v>
      </c>
      <c r="Q97">
        <v>7</v>
      </c>
      <c r="R97">
        <v>1659.54</v>
      </c>
      <c r="S97" t="s">
        <v>29</v>
      </c>
    </row>
    <row r="98" spans="1:19" x14ac:dyDescent="0.3">
      <c r="A98" t="s">
        <v>168</v>
      </c>
      <c r="B98">
        <v>76</v>
      </c>
      <c r="C98" t="s">
        <v>31</v>
      </c>
      <c r="D98" t="s">
        <v>32</v>
      </c>
      <c r="E98" s="1">
        <v>45829</v>
      </c>
      <c r="F98" s="3">
        <v>45834</v>
      </c>
      <c r="G98" t="s">
        <v>74</v>
      </c>
      <c r="H98" t="s">
        <v>75</v>
      </c>
      <c r="I98" t="s">
        <v>91</v>
      </c>
      <c r="J98">
        <v>3706.85</v>
      </c>
      <c r="K98">
        <v>5</v>
      </c>
      <c r="L98" t="s">
        <v>24</v>
      </c>
      <c r="M98" t="s">
        <v>25</v>
      </c>
      <c r="N98" t="s">
        <v>55</v>
      </c>
      <c r="O98" t="s">
        <v>37</v>
      </c>
      <c r="P98" t="s">
        <v>28</v>
      </c>
      <c r="Q98">
        <v>8</v>
      </c>
      <c r="R98">
        <v>739.37</v>
      </c>
      <c r="S98" t="s">
        <v>29</v>
      </c>
    </row>
    <row r="99" spans="1:19" x14ac:dyDescent="0.3">
      <c r="A99" t="s">
        <v>169</v>
      </c>
      <c r="B99">
        <v>41</v>
      </c>
      <c r="C99" t="s">
        <v>31</v>
      </c>
      <c r="D99" t="s">
        <v>66</v>
      </c>
      <c r="E99" s="1">
        <v>45607</v>
      </c>
      <c r="F99" s="3">
        <v>45627</v>
      </c>
      <c r="G99" t="s">
        <v>71</v>
      </c>
      <c r="H99" t="s">
        <v>72</v>
      </c>
      <c r="I99" t="s">
        <v>54</v>
      </c>
      <c r="J99">
        <v>9093</v>
      </c>
      <c r="K99">
        <v>20</v>
      </c>
      <c r="L99" t="s">
        <v>36</v>
      </c>
      <c r="M99" t="s">
        <v>25</v>
      </c>
      <c r="N99" t="s">
        <v>55</v>
      </c>
      <c r="O99" t="s">
        <v>56</v>
      </c>
      <c r="P99" t="s">
        <v>28</v>
      </c>
      <c r="Q99">
        <v>9</v>
      </c>
      <c r="R99">
        <v>2540.75</v>
      </c>
      <c r="S99" t="s">
        <v>39</v>
      </c>
    </row>
    <row r="100" spans="1:19" x14ac:dyDescent="0.3">
      <c r="A100" t="s">
        <v>170</v>
      </c>
      <c r="B100">
        <v>44</v>
      </c>
      <c r="C100" t="s">
        <v>31</v>
      </c>
      <c r="D100" t="s">
        <v>79</v>
      </c>
      <c r="E100" s="1">
        <v>45870</v>
      </c>
      <c r="F100" s="3">
        <v>45880</v>
      </c>
      <c r="G100" t="s">
        <v>62</v>
      </c>
      <c r="H100" t="s">
        <v>63</v>
      </c>
      <c r="I100" t="s">
        <v>58</v>
      </c>
      <c r="J100">
        <v>13390.6</v>
      </c>
      <c r="K100">
        <v>10</v>
      </c>
      <c r="L100" t="s">
        <v>24</v>
      </c>
      <c r="M100" t="s">
        <v>25</v>
      </c>
      <c r="N100" t="s">
        <v>26</v>
      </c>
      <c r="O100" t="s">
        <v>49</v>
      </c>
      <c r="P100" t="s">
        <v>38</v>
      </c>
      <c r="Q100">
        <v>7</v>
      </c>
      <c r="R100">
        <v>3658.14</v>
      </c>
      <c r="S100" t="s">
        <v>29</v>
      </c>
    </row>
    <row r="101" spans="1:19" x14ac:dyDescent="0.3">
      <c r="A101" t="s">
        <v>171</v>
      </c>
      <c r="B101">
        <v>70</v>
      </c>
      <c r="C101" t="s">
        <v>31</v>
      </c>
      <c r="D101" t="s">
        <v>79</v>
      </c>
      <c r="E101" s="1">
        <v>44935</v>
      </c>
      <c r="F101" s="3">
        <v>44950</v>
      </c>
      <c r="G101" t="s">
        <v>93</v>
      </c>
      <c r="H101" t="s">
        <v>72</v>
      </c>
      <c r="I101" t="s">
        <v>54</v>
      </c>
      <c r="J101">
        <v>6188.89</v>
      </c>
      <c r="K101">
        <v>15</v>
      </c>
      <c r="L101" t="s">
        <v>36</v>
      </c>
      <c r="M101" t="s">
        <v>25</v>
      </c>
      <c r="N101" t="s">
        <v>26</v>
      </c>
      <c r="O101" t="s">
        <v>27</v>
      </c>
      <c r="P101" t="s">
        <v>45</v>
      </c>
      <c r="Q101">
        <v>1</v>
      </c>
      <c r="R101">
        <v>1191.02</v>
      </c>
      <c r="S101" t="s">
        <v>29</v>
      </c>
    </row>
    <row r="102" spans="1:19" x14ac:dyDescent="0.3">
      <c r="A102" t="s">
        <v>172</v>
      </c>
      <c r="B102">
        <v>71</v>
      </c>
      <c r="C102" t="s">
        <v>19</v>
      </c>
      <c r="D102" t="s">
        <v>79</v>
      </c>
      <c r="E102" s="1">
        <v>45382</v>
      </c>
      <c r="F102" s="3">
        <v>45398</v>
      </c>
      <c r="G102" t="s">
        <v>74</v>
      </c>
      <c r="H102" t="s">
        <v>75</v>
      </c>
      <c r="I102" t="s">
        <v>58</v>
      </c>
      <c r="J102">
        <v>16831.490000000002</v>
      </c>
      <c r="K102">
        <v>16</v>
      </c>
      <c r="L102" t="s">
        <v>24</v>
      </c>
      <c r="M102" t="s">
        <v>101</v>
      </c>
      <c r="N102" t="s">
        <v>44</v>
      </c>
      <c r="O102" t="s">
        <v>49</v>
      </c>
      <c r="P102" t="s">
        <v>50</v>
      </c>
      <c r="Q102">
        <v>9</v>
      </c>
      <c r="R102">
        <v>6304.6</v>
      </c>
      <c r="S102" t="s">
        <v>29</v>
      </c>
    </row>
    <row r="103" spans="1:19" x14ac:dyDescent="0.3">
      <c r="A103" t="s">
        <v>173</v>
      </c>
      <c r="B103">
        <v>29</v>
      </c>
      <c r="C103" t="s">
        <v>19</v>
      </c>
      <c r="D103" t="s">
        <v>61</v>
      </c>
      <c r="E103" s="1">
        <v>45389</v>
      </c>
      <c r="F103" s="3">
        <v>45394</v>
      </c>
      <c r="G103" t="s">
        <v>33</v>
      </c>
      <c r="H103" t="s">
        <v>34</v>
      </c>
      <c r="I103" t="s">
        <v>83</v>
      </c>
      <c r="J103">
        <v>3768.02</v>
      </c>
      <c r="K103">
        <v>5</v>
      </c>
      <c r="L103" t="s">
        <v>24</v>
      </c>
      <c r="M103" t="s">
        <v>25</v>
      </c>
      <c r="N103" t="s">
        <v>44</v>
      </c>
      <c r="O103" t="s">
        <v>27</v>
      </c>
      <c r="P103" t="s">
        <v>45</v>
      </c>
      <c r="Q103">
        <v>11</v>
      </c>
      <c r="R103">
        <v>975.97</v>
      </c>
      <c r="S103" t="s">
        <v>29</v>
      </c>
    </row>
    <row r="104" spans="1:19" x14ac:dyDescent="0.3">
      <c r="A104" t="s">
        <v>174</v>
      </c>
      <c r="B104">
        <v>87</v>
      </c>
      <c r="C104" t="s">
        <v>31</v>
      </c>
      <c r="D104" t="s">
        <v>66</v>
      </c>
      <c r="E104" s="1">
        <v>45498</v>
      </c>
      <c r="F104" s="3">
        <v>45507</v>
      </c>
      <c r="G104" t="s">
        <v>33</v>
      </c>
      <c r="H104" t="s">
        <v>34</v>
      </c>
      <c r="I104" t="s">
        <v>54</v>
      </c>
      <c r="J104">
        <v>4527.96</v>
      </c>
      <c r="K104">
        <v>9</v>
      </c>
      <c r="L104" t="s">
        <v>24</v>
      </c>
      <c r="M104" t="s">
        <v>25</v>
      </c>
      <c r="N104" t="s">
        <v>55</v>
      </c>
      <c r="O104" t="s">
        <v>37</v>
      </c>
      <c r="P104" t="s">
        <v>38</v>
      </c>
      <c r="Q104">
        <v>4</v>
      </c>
      <c r="R104">
        <v>1187.08</v>
      </c>
      <c r="S104" t="s">
        <v>29</v>
      </c>
    </row>
    <row r="105" spans="1:19" x14ac:dyDescent="0.3">
      <c r="A105" t="s">
        <v>175</v>
      </c>
      <c r="B105">
        <v>28</v>
      </c>
      <c r="C105" t="s">
        <v>19</v>
      </c>
      <c r="D105" t="s">
        <v>32</v>
      </c>
      <c r="E105" s="1">
        <v>45058</v>
      </c>
      <c r="F105" s="3">
        <v>45066</v>
      </c>
      <c r="G105" t="s">
        <v>21</v>
      </c>
      <c r="H105" t="s">
        <v>22</v>
      </c>
      <c r="I105" t="s">
        <v>35</v>
      </c>
      <c r="J105">
        <v>4409.34</v>
      </c>
      <c r="K105">
        <v>8</v>
      </c>
      <c r="L105" t="s">
        <v>36</v>
      </c>
      <c r="M105" t="s">
        <v>25</v>
      </c>
      <c r="N105" t="s">
        <v>26</v>
      </c>
      <c r="O105" t="s">
        <v>37</v>
      </c>
      <c r="P105" t="s">
        <v>45</v>
      </c>
      <c r="Q105">
        <v>5</v>
      </c>
      <c r="R105">
        <v>694.4</v>
      </c>
      <c r="S105" t="s">
        <v>29</v>
      </c>
    </row>
    <row r="106" spans="1:19" x14ac:dyDescent="0.3">
      <c r="A106" t="s">
        <v>176</v>
      </c>
      <c r="B106">
        <v>74</v>
      </c>
      <c r="C106" t="s">
        <v>19</v>
      </c>
      <c r="D106" t="s">
        <v>79</v>
      </c>
      <c r="E106" s="1">
        <v>45204</v>
      </c>
      <c r="F106" s="3">
        <v>45206</v>
      </c>
      <c r="G106" t="s">
        <v>41</v>
      </c>
      <c r="H106" t="s">
        <v>42</v>
      </c>
      <c r="I106" t="s">
        <v>81</v>
      </c>
      <c r="J106">
        <v>1885.44</v>
      </c>
      <c r="K106">
        <v>2</v>
      </c>
      <c r="L106" t="s">
        <v>36</v>
      </c>
      <c r="M106" t="s">
        <v>25</v>
      </c>
      <c r="N106" t="s">
        <v>26</v>
      </c>
      <c r="O106" t="s">
        <v>37</v>
      </c>
      <c r="P106" t="s">
        <v>50</v>
      </c>
      <c r="Q106">
        <v>9</v>
      </c>
      <c r="R106">
        <v>401.08</v>
      </c>
      <c r="S106" t="s">
        <v>29</v>
      </c>
    </row>
    <row r="107" spans="1:19" x14ac:dyDescent="0.3">
      <c r="A107" t="s">
        <v>177</v>
      </c>
      <c r="B107">
        <v>76</v>
      </c>
      <c r="C107" t="s">
        <v>19</v>
      </c>
      <c r="D107" t="s">
        <v>47</v>
      </c>
      <c r="E107" s="1">
        <v>45272</v>
      </c>
      <c r="F107" s="3">
        <v>45283</v>
      </c>
      <c r="G107" t="s">
        <v>71</v>
      </c>
      <c r="H107" t="s">
        <v>72</v>
      </c>
      <c r="I107" t="s">
        <v>58</v>
      </c>
      <c r="J107">
        <v>8216.8799999999992</v>
      </c>
      <c r="K107">
        <v>11</v>
      </c>
      <c r="L107" t="s">
        <v>36</v>
      </c>
      <c r="M107" t="s">
        <v>25</v>
      </c>
      <c r="N107" t="s">
        <v>44</v>
      </c>
      <c r="O107" t="s">
        <v>37</v>
      </c>
      <c r="P107" t="s">
        <v>45</v>
      </c>
      <c r="Q107">
        <v>11</v>
      </c>
      <c r="R107">
        <v>1813.87</v>
      </c>
      <c r="S107" t="s">
        <v>29</v>
      </c>
    </row>
    <row r="108" spans="1:19" x14ac:dyDescent="0.3">
      <c r="A108" t="s">
        <v>178</v>
      </c>
      <c r="B108">
        <v>90</v>
      </c>
      <c r="C108" t="s">
        <v>19</v>
      </c>
      <c r="D108" t="s">
        <v>79</v>
      </c>
      <c r="E108" s="1">
        <v>45620</v>
      </c>
      <c r="F108" s="3">
        <v>45624</v>
      </c>
      <c r="G108" t="s">
        <v>74</v>
      </c>
      <c r="H108" t="s">
        <v>75</v>
      </c>
      <c r="I108" t="s">
        <v>83</v>
      </c>
      <c r="J108">
        <v>7048.19</v>
      </c>
      <c r="K108">
        <v>4</v>
      </c>
      <c r="L108" t="s">
        <v>36</v>
      </c>
      <c r="M108" t="s">
        <v>25</v>
      </c>
      <c r="N108" t="s">
        <v>26</v>
      </c>
      <c r="O108" t="s">
        <v>49</v>
      </c>
      <c r="P108" t="s">
        <v>50</v>
      </c>
      <c r="Q108">
        <v>3</v>
      </c>
      <c r="R108">
        <v>2793.9</v>
      </c>
      <c r="S108" t="s">
        <v>29</v>
      </c>
    </row>
    <row r="109" spans="1:19" x14ac:dyDescent="0.3">
      <c r="A109" t="s">
        <v>179</v>
      </c>
      <c r="B109">
        <v>50</v>
      </c>
      <c r="C109" t="s">
        <v>19</v>
      </c>
      <c r="D109" t="s">
        <v>66</v>
      </c>
      <c r="E109" s="1">
        <v>45803</v>
      </c>
      <c r="F109" s="3">
        <v>45818</v>
      </c>
      <c r="G109" t="s">
        <v>93</v>
      </c>
      <c r="H109" t="s">
        <v>72</v>
      </c>
      <c r="I109" t="s">
        <v>91</v>
      </c>
      <c r="J109">
        <v>8751.8700000000008</v>
      </c>
      <c r="K109">
        <v>15</v>
      </c>
      <c r="L109" t="s">
        <v>24</v>
      </c>
      <c r="M109" t="s">
        <v>25</v>
      </c>
      <c r="N109" t="s">
        <v>44</v>
      </c>
      <c r="O109" t="s">
        <v>27</v>
      </c>
      <c r="P109" t="s">
        <v>45</v>
      </c>
      <c r="Q109">
        <v>9</v>
      </c>
      <c r="R109">
        <v>2863.39</v>
      </c>
      <c r="S109" t="s">
        <v>29</v>
      </c>
    </row>
    <row r="110" spans="1:19" x14ac:dyDescent="0.3">
      <c r="A110" t="s">
        <v>180</v>
      </c>
      <c r="B110">
        <v>88</v>
      </c>
      <c r="C110" t="s">
        <v>31</v>
      </c>
      <c r="D110" t="s">
        <v>61</v>
      </c>
      <c r="E110" s="1">
        <v>45077</v>
      </c>
      <c r="F110" s="3">
        <v>45081</v>
      </c>
      <c r="G110" t="s">
        <v>62</v>
      </c>
      <c r="H110" t="s">
        <v>63</v>
      </c>
      <c r="I110" t="s">
        <v>58</v>
      </c>
      <c r="J110">
        <v>3585.35</v>
      </c>
      <c r="K110">
        <v>4</v>
      </c>
      <c r="L110" t="s">
        <v>24</v>
      </c>
      <c r="M110" t="s">
        <v>76</v>
      </c>
      <c r="N110" t="s">
        <v>26</v>
      </c>
      <c r="O110" t="s">
        <v>56</v>
      </c>
      <c r="P110" t="s">
        <v>50</v>
      </c>
      <c r="Q110">
        <v>1</v>
      </c>
      <c r="R110">
        <v>822.84</v>
      </c>
      <c r="S110" t="s">
        <v>29</v>
      </c>
    </row>
    <row r="111" spans="1:19" x14ac:dyDescent="0.3">
      <c r="A111" t="s">
        <v>181</v>
      </c>
      <c r="B111">
        <v>33</v>
      </c>
      <c r="C111" t="s">
        <v>19</v>
      </c>
      <c r="D111" t="s">
        <v>32</v>
      </c>
      <c r="E111" s="1">
        <v>45131</v>
      </c>
      <c r="F111" s="3">
        <v>45142</v>
      </c>
      <c r="G111" t="s">
        <v>48</v>
      </c>
      <c r="H111" t="s">
        <v>22</v>
      </c>
      <c r="I111" t="s">
        <v>91</v>
      </c>
      <c r="J111">
        <v>10419.26</v>
      </c>
      <c r="K111">
        <v>11</v>
      </c>
      <c r="L111" t="s">
        <v>24</v>
      </c>
      <c r="M111" t="s">
        <v>25</v>
      </c>
      <c r="N111" t="s">
        <v>55</v>
      </c>
      <c r="O111" t="s">
        <v>56</v>
      </c>
      <c r="P111" t="s">
        <v>50</v>
      </c>
      <c r="Q111">
        <v>12</v>
      </c>
      <c r="R111">
        <v>3208.62</v>
      </c>
      <c r="S111" t="s">
        <v>29</v>
      </c>
    </row>
    <row r="112" spans="1:19" x14ac:dyDescent="0.3">
      <c r="A112" t="s">
        <v>182</v>
      </c>
      <c r="B112">
        <v>27</v>
      </c>
      <c r="C112" t="s">
        <v>31</v>
      </c>
      <c r="D112" t="s">
        <v>32</v>
      </c>
      <c r="E112" s="1">
        <v>45375</v>
      </c>
      <c r="F112" s="3">
        <v>45384</v>
      </c>
      <c r="G112" t="s">
        <v>48</v>
      </c>
      <c r="H112" t="s">
        <v>22</v>
      </c>
      <c r="I112" t="s">
        <v>43</v>
      </c>
      <c r="J112">
        <v>6634.68</v>
      </c>
      <c r="K112">
        <v>9</v>
      </c>
      <c r="L112" t="s">
        <v>24</v>
      </c>
      <c r="M112" t="s">
        <v>25</v>
      </c>
      <c r="N112" t="s">
        <v>55</v>
      </c>
      <c r="O112" t="s">
        <v>37</v>
      </c>
      <c r="P112" t="s">
        <v>45</v>
      </c>
      <c r="Q112">
        <v>9</v>
      </c>
      <c r="R112">
        <v>1639.84</v>
      </c>
      <c r="S112" t="s">
        <v>29</v>
      </c>
    </row>
    <row r="113" spans="1:19" x14ac:dyDescent="0.3">
      <c r="A113" t="s">
        <v>183</v>
      </c>
      <c r="B113">
        <v>55</v>
      </c>
      <c r="C113" t="s">
        <v>19</v>
      </c>
      <c r="D113" t="s">
        <v>20</v>
      </c>
      <c r="E113" s="1">
        <v>44952</v>
      </c>
      <c r="F113" s="3">
        <v>44953</v>
      </c>
      <c r="G113" t="s">
        <v>52</v>
      </c>
      <c r="H113" t="s">
        <v>53</v>
      </c>
      <c r="I113" t="s">
        <v>54</v>
      </c>
      <c r="J113">
        <v>2588.29</v>
      </c>
      <c r="K113">
        <v>1</v>
      </c>
      <c r="L113" t="s">
        <v>36</v>
      </c>
      <c r="M113" t="s">
        <v>25</v>
      </c>
      <c r="N113" t="s">
        <v>26</v>
      </c>
      <c r="O113" t="s">
        <v>27</v>
      </c>
      <c r="P113" t="s">
        <v>38</v>
      </c>
      <c r="Q113">
        <v>3</v>
      </c>
      <c r="R113">
        <v>765.52</v>
      </c>
      <c r="S113" t="s">
        <v>29</v>
      </c>
    </row>
    <row r="114" spans="1:19" x14ac:dyDescent="0.3">
      <c r="A114" t="s">
        <v>184</v>
      </c>
      <c r="B114">
        <v>68</v>
      </c>
      <c r="C114" t="s">
        <v>31</v>
      </c>
      <c r="D114" t="s">
        <v>70</v>
      </c>
      <c r="E114" s="1">
        <v>45579</v>
      </c>
      <c r="F114" s="3">
        <v>45593</v>
      </c>
      <c r="G114" t="s">
        <v>33</v>
      </c>
      <c r="H114" t="s">
        <v>34</v>
      </c>
      <c r="I114" t="s">
        <v>54</v>
      </c>
      <c r="J114">
        <v>5761.31</v>
      </c>
      <c r="K114">
        <v>14</v>
      </c>
      <c r="L114" t="s">
        <v>36</v>
      </c>
      <c r="M114" t="s">
        <v>25</v>
      </c>
      <c r="N114" t="s">
        <v>55</v>
      </c>
      <c r="O114" t="s">
        <v>37</v>
      </c>
      <c r="P114" t="s">
        <v>45</v>
      </c>
      <c r="Q114">
        <v>14</v>
      </c>
      <c r="R114">
        <v>1175.69</v>
      </c>
      <c r="S114" t="s">
        <v>29</v>
      </c>
    </row>
    <row r="115" spans="1:19" x14ac:dyDescent="0.3">
      <c r="A115" t="s">
        <v>185</v>
      </c>
      <c r="B115">
        <v>50</v>
      </c>
      <c r="C115" t="s">
        <v>19</v>
      </c>
      <c r="D115" t="s">
        <v>70</v>
      </c>
      <c r="E115" s="1">
        <v>44929</v>
      </c>
      <c r="F115" s="3">
        <v>44942</v>
      </c>
      <c r="G115" t="s">
        <v>52</v>
      </c>
      <c r="H115" t="s">
        <v>53</v>
      </c>
      <c r="I115" t="s">
        <v>91</v>
      </c>
      <c r="J115">
        <v>6826.31</v>
      </c>
      <c r="K115">
        <v>13</v>
      </c>
      <c r="L115" t="s">
        <v>24</v>
      </c>
      <c r="M115" t="s">
        <v>25</v>
      </c>
      <c r="N115" t="s">
        <v>44</v>
      </c>
      <c r="O115" t="s">
        <v>56</v>
      </c>
      <c r="P115" t="s">
        <v>50</v>
      </c>
      <c r="Q115">
        <v>4</v>
      </c>
      <c r="R115">
        <v>1136.04</v>
      </c>
      <c r="S115" t="s">
        <v>29</v>
      </c>
    </row>
    <row r="116" spans="1:19" x14ac:dyDescent="0.3">
      <c r="A116" t="s">
        <v>186</v>
      </c>
      <c r="B116">
        <v>88</v>
      </c>
      <c r="C116" t="s">
        <v>31</v>
      </c>
      <c r="D116" t="s">
        <v>47</v>
      </c>
      <c r="E116" s="1">
        <v>45195</v>
      </c>
      <c r="F116" s="3">
        <v>45215</v>
      </c>
      <c r="G116" t="s">
        <v>93</v>
      </c>
      <c r="H116" t="s">
        <v>72</v>
      </c>
      <c r="I116" t="s">
        <v>81</v>
      </c>
      <c r="J116">
        <v>8066.61</v>
      </c>
      <c r="K116">
        <v>20</v>
      </c>
      <c r="L116" t="s">
        <v>24</v>
      </c>
      <c r="M116" t="s">
        <v>25</v>
      </c>
      <c r="N116" t="s">
        <v>44</v>
      </c>
      <c r="O116" t="s">
        <v>56</v>
      </c>
      <c r="P116" t="s">
        <v>38</v>
      </c>
      <c r="Q116">
        <v>11</v>
      </c>
      <c r="R116">
        <v>2202.79</v>
      </c>
      <c r="S116" t="s">
        <v>29</v>
      </c>
    </row>
    <row r="117" spans="1:19" x14ac:dyDescent="0.3">
      <c r="A117" t="s">
        <v>187</v>
      </c>
      <c r="B117">
        <v>77</v>
      </c>
      <c r="C117" t="s">
        <v>31</v>
      </c>
      <c r="D117" t="s">
        <v>32</v>
      </c>
      <c r="E117" s="1">
        <v>45783</v>
      </c>
      <c r="F117" s="3">
        <v>45784</v>
      </c>
      <c r="G117" t="s">
        <v>93</v>
      </c>
      <c r="H117" t="s">
        <v>72</v>
      </c>
      <c r="I117" t="s">
        <v>23</v>
      </c>
      <c r="J117">
        <v>1543.59</v>
      </c>
      <c r="K117">
        <v>1</v>
      </c>
      <c r="L117" t="s">
        <v>24</v>
      </c>
      <c r="M117" t="s">
        <v>25</v>
      </c>
      <c r="N117" t="s">
        <v>55</v>
      </c>
      <c r="O117" t="s">
        <v>37</v>
      </c>
      <c r="P117" t="s">
        <v>50</v>
      </c>
      <c r="Q117">
        <v>12</v>
      </c>
      <c r="R117">
        <v>440.54</v>
      </c>
      <c r="S117" t="s">
        <v>29</v>
      </c>
    </row>
    <row r="118" spans="1:19" x14ac:dyDescent="0.3">
      <c r="A118" t="s">
        <v>188</v>
      </c>
      <c r="B118">
        <v>54</v>
      </c>
      <c r="C118" t="s">
        <v>19</v>
      </c>
      <c r="D118" t="s">
        <v>32</v>
      </c>
      <c r="E118" s="1">
        <v>45608</v>
      </c>
      <c r="F118" s="3">
        <v>45609</v>
      </c>
      <c r="G118" t="s">
        <v>52</v>
      </c>
      <c r="H118" t="s">
        <v>53</v>
      </c>
      <c r="I118" t="s">
        <v>43</v>
      </c>
      <c r="J118">
        <v>3086.55</v>
      </c>
      <c r="K118">
        <v>1</v>
      </c>
      <c r="L118" t="s">
        <v>36</v>
      </c>
      <c r="M118" t="s">
        <v>25</v>
      </c>
      <c r="N118" t="s">
        <v>26</v>
      </c>
      <c r="O118" t="s">
        <v>27</v>
      </c>
      <c r="P118" t="s">
        <v>50</v>
      </c>
      <c r="Q118">
        <v>7</v>
      </c>
      <c r="R118">
        <v>925.21</v>
      </c>
      <c r="S118" t="s">
        <v>29</v>
      </c>
    </row>
    <row r="119" spans="1:19" x14ac:dyDescent="0.3">
      <c r="A119" t="s">
        <v>189</v>
      </c>
      <c r="B119">
        <v>20</v>
      </c>
      <c r="C119" t="s">
        <v>19</v>
      </c>
      <c r="D119" t="s">
        <v>66</v>
      </c>
      <c r="E119" s="1">
        <v>45027</v>
      </c>
      <c r="F119" s="3">
        <v>45029</v>
      </c>
      <c r="G119" t="s">
        <v>41</v>
      </c>
      <c r="H119" t="s">
        <v>42</v>
      </c>
      <c r="I119" t="s">
        <v>91</v>
      </c>
      <c r="J119">
        <v>2702.74</v>
      </c>
      <c r="K119">
        <v>2</v>
      </c>
      <c r="L119" t="s">
        <v>36</v>
      </c>
      <c r="M119" t="s">
        <v>25</v>
      </c>
      <c r="N119" t="s">
        <v>26</v>
      </c>
      <c r="O119" t="s">
        <v>27</v>
      </c>
      <c r="P119" t="s">
        <v>28</v>
      </c>
      <c r="Q119">
        <v>6</v>
      </c>
      <c r="R119">
        <v>588.37</v>
      </c>
      <c r="S119" t="s">
        <v>39</v>
      </c>
    </row>
    <row r="120" spans="1:19" x14ac:dyDescent="0.3">
      <c r="A120" t="s">
        <v>190</v>
      </c>
      <c r="B120">
        <v>52</v>
      </c>
      <c r="C120" t="s">
        <v>31</v>
      </c>
      <c r="D120" t="s">
        <v>70</v>
      </c>
      <c r="E120" s="1">
        <v>44964</v>
      </c>
      <c r="F120" s="3">
        <v>44987</v>
      </c>
      <c r="G120" t="s">
        <v>71</v>
      </c>
      <c r="H120" t="s">
        <v>72</v>
      </c>
      <c r="I120" t="s">
        <v>81</v>
      </c>
      <c r="J120">
        <v>14881.79</v>
      </c>
      <c r="K120">
        <v>23</v>
      </c>
      <c r="L120" t="s">
        <v>36</v>
      </c>
      <c r="M120" t="s">
        <v>59</v>
      </c>
      <c r="N120" t="s">
        <v>26</v>
      </c>
      <c r="O120" t="s">
        <v>49</v>
      </c>
      <c r="P120" t="s">
        <v>38</v>
      </c>
      <c r="Q120">
        <v>5</v>
      </c>
      <c r="R120">
        <v>5743.23</v>
      </c>
      <c r="S120" t="s">
        <v>29</v>
      </c>
    </row>
    <row r="121" spans="1:19" x14ac:dyDescent="0.3">
      <c r="A121" t="s">
        <v>191</v>
      </c>
      <c r="B121">
        <v>70</v>
      </c>
      <c r="C121" t="s">
        <v>19</v>
      </c>
      <c r="D121" t="s">
        <v>66</v>
      </c>
      <c r="E121" s="1">
        <v>45325</v>
      </c>
      <c r="F121" s="3">
        <v>45352</v>
      </c>
      <c r="G121" t="s">
        <v>48</v>
      </c>
      <c r="H121" t="s">
        <v>22</v>
      </c>
      <c r="I121" t="s">
        <v>83</v>
      </c>
      <c r="J121">
        <v>21761.56</v>
      </c>
      <c r="K121">
        <v>27</v>
      </c>
      <c r="L121" t="s">
        <v>24</v>
      </c>
      <c r="M121" t="s">
        <v>25</v>
      </c>
      <c r="N121" t="s">
        <v>26</v>
      </c>
      <c r="O121" t="s">
        <v>49</v>
      </c>
      <c r="P121" t="s">
        <v>38</v>
      </c>
      <c r="Q121">
        <v>6</v>
      </c>
      <c r="R121">
        <v>4666.0600000000004</v>
      </c>
      <c r="S121" t="s">
        <v>29</v>
      </c>
    </row>
    <row r="122" spans="1:19" x14ac:dyDescent="0.3">
      <c r="A122" t="s">
        <v>192</v>
      </c>
      <c r="B122">
        <v>80</v>
      </c>
      <c r="C122" t="s">
        <v>31</v>
      </c>
      <c r="D122" t="s">
        <v>70</v>
      </c>
      <c r="E122" s="1">
        <v>45614</v>
      </c>
      <c r="F122" s="3">
        <v>45620</v>
      </c>
      <c r="G122" t="s">
        <v>33</v>
      </c>
      <c r="H122" t="s">
        <v>34</v>
      </c>
      <c r="I122" t="s">
        <v>35</v>
      </c>
      <c r="J122">
        <v>2176.87</v>
      </c>
      <c r="K122">
        <v>6</v>
      </c>
      <c r="L122" t="s">
        <v>36</v>
      </c>
      <c r="M122" t="s">
        <v>25</v>
      </c>
      <c r="N122" t="s">
        <v>55</v>
      </c>
      <c r="O122" t="s">
        <v>27</v>
      </c>
      <c r="P122" t="s">
        <v>45</v>
      </c>
      <c r="Q122">
        <v>9</v>
      </c>
      <c r="R122">
        <v>564.02</v>
      </c>
      <c r="S122" t="s">
        <v>29</v>
      </c>
    </row>
    <row r="123" spans="1:19" x14ac:dyDescent="0.3">
      <c r="A123" t="s">
        <v>193</v>
      </c>
      <c r="B123">
        <v>84</v>
      </c>
      <c r="C123" t="s">
        <v>19</v>
      </c>
      <c r="D123" t="s">
        <v>47</v>
      </c>
      <c r="E123" s="1">
        <v>45030</v>
      </c>
      <c r="F123" s="3">
        <v>45049</v>
      </c>
      <c r="G123" t="s">
        <v>21</v>
      </c>
      <c r="H123" t="s">
        <v>22</v>
      </c>
      <c r="I123" t="s">
        <v>81</v>
      </c>
      <c r="J123">
        <v>9521.0400000000009</v>
      </c>
      <c r="K123">
        <v>19</v>
      </c>
      <c r="L123" t="s">
        <v>24</v>
      </c>
      <c r="M123" t="s">
        <v>25</v>
      </c>
      <c r="N123" t="s">
        <v>55</v>
      </c>
      <c r="O123" t="s">
        <v>27</v>
      </c>
      <c r="P123" t="s">
        <v>50</v>
      </c>
      <c r="Q123">
        <v>1</v>
      </c>
      <c r="R123">
        <v>1712.44</v>
      </c>
      <c r="S123" t="s">
        <v>39</v>
      </c>
    </row>
    <row r="124" spans="1:19" x14ac:dyDescent="0.3">
      <c r="A124" t="s">
        <v>194</v>
      </c>
      <c r="B124">
        <v>77</v>
      </c>
      <c r="C124" t="s">
        <v>19</v>
      </c>
      <c r="D124" t="s">
        <v>70</v>
      </c>
      <c r="E124" s="1">
        <v>45690</v>
      </c>
      <c r="F124" s="3">
        <v>45706</v>
      </c>
      <c r="G124" t="s">
        <v>21</v>
      </c>
      <c r="H124" t="s">
        <v>22</v>
      </c>
      <c r="I124" t="s">
        <v>23</v>
      </c>
      <c r="J124">
        <v>12684.57</v>
      </c>
      <c r="K124">
        <v>16</v>
      </c>
      <c r="L124" t="s">
        <v>36</v>
      </c>
      <c r="M124" t="s">
        <v>25</v>
      </c>
      <c r="N124" t="s">
        <v>55</v>
      </c>
      <c r="O124" t="s">
        <v>49</v>
      </c>
      <c r="P124" t="s">
        <v>50</v>
      </c>
      <c r="Q124">
        <v>6</v>
      </c>
      <c r="R124">
        <v>2932.2</v>
      </c>
      <c r="S124" t="s">
        <v>39</v>
      </c>
    </row>
    <row r="125" spans="1:19" x14ac:dyDescent="0.3">
      <c r="A125" t="s">
        <v>195</v>
      </c>
      <c r="B125">
        <v>49</v>
      </c>
      <c r="C125" t="s">
        <v>31</v>
      </c>
      <c r="D125" t="s">
        <v>66</v>
      </c>
      <c r="E125" s="1">
        <v>45878</v>
      </c>
      <c r="F125" s="3">
        <v>45888</v>
      </c>
      <c r="G125" t="s">
        <v>48</v>
      </c>
      <c r="H125" t="s">
        <v>22</v>
      </c>
      <c r="I125" t="s">
        <v>54</v>
      </c>
      <c r="J125">
        <v>6339.13</v>
      </c>
      <c r="K125">
        <v>10</v>
      </c>
      <c r="L125" t="s">
        <v>36</v>
      </c>
      <c r="M125" t="s">
        <v>25</v>
      </c>
      <c r="N125" t="s">
        <v>26</v>
      </c>
      <c r="O125" t="s">
        <v>56</v>
      </c>
      <c r="P125" t="s">
        <v>50</v>
      </c>
      <c r="Q125">
        <v>1</v>
      </c>
      <c r="R125">
        <v>1860.06</v>
      </c>
      <c r="S125" t="s">
        <v>29</v>
      </c>
    </row>
    <row r="126" spans="1:19" x14ac:dyDescent="0.3">
      <c r="A126" t="s">
        <v>196</v>
      </c>
      <c r="B126">
        <v>49</v>
      </c>
      <c r="C126" t="s">
        <v>19</v>
      </c>
      <c r="D126" t="s">
        <v>89</v>
      </c>
      <c r="E126" s="1">
        <v>45143</v>
      </c>
      <c r="F126" s="3">
        <v>45160</v>
      </c>
      <c r="G126" t="s">
        <v>67</v>
      </c>
      <c r="H126" t="s">
        <v>42</v>
      </c>
      <c r="I126" t="s">
        <v>83</v>
      </c>
      <c r="J126">
        <v>10280.11</v>
      </c>
      <c r="K126">
        <v>17</v>
      </c>
      <c r="L126" t="s">
        <v>24</v>
      </c>
      <c r="M126" t="s">
        <v>25</v>
      </c>
      <c r="N126" t="s">
        <v>44</v>
      </c>
      <c r="O126" t="s">
        <v>37</v>
      </c>
      <c r="P126" t="s">
        <v>50</v>
      </c>
      <c r="Q126">
        <v>3</v>
      </c>
      <c r="R126">
        <v>3064.21</v>
      </c>
      <c r="S126" t="s">
        <v>29</v>
      </c>
    </row>
    <row r="127" spans="1:19" x14ac:dyDescent="0.3">
      <c r="A127" t="s">
        <v>197</v>
      </c>
      <c r="B127">
        <v>76</v>
      </c>
      <c r="C127" t="s">
        <v>31</v>
      </c>
      <c r="D127" t="s">
        <v>32</v>
      </c>
      <c r="E127" s="1">
        <v>45089</v>
      </c>
      <c r="F127" s="3">
        <v>45101</v>
      </c>
      <c r="G127" t="s">
        <v>21</v>
      </c>
      <c r="H127" t="s">
        <v>22</v>
      </c>
      <c r="I127" t="s">
        <v>54</v>
      </c>
      <c r="J127">
        <v>10478.32</v>
      </c>
      <c r="K127">
        <v>12</v>
      </c>
      <c r="L127" t="s">
        <v>24</v>
      </c>
      <c r="M127" t="s">
        <v>25</v>
      </c>
      <c r="N127" t="s">
        <v>44</v>
      </c>
      <c r="O127" t="s">
        <v>56</v>
      </c>
      <c r="P127" t="s">
        <v>45</v>
      </c>
      <c r="Q127">
        <v>4</v>
      </c>
      <c r="R127">
        <v>3425.33</v>
      </c>
      <c r="S127" t="s">
        <v>29</v>
      </c>
    </row>
    <row r="128" spans="1:19" x14ac:dyDescent="0.3">
      <c r="A128" t="s">
        <v>198</v>
      </c>
      <c r="B128">
        <v>54</v>
      </c>
      <c r="C128" t="s">
        <v>31</v>
      </c>
      <c r="D128" t="s">
        <v>20</v>
      </c>
      <c r="E128" s="1">
        <v>44998</v>
      </c>
      <c r="F128" s="3">
        <v>45003</v>
      </c>
      <c r="G128" t="s">
        <v>67</v>
      </c>
      <c r="H128" t="s">
        <v>42</v>
      </c>
      <c r="I128" t="s">
        <v>83</v>
      </c>
      <c r="J128">
        <v>7147.98</v>
      </c>
      <c r="K128">
        <v>5</v>
      </c>
      <c r="L128" t="s">
        <v>24</v>
      </c>
      <c r="M128" t="s">
        <v>25</v>
      </c>
      <c r="N128" t="s">
        <v>26</v>
      </c>
      <c r="O128" t="s">
        <v>49</v>
      </c>
      <c r="P128" t="s">
        <v>45</v>
      </c>
      <c r="Q128">
        <v>8</v>
      </c>
      <c r="R128">
        <v>2248.3200000000002</v>
      </c>
      <c r="S128" t="s">
        <v>29</v>
      </c>
    </row>
    <row r="129" spans="1:19" x14ac:dyDescent="0.3">
      <c r="A129" t="s">
        <v>199</v>
      </c>
      <c r="B129">
        <v>82</v>
      </c>
      <c r="C129" t="s">
        <v>31</v>
      </c>
      <c r="D129" t="s">
        <v>20</v>
      </c>
      <c r="E129" s="1">
        <v>44927</v>
      </c>
      <c r="F129" s="3">
        <v>44946</v>
      </c>
      <c r="G129" t="s">
        <v>41</v>
      </c>
      <c r="H129" t="s">
        <v>42</v>
      </c>
      <c r="I129" t="s">
        <v>83</v>
      </c>
      <c r="J129">
        <v>5383.34</v>
      </c>
      <c r="K129">
        <v>19</v>
      </c>
      <c r="L129" t="s">
        <v>24</v>
      </c>
      <c r="M129" t="s">
        <v>25</v>
      </c>
      <c r="N129" t="s">
        <v>26</v>
      </c>
      <c r="O129" t="s">
        <v>56</v>
      </c>
      <c r="P129" t="s">
        <v>50</v>
      </c>
      <c r="Q129">
        <v>1</v>
      </c>
      <c r="R129">
        <v>1570.5</v>
      </c>
      <c r="S129" t="s">
        <v>29</v>
      </c>
    </row>
    <row r="130" spans="1:19" x14ac:dyDescent="0.3">
      <c r="A130" t="s">
        <v>200</v>
      </c>
      <c r="B130">
        <v>89</v>
      </c>
      <c r="C130" t="s">
        <v>19</v>
      </c>
      <c r="D130" t="s">
        <v>79</v>
      </c>
      <c r="E130" s="1">
        <v>45742</v>
      </c>
      <c r="F130" s="3">
        <v>45744</v>
      </c>
      <c r="G130" t="s">
        <v>41</v>
      </c>
      <c r="H130" t="s">
        <v>42</v>
      </c>
      <c r="I130" t="s">
        <v>91</v>
      </c>
      <c r="J130">
        <v>2244.39</v>
      </c>
      <c r="K130">
        <v>2</v>
      </c>
      <c r="L130" t="s">
        <v>24</v>
      </c>
      <c r="M130" t="s">
        <v>59</v>
      </c>
      <c r="N130" t="s">
        <v>26</v>
      </c>
      <c r="O130" t="s">
        <v>37</v>
      </c>
      <c r="P130" t="s">
        <v>38</v>
      </c>
      <c r="Q130">
        <v>7</v>
      </c>
      <c r="R130">
        <v>833.94</v>
      </c>
      <c r="S130" t="s">
        <v>29</v>
      </c>
    </row>
    <row r="131" spans="1:19" x14ac:dyDescent="0.3">
      <c r="A131" t="s">
        <v>201</v>
      </c>
      <c r="B131">
        <v>64</v>
      </c>
      <c r="C131" t="s">
        <v>19</v>
      </c>
      <c r="D131" t="s">
        <v>66</v>
      </c>
      <c r="E131" s="1">
        <v>45667</v>
      </c>
      <c r="F131" s="3">
        <v>45679</v>
      </c>
      <c r="G131" t="s">
        <v>93</v>
      </c>
      <c r="H131" t="s">
        <v>72</v>
      </c>
      <c r="I131" t="s">
        <v>35</v>
      </c>
      <c r="J131">
        <v>7715.71</v>
      </c>
      <c r="K131">
        <v>12</v>
      </c>
      <c r="L131" t="s">
        <v>24</v>
      </c>
      <c r="M131" t="s">
        <v>25</v>
      </c>
      <c r="N131" t="s">
        <v>26</v>
      </c>
      <c r="O131" t="s">
        <v>37</v>
      </c>
      <c r="P131" t="s">
        <v>45</v>
      </c>
      <c r="Q131">
        <v>2</v>
      </c>
      <c r="R131">
        <v>1952.9</v>
      </c>
      <c r="S131" t="s">
        <v>29</v>
      </c>
    </row>
    <row r="132" spans="1:19" x14ac:dyDescent="0.3">
      <c r="A132" t="s">
        <v>202</v>
      </c>
      <c r="B132">
        <v>53</v>
      </c>
      <c r="C132" t="s">
        <v>19</v>
      </c>
      <c r="D132" t="s">
        <v>70</v>
      </c>
      <c r="E132" s="1">
        <v>45891</v>
      </c>
      <c r="F132" s="3">
        <v>45895</v>
      </c>
      <c r="G132" t="s">
        <v>21</v>
      </c>
      <c r="H132" t="s">
        <v>22</v>
      </c>
      <c r="I132" t="s">
        <v>54</v>
      </c>
      <c r="J132">
        <v>3369.52</v>
      </c>
      <c r="K132">
        <v>4</v>
      </c>
      <c r="L132" t="s">
        <v>24</v>
      </c>
      <c r="M132" t="s">
        <v>59</v>
      </c>
      <c r="N132" t="s">
        <v>55</v>
      </c>
      <c r="O132" t="s">
        <v>37</v>
      </c>
      <c r="P132" t="s">
        <v>38</v>
      </c>
      <c r="Q132">
        <v>12</v>
      </c>
      <c r="R132">
        <v>974.11</v>
      </c>
      <c r="S132" t="s">
        <v>39</v>
      </c>
    </row>
    <row r="133" spans="1:19" x14ac:dyDescent="0.3">
      <c r="A133" t="s">
        <v>203</v>
      </c>
      <c r="B133">
        <v>24</v>
      </c>
      <c r="C133" t="s">
        <v>31</v>
      </c>
      <c r="D133" t="s">
        <v>47</v>
      </c>
      <c r="E133" s="1">
        <v>45053</v>
      </c>
      <c r="F133" s="3">
        <v>45068</v>
      </c>
      <c r="G133" t="s">
        <v>71</v>
      </c>
      <c r="H133" t="s">
        <v>72</v>
      </c>
      <c r="I133" t="s">
        <v>83</v>
      </c>
      <c r="J133">
        <v>9970.39</v>
      </c>
      <c r="K133">
        <v>15</v>
      </c>
      <c r="L133" t="s">
        <v>36</v>
      </c>
      <c r="M133" t="s">
        <v>25</v>
      </c>
      <c r="N133" t="s">
        <v>26</v>
      </c>
      <c r="O133" t="s">
        <v>37</v>
      </c>
      <c r="P133" t="s">
        <v>45</v>
      </c>
      <c r="Q133">
        <v>6</v>
      </c>
      <c r="R133">
        <v>3409.72</v>
      </c>
      <c r="S133" t="s">
        <v>39</v>
      </c>
    </row>
    <row r="134" spans="1:19" x14ac:dyDescent="0.3">
      <c r="A134" t="s">
        <v>204</v>
      </c>
      <c r="B134">
        <v>38</v>
      </c>
      <c r="C134" t="s">
        <v>19</v>
      </c>
      <c r="D134" t="s">
        <v>20</v>
      </c>
      <c r="E134" s="1">
        <v>45908</v>
      </c>
      <c r="F134" s="3">
        <v>45914</v>
      </c>
      <c r="G134" t="s">
        <v>74</v>
      </c>
      <c r="H134" t="s">
        <v>75</v>
      </c>
      <c r="I134" t="s">
        <v>23</v>
      </c>
      <c r="J134">
        <v>4303.38</v>
      </c>
      <c r="K134">
        <v>6</v>
      </c>
      <c r="L134" t="s">
        <v>24</v>
      </c>
      <c r="M134" t="s">
        <v>25</v>
      </c>
      <c r="N134" t="s">
        <v>55</v>
      </c>
      <c r="O134" t="s">
        <v>37</v>
      </c>
      <c r="P134" t="s">
        <v>38</v>
      </c>
      <c r="Q134">
        <v>7</v>
      </c>
      <c r="R134">
        <v>1133.31</v>
      </c>
      <c r="S134" t="s">
        <v>29</v>
      </c>
    </row>
    <row r="135" spans="1:19" x14ac:dyDescent="0.3">
      <c r="A135" t="s">
        <v>205</v>
      </c>
      <c r="B135">
        <v>38</v>
      </c>
      <c r="C135" t="s">
        <v>19</v>
      </c>
      <c r="D135" t="s">
        <v>32</v>
      </c>
      <c r="E135" s="1">
        <v>45554</v>
      </c>
      <c r="F135" s="3">
        <v>45568</v>
      </c>
      <c r="G135" t="s">
        <v>62</v>
      </c>
      <c r="H135" t="s">
        <v>63</v>
      </c>
      <c r="I135" t="s">
        <v>35</v>
      </c>
      <c r="J135">
        <v>7806.7</v>
      </c>
      <c r="K135">
        <v>14</v>
      </c>
      <c r="L135" t="s">
        <v>24</v>
      </c>
      <c r="M135" t="s">
        <v>76</v>
      </c>
      <c r="N135" t="s">
        <v>44</v>
      </c>
      <c r="O135" t="s">
        <v>56</v>
      </c>
      <c r="P135" t="s">
        <v>28</v>
      </c>
      <c r="Q135">
        <v>13</v>
      </c>
      <c r="R135">
        <v>2297.71</v>
      </c>
      <c r="S135" t="s">
        <v>29</v>
      </c>
    </row>
    <row r="136" spans="1:19" x14ac:dyDescent="0.3">
      <c r="A136" t="s">
        <v>206</v>
      </c>
      <c r="B136">
        <v>67</v>
      </c>
      <c r="C136" t="s">
        <v>31</v>
      </c>
      <c r="D136" t="s">
        <v>89</v>
      </c>
      <c r="E136" s="1">
        <v>45095</v>
      </c>
      <c r="F136" s="3">
        <v>45107</v>
      </c>
      <c r="G136" t="s">
        <v>62</v>
      </c>
      <c r="H136" t="s">
        <v>63</v>
      </c>
      <c r="I136" t="s">
        <v>83</v>
      </c>
      <c r="J136">
        <v>6613.49</v>
      </c>
      <c r="K136">
        <v>12</v>
      </c>
      <c r="L136" t="s">
        <v>24</v>
      </c>
      <c r="M136" t="s">
        <v>25</v>
      </c>
      <c r="N136" t="s">
        <v>44</v>
      </c>
      <c r="O136" t="s">
        <v>37</v>
      </c>
      <c r="P136" t="s">
        <v>45</v>
      </c>
      <c r="Q136">
        <v>14</v>
      </c>
      <c r="R136">
        <v>1956.15</v>
      </c>
      <c r="S136" t="s">
        <v>29</v>
      </c>
    </row>
    <row r="137" spans="1:19" x14ac:dyDescent="0.3">
      <c r="A137" t="s">
        <v>207</v>
      </c>
      <c r="B137">
        <v>34</v>
      </c>
      <c r="C137" t="s">
        <v>31</v>
      </c>
      <c r="D137" t="s">
        <v>70</v>
      </c>
      <c r="E137" s="1">
        <v>45873</v>
      </c>
      <c r="F137" s="3">
        <v>45876</v>
      </c>
      <c r="G137" t="s">
        <v>71</v>
      </c>
      <c r="H137" t="s">
        <v>72</v>
      </c>
      <c r="I137" t="s">
        <v>35</v>
      </c>
      <c r="J137">
        <v>6915.04</v>
      </c>
      <c r="K137">
        <v>3</v>
      </c>
      <c r="L137" t="s">
        <v>36</v>
      </c>
      <c r="M137" t="s">
        <v>25</v>
      </c>
      <c r="N137" t="s">
        <v>26</v>
      </c>
      <c r="O137" t="s">
        <v>49</v>
      </c>
      <c r="P137" t="s">
        <v>38</v>
      </c>
      <c r="Q137">
        <v>14</v>
      </c>
      <c r="R137">
        <v>1186.4100000000001</v>
      </c>
      <c r="S137" t="s">
        <v>29</v>
      </c>
    </row>
    <row r="138" spans="1:19" x14ac:dyDescent="0.3">
      <c r="A138" t="s">
        <v>208</v>
      </c>
      <c r="B138">
        <v>53</v>
      </c>
      <c r="C138" t="s">
        <v>31</v>
      </c>
      <c r="D138" t="s">
        <v>70</v>
      </c>
      <c r="E138" s="1">
        <v>45032</v>
      </c>
      <c r="F138" s="3">
        <v>45040</v>
      </c>
      <c r="G138" t="s">
        <v>41</v>
      </c>
      <c r="H138" t="s">
        <v>42</v>
      </c>
      <c r="I138" t="s">
        <v>54</v>
      </c>
      <c r="J138">
        <v>4695.29</v>
      </c>
      <c r="K138">
        <v>8</v>
      </c>
      <c r="L138" t="s">
        <v>24</v>
      </c>
      <c r="M138" t="s">
        <v>25</v>
      </c>
      <c r="N138" t="s">
        <v>44</v>
      </c>
      <c r="O138" t="s">
        <v>27</v>
      </c>
      <c r="P138" t="s">
        <v>50</v>
      </c>
      <c r="Q138">
        <v>7</v>
      </c>
      <c r="R138">
        <v>1834.52</v>
      </c>
      <c r="S138" t="s">
        <v>29</v>
      </c>
    </row>
    <row r="139" spans="1:19" x14ac:dyDescent="0.3">
      <c r="A139" t="s">
        <v>209</v>
      </c>
      <c r="B139">
        <v>20</v>
      </c>
      <c r="C139" t="s">
        <v>31</v>
      </c>
      <c r="D139" t="s">
        <v>66</v>
      </c>
      <c r="E139" s="1">
        <v>45781</v>
      </c>
      <c r="F139" s="3">
        <v>45792</v>
      </c>
      <c r="G139" t="s">
        <v>41</v>
      </c>
      <c r="H139" t="s">
        <v>42</v>
      </c>
      <c r="I139" t="s">
        <v>23</v>
      </c>
      <c r="J139">
        <v>10250.780000000001</v>
      </c>
      <c r="K139">
        <v>11</v>
      </c>
      <c r="L139" t="s">
        <v>24</v>
      </c>
      <c r="M139" t="s">
        <v>25</v>
      </c>
      <c r="N139" t="s">
        <v>44</v>
      </c>
      <c r="O139" t="s">
        <v>49</v>
      </c>
      <c r="P139" t="s">
        <v>38</v>
      </c>
      <c r="Q139">
        <v>5</v>
      </c>
      <c r="R139">
        <v>3069.37</v>
      </c>
      <c r="S139" t="s">
        <v>39</v>
      </c>
    </row>
    <row r="140" spans="1:19" x14ac:dyDescent="0.3">
      <c r="A140" t="s">
        <v>210</v>
      </c>
      <c r="B140">
        <v>55</v>
      </c>
      <c r="C140" t="s">
        <v>19</v>
      </c>
      <c r="D140" t="s">
        <v>61</v>
      </c>
      <c r="E140" s="1">
        <v>45207</v>
      </c>
      <c r="F140" s="3">
        <v>45217</v>
      </c>
      <c r="G140" t="s">
        <v>62</v>
      </c>
      <c r="H140" t="s">
        <v>63</v>
      </c>
      <c r="I140" t="s">
        <v>58</v>
      </c>
      <c r="J140">
        <v>10136.790000000001</v>
      </c>
      <c r="K140">
        <v>10</v>
      </c>
      <c r="L140" t="s">
        <v>24</v>
      </c>
      <c r="M140" t="s">
        <v>25</v>
      </c>
      <c r="N140" t="s">
        <v>44</v>
      </c>
      <c r="O140" t="s">
        <v>49</v>
      </c>
      <c r="P140" t="s">
        <v>50</v>
      </c>
      <c r="Q140">
        <v>5</v>
      </c>
      <c r="R140">
        <v>3099.77</v>
      </c>
      <c r="S140" t="s">
        <v>29</v>
      </c>
    </row>
    <row r="141" spans="1:19" x14ac:dyDescent="0.3">
      <c r="A141" t="s">
        <v>211</v>
      </c>
      <c r="B141">
        <v>45</v>
      </c>
      <c r="C141" t="s">
        <v>31</v>
      </c>
      <c r="D141" t="s">
        <v>32</v>
      </c>
      <c r="E141" s="1">
        <v>45885</v>
      </c>
      <c r="F141" s="3">
        <v>45897</v>
      </c>
      <c r="G141" t="s">
        <v>71</v>
      </c>
      <c r="H141" t="s">
        <v>72</v>
      </c>
      <c r="I141" t="s">
        <v>35</v>
      </c>
      <c r="J141">
        <v>5325.26</v>
      </c>
      <c r="K141">
        <v>12</v>
      </c>
      <c r="L141" t="s">
        <v>24</v>
      </c>
      <c r="M141" t="s">
        <v>25</v>
      </c>
      <c r="N141" t="s">
        <v>44</v>
      </c>
      <c r="O141" t="s">
        <v>56</v>
      </c>
      <c r="P141" t="s">
        <v>50</v>
      </c>
      <c r="Q141">
        <v>13</v>
      </c>
      <c r="R141">
        <v>936.55</v>
      </c>
      <c r="S141" t="s">
        <v>29</v>
      </c>
    </row>
    <row r="142" spans="1:19" x14ac:dyDescent="0.3">
      <c r="A142" t="s">
        <v>212</v>
      </c>
      <c r="B142">
        <v>55</v>
      </c>
      <c r="C142" t="s">
        <v>19</v>
      </c>
      <c r="D142" t="s">
        <v>79</v>
      </c>
      <c r="E142" s="1">
        <v>45091</v>
      </c>
      <c r="F142" s="3">
        <v>45105</v>
      </c>
      <c r="G142" t="s">
        <v>67</v>
      </c>
      <c r="H142" t="s">
        <v>42</v>
      </c>
      <c r="I142" t="s">
        <v>83</v>
      </c>
      <c r="J142">
        <v>9794.9500000000007</v>
      </c>
      <c r="K142">
        <v>14</v>
      </c>
      <c r="L142" t="s">
        <v>24</v>
      </c>
      <c r="M142" t="s">
        <v>25</v>
      </c>
      <c r="N142" t="s">
        <v>26</v>
      </c>
      <c r="O142" t="s">
        <v>27</v>
      </c>
      <c r="P142" t="s">
        <v>45</v>
      </c>
      <c r="Q142">
        <v>9</v>
      </c>
      <c r="R142">
        <v>3270.4</v>
      </c>
      <c r="S142" t="s">
        <v>39</v>
      </c>
    </row>
    <row r="143" spans="1:19" x14ac:dyDescent="0.3">
      <c r="A143" t="s">
        <v>213</v>
      </c>
      <c r="B143">
        <v>36</v>
      </c>
      <c r="C143" t="s">
        <v>19</v>
      </c>
      <c r="D143" t="s">
        <v>20</v>
      </c>
      <c r="E143" s="1">
        <v>45219</v>
      </c>
      <c r="F143" s="3">
        <v>45246</v>
      </c>
      <c r="G143" t="s">
        <v>41</v>
      </c>
      <c r="H143" t="s">
        <v>42</v>
      </c>
      <c r="I143" t="s">
        <v>54</v>
      </c>
      <c r="J143">
        <v>20464.099999999999</v>
      </c>
      <c r="K143">
        <v>27</v>
      </c>
      <c r="L143" t="s">
        <v>36</v>
      </c>
      <c r="M143" t="s">
        <v>25</v>
      </c>
      <c r="N143" t="s">
        <v>26</v>
      </c>
      <c r="O143" t="s">
        <v>49</v>
      </c>
      <c r="P143" t="s">
        <v>28</v>
      </c>
      <c r="Q143">
        <v>4</v>
      </c>
      <c r="R143">
        <v>5941.35</v>
      </c>
      <c r="S143" t="s">
        <v>29</v>
      </c>
    </row>
    <row r="144" spans="1:19" x14ac:dyDescent="0.3">
      <c r="A144" t="s">
        <v>214</v>
      </c>
      <c r="B144">
        <v>65</v>
      </c>
      <c r="C144" t="s">
        <v>31</v>
      </c>
      <c r="D144" t="s">
        <v>61</v>
      </c>
      <c r="E144" s="1">
        <v>45160</v>
      </c>
      <c r="F144" s="3">
        <v>45175</v>
      </c>
      <c r="G144" t="s">
        <v>93</v>
      </c>
      <c r="H144" t="s">
        <v>72</v>
      </c>
      <c r="I144" t="s">
        <v>58</v>
      </c>
      <c r="J144">
        <v>10987.18</v>
      </c>
      <c r="K144">
        <v>15</v>
      </c>
      <c r="L144" t="s">
        <v>36</v>
      </c>
      <c r="M144" t="s">
        <v>25</v>
      </c>
      <c r="N144" t="s">
        <v>26</v>
      </c>
      <c r="O144" t="s">
        <v>56</v>
      </c>
      <c r="P144" t="s">
        <v>38</v>
      </c>
      <c r="Q144">
        <v>10</v>
      </c>
      <c r="R144">
        <v>3611</v>
      </c>
      <c r="S144" t="s">
        <v>29</v>
      </c>
    </row>
    <row r="145" spans="1:19" x14ac:dyDescent="0.3">
      <c r="A145" t="s">
        <v>215</v>
      </c>
      <c r="B145">
        <v>39</v>
      </c>
      <c r="C145" t="s">
        <v>31</v>
      </c>
      <c r="D145" t="s">
        <v>89</v>
      </c>
      <c r="E145" s="1">
        <v>45632</v>
      </c>
      <c r="F145" s="3">
        <v>45645</v>
      </c>
      <c r="G145" t="s">
        <v>41</v>
      </c>
      <c r="H145" t="s">
        <v>42</v>
      </c>
      <c r="I145" t="s">
        <v>91</v>
      </c>
      <c r="J145">
        <v>10680.91</v>
      </c>
      <c r="K145">
        <v>13</v>
      </c>
      <c r="L145" t="s">
        <v>36</v>
      </c>
      <c r="M145" t="s">
        <v>25</v>
      </c>
      <c r="N145" t="s">
        <v>44</v>
      </c>
      <c r="O145" t="s">
        <v>56</v>
      </c>
      <c r="P145" t="s">
        <v>38</v>
      </c>
      <c r="Q145">
        <v>13</v>
      </c>
      <c r="R145">
        <v>1929.52</v>
      </c>
      <c r="S145" t="s">
        <v>29</v>
      </c>
    </row>
    <row r="146" spans="1:19" x14ac:dyDescent="0.3">
      <c r="A146" t="s">
        <v>216</v>
      </c>
      <c r="B146">
        <v>60</v>
      </c>
      <c r="C146" t="s">
        <v>19</v>
      </c>
      <c r="D146" t="s">
        <v>32</v>
      </c>
      <c r="E146" s="1">
        <v>44988</v>
      </c>
      <c r="F146" s="3">
        <v>44996</v>
      </c>
      <c r="G146" t="s">
        <v>52</v>
      </c>
      <c r="H146" t="s">
        <v>53</v>
      </c>
      <c r="I146" t="s">
        <v>43</v>
      </c>
      <c r="J146">
        <v>2030.27</v>
      </c>
      <c r="K146">
        <v>8</v>
      </c>
      <c r="L146" t="s">
        <v>24</v>
      </c>
      <c r="M146" t="s">
        <v>59</v>
      </c>
      <c r="N146" t="s">
        <v>26</v>
      </c>
      <c r="O146" t="s">
        <v>56</v>
      </c>
      <c r="P146" t="s">
        <v>28</v>
      </c>
      <c r="Q146">
        <v>6</v>
      </c>
      <c r="R146">
        <v>445.65</v>
      </c>
      <c r="S146" t="s">
        <v>29</v>
      </c>
    </row>
    <row r="147" spans="1:19" x14ac:dyDescent="0.3">
      <c r="A147" t="s">
        <v>217</v>
      </c>
      <c r="B147">
        <v>61</v>
      </c>
      <c r="C147" t="s">
        <v>31</v>
      </c>
      <c r="D147" t="s">
        <v>47</v>
      </c>
      <c r="E147" s="1">
        <v>44964</v>
      </c>
      <c r="F147" s="3">
        <v>44980</v>
      </c>
      <c r="G147" t="s">
        <v>74</v>
      </c>
      <c r="H147" t="s">
        <v>75</v>
      </c>
      <c r="I147" t="s">
        <v>35</v>
      </c>
      <c r="J147">
        <v>7456.65</v>
      </c>
      <c r="K147">
        <v>16</v>
      </c>
      <c r="L147" t="s">
        <v>24</v>
      </c>
      <c r="M147" t="s">
        <v>25</v>
      </c>
      <c r="N147" t="s">
        <v>55</v>
      </c>
      <c r="O147" t="s">
        <v>37</v>
      </c>
      <c r="P147" t="s">
        <v>28</v>
      </c>
      <c r="Q147">
        <v>10</v>
      </c>
      <c r="R147">
        <v>2564.4299999999998</v>
      </c>
      <c r="S147" t="s">
        <v>29</v>
      </c>
    </row>
    <row r="148" spans="1:19" x14ac:dyDescent="0.3">
      <c r="A148" t="s">
        <v>218</v>
      </c>
      <c r="B148">
        <v>19</v>
      </c>
      <c r="C148" t="s">
        <v>19</v>
      </c>
      <c r="D148" t="s">
        <v>20</v>
      </c>
      <c r="E148" s="1">
        <v>45667</v>
      </c>
      <c r="F148" s="3">
        <v>45690</v>
      </c>
      <c r="G148" t="s">
        <v>93</v>
      </c>
      <c r="H148" t="s">
        <v>72</v>
      </c>
      <c r="I148" t="s">
        <v>35</v>
      </c>
      <c r="J148">
        <v>10549.89</v>
      </c>
      <c r="K148">
        <v>23</v>
      </c>
      <c r="L148" t="s">
        <v>24</v>
      </c>
      <c r="M148" t="s">
        <v>25</v>
      </c>
      <c r="N148" t="s">
        <v>44</v>
      </c>
      <c r="O148" t="s">
        <v>49</v>
      </c>
      <c r="P148" t="s">
        <v>28</v>
      </c>
      <c r="Q148">
        <v>13</v>
      </c>
      <c r="R148">
        <v>1612.49</v>
      </c>
      <c r="S148" t="s">
        <v>29</v>
      </c>
    </row>
    <row r="149" spans="1:19" x14ac:dyDescent="0.3">
      <c r="A149" t="s">
        <v>219</v>
      </c>
      <c r="B149">
        <v>20</v>
      </c>
      <c r="C149" t="s">
        <v>19</v>
      </c>
      <c r="D149" t="s">
        <v>79</v>
      </c>
      <c r="E149" s="1">
        <v>45595</v>
      </c>
      <c r="F149" s="3">
        <v>45623</v>
      </c>
      <c r="G149" t="s">
        <v>62</v>
      </c>
      <c r="H149" t="s">
        <v>63</v>
      </c>
      <c r="I149" t="s">
        <v>58</v>
      </c>
      <c r="J149">
        <v>22432.18</v>
      </c>
      <c r="K149">
        <v>28</v>
      </c>
      <c r="L149" t="s">
        <v>24</v>
      </c>
      <c r="M149" t="s">
        <v>25</v>
      </c>
      <c r="N149" t="s">
        <v>44</v>
      </c>
      <c r="O149" t="s">
        <v>49</v>
      </c>
      <c r="P149" t="s">
        <v>50</v>
      </c>
      <c r="Q149">
        <v>11</v>
      </c>
      <c r="R149">
        <v>7148.37</v>
      </c>
      <c r="S149" t="s">
        <v>29</v>
      </c>
    </row>
    <row r="150" spans="1:19" x14ac:dyDescent="0.3">
      <c r="A150" t="s">
        <v>220</v>
      </c>
      <c r="B150">
        <v>41</v>
      </c>
      <c r="C150" t="s">
        <v>19</v>
      </c>
      <c r="D150" t="s">
        <v>32</v>
      </c>
      <c r="E150" s="1">
        <v>45572</v>
      </c>
      <c r="F150" s="3">
        <v>45590</v>
      </c>
      <c r="G150" t="s">
        <v>74</v>
      </c>
      <c r="H150" t="s">
        <v>75</v>
      </c>
      <c r="I150" t="s">
        <v>54</v>
      </c>
      <c r="J150">
        <v>11447.86</v>
      </c>
      <c r="K150">
        <v>18</v>
      </c>
      <c r="L150" t="s">
        <v>24</v>
      </c>
      <c r="M150" t="s">
        <v>25</v>
      </c>
      <c r="N150" t="s">
        <v>55</v>
      </c>
      <c r="O150" t="s">
        <v>56</v>
      </c>
      <c r="P150" t="s">
        <v>38</v>
      </c>
      <c r="Q150">
        <v>9</v>
      </c>
      <c r="R150">
        <v>3721.77</v>
      </c>
      <c r="S150" t="s">
        <v>29</v>
      </c>
    </row>
    <row r="151" spans="1:19" x14ac:dyDescent="0.3">
      <c r="A151" t="s">
        <v>221</v>
      </c>
      <c r="B151">
        <v>69</v>
      </c>
      <c r="C151" t="s">
        <v>19</v>
      </c>
      <c r="D151" t="s">
        <v>47</v>
      </c>
      <c r="E151" s="1">
        <v>45414</v>
      </c>
      <c r="F151" s="3">
        <v>45434</v>
      </c>
      <c r="G151" t="s">
        <v>41</v>
      </c>
      <c r="H151" t="s">
        <v>42</v>
      </c>
      <c r="I151" t="s">
        <v>83</v>
      </c>
      <c r="J151">
        <v>15725.39</v>
      </c>
      <c r="K151">
        <v>20</v>
      </c>
      <c r="L151" t="s">
        <v>36</v>
      </c>
      <c r="M151" t="s">
        <v>25</v>
      </c>
      <c r="N151" t="s">
        <v>44</v>
      </c>
      <c r="O151" t="s">
        <v>56</v>
      </c>
      <c r="P151" t="s">
        <v>38</v>
      </c>
      <c r="Q151">
        <v>1</v>
      </c>
      <c r="R151">
        <v>5567.33</v>
      </c>
      <c r="S151" t="s">
        <v>39</v>
      </c>
    </row>
    <row r="152" spans="1:19" x14ac:dyDescent="0.3">
      <c r="A152" t="s">
        <v>222</v>
      </c>
      <c r="B152">
        <v>69</v>
      </c>
      <c r="C152" t="s">
        <v>19</v>
      </c>
      <c r="D152" t="s">
        <v>66</v>
      </c>
      <c r="E152" s="1">
        <v>45432</v>
      </c>
      <c r="F152" s="3">
        <v>45449</v>
      </c>
      <c r="G152" t="s">
        <v>71</v>
      </c>
      <c r="H152" t="s">
        <v>72</v>
      </c>
      <c r="I152" t="s">
        <v>43</v>
      </c>
      <c r="J152">
        <v>5278.34</v>
      </c>
      <c r="K152">
        <v>17</v>
      </c>
      <c r="L152" t="s">
        <v>36</v>
      </c>
      <c r="M152" t="s">
        <v>59</v>
      </c>
      <c r="N152" t="s">
        <v>26</v>
      </c>
      <c r="O152" t="s">
        <v>37</v>
      </c>
      <c r="P152" t="s">
        <v>28</v>
      </c>
      <c r="Q152">
        <v>6</v>
      </c>
      <c r="R152">
        <v>1538.94</v>
      </c>
      <c r="S152" t="s">
        <v>39</v>
      </c>
    </row>
    <row r="153" spans="1:19" x14ac:dyDescent="0.3">
      <c r="A153" t="s">
        <v>223</v>
      </c>
      <c r="B153">
        <v>31</v>
      </c>
      <c r="C153" t="s">
        <v>19</v>
      </c>
      <c r="D153" t="s">
        <v>66</v>
      </c>
      <c r="E153" s="1">
        <v>45655</v>
      </c>
      <c r="F153" s="3">
        <v>45663</v>
      </c>
      <c r="G153" t="s">
        <v>21</v>
      </c>
      <c r="H153" t="s">
        <v>22</v>
      </c>
      <c r="I153" t="s">
        <v>91</v>
      </c>
      <c r="J153">
        <v>11814.13</v>
      </c>
      <c r="K153">
        <v>8</v>
      </c>
      <c r="L153" t="s">
        <v>24</v>
      </c>
      <c r="M153" t="s">
        <v>25</v>
      </c>
      <c r="N153" t="s">
        <v>44</v>
      </c>
      <c r="O153" t="s">
        <v>49</v>
      </c>
      <c r="P153" t="s">
        <v>50</v>
      </c>
      <c r="Q153">
        <v>1</v>
      </c>
      <c r="R153">
        <v>4346.72</v>
      </c>
      <c r="S153" t="s">
        <v>29</v>
      </c>
    </row>
    <row r="154" spans="1:19" x14ac:dyDescent="0.3">
      <c r="A154" t="s">
        <v>224</v>
      </c>
      <c r="B154">
        <v>46</v>
      </c>
      <c r="C154" t="s">
        <v>31</v>
      </c>
      <c r="D154" t="s">
        <v>20</v>
      </c>
      <c r="E154" s="1">
        <v>45194</v>
      </c>
      <c r="F154" s="3">
        <v>45210</v>
      </c>
      <c r="G154" t="s">
        <v>21</v>
      </c>
      <c r="H154" t="s">
        <v>22</v>
      </c>
      <c r="I154" t="s">
        <v>23</v>
      </c>
      <c r="J154">
        <v>6558.07</v>
      </c>
      <c r="K154">
        <v>16</v>
      </c>
      <c r="L154" t="s">
        <v>36</v>
      </c>
      <c r="M154" t="s">
        <v>25</v>
      </c>
      <c r="N154" t="s">
        <v>26</v>
      </c>
      <c r="O154" t="s">
        <v>56</v>
      </c>
      <c r="P154" t="s">
        <v>50</v>
      </c>
      <c r="Q154">
        <v>11</v>
      </c>
      <c r="R154">
        <v>2061.4499999999998</v>
      </c>
      <c r="S154" t="s">
        <v>29</v>
      </c>
    </row>
    <row r="155" spans="1:19" x14ac:dyDescent="0.3">
      <c r="A155" t="s">
        <v>225</v>
      </c>
      <c r="B155">
        <v>45</v>
      </c>
      <c r="C155" t="s">
        <v>31</v>
      </c>
      <c r="D155" t="s">
        <v>20</v>
      </c>
      <c r="E155" s="1">
        <v>45733</v>
      </c>
      <c r="F155" s="3">
        <v>45745</v>
      </c>
      <c r="G155" t="s">
        <v>71</v>
      </c>
      <c r="H155" t="s">
        <v>72</v>
      </c>
      <c r="I155" t="s">
        <v>43</v>
      </c>
      <c r="J155">
        <v>9024.09</v>
      </c>
      <c r="K155">
        <v>12</v>
      </c>
      <c r="L155" t="s">
        <v>24</v>
      </c>
      <c r="M155" t="s">
        <v>25</v>
      </c>
      <c r="N155" t="s">
        <v>44</v>
      </c>
      <c r="O155" t="s">
        <v>37</v>
      </c>
      <c r="P155" t="s">
        <v>38</v>
      </c>
      <c r="Q155">
        <v>12</v>
      </c>
      <c r="R155">
        <v>2848.94</v>
      </c>
      <c r="S155" t="s">
        <v>29</v>
      </c>
    </row>
    <row r="156" spans="1:19" x14ac:dyDescent="0.3">
      <c r="A156" t="s">
        <v>226</v>
      </c>
      <c r="B156">
        <v>32</v>
      </c>
      <c r="C156" t="s">
        <v>31</v>
      </c>
      <c r="D156" t="s">
        <v>89</v>
      </c>
      <c r="E156" s="1">
        <v>45146</v>
      </c>
      <c r="F156" s="3">
        <v>45166</v>
      </c>
      <c r="G156" t="s">
        <v>48</v>
      </c>
      <c r="H156" t="s">
        <v>22</v>
      </c>
      <c r="I156" t="s">
        <v>43</v>
      </c>
      <c r="J156">
        <v>13249.36</v>
      </c>
      <c r="K156">
        <v>20</v>
      </c>
      <c r="L156" t="s">
        <v>24</v>
      </c>
      <c r="M156" t="s">
        <v>25</v>
      </c>
      <c r="N156" t="s">
        <v>26</v>
      </c>
      <c r="O156" t="s">
        <v>56</v>
      </c>
      <c r="P156" t="s">
        <v>28</v>
      </c>
      <c r="Q156">
        <v>11</v>
      </c>
      <c r="R156">
        <v>4463.3999999999996</v>
      </c>
      <c r="S156" t="s">
        <v>29</v>
      </c>
    </row>
    <row r="157" spans="1:19" x14ac:dyDescent="0.3">
      <c r="A157" t="s">
        <v>227</v>
      </c>
      <c r="B157">
        <v>33</v>
      </c>
      <c r="C157" t="s">
        <v>31</v>
      </c>
      <c r="D157" t="s">
        <v>66</v>
      </c>
      <c r="E157" s="1">
        <v>45849</v>
      </c>
      <c r="F157" s="3">
        <v>45858</v>
      </c>
      <c r="G157" t="s">
        <v>52</v>
      </c>
      <c r="H157" t="s">
        <v>53</v>
      </c>
      <c r="I157" t="s">
        <v>54</v>
      </c>
      <c r="J157">
        <v>12513.91</v>
      </c>
      <c r="K157">
        <v>9</v>
      </c>
      <c r="L157" t="s">
        <v>36</v>
      </c>
      <c r="M157" t="s">
        <v>25</v>
      </c>
      <c r="N157" t="s">
        <v>55</v>
      </c>
      <c r="O157" t="s">
        <v>49</v>
      </c>
      <c r="P157" t="s">
        <v>28</v>
      </c>
      <c r="Q157">
        <v>10</v>
      </c>
      <c r="R157">
        <v>4980.3599999999997</v>
      </c>
      <c r="S157" t="s">
        <v>29</v>
      </c>
    </row>
    <row r="158" spans="1:19" x14ac:dyDescent="0.3">
      <c r="A158" t="s">
        <v>228</v>
      </c>
      <c r="B158">
        <v>68</v>
      </c>
      <c r="C158" t="s">
        <v>19</v>
      </c>
      <c r="D158" t="s">
        <v>70</v>
      </c>
      <c r="E158" s="1">
        <v>45275</v>
      </c>
      <c r="F158" s="3">
        <v>45278</v>
      </c>
      <c r="G158" t="s">
        <v>62</v>
      </c>
      <c r="H158" t="s">
        <v>63</v>
      </c>
      <c r="I158" t="s">
        <v>81</v>
      </c>
      <c r="J158">
        <v>1057.42</v>
      </c>
      <c r="K158">
        <v>3</v>
      </c>
      <c r="L158" t="s">
        <v>36</v>
      </c>
      <c r="M158" t="s">
        <v>25</v>
      </c>
      <c r="N158" t="s">
        <v>44</v>
      </c>
      <c r="O158" t="s">
        <v>27</v>
      </c>
      <c r="P158" t="s">
        <v>28</v>
      </c>
      <c r="Q158">
        <v>3</v>
      </c>
      <c r="R158">
        <v>383.49</v>
      </c>
      <c r="S158" t="s">
        <v>29</v>
      </c>
    </row>
    <row r="159" spans="1:19" x14ac:dyDescent="0.3">
      <c r="A159" t="s">
        <v>229</v>
      </c>
      <c r="B159">
        <v>37</v>
      </c>
      <c r="C159" t="s">
        <v>19</v>
      </c>
      <c r="D159" t="s">
        <v>61</v>
      </c>
      <c r="E159" s="1">
        <v>45625</v>
      </c>
      <c r="F159" s="3">
        <v>45635</v>
      </c>
      <c r="G159" t="s">
        <v>67</v>
      </c>
      <c r="H159" t="s">
        <v>42</v>
      </c>
      <c r="I159" t="s">
        <v>91</v>
      </c>
      <c r="J159">
        <v>12248.38</v>
      </c>
      <c r="K159">
        <v>10</v>
      </c>
      <c r="L159" t="s">
        <v>24</v>
      </c>
      <c r="M159" t="s">
        <v>25</v>
      </c>
      <c r="N159" t="s">
        <v>26</v>
      </c>
      <c r="O159" t="s">
        <v>49</v>
      </c>
      <c r="P159" t="s">
        <v>50</v>
      </c>
      <c r="Q159">
        <v>6</v>
      </c>
      <c r="R159">
        <v>4668.0200000000004</v>
      </c>
      <c r="S159" t="s">
        <v>29</v>
      </c>
    </row>
    <row r="160" spans="1:19" x14ac:dyDescent="0.3">
      <c r="A160" t="s">
        <v>230</v>
      </c>
      <c r="B160">
        <v>66</v>
      </c>
      <c r="C160" t="s">
        <v>19</v>
      </c>
      <c r="D160" t="s">
        <v>61</v>
      </c>
      <c r="E160" s="1">
        <v>45914</v>
      </c>
      <c r="F160" s="3">
        <v>45934</v>
      </c>
      <c r="G160" t="s">
        <v>67</v>
      </c>
      <c r="H160" t="s">
        <v>42</v>
      </c>
      <c r="I160" t="s">
        <v>58</v>
      </c>
      <c r="J160">
        <v>13034.23</v>
      </c>
      <c r="K160">
        <v>20</v>
      </c>
      <c r="L160" t="s">
        <v>36</v>
      </c>
      <c r="M160" t="s">
        <v>25</v>
      </c>
      <c r="N160" t="s">
        <v>26</v>
      </c>
      <c r="O160" t="s">
        <v>49</v>
      </c>
      <c r="P160" t="s">
        <v>50</v>
      </c>
      <c r="Q160">
        <v>6</v>
      </c>
      <c r="R160">
        <v>3102.86</v>
      </c>
      <c r="S160" t="s">
        <v>29</v>
      </c>
    </row>
    <row r="161" spans="1:19" x14ac:dyDescent="0.3">
      <c r="A161" t="s">
        <v>231</v>
      </c>
      <c r="B161">
        <v>87</v>
      </c>
      <c r="C161" t="s">
        <v>19</v>
      </c>
      <c r="D161" t="s">
        <v>66</v>
      </c>
      <c r="E161" s="1">
        <v>45110</v>
      </c>
      <c r="F161" s="3">
        <v>45125</v>
      </c>
      <c r="G161" t="s">
        <v>33</v>
      </c>
      <c r="H161" t="s">
        <v>34</v>
      </c>
      <c r="I161" t="s">
        <v>81</v>
      </c>
      <c r="J161">
        <v>14223.07</v>
      </c>
      <c r="K161">
        <v>15</v>
      </c>
      <c r="L161" t="s">
        <v>24</v>
      </c>
      <c r="M161" t="s">
        <v>25</v>
      </c>
      <c r="N161" t="s">
        <v>44</v>
      </c>
      <c r="O161" t="s">
        <v>49</v>
      </c>
      <c r="P161" t="s">
        <v>38</v>
      </c>
      <c r="Q161">
        <v>1</v>
      </c>
      <c r="R161">
        <v>2276.86</v>
      </c>
      <c r="S161" t="s">
        <v>29</v>
      </c>
    </row>
    <row r="162" spans="1:19" x14ac:dyDescent="0.3">
      <c r="A162" t="s">
        <v>232</v>
      </c>
      <c r="B162">
        <v>75</v>
      </c>
      <c r="C162" t="s">
        <v>31</v>
      </c>
      <c r="D162" t="s">
        <v>32</v>
      </c>
      <c r="E162" s="1">
        <v>45221</v>
      </c>
      <c r="F162" s="3">
        <v>45228</v>
      </c>
      <c r="G162" t="s">
        <v>21</v>
      </c>
      <c r="H162" t="s">
        <v>22</v>
      </c>
      <c r="I162" t="s">
        <v>83</v>
      </c>
      <c r="J162">
        <v>1959.37</v>
      </c>
      <c r="K162">
        <v>7</v>
      </c>
      <c r="L162" t="s">
        <v>24</v>
      </c>
      <c r="M162" t="s">
        <v>25</v>
      </c>
      <c r="N162" t="s">
        <v>26</v>
      </c>
      <c r="O162" t="s">
        <v>27</v>
      </c>
      <c r="P162" t="s">
        <v>50</v>
      </c>
      <c r="Q162">
        <v>10</v>
      </c>
      <c r="R162">
        <v>692.58</v>
      </c>
      <c r="S162" t="s">
        <v>29</v>
      </c>
    </row>
    <row r="163" spans="1:19" x14ac:dyDescent="0.3">
      <c r="A163" t="s">
        <v>233</v>
      </c>
      <c r="B163">
        <v>35</v>
      </c>
      <c r="C163" t="s">
        <v>31</v>
      </c>
      <c r="D163" t="s">
        <v>66</v>
      </c>
      <c r="E163" s="1">
        <v>45539</v>
      </c>
      <c r="F163" s="3">
        <v>45553</v>
      </c>
      <c r="G163" t="s">
        <v>62</v>
      </c>
      <c r="H163" t="s">
        <v>63</v>
      </c>
      <c r="I163" t="s">
        <v>23</v>
      </c>
      <c r="J163">
        <v>3027.28</v>
      </c>
      <c r="K163">
        <v>14</v>
      </c>
      <c r="L163" t="s">
        <v>36</v>
      </c>
      <c r="M163" t="s">
        <v>25</v>
      </c>
      <c r="N163" t="s">
        <v>26</v>
      </c>
      <c r="O163" t="s">
        <v>56</v>
      </c>
      <c r="P163" t="s">
        <v>50</v>
      </c>
      <c r="Q163">
        <v>12</v>
      </c>
      <c r="R163">
        <v>855.85</v>
      </c>
      <c r="S163" t="s">
        <v>29</v>
      </c>
    </row>
    <row r="164" spans="1:19" x14ac:dyDescent="0.3">
      <c r="A164" t="s">
        <v>234</v>
      </c>
      <c r="B164">
        <v>84</v>
      </c>
      <c r="C164" t="s">
        <v>31</v>
      </c>
      <c r="D164" t="s">
        <v>70</v>
      </c>
      <c r="E164" s="1">
        <v>45842</v>
      </c>
      <c r="F164" s="3">
        <v>45844</v>
      </c>
      <c r="G164" t="s">
        <v>62</v>
      </c>
      <c r="H164" t="s">
        <v>63</v>
      </c>
      <c r="I164" t="s">
        <v>58</v>
      </c>
      <c r="J164">
        <v>3084.06</v>
      </c>
      <c r="K164">
        <v>2</v>
      </c>
      <c r="L164" t="s">
        <v>24</v>
      </c>
      <c r="M164" t="s">
        <v>25</v>
      </c>
      <c r="N164" t="s">
        <v>55</v>
      </c>
      <c r="O164" t="s">
        <v>56</v>
      </c>
      <c r="P164" t="s">
        <v>50</v>
      </c>
      <c r="Q164">
        <v>1</v>
      </c>
      <c r="R164">
        <v>827.25</v>
      </c>
      <c r="S164" t="s">
        <v>29</v>
      </c>
    </row>
    <row r="165" spans="1:19" x14ac:dyDescent="0.3">
      <c r="A165" t="s">
        <v>235</v>
      </c>
      <c r="B165">
        <v>62</v>
      </c>
      <c r="C165" t="s">
        <v>19</v>
      </c>
      <c r="D165" t="s">
        <v>89</v>
      </c>
      <c r="E165" s="1">
        <v>45403</v>
      </c>
      <c r="F165" s="3">
        <v>45409</v>
      </c>
      <c r="G165" t="s">
        <v>48</v>
      </c>
      <c r="H165" t="s">
        <v>22</v>
      </c>
      <c r="I165" t="s">
        <v>54</v>
      </c>
      <c r="J165">
        <v>4606.88</v>
      </c>
      <c r="K165">
        <v>6</v>
      </c>
      <c r="L165" t="s">
        <v>36</v>
      </c>
      <c r="M165" t="s">
        <v>59</v>
      </c>
      <c r="N165" t="s">
        <v>55</v>
      </c>
      <c r="O165" t="s">
        <v>37</v>
      </c>
      <c r="P165" t="s">
        <v>50</v>
      </c>
      <c r="Q165">
        <v>6</v>
      </c>
      <c r="R165">
        <v>1230.71</v>
      </c>
      <c r="S165" t="s">
        <v>39</v>
      </c>
    </row>
    <row r="166" spans="1:19" x14ac:dyDescent="0.3">
      <c r="A166" t="s">
        <v>236</v>
      </c>
      <c r="B166">
        <v>55</v>
      </c>
      <c r="C166" t="s">
        <v>19</v>
      </c>
      <c r="D166" t="s">
        <v>20</v>
      </c>
      <c r="E166" s="1">
        <v>44967</v>
      </c>
      <c r="F166" s="3">
        <v>44981</v>
      </c>
      <c r="G166" t="s">
        <v>21</v>
      </c>
      <c r="H166" t="s">
        <v>22</v>
      </c>
      <c r="I166" t="s">
        <v>81</v>
      </c>
      <c r="J166">
        <v>9901.42</v>
      </c>
      <c r="K166">
        <v>14</v>
      </c>
      <c r="L166" t="s">
        <v>36</v>
      </c>
      <c r="M166" t="s">
        <v>25</v>
      </c>
      <c r="N166" t="s">
        <v>44</v>
      </c>
      <c r="O166" t="s">
        <v>49</v>
      </c>
      <c r="P166" t="s">
        <v>45</v>
      </c>
      <c r="Q166">
        <v>5</v>
      </c>
      <c r="R166">
        <v>3562.28</v>
      </c>
      <c r="S166" t="s">
        <v>39</v>
      </c>
    </row>
    <row r="167" spans="1:19" x14ac:dyDescent="0.3">
      <c r="A167" t="s">
        <v>237</v>
      </c>
      <c r="B167">
        <v>87</v>
      </c>
      <c r="C167" t="s">
        <v>31</v>
      </c>
      <c r="D167" t="s">
        <v>20</v>
      </c>
      <c r="E167" s="1">
        <v>45667</v>
      </c>
      <c r="F167" s="3">
        <v>45671</v>
      </c>
      <c r="G167" t="s">
        <v>71</v>
      </c>
      <c r="H167" t="s">
        <v>72</v>
      </c>
      <c r="I167" t="s">
        <v>81</v>
      </c>
      <c r="J167">
        <v>2411.2399999999998</v>
      </c>
      <c r="K167">
        <v>4</v>
      </c>
      <c r="L167" t="s">
        <v>24</v>
      </c>
      <c r="M167" t="s">
        <v>25</v>
      </c>
      <c r="N167" t="s">
        <v>55</v>
      </c>
      <c r="O167" t="s">
        <v>37</v>
      </c>
      <c r="P167" t="s">
        <v>28</v>
      </c>
      <c r="Q167">
        <v>15</v>
      </c>
      <c r="R167">
        <v>668</v>
      </c>
      <c r="S167" t="s">
        <v>39</v>
      </c>
    </row>
    <row r="168" spans="1:19" x14ac:dyDescent="0.3">
      <c r="A168" t="s">
        <v>238</v>
      </c>
      <c r="B168">
        <v>52</v>
      </c>
      <c r="C168" t="s">
        <v>19</v>
      </c>
      <c r="D168" t="s">
        <v>20</v>
      </c>
      <c r="E168" s="1">
        <v>45681</v>
      </c>
      <c r="F168" s="3">
        <v>45689</v>
      </c>
      <c r="G168" t="s">
        <v>62</v>
      </c>
      <c r="H168" t="s">
        <v>63</v>
      </c>
      <c r="I168" t="s">
        <v>35</v>
      </c>
      <c r="J168">
        <v>7338.7</v>
      </c>
      <c r="K168">
        <v>8</v>
      </c>
      <c r="L168" t="s">
        <v>36</v>
      </c>
      <c r="M168" t="s">
        <v>101</v>
      </c>
      <c r="N168" t="s">
        <v>26</v>
      </c>
      <c r="O168" t="s">
        <v>37</v>
      </c>
      <c r="P168" t="s">
        <v>45</v>
      </c>
      <c r="Q168">
        <v>6</v>
      </c>
      <c r="R168">
        <v>2602.8200000000002</v>
      </c>
      <c r="S168" t="s">
        <v>29</v>
      </c>
    </row>
    <row r="169" spans="1:19" x14ac:dyDescent="0.3">
      <c r="A169" t="s">
        <v>239</v>
      </c>
      <c r="B169">
        <v>66</v>
      </c>
      <c r="C169" t="s">
        <v>31</v>
      </c>
      <c r="D169" t="s">
        <v>66</v>
      </c>
      <c r="E169" s="1">
        <v>45781</v>
      </c>
      <c r="F169" s="3">
        <v>45800</v>
      </c>
      <c r="G169" t="s">
        <v>71</v>
      </c>
      <c r="H169" t="s">
        <v>72</v>
      </c>
      <c r="I169" t="s">
        <v>43</v>
      </c>
      <c r="J169">
        <v>16746.689999999999</v>
      </c>
      <c r="K169">
        <v>19</v>
      </c>
      <c r="L169" t="s">
        <v>24</v>
      </c>
      <c r="M169" t="s">
        <v>25</v>
      </c>
      <c r="N169" t="s">
        <v>55</v>
      </c>
      <c r="O169" t="s">
        <v>49</v>
      </c>
      <c r="P169" t="s">
        <v>28</v>
      </c>
      <c r="Q169">
        <v>14</v>
      </c>
      <c r="R169">
        <v>2723.84</v>
      </c>
      <c r="S169" t="s">
        <v>29</v>
      </c>
    </row>
    <row r="170" spans="1:19" x14ac:dyDescent="0.3">
      <c r="A170" t="s">
        <v>240</v>
      </c>
      <c r="B170">
        <v>51</v>
      </c>
      <c r="C170" t="s">
        <v>31</v>
      </c>
      <c r="D170" t="s">
        <v>66</v>
      </c>
      <c r="E170" s="1">
        <v>45809</v>
      </c>
      <c r="F170" s="3">
        <v>45826</v>
      </c>
      <c r="G170" t="s">
        <v>48</v>
      </c>
      <c r="H170" t="s">
        <v>22</v>
      </c>
      <c r="I170" t="s">
        <v>58</v>
      </c>
      <c r="J170">
        <v>16136.26</v>
      </c>
      <c r="K170">
        <v>17</v>
      </c>
      <c r="L170" t="s">
        <v>24</v>
      </c>
      <c r="M170" t="s">
        <v>59</v>
      </c>
      <c r="N170" t="s">
        <v>55</v>
      </c>
      <c r="O170" t="s">
        <v>49</v>
      </c>
      <c r="P170" t="s">
        <v>28</v>
      </c>
      <c r="Q170">
        <v>3</v>
      </c>
      <c r="R170">
        <v>5672.02</v>
      </c>
      <c r="S170" t="s">
        <v>39</v>
      </c>
    </row>
    <row r="171" spans="1:19" x14ac:dyDescent="0.3">
      <c r="A171" t="s">
        <v>241</v>
      </c>
      <c r="B171">
        <v>43</v>
      </c>
      <c r="C171" t="s">
        <v>31</v>
      </c>
      <c r="D171" t="s">
        <v>89</v>
      </c>
      <c r="E171" s="1">
        <v>45297</v>
      </c>
      <c r="F171" s="3">
        <v>45301</v>
      </c>
      <c r="G171" t="s">
        <v>52</v>
      </c>
      <c r="H171" t="s">
        <v>53</v>
      </c>
      <c r="I171" t="s">
        <v>35</v>
      </c>
      <c r="J171">
        <v>2959.73</v>
      </c>
      <c r="K171">
        <v>4</v>
      </c>
      <c r="L171" t="s">
        <v>36</v>
      </c>
      <c r="M171" t="s">
        <v>25</v>
      </c>
      <c r="N171" t="s">
        <v>26</v>
      </c>
      <c r="O171" t="s">
        <v>27</v>
      </c>
      <c r="P171" t="s">
        <v>38</v>
      </c>
      <c r="Q171">
        <v>4</v>
      </c>
      <c r="R171">
        <v>637.4</v>
      </c>
      <c r="S171" t="s">
        <v>29</v>
      </c>
    </row>
    <row r="172" spans="1:19" x14ac:dyDescent="0.3">
      <c r="A172" t="s">
        <v>242</v>
      </c>
      <c r="B172">
        <v>72</v>
      </c>
      <c r="C172" t="s">
        <v>19</v>
      </c>
      <c r="D172" t="s">
        <v>32</v>
      </c>
      <c r="E172" s="1">
        <v>45841</v>
      </c>
      <c r="F172" s="3">
        <v>45852</v>
      </c>
      <c r="G172" t="s">
        <v>33</v>
      </c>
      <c r="H172" t="s">
        <v>34</v>
      </c>
      <c r="I172" t="s">
        <v>54</v>
      </c>
      <c r="J172">
        <v>6416.6</v>
      </c>
      <c r="K172">
        <v>11</v>
      </c>
      <c r="L172" t="s">
        <v>24</v>
      </c>
      <c r="M172" t="s">
        <v>25</v>
      </c>
      <c r="N172" t="s">
        <v>44</v>
      </c>
      <c r="O172" t="s">
        <v>37</v>
      </c>
      <c r="P172" t="s">
        <v>28</v>
      </c>
      <c r="Q172">
        <v>14</v>
      </c>
      <c r="R172">
        <v>1869.64</v>
      </c>
      <c r="S172" t="s">
        <v>29</v>
      </c>
    </row>
    <row r="173" spans="1:19" x14ac:dyDescent="0.3">
      <c r="A173" t="s">
        <v>243</v>
      </c>
      <c r="B173">
        <v>54</v>
      </c>
      <c r="C173" t="s">
        <v>31</v>
      </c>
      <c r="D173" t="s">
        <v>61</v>
      </c>
      <c r="E173" s="1">
        <v>45675</v>
      </c>
      <c r="F173" s="3">
        <v>45682</v>
      </c>
      <c r="G173" t="s">
        <v>21</v>
      </c>
      <c r="H173" t="s">
        <v>22</v>
      </c>
      <c r="I173" t="s">
        <v>43</v>
      </c>
      <c r="J173">
        <v>2830.87</v>
      </c>
      <c r="K173">
        <v>7</v>
      </c>
      <c r="L173" t="s">
        <v>24</v>
      </c>
      <c r="M173" t="s">
        <v>25</v>
      </c>
      <c r="N173" t="s">
        <v>44</v>
      </c>
      <c r="O173" t="s">
        <v>56</v>
      </c>
      <c r="P173" t="s">
        <v>50</v>
      </c>
      <c r="Q173">
        <v>4</v>
      </c>
      <c r="R173">
        <v>1078.32</v>
      </c>
      <c r="S173" t="s">
        <v>29</v>
      </c>
    </row>
    <row r="174" spans="1:19" x14ac:dyDescent="0.3">
      <c r="A174" t="s">
        <v>244</v>
      </c>
      <c r="B174">
        <v>88</v>
      </c>
      <c r="C174" t="s">
        <v>19</v>
      </c>
      <c r="D174" t="s">
        <v>79</v>
      </c>
      <c r="E174" s="1">
        <v>45355</v>
      </c>
      <c r="F174" s="3">
        <v>45363</v>
      </c>
      <c r="G174" t="s">
        <v>21</v>
      </c>
      <c r="H174" t="s">
        <v>22</v>
      </c>
      <c r="I174" t="s">
        <v>81</v>
      </c>
      <c r="J174">
        <v>6219.8</v>
      </c>
      <c r="K174">
        <v>8</v>
      </c>
      <c r="L174" t="s">
        <v>36</v>
      </c>
      <c r="M174" t="s">
        <v>25</v>
      </c>
      <c r="N174" t="s">
        <v>26</v>
      </c>
      <c r="O174" t="s">
        <v>27</v>
      </c>
      <c r="P174" t="s">
        <v>50</v>
      </c>
      <c r="Q174">
        <v>11</v>
      </c>
      <c r="R174">
        <v>939.6</v>
      </c>
      <c r="S174" t="s">
        <v>29</v>
      </c>
    </row>
    <row r="175" spans="1:19" x14ac:dyDescent="0.3">
      <c r="A175" t="s">
        <v>245</v>
      </c>
      <c r="B175">
        <v>18</v>
      </c>
      <c r="C175" t="s">
        <v>19</v>
      </c>
      <c r="D175" t="s">
        <v>70</v>
      </c>
      <c r="E175" s="1">
        <v>45502</v>
      </c>
      <c r="F175" s="3">
        <v>45503</v>
      </c>
      <c r="G175" t="s">
        <v>67</v>
      </c>
      <c r="H175" t="s">
        <v>42</v>
      </c>
      <c r="I175" t="s">
        <v>54</v>
      </c>
      <c r="J175">
        <v>1398.16</v>
      </c>
      <c r="K175">
        <v>1</v>
      </c>
      <c r="L175" t="s">
        <v>24</v>
      </c>
      <c r="M175" t="s">
        <v>25</v>
      </c>
      <c r="N175" t="s">
        <v>44</v>
      </c>
      <c r="O175" t="s">
        <v>37</v>
      </c>
      <c r="P175" t="s">
        <v>45</v>
      </c>
      <c r="Q175">
        <v>11</v>
      </c>
      <c r="R175">
        <v>303.5</v>
      </c>
      <c r="S175" t="s">
        <v>29</v>
      </c>
    </row>
    <row r="176" spans="1:19" x14ac:dyDescent="0.3">
      <c r="A176" t="s">
        <v>246</v>
      </c>
      <c r="B176">
        <v>30</v>
      </c>
      <c r="C176" t="s">
        <v>31</v>
      </c>
      <c r="D176" t="s">
        <v>61</v>
      </c>
      <c r="E176" s="1">
        <v>45631</v>
      </c>
      <c r="F176" s="3">
        <v>45649</v>
      </c>
      <c r="G176" t="s">
        <v>33</v>
      </c>
      <c r="H176" t="s">
        <v>34</v>
      </c>
      <c r="I176" t="s">
        <v>58</v>
      </c>
      <c r="J176">
        <v>5532.43</v>
      </c>
      <c r="K176">
        <v>18</v>
      </c>
      <c r="L176" t="s">
        <v>36</v>
      </c>
      <c r="M176" t="s">
        <v>25</v>
      </c>
      <c r="N176" t="s">
        <v>44</v>
      </c>
      <c r="O176" t="s">
        <v>56</v>
      </c>
      <c r="P176" t="s">
        <v>45</v>
      </c>
      <c r="Q176">
        <v>6</v>
      </c>
      <c r="R176">
        <v>1352.21</v>
      </c>
      <c r="S176" t="s">
        <v>39</v>
      </c>
    </row>
    <row r="177" spans="1:19" x14ac:dyDescent="0.3">
      <c r="A177" t="s">
        <v>247</v>
      </c>
      <c r="B177">
        <v>56</v>
      </c>
      <c r="C177" t="s">
        <v>31</v>
      </c>
      <c r="D177" t="s">
        <v>32</v>
      </c>
      <c r="E177" s="1">
        <v>45082</v>
      </c>
      <c r="F177" s="3">
        <v>45084</v>
      </c>
      <c r="G177" t="s">
        <v>33</v>
      </c>
      <c r="H177" t="s">
        <v>34</v>
      </c>
      <c r="I177" t="s">
        <v>81</v>
      </c>
      <c r="J177">
        <v>4259.41</v>
      </c>
      <c r="K177">
        <v>2</v>
      </c>
      <c r="L177" t="s">
        <v>36</v>
      </c>
      <c r="M177" t="s">
        <v>25</v>
      </c>
      <c r="N177" t="s">
        <v>44</v>
      </c>
      <c r="O177" t="s">
        <v>27</v>
      </c>
      <c r="P177" t="s">
        <v>28</v>
      </c>
      <c r="Q177">
        <v>13</v>
      </c>
      <c r="R177">
        <v>1235.1600000000001</v>
      </c>
      <c r="S177" t="s">
        <v>29</v>
      </c>
    </row>
    <row r="178" spans="1:19" x14ac:dyDescent="0.3">
      <c r="A178" t="s">
        <v>248</v>
      </c>
      <c r="B178">
        <v>65</v>
      </c>
      <c r="C178" t="s">
        <v>19</v>
      </c>
      <c r="D178" t="s">
        <v>61</v>
      </c>
      <c r="E178" s="1">
        <v>45115</v>
      </c>
      <c r="F178" s="3">
        <v>45118</v>
      </c>
      <c r="G178" t="s">
        <v>48</v>
      </c>
      <c r="H178" t="s">
        <v>22</v>
      </c>
      <c r="I178" t="s">
        <v>81</v>
      </c>
      <c r="J178">
        <v>7903.87</v>
      </c>
      <c r="K178">
        <v>3</v>
      </c>
      <c r="L178" t="s">
        <v>36</v>
      </c>
      <c r="M178" t="s">
        <v>59</v>
      </c>
      <c r="N178" t="s">
        <v>44</v>
      </c>
      <c r="O178" t="s">
        <v>49</v>
      </c>
      <c r="P178" t="s">
        <v>38</v>
      </c>
      <c r="Q178">
        <v>1</v>
      </c>
      <c r="R178">
        <v>2398.9499999999998</v>
      </c>
      <c r="S178" t="s">
        <v>29</v>
      </c>
    </row>
    <row r="179" spans="1:19" x14ac:dyDescent="0.3">
      <c r="A179" t="s">
        <v>249</v>
      </c>
      <c r="B179">
        <v>19</v>
      </c>
      <c r="C179" t="s">
        <v>19</v>
      </c>
      <c r="D179" t="s">
        <v>61</v>
      </c>
      <c r="E179" s="1">
        <v>45013</v>
      </c>
      <c r="F179" s="3">
        <v>45030</v>
      </c>
      <c r="G179" t="s">
        <v>41</v>
      </c>
      <c r="H179" t="s">
        <v>42</v>
      </c>
      <c r="I179" t="s">
        <v>91</v>
      </c>
      <c r="J179">
        <v>13219.08</v>
      </c>
      <c r="K179">
        <v>17</v>
      </c>
      <c r="L179" t="s">
        <v>36</v>
      </c>
      <c r="M179" t="s">
        <v>25</v>
      </c>
      <c r="N179" t="s">
        <v>44</v>
      </c>
      <c r="O179" t="s">
        <v>56</v>
      </c>
      <c r="P179" t="s">
        <v>28</v>
      </c>
      <c r="Q179">
        <v>2</v>
      </c>
      <c r="R179">
        <v>5114.66</v>
      </c>
      <c r="S179" t="s">
        <v>29</v>
      </c>
    </row>
    <row r="180" spans="1:19" x14ac:dyDescent="0.3">
      <c r="A180" t="s">
        <v>250</v>
      </c>
      <c r="B180">
        <v>51</v>
      </c>
      <c r="C180" t="s">
        <v>31</v>
      </c>
      <c r="D180" t="s">
        <v>70</v>
      </c>
      <c r="E180" s="1">
        <v>45459</v>
      </c>
      <c r="F180" s="3">
        <v>45471</v>
      </c>
      <c r="G180" t="s">
        <v>93</v>
      </c>
      <c r="H180" t="s">
        <v>72</v>
      </c>
      <c r="I180" t="s">
        <v>43</v>
      </c>
      <c r="J180">
        <v>9143.2999999999993</v>
      </c>
      <c r="K180">
        <v>12</v>
      </c>
      <c r="L180" t="s">
        <v>24</v>
      </c>
      <c r="M180" t="s">
        <v>76</v>
      </c>
      <c r="N180" t="s">
        <v>55</v>
      </c>
      <c r="O180" t="s">
        <v>27</v>
      </c>
      <c r="P180" t="s">
        <v>50</v>
      </c>
      <c r="Q180">
        <v>10</v>
      </c>
      <c r="R180">
        <v>2934.71</v>
      </c>
      <c r="S180" t="s">
        <v>29</v>
      </c>
    </row>
    <row r="181" spans="1:19" x14ac:dyDescent="0.3">
      <c r="A181" t="s">
        <v>251</v>
      </c>
      <c r="B181">
        <v>56</v>
      </c>
      <c r="C181" t="s">
        <v>19</v>
      </c>
      <c r="D181" t="s">
        <v>66</v>
      </c>
      <c r="E181" s="1">
        <v>45442</v>
      </c>
      <c r="F181" s="3">
        <v>45447</v>
      </c>
      <c r="G181" t="s">
        <v>93</v>
      </c>
      <c r="H181" t="s">
        <v>72</v>
      </c>
      <c r="I181" t="s">
        <v>54</v>
      </c>
      <c r="J181">
        <v>3192.82</v>
      </c>
      <c r="K181">
        <v>5</v>
      </c>
      <c r="L181" t="s">
        <v>36</v>
      </c>
      <c r="M181" t="s">
        <v>25</v>
      </c>
      <c r="N181" t="s">
        <v>55</v>
      </c>
      <c r="O181" t="s">
        <v>37</v>
      </c>
      <c r="P181" t="s">
        <v>28</v>
      </c>
      <c r="Q181">
        <v>1</v>
      </c>
      <c r="R181">
        <v>512.57000000000005</v>
      </c>
      <c r="S181" t="s">
        <v>29</v>
      </c>
    </row>
    <row r="182" spans="1:19" x14ac:dyDescent="0.3">
      <c r="A182" t="s">
        <v>252</v>
      </c>
      <c r="B182">
        <v>82</v>
      </c>
      <c r="C182" t="s">
        <v>19</v>
      </c>
      <c r="D182" t="s">
        <v>32</v>
      </c>
      <c r="E182" s="1">
        <v>45795</v>
      </c>
      <c r="F182" s="3">
        <v>45806</v>
      </c>
      <c r="G182" t="s">
        <v>62</v>
      </c>
      <c r="H182" t="s">
        <v>63</v>
      </c>
      <c r="I182" t="s">
        <v>58</v>
      </c>
      <c r="J182">
        <v>9068.1200000000008</v>
      </c>
      <c r="K182">
        <v>11</v>
      </c>
      <c r="L182" t="s">
        <v>24</v>
      </c>
      <c r="M182" t="s">
        <v>25</v>
      </c>
      <c r="N182" t="s">
        <v>44</v>
      </c>
      <c r="O182" t="s">
        <v>49</v>
      </c>
      <c r="P182" t="s">
        <v>38</v>
      </c>
      <c r="Q182">
        <v>14</v>
      </c>
      <c r="R182">
        <v>2092.46</v>
      </c>
      <c r="S182" t="s">
        <v>29</v>
      </c>
    </row>
    <row r="183" spans="1:19" x14ac:dyDescent="0.3">
      <c r="A183" t="s">
        <v>253</v>
      </c>
      <c r="B183">
        <v>48</v>
      </c>
      <c r="C183" t="s">
        <v>19</v>
      </c>
      <c r="D183" t="s">
        <v>61</v>
      </c>
      <c r="E183" s="1">
        <v>45882</v>
      </c>
      <c r="F183" s="3">
        <v>45900</v>
      </c>
      <c r="G183" t="s">
        <v>21</v>
      </c>
      <c r="H183" t="s">
        <v>22</v>
      </c>
      <c r="I183" t="s">
        <v>81</v>
      </c>
      <c r="J183">
        <v>4569.51</v>
      </c>
      <c r="K183">
        <v>18</v>
      </c>
      <c r="L183" t="s">
        <v>24</v>
      </c>
      <c r="M183" t="s">
        <v>25</v>
      </c>
      <c r="N183" t="s">
        <v>26</v>
      </c>
      <c r="O183" t="s">
        <v>56</v>
      </c>
      <c r="P183" t="s">
        <v>38</v>
      </c>
      <c r="Q183">
        <v>1</v>
      </c>
      <c r="R183">
        <v>753.29</v>
      </c>
      <c r="S183" t="s">
        <v>29</v>
      </c>
    </row>
    <row r="184" spans="1:19" x14ac:dyDescent="0.3">
      <c r="A184" t="s">
        <v>254</v>
      </c>
      <c r="B184">
        <v>62</v>
      </c>
      <c r="C184" t="s">
        <v>31</v>
      </c>
      <c r="D184" t="s">
        <v>66</v>
      </c>
      <c r="E184" s="1">
        <v>45010</v>
      </c>
      <c r="F184" s="3">
        <v>45023</v>
      </c>
      <c r="G184" t="s">
        <v>67</v>
      </c>
      <c r="H184" t="s">
        <v>42</v>
      </c>
      <c r="I184" t="s">
        <v>35</v>
      </c>
      <c r="J184">
        <v>6702.94</v>
      </c>
      <c r="K184">
        <v>13</v>
      </c>
      <c r="L184" t="s">
        <v>36</v>
      </c>
      <c r="M184" t="s">
        <v>25</v>
      </c>
      <c r="N184" t="s">
        <v>55</v>
      </c>
      <c r="O184" t="s">
        <v>56</v>
      </c>
      <c r="P184" t="s">
        <v>38</v>
      </c>
      <c r="Q184">
        <v>1</v>
      </c>
      <c r="R184">
        <v>2659.85</v>
      </c>
      <c r="S184" t="s">
        <v>29</v>
      </c>
    </row>
    <row r="185" spans="1:19" x14ac:dyDescent="0.3">
      <c r="A185" t="s">
        <v>255</v>
      </c>
      <c r="B185">
        <v>38</v>
      </c>
      <c r="C185" t="s">
        <v>31</v>
      </c>
      <c r="D185" t="s">
        <v>32</v>
      </c>
      <c r="E185" s="1">
        <v>45310</v>
      </c>
      <c r="F185" s="3">
        <v>45311</v>
      </c>
      <c r="G185" t="s">
        <v>74</v>
      </c>
      <c r="H185" t="s">
        <v>75</v>
      </c>
      <c r="I185" t="s">
        <v>91</v>
      </c>
      <c r="J185">
        <v>2030.77</v>
      </c>
      <c r="K185">
        <v>1</v>
      </c>
      <c r="L185" t="s">
        <v>36</v>
      </c>
      <c r="M185" t="s">
        <v>25</v>
      </c>
      <c r="N185" t="s">
        <v>55</v>
      </c>
      <c r="O185" t="s">
        <v>27</v>
      </c>
      <c r="P185" t="s">
        <v>28</v>
      </c>
      <c r="Q185">
        <v>10</v>
      </c>
      <c r="R185">
        <v>593.9</v>
      </c>
      <c r="S185" t="s">
        <v>29</v>
      </c>
    </row>
    <row r="186" spans="1:19" x14ac:dyDescent="0.3">
      <c r="A186" t="s">
        <v>256</v>
      </c>
      <c r="B186">
        <v>80</v>
      </c>
      <c r="C186" t="s">
        <v>31</v>
      </c>
      <c r="D186" t="s">
        <v>47</v>
      </c>
      <c r="E186" s="1">
        <v>45005</v>
      </c>
      <c r="F186" s="3">
        <v>45031</v>
      </c>
      <c r="G186" t="s">
        <v>74</v>
      </c>
      <c r="H186" t="s">
        <v>75</v>
      </c>
      <c r="I186" t="s">
        <v>91</v>
      </c>
      <c r="J186">
        <v>23251.91</v>
      </c>
      <c r="K186">
        <v>26</v>
      </c>
      <c r="L186" t="s">
        <v>24</v>
      </c>
      <c r="M186" t="s">
        <v>25</v>
      </c>
      <c r="N186" t="s">
        <v>26</v>
      </c>
      <c r="O186" t="s">
        <v>49</v>
      </c>
      <c r="P186" t="s">
        <v>28</v>
      </c>
      <c r="Q186">
        <v>14</v>
      </c>
      <c r="R186">
        <v>4622.1099999999997</v>
      </c>
      <c r="S186" t="s">
        <v>29</v>
      </c>
    </row>
    <row r="187" spans="1:19" x14ac:dyDescent="0.3">
      <c r="A187" t="s">
        <v>257</v>
      </c>
      <c r="B187">
        <v>70</v>
      </c>
      <c r="C187" t="s">
        <v>31</v>
      </c>
      <c r="D187" t="s">
        <v>89</v>
      </c>
      <c r="E187" s="1">
        <v>44942</v>
      </c>
      <c r="F187" s="3">
        <v>44962</v>
      </c>
      <c r="G187" t="s">
        <v>41</v>
      </c>
      <c r="H187" t="s">
        <v>42</v>
      </c>
      <c r="I187" t="s">
        <v>35</v>
      </c>
      <c r="J187">
        <v>8213.1299999999992</v>
      </c>
      <c r="K187">
        <v>20</v>
      </c>
      <c r="L187" t="s">
        <v>36</v>
      </c>
      <c r="M187" t="s">
        <v>59</v>
      </c>
      <c r="N187" t="s">
        <v>26</v>
      </c>
      <c r="O187" t="s">
        <v>27</v>
      </c>
      <c r="P187" t="s">
        <v>45</v>
      </c>
      <c r="Q187">
        <v>7</v>
      </c>
      <c r="R187">
        <v>2178.6</v>
      </c>
      <c r="S187" t="s">
        <v>29</v>
      </c>
    </row>
    <row r="188" spans="1:19" x14ac:dyDescent="0.3">
      <c r="A188" t="s">
        <v>258</v>
      </c>
      <c r="B188">
        <v>59</v>
      </c>
      <c r="C188" t="s">
        <v>19</v>
      </c>
      <c r="D188" t="s">
        <v>66</v>
      </c>
      <c r="E188" s="1">
        <v>45814</v>
      </c>
      <c r="F188" s="3">
        <v>45832</v>
      </c>
      <c r="G188" t="s">
        <v>62</v>
      </c>
      <c r="H188" t="s">
        <v>63</v>
      </c>
      <c r="I188" t="s">
        <v>35</v>
      </c>
      <c r="J188">
        <v>5398.84</v>
      </c>
      <c r="K188">
        <v>18</v>
      </c>
      <c r="L188" t="s">
        <v>24</v>
      </c>
      <c r="M188" t="s">
        <v>25</v>
      </c>
      <c r="N188" t="s">
        <v>55</v>
      </c>
      <c r="O188" t="s">
        <v>27</v>
      </c>
      <c r="P188" t="s">
        <v>50</v>
      </c>
      <c r="Q188">
        <v>14</v>
      </c>
      <c r="R188">
        <v>2050.63</v>
      </c>
      <c r="S188" t="s">
        <v>29</v>
      </c>
    </row>
    <row r="189" spans="1:19" x14ac:dyDescent="0.3">
      <c r="A189" t="s">
        <v>259</v>
      </c>
      <c r="B189">
        <v>45</v>
      </c>
      <c r="C189" t="s">
        <v>19</v>
      </c>
      <c r="D189" t="s">
        <v>32</v>
      </c>
      <c r="E189" s="1">
        <v>44961</v>
      </c>
      <c r="F189" s="3">
        <v>44978</v>
      </c>
      <c r="G189" t="s">
        <v>71</v>
      </c>
      <c r="H189" t="s">
        <v>72</v>
      </c>
      <c r="I189" t="s">
        <v>35</v>
      </c>
      <c r="J189">
        <v>7237.58</v>
      </c>
      <c r="K189">
        <v>17</v>
      </c>
      <c r="L189" t="s">
        <v>36</v>
      </c>
      <c r="M189" t="s">
        <v>25</v>
      </c>
      <c r="N189" t="s">
        <v>55</v>
      </c>
      <c r="O189" t="s">
        <v>27</v>
      </c>
      <c r="P189" t="s">
        <v>45</v>
      </c>
      <c r="Q189">
        <v>3</v>
      </c>
      <c r="R189">
        <v>1801.87</v>
      </c>
      <c r="S189" t="s">
        <v>29</v>
      </c>
    </row>
    <row r="190" spans="1:19" x14ac:dyDescent="0.3">
      <c r="A190" t="s">
        <v>260</v>
      </c>
      <c r="B190">
        <v>31</v>
      </c>
      <c r="C190" t="s">
        <v>31</v>
      </c>
      <c r="D190" t="s">
        <v>61</v>
      </c>
      <c r="E190" s="1">
        <v>45067</v>
      </c>
      <c r="F190" s="3">
        <v>45083</v>
      </c>
      <c r="G190" t="s">
        <v>48</v>
      </c>
      <c r="H190" t="s">
        <v>22</v>
      </c>
      <c r="I190" t="s">
        <v>35</v>
      </c>
      <c r="J190">
        <v>6283.9</v>
      </c>
      <c r="K190">
        <v>16</v>
      </c>
      <c r="L190" t="s">
        <v>24</v>
      </c>
      <c r="M190" t="s">
        <v>76</v>
      </c>
      <c r="N190" t="s">
        <v>44</v>
      </c>
      <c r="O190" t="s">
        <v>37</v>
      </c>
      <c r="P190" t="s">
        <v>28</v>
      </c>
      <c r="Q190">
        <v>4</v>
      </c>
      <c r="R190">
        <v>1069.78</v>
      </c>
      <c r="S190" t="s">
        <v>39</v>
      </c>
    </row>
    <row r="191" spans="1:19" x14ac:dyDescent="0.3">
      <c r="A191" t="s">
        <v>261</v>
      </c>
      <c r="B191">
        <v>31</v>
      </c>
      <c r="C191" t="s">
        <v>19</v>
      </c>
      <c r="D191" t="s">
        <v>20</v>
      </c>
      <c r="E191" s="1">
        <v>45109</v>
      </c>
      <c r="F191" s="3">
        <v>45128</v>
      </c>
      <c r="G191" t="s">
        <v>21</v>
      </c>
      <c r="H191" t="s">
        <v>22</v>
      </c>
      <c r="I191" t="s">
        <v>54</v>
      </c>
      <c r="J191">
        <v>12888.16</v>
      </c>
      <c r="K191">
        <v>19</v>
      </c>
      <c r="L191" t="s">
        <v>36</v>
      </c>
      <c r="M191" t="s">
        <v>25</v>
      </c>
      <c r="N191" t="s">
        <v>44</v>
      </c>
      <c r="O191" t="s">
        <v>37</v>
      </c>
      <c r="P191" t="s">
        <v>45</v>
      </c>
      <c r="Q191">
        <v>8</v>
      </c>
      <c r="R191">
        <v>4455.42</v>
      </c>
      <c r="S191" t="s">
        <v>29</v>
      </c>
    </row>
    <row r="192" spans="1:19" x14ac:dyDescent="0.3">
      <c r="A192" t="s">
        <v>262</v>
      </c>
      <c r="B192">
        <v>41</v>
      </c>
      <c r="C192" t="s">
        <v>31</v>
      </c>
      <c r="D192" t="s">
        <v>79</v>
      </c>
      <c r="E192" s="1">
        <v>45887</v>
      </c>
      <c r="F192" s="3">
        <v>45890</v>
      </c>
      <c r="G192" t="s">
        <v>52</v>
      </c>
      <c r="H192" t="s">
        <v>53</v>
      </c>
      <c r="I192" t="s">
        <v>83</v>
      </c>
      <c r="J192">
        <v>3111.33</v>
      </c>
      <c r="K192">
        <v>3</v>
      </c>
      <c r="L192" t="s">
        <v>36</v>
      </c>
      <c r="M192" t="s">
        <v>25</v>
      </c>
      <c r="N192" t="s">
        <v>26</v>
      </c>
      <c r="O192" t="s">
        <v>37</v>
      </c>
      <c r="P192" t="s">
        <v>45</v>
      </c>
      <c r="Q192">
        <v>5</v>
      </c>
      <c r="R192">
        <v>1090.79</v>
      </c>
      <c r="S192" t="s">
        <v>29</v>
      </c>
    </row>
    <row r="193" spans="1:19" x14ac:dyDescent="0.3">
      <c r="A193" t="s">
        <v>263</v>
      </c>
      <c r="B193">
        <v>49</v>
      </c>
      <c r="C193" t="s">
        <v>31</v>
      </c>
      <c r="D193" t="s">
        <v>47</v>
      </c>
      <c r="E193" s="1">
        <v>44981</v>
      </c>
      <c r="F193" s="3">
        <v>45000</v>
      </c>
      <c r="G193" t="s">
        <v>41</v>
      </c>
      <c r="H193" t="s">
        <v>42</v>
      </c>
      <c r="I193" t="s">
        <v>91</v>
      </c>
      <c r="J193">
        <v>13822.56</v>
      </c>
      <c r="K193">
        <v>19</v>
      </c>
      <c r="L193" t="s">
        <v>36</v>
      </c>
      <c r="M193" t="s">
        <v>25</v>
      </c>
      <c r="N193" t="s">
        <v>44</v>
      </c>
      <c r="O193" t="s">
        <v>37</v>
      </c>
      <c r="P193" t="s">
        <v>28</v>
      </c>
      <c r="Q193">
        <v>7</v>
      </c>
      <c r="R193">
        <v>3265.28</v>
      </c>
      <c r="S193" t="s">
        <v>29</v>
      </c>
    </row>
    <row r="194" spans="1:19" x14ac:dyDescent="0.3">
      <c r="A194" t="s">
        <v>264</v>
      </c>
      <c r="B194">
        <v>67</v>
      </c>
      <c r="C194" t="s">
        <v>19</v>
      </c>
      <c r="D194" t="s">
        <v>47</v>
      </c>
      <c r="E194" s="1">
        <v>45575</v>
      </c>
      <c r="F194" s="3">
        <v>45576</v>
      </c>
      <c r="G194" t="s">
        <v>93</v>
      </c>
      <c r="H194" t="s">
        <v>72</v>
      </c>
      <c r="I194" t="s">
        <v>83</v>
      </c>
      <c r="J194">
        <v>3023.69</v>
      </c>
      <c r="K194">
        <v>1</v>
      </c>
      <c r="L194" t="s">
        <v>36</v>
      </c>
      <c r="M194" t="s">
        <v>25</v>
      </c>
      <c r="N194" t="s">
        <v>26</v>
      </c>
      <c r="O194" t="s">
        <v>37</v>
      </c>
      <c r="P194" t="s">
        <v>50</v>
      </c>
      <c r="Q194">
        <v>6</v>
      </c>
      <c r="R194">
        <v>1134.06</v>
      </c>
      <c r="S194" t="s">
        <v>39</v>
      </c>
    </row>
    <row r="195" spans="1:19" x14ac:dyDescent="0.3">
      <c r="A195" t="s">
        <v>265</v>
      </c>
      <c r="B195">
        <v>54</v>
      </c>
      <c r="C195" t="s">
        <v>19</v>
      </c>
      <c r="D195" t="s">
        <v>61</v>
      </c>
      <c r="E195" s="1">
        <v>45247</v>
      </c>
      <c r="F195" s="3">
        <v>45250</v>
      </c>
      <c r="G195" t="s">
        <v>21</v>
      </c>
      <c r="H195" t="s">
        <v>22</v>
      </c>
      <c r="I195" t="s">
        <v>23</v>
      </c>
      <c r="J195">
        <v>2494.91</v>
      </c>
      <c r="K195">
        <v>3</v>
      </c>
      <c r="L195" t="s">
        <v>36</v>
      </c>
      <c r="M195" t="s">
        <v>25</v>
      </c>
      <c r="N195" t="s">
        <v>44</v>
      </c>
      <c r="O195" t="s">
        <v>37</v>
      </c>
      <c r="P195" t="s">
        <v>45</v>
      </c>
      <c r="Q195">
        <v>1</v>
      </c>
      <c r="R195">
        <v>912.53</v>
      </c>
      <c r="S195" t="s">
        <v>29</v>
      </c>
    </row>
    <row r="196" spans="1:19" x14ac:dyDescent="0.3">
      <c r="A196" t="s">
        <v>266</v>
      </c>
      <c r="B196">
        <v>47</v>
      </c>
      <c r="C196" t="s">
        <v>31</v>
      </c>
      <c r="D196" t="s">
        <v>61</v>
      </c>
      <c r="E196" s="1">
        <v>45729</v>
      </c>
      <c r="F196" s="3">
        <v>45741</v>
      </c>
      <c r="G196" t="s">
        <v>52</v>
      </c>
      <c r="H196" t="s">
        <v>53</v>
      </c>
      <c r="I196" t="s">
        <v>83</v>
      </c>
      <c r="J196">
        <v>7173.48</v>
      </c>
      <c r="K196">
        <v>12</v>
      </c>
      <c r="L196" t="s">
        <v>24</v>
      </c>
      <c r="M196" t="s">
        <v>101</v>
      </c>
      <c r="N196" t="s">
        <v>44</v>
      </c>
      <c r="O196" t="s">
        <v>27</v>
      </c>
      <c r="P196" t="s">
        <v>28</v>
      </c>
      <c r="Q196">
        <v>10</v>
      </c>
      <c r="R196">
        <v>1632.25</v>
      </c>
      <c r="S196" t="s">
        <v>29</v>
      </c>
    </row>
    <row r="197" spans="1:19" x14ac:dyDescent="0.3">
      <c r="A197" t="s">
        <v>267</v>
      </c>
      <c r="B197">
        <v>90</v>
      </c>
      <c r="C197" t="s">
        <v>31</v>
      </c>
      <c r="D197" t="s">
        <v>20</v>
      </c>
      <c r="E197" s="1">
        <v>45188</v>
      </c>
      <c r="F197" s="3">
        <v>45201</v>
      </c>
      <c r="G197" t="s">
        <v>71</v>
      </c>
      <c r="H197" t="s">
        <v>72</v>
      </c>
      <c r="I197" t="s">
        <v>35</v>
      </c>
      <c r="J197">
        <v>8774.2099999999991</v>
      </c>
      <c r="K197">
        <v>13</v>
      </c>
      <c r="L197" t="s">
        <v>24</v>
      </c>
      <c r="M197" t="s">
        <v>25</v>
      </c>
      <c r="N197" t="s">
        <v>26</v>
      </c>
      <c r="O197" t="s">
        <v>56</v>
      </c>
      <c r="P197" t="s">
        <v>45</v>
      </c>
      <c r="Q197">
        <v>15</v>
      </c>
      <c r="R197">
        <v>1501</v>
      </c>
      <c r="S197" t="s">
        <v>29</v>
      </c>
    </row>
    <row r="198" spans="1:19" x14ac:dyDescent="0.3">
      <c r="A198" t="s">
        <v>268</v>
      </c>
      <c r="B198">
        <v>76</v>
      </c>
      <c r="C198" t="s">
        <v>31</v>
      </c>
      <c r="D198" t="s">
        <v>79</v>
      </c>
      <c r="E198" s="1">
        <v>45597</v>
      </c>
      <c r="F198" s="3">
        <v>45601</v>
      </c>
      <c r="G198" t="s">
        <v>74</v>
      </c>
      <c r="H198" t="s">
        <v>75</v>
      </c>
      <c r="I198" t="s">
        <v>58</v>
      </c>
      <c r="J198">
        <v>1379.93</v>
      </c>
      <c r="K198">
        <v>4</v>
      </c>
      <c r="L198" t="s">
        <v>24</v>
      </c>
      <c r="M198" t="s">
        <v>25</v>
      </c>
      <c r="N198" t="s">
        <v>55</v>
      </c>
      <c r="O198" t="s">
        <v>56</v>
      </c>
      <c r="P198" t="s">
        <v>45</v>
      </c>
      <c r="Q198">
        <v>12</v>
      </c>
      <c r="R198">
        <v>329.09</v>
      </c>
      <c r="S198" t="s">
        <v>29</v>
      </c>
    </row>
    <row r="199" spans="1:19" x14ac:dyDescent="0.3">
      <c r="A199" t="s">
        <v>269</v>
      </c>
      <c r="B199">
        <v>58</v>
      </c>
      <c r="C199" t="s">
        <v>19</v>
      </c>
      <c r="D199" t="s">
        <v>70</v>
      </c>
      <c r="E199" s="1">
        <v>45631</v>
      </c>
      <c r="F199" s="3">
        <v>45645</v>
      </c>
      <c r="G199" t="s">
        <v>74</v>
      </c>
      <c r="H199" t="s">
        <v>75</v>
      </c>
      <c r="I199" t="s">
        <v>23</v>
      </c>
      <c r="J199">
        <v>6493.9</v>
      </c>
      <c r="K199">
        <v>14</v>
      </c>
      <c r="L199" t="s">
        <v>24</v>
      </c>
      <c r="M199" t="s">
        <v>25</v>
      </c>
      <c r="N199" t="s">
        <v>26</v>
      </c>
      <c r="O199" t="s">
        <v>37</v>
      </c>
      <c r="P199" t="s">
        <v>28</v>
      </c>
      <c r="Q199">
        <v>15</v>
      </c>
      <c r="R199">
        <v>1290.1300000000001</v>
      </c>
      <c r="S199" t="s">
        <v>29</v>
      </c>
    </row>
    <row r="200" spans="1:19" x14ac:dyDescent="0.3">
      <c r="A200" t="s">
        <v>270</v>
      </c>
      <c r="B200">
        <v>79</v>
      </c>
      <c r="C200" t="s">
        <v>19</v>
      </c>
      <c r="D200" t="s">
        <v>70</v>
      </c>
      <c r="E200" s="1">
        <v>45774</v>
      </c>
      <c r="F200" s="3">
        <v>45781</v>
      </c>
      <c r="G200" t="s">
        <v>41</v>
      </c>
      <c r="H200" t="s">
        <v>42</v>
      </c>
      <c r="I200" t="s">
        <v>91</v>
      </c>
      <c r="J200">
        <v>4379.88</v>
      </c>
      <c r="K200">
        <v>7</v>
      </c>
      <c r="L200" t="s">
        <v>36</v>
      </c>
      <c r="M200" t="s">
        <v>25</v>
      </c>
      <c r="N200" t="s">
        <v>44</v>
      </c>
      <c r="O200" t="s">
        <v>37</v>
      </c>
      <c r="P200" t="s">
        <v>28</v>
      </c>
      <c r="Q200">
        <v>12</v>
      </c>
      <c r="R200">
        <v>1229.02</v>
      </c>
      <c r="S200" t="s">
        <v>39</v>
      </c>
    </row>
    <row r="201" spans="1:19" x14ac:dyDescent="0.3">
      <c r="A201" t="s">
        <v>271</v>
      </c>
      <c r="B201">
        <v>51</v>
      </c>
      <c r="C201" t="s">
        <v>19</v>
      </c>
      <c r="D201" t="s">
        <v>20</v>
      </c>
      <c r="E201" s="1">
        <v>45873</v>
      </c>
      <c r="F201" s="3">
        <v>45886</v>
      </c>
      <c r="G201" t="s">
        <v>93</v>
      </c>
      <c r="H201" t="s">
        <v>72</v>
      </c>
      <c r="I201" t="s">
        <v>58</v>
      </c>
      <c r="J201">
        <v>13098.48</v>
      </c>
      <c r="K201">
        <v>13</v>
      </c>
      <c r="L201" t="s">
        <v>36</v>
      </c>
      <c r="M201" t="s">
        <v>25</v>
      </c>
      <c r="N201" t="s">
        <v>26</v>
      </c>
      <c r="O201" t="s">
        <v>49</v>
      </c>
      <c r="P201" t="s">
        <v>28</v>
      </c>
      <c r="Q201">
        <v>7</v>
      </c>
      <c r="R201">
        <v>4854.12</v>
      </c>
      <c r="S201" t="s">
        <v>29</v>
      </c>
    </row>
    <row r="202" spans="1:19" x14ac:dyDescent="0.3">
      <c r="A202" t="s">
        <v>272</v>
      </c>
      <c r="B202">
        <v>50</v>
      </c>
      <c r="C202" t="s">
        <v>19</v>
      </c>
      <c r="D202" t="s">
        <v>89</v>
      </c>
      <c r="E202" s="1">
        <v>45009</v>
      </c>
      <c r="F202" s="3">
        <v>45028</v>
      </c>
      <c r="G202" t="s">
        <v>67</v>
      </c>
      <c r="H202" t="s">
        <v>42</v>
      </c>
      <c r="I202" t="s">
        <v>43</v>
      </c>
      <c r="J202">
        <v>13252.46</v>
      </c>
      <c r="K202">
        <v>19</v>
      </c>
      <c r="L202" t="s">
        <v>36</v>
      </c>
      <c r="M202" t="s">
        <v>25</v>
      </c>
      <c r="N202" t="s">
        <v>26</v>
      </c>
      <c r="O202" t="s">
        <v>56</v>
      </c>
      <c r="P202" t="s">
        <v>45</v>
      </c>
      <c r="Q202">
        <v>10</v>
      </c>
      <c r="R202">
        <v>3745.73</v>
      </c>
      <c r="S202" t="s">
        <v>29</v>
      </c>
    </row>
    <row r="203" spans="1:19" x14ac:dyDescent="0.3">
      <c r="A203" t="s">
        <v>273</v>
      </c>
      <c r="B203">
        <v>66</v>
      </c>
      <c r="C203" t="s">
        <v>19</v>
      </c>
      <c r="D203" t="s">
        <v>70</v>
      </c>
      <c r="E203" s="1">
        <v>45230</v>
      </c>
      <c r="F203" s="3">
        <v>45236</v>
      </c>
      <c r="G203" t="s">
        <v>21</v>
      </c>
      <c r="H203" t="s">
        <v>22</v>
      </c>
      <c r="I203" t="s">
        <v>23</v>
      </c>
      <c r="J203">
        <v>3707.23</v>
      </c>
      <c r="K203">
        <v>6</v>
      </c>
      <c r="L203" t="s">
        <v>24</v>
      </c>
      <c r="M203" t="s">
        <v>25</v>
      </c>
      <c r="N203" t="s">
        <v>44</v>
      </c>
      <c r="O203" t="s">
        <v>56</v>
      </c>
      <c r="P203" t="s">
        <v>50</v>
      </c>
      <c r="Q203">
        <v>13</v>
      </c>
      <c r="R203">
        <v>677.44</v>
      </c>
      <c r="S203" t="s">
        <v>29</v>
      </c>
    </row>
    <row r="204" spans="1:19" x14ac:dyDescent="0.3">
      <c r="A204" t="s">
        <v>274</v>
      </c>
      <c r="B204">
        <v>70</v>
      </c>
      <c r="C204" t="s">
        <v>19</v>
      </c>
      <c r="D204" t="s">
        <v>20</v>
      </c>
      <c r="E204" s="1">
        <v>44927</v>
      </c>
      <c r="F204" s="3">
        <v>44934</v>
      </c>
      <c r="G204" t="s">
        <v>71</v>
      </c>
      <c r="H204" t="s">
        <v>72</v>
      </c>
      <c r="I204" t="s">
        <v>58</v>
      </c>
      <c r="J204">
        <v>8682.25</v>
      </c>
      <c r="K204">
        <v>7</v>
      </c>
      <c r="L204" t="s">
        <v>36</v>
      </c>
      <c r="M204" t="s">
        <v>25</v>
      </c>
      <c r="N204" t="s">
        <v>26</v>
      </c>
      <c r="O204" t="s">
        <v>49</v>
      </c>
      <c r="P204" t="s">
        <v>45</v>
      </c>
      <c r="Q204">
        <v>12</v>
      </c>
      <c r="R204">
        <v>2552.15</v>
      </c>
      <c r="S204" t="s">
        <v>29</v>
      </c>
    </row>
    <row r="205" spans="1:19" x14ac:dyDescent="0.3">
      <c r="A205" t="s">
        <v>275</v>
      </c>
      <c r="B205">
        <v>38</v>
      </c>
      <c r="C205" t="s">
        <v>31</v>
      </c>
      <c r="D205" t="s">
        <v>79</v>
      </c>
      <c r="E205" s="1">
        <v>45113</v>
      </c>
      <c r="F205" s="3">
        <v>45137</v>
      </c>
      <c r="G205" t="s">
        <v>71</v>
      </c>
      <c r="H205" t="s">
        <v>72</v>
      </c>
      <c r="I205" t="s">
        <v>81</v>
      </c>
      <c r="J205">
        <v>13788.95</v>
      </c>
      <c r="K205">
        <v>24</v>
      </c>
      <c r="L205" t="s">
        <v>24</v>
      </c>
      <c r="M205" t="s">
        <v>25</v>
      </c>
      <c r="N205" t="s">
        <v>26</v>
      </c>
      <c r="O205" t="s">
        <v>49</v>
      </c>
      <c r="P205" t="s">
        <v>45</v>
      </c>
      <c r="Q205">
        <v>9</v>
      </c>
      <c r="R205">
        <v>3735.81</v>
      </c>
      <c r="S205" t="s">
        <v>39</v>
      </c>
    </row>
    <row r="206" spans="1:19" x14ac:dyDescent="0.3">
      <c r="A206" t="s">
        <v>276</v>
      </c>
      <c r="B206">
        <v>57</v>
      </c>
      <c r="C206" t="s">
        <v>31</v>
      </c>
      <c r="D206" t="s">
        <v>79</v>
      </c>
      <c r="E206" s="1">
        <v>45188</v>
      </c>
      <c r="F206" s="3">
        <v>45192</v>
      </c>
      <c r="G206" t="s">
        <v>67</v>
      </c>
      <c r="H206" t="s">
        <v>42</v>
      </c>
      <c r="I206" t="s">
        <v>23</v>
      </c>
      <c r="J206">
        <v>1499.21</v>
      </c>
      <c r="K206">
        <v>4</v>
      </c>
      <c r="L206" t="s">
        <v>36</v>
      </c>
      <c r="M206" t="s">
        <v>25</v>
      </c>
      <c r="N206" t="s">
        <v>44</v>
      </c>
      <c r="O206" t="s">
        <v>27</v>
      </c>
      <c r="P206" t="s">
        <v>28</v>
      </c>
      <c r="Q206">
        <v>7</v>
      </c>
      <c r="R206">
        <v>307.39999999999998</v>
      </c>
      <c r="S206" t="s">
        <v>29</v>
      </c>
    </row>
    <row r="207" spans="1:19" x14ac:dyDescent="0.3">
      <c r="A207" t="s">
        <v>277</v>
      </c>
      <c r="B207">
        <v>75</v>
      </c>
      <c r="C207" t="s">
        <v>19</v>
      </c>
      <c r="D207" t="s">
        <v>89</v>
      </c>
      <c r="E207" s="1">
        <v>45128</v>
      </c>
      <c r="F207" s="3">
        <v>45143</v>
      </c>
      <c r="G207" t="s">
        <v>62</v>
      </c>
      <c r="H207" t="s">
        <v>63</v>
      </c>
      <c r="I207" t="s">
        <v>81</v>
      </c>
      <c r="J207">
        <v>8884.17</v>
      </c>
      <c r="K207">
        <v>15</v>
      </c>
      <c r="L207" t="s">
        <v>36</v>
      </c>
      <c r="M207" t="s">
        <v>25</v>
      </c>
      <c r="N207" t="s">
        <v>26</v>
      </c>
      <c r="O207" t="s">
        <v>27</v>
      </c>
      <c r="P207" t="s">
        <v>50</v>
      </c>
      <c r="Q207">
        <v>15</v>
      </c>
      <c r="R207">
        <v>1632.71</v>
      </c>
      <c r="S207" t="s">
        <v>29</v>
      </c>
    </row>
    <row r="208" spans="1:19" x14ac:dyDescent="0.3">
      <c r="A208" t="s">
        <v>278</v>
      </c>
      <c r="B208">
        <v>35</v>
      </c>
      <c r="C208" t="s">
        <v>19</v>
      </c>
      <c r="D208" t="s">
        <v>66</v>
      </c>
      <c r="E208" s="1">
        <v>44980</v>
      </c>
      <c r="F208" s="3">
        <v>44982</v>
      </c>
      <c r="G208" t="s">
        <v>93</v>
      </c>
      <c r="H208" t="s">
        <v>72</v>
      </c>
      <c r="I208" t="s">
        <v>35</v>
      </c>
      <c r="J208">
        <v>2332.54</v>
      </c>
      <c r="K208">
        <v>2</v>
      </c>
      <c r="L208" t="s">
        <v>24</v>
      </c>
      <c r="M208" t="s">
        <v>25</v>
      </c>
      <c r="N208" t="s">
        <v>44</v>
      </c>
      <c r="O208" t="s">
        <v>27</v>
      </c>
      <c r="P208" t="s">
        <v>50</v>
      </c>
      <c r="Q208">
        <v>7</v>
      </c>
      <c r="R208">
        <v>407.05</v>
      </c>
      <c r="S208" t="s">
        <v>29</v>
      </c>
    </row>
    <row r="209" spans="1:19" x14ac:dyDescent="0.3">
      <c r="A209" t="s">
        <v>279</v>
      </c>
      <c r="B209">
        <v>48</v>
      </c>
      <c r="C209" t="s">
        <v>31</v>
      </c>
      <c r="D209" t="s">
        <v>61</v>
      </c>
      <c r="E209" s="1">
        <v>45361</v>
      </c>
      <c r="F209" s="3">
        <v>45367</v>
      </c>
      <c r="G209" t="s">
        <v>62</v>
      </c>
      <c r="H209" t="s">
        <v>63</v>
      </c>
      <c r="I209" t="s">
        <v>35</v>
      </c>
      <c r="J209">
        <v>5835.18</v>
      </c>
      <c r="K209">
        <v>6</v>
      </c>
      <c r="L209" t="s">
        <v>36</v>
      </c>
      <c r="M209" t="s">
        <v>59</v>
      </c>
      <c r="N209" t="s">
        <v>55</v>
      </c>
      <c r="O209" t="s">
        <v>37</v>
      </c>
      <c r="P209" t="s">
        <v>45</v>
      </c>
      <c r="Q209">
        <v>4</v>
      </c>
      <c r="R209">
        <v>1766.38</v>
      </c>
      <c r="S209" t="s">
        <v>29</v>
      </c>
    </row>
    <row r="210" spans="1:19" x14ac:dyDescent="0.3">
      <c r="A210" t="s">
        <v>280</v>
      </c>
      <c r="B210">
        <v>90</v>
      </c>
      <c r="C210" t="s">
        <v>31</v>
      </c>
      <c r="D210" t="s">
        <v>47</v>
      </c>
      <c r="E210" s="1">
        <v>45328</v>
      </c>
      <c r="F210" s="3">
        <v>45343</v>
      </c>
      <c r="G210" t="s">
        <v>21</v>
      </c>
      <c r="H210" t="s">
        <v>22</v>
      </c>
      <c r="I210" t="s">
        <v>81</v>
      </c>
      <c r="J210">
        <v>8267.59</v>
      </c>
      <c r="K210">
        <v>15</v>
      </c>
      <c r="L210" t="s">
        <v>36</v>
      </c>
      <c r="M210" t="s">
        <v>25</v>
      </c>
      <c r="N210" t="s">
        <v>26</v>
      </c>
      <c r="O210" t="s">
        <v>49</v>
      </c>
      <c r="P210" t="s">
        <v>38</v>
      </c>
      <c r="Q210">
        <v>13</v>
      </c>
      <c r="R210">
        <v>2040.32</v>
      </c>
      <c r="S210" t="s">
        <v>29</v>
      </c>
    </row>
    <row r="211" spans="1:19" x14ac:dyDescent="0.3">
      <c r="A211" t="s">
        <v>281</v>
      </c>
      <c r="B211">
        <v>55</v>
      </c>
      <c r="C211" t="s">
        <v>19</v>
      </c>
      <c r="D211" t="s">
        <v>70</v>
      </c>
      <c r="E211" s="1">
        <v>44999</v>
      </c>
      <c r="F211" s="3">
        <v>45004</v>
      </c>
      <c r="G211" t="s">
        <v>67</v>
      </c>
      <c r="H211" t="s">
        <v>42</v>
      </c>
      <c r="I211" t="s">
        <v>43</v>
      </c>
      <c r="J211">
        <v>3739.16</v>
      </c>
      <c r="K211">
        <v>5</v>
      </c>
      <c r="L211" t="s">
        <v>36</v>
      </c>
      <c r="M211" t="s">
        <v>25</v>
      </c>
      <c r="N211" t="s">
        <v>26</v>
      </c>
      <c r="O211" t="s">
        <v>27</v>
      </c>
      <c r="P211" t="s">
        <v>28</v>
      </c>
      <c r="Q211">
        <v>12</v>
      </c>
      <c r="R211">
        <v>607.87</v>
      </c>
      <c r="S211" t="s">
        <v>39</v>
      </c>
    </row>
    <row r="212" spans="1:19" x14ac:dyDescent="0.3">
      <c r="A212" t="s">
        <v>282</v>
      </c>
      <c r="B212">
        <v>53</v>
      </c>
      <c r="C212" t="s">
        <v>31</v>
      </c>
      <c r="D212" t="s">
        <v>89</v>
      </c>
      <c r="E212" s="1">
        <v>45058</v>
      </c>
      <c r="F212" s="3">
        <v>45088</v>
      </c>
      <c r="G212" t="s">
        <v>48</v>
      </c>
      <c r="H212" t="s">
        <v>22</v>
      </c>
      <c r="I212" t="s">
        <v>58</v>
      </c>
      <c r="J212">
        <v>24261.74</v>
      </c>
      <c r="K212">
        <v>30</v>
      </c>
      <c r="L212" t="s">
        <v>36</v>
      </c>
      <c r="M212" t="s">
        <v>25</v>
      </c>
      <c r="N212" t="s">
        <v>55</v>
      </c>
      <c r="O212" t="s">
        <v>49</v>
      </c>
      <c r="P212" t="s">
        <v>45</v>
      </c>
      <c r="Q212">
        <v>3</v>
      </c>
      <c r="R212">
        <v>8366.68</v>
      </c>
      <c r="S212" t="s">
        <v>29</v>
      </c>
    </row>
    <row r="213" spans="1:19" x14ac:dyDescent="0.3">
      <c r="A213" t="s">
        <v>283</v>
      </c>
      <c r="B213">
        <v>44</v>
      </c>
      <c r="C213" t="s">
        <v>31</v>
      </c>
      <c r="D213" t="s">
        <v>32</v>
      </c>
      <c r="E213" s="1">
        <v>45134</v>
      </c>
      <c r="F213" s="3">
        <v>45146</v>
      </c>
      <c r="G213" t="s">
        <v>52</v>
      </c>
      <c r="H213" t="s">
        <v>53</v>
      </c>
      <c r="I213" t="s">
        <v>81</v>
      </c>
      <c r="J213">
        <v>7292.93</v>
      </c>
      <c r="K213">
        <v>12</v>
      </c>
      <c r="L213" t="s">
        <v>24</v>
      </c>
      <c r="M213" t="s">
        <v>25</v>
      </c>
      <c r="N213" t="s">
        <v>55</v>
      </c>
      <c r="O213" t="s">
        <v>56</v>
      </c>
      <c r="P213" t="s">
        <v>38</v>
      </c>
      <c r="Q213">
        <v>12</v>
      </c>
      <c r="R213">
        <v>2704.36</v>
      </c>
      <c r="S213" t="s">
        <v>29</v>
      </c>
    </row>
    <row r="214" spans="1:19" x14ac:dyDescent="0.3">
      <c r="A214" t="s">
        <v>284</v>
      </c>
      <c r="B214">
        <v>87</v>
      </c>
      <c r="C214" t="s">
        <v>19</v>
      </c>
      <c r="D214" t="s">
        <v>89</v>
      </c>
      <c r="E214" s="1">
        <v>45837</v>
      </c>
      <c r="F214" s="3">
        <v>45847</v>
      </c>
      <c r="G214" t="s">
        <v>33</v>
      </c>
      <c r="H214" t="s">
        <v>34</v>
      </c>
      <c r="I214" t="s">
        <v>58</v>
      </c>
      <c r="J214">
        <v>4876.82</v>
      </c>
      <c r="K214">
        <v>10</v>
      </c>
      <c r="L214" t="s">
        <v>36</v>
      </c>
      <c r="M214" t="s">
        <v>25</v>
      </c>
      <c r="N214" t="s">
        <v>26</v>
      </c>
      <c r="O214" t="s">
        <v>56</v>
      </c>
      <c r="P214" t="s">
        <v>28</v>
      </c>
      <c r="Q214">
        <v>12</v>
      </c>
      <c r="R214">
        <v>811.2</v>
      </c>
      <c r="S214" t="s">
        <v>39</v>
      </c>
    </row>
    <row r="215" spans="1:19" x14ac:dyDescent="0.3">
      <c r="A215" t="s">
        <v>285</v>
      </c>
      <c r="B215">
        <v>42</v>
      </c>
      <c r="C215" t="s">
        <v>31</v>
      </c>
      <c r="D215" t="s">
        <v>32</v>
      </c>
      <c r="E215" s="1">
        <v>45413</v>
      </c>
      <c r="F215" s="3">
        <v>45432</v>
      </c>
      <c r="G215" t="s">
        <v>48</v>
      </c>
      <c r="H215" t="s">
        <v>22</v>
      </c>
      <c r="I215" t="s">
        <v>81</v>
      </c>
      <c r="J215">
        <v>7902.68</v>
      </c>
      <c r="K215">
        <v>19</v>
      </c>
      <c r="L215" t="s">
        <v>36</v>
      </c>
      <c r="M215" t="s">
        <v>59</v>
      </c>
      <c r="N215" t="s">
        <v>44</v>
      </c>
      <c r="O215" t="s">
        <v>27</v>
      </c>
      <c r="P215" t="s">
        <v>28</v>
      </c>
      <c r="Q215">
        <v>9</v>
      </c>
      <c r="R215">
        <v>2586.7199999999998</v>
      </c>
      <c r="S215" t="s">
        <v>29</v>
      </c>
    </row>
    <row r="216" spans="1:19" x14ac:dyDescent="0.3">
      <c r="A216" t="s">
        <v>286</v>
      </c>
      <c r="B216">
        <v>67</v>
      </c>
      <c r="C216" t="s">
        <v>31</v>
      </c>
      <c r="D216" t="s">
        <v>89</v>
      </c>
      <c r="E216" s="1">
        <v>45058</v>
      </c>
      <c r="F216" s="3">
        <v>45062</v>
      </c>
      <c r="G216" t="s">
        <v>33</v>
      </c>
      <c r="H216" t="s">
        <v>34</v>
      </c>
      <c r="I216" t="s">
        <v>35</v>
      </c>
      <c r="J216">
        <v>2268.98</v>
      </c>
      <c r="K216">
        <v>4</v>
      </c>
      <c r="L216" t="s">
        <v>24</v>
      </c>
      <c r="M216" t="s">
        <v>25</v>
      </c>
      <c r="N216" t="s">
        <v>44</v>
      </c>
      <c r="O216" t="s">
        <v>27</v>
      </c>
      <c r="P216" t="s">
        <v>38</v>
      </c>
      <c r="Q216">
        <v>12</v>
      </c>
      <c r="R216">
        <v>879.7</v>
      </c>
      <c r="S216" t="s">
        <v>29</v>
      </c>
    </row>
    <row r="217" spans="1:19" x14ac:dyDescent="0.3">
      <c r="A217" t="s">
        <v>287</v>
      </c>
      <c r="B217">
        <v>79</v>
      </c>
      <c r="C217" t="s">
        <v>19</v>
      </c>
      <c r="D217" t="s">
        <v>47</v>
      </c>
      <c r="E217" s="1">
        <v>45778</v>
      </c>
      <c r="F217" s="3">
        <v>45779</v>
      </c>
      <c r="G217" t="s">
        <v>48</v>
      </c>
      <c r="H217" t="s">
        <v>22</v>
      </c>
      <c r="I217" t="s">
        <v>43</v>
      </c>
      <c r="J217">
        <v>3301.31</v>
      </c>
      <c r="K217">
        <v>1</v>
      </c>
      <c r="L217" t="s">
        <v>24</v>
      </c>
      <c r="M217" t="s">
        <v>25</v>
      </c>
      <c r="N217" t="s">
        <v>55</v>
      </c>
      <c r="O217" t="s">
        <v>56</v>
      </c>
      <c r="P217" t="s">
        <v>38</v>
      </c>
      <c r="Q217">
        <v>9</v>
      </c>
      <c r="R217">
        <v>988.37</v>
      </c>
      <c r="S217" t="s">
        <v>29</v>
      </c>
    </row>
    <row r="218" spans="1:19" x14ac:dyDescent="0.3">
      <c r="A218" t="s">
        <v>288</v>
      </c>
      <c r="B218">
        <v>80</v>
      </c>
      <c r="C218" t="s">
        <v>31</v>
      </c>
      <c r="D218" t="s">
        <v>79</v>
      </c>
      <c r="E218" s="1">
        <v>45023</v>
      </c>
      <c r="F218" s="3">
        <v>45038</v>
      </c>
      <c r="G218" t="s">
        <v>33</v>
      </c>
      <c r="H218" t="s">
        <v>34</v>
      </c>
      <c r="I218" t="s">
        <v>81</v>
      </c>
      <c r="J218">
        <v>9028.7999999999993</v>
      </c>
      <c r="K218">
        <v>15</v>
      </c>
      <c r="L218" t="s">
        <v>36</v>
      </c>
      <c r="M218" t="s">
        <v>25</v>
      </c>
      <c r="N218" t="s">
        <v>55</v>
      </c>
      <c r="O218" t="s">
        <v>27</v>
      </c>
      <c r="P218" t="s">
        <v>45</v>
      </c>
      <c r="Q218">
        <v>4</v>
      </c>
      <c r="R218">
        <v>2215.77</v>
      </c>
      <c r="S218" t="s">
        <v>29</v>
      </c>
    </row>
    <row r="219" spans="1:19" x14ac:dyDescent="0.3">
      <c r="A219" t="s">
        <v>289</v>
      </c>
      <c r="B219">
        <v>29</v>
      </c>
      <c r="C219" t="s">
        <v>31</v>
      </c>
      <c r="D219" t="s">
        <v>89</v>
      </c>
      <c r="E219" s="1">
        <v>45510</v>
      </c>
      <c r="F219" s="3">
        <v>45538</v>
      </c>
      <c r="G219" t="s">
        <v>21</v>
      </c>
      <c r="H219" t="s">
        <v>22</v>
      </c>
      <c r="I219" t="s">
        <v>54</v>
      </c>
      <c r="J219">
        <v>21985.84</v>
      </c>
      <c r="K219">
        <v>28</v>
      </c>
      <c r="L219" t="s">
        <v>36</v>
      </c>
      <c r="M219" t="s">
        <v>59</v>
      </c>
      <c r="N219" t="s">
        <v>44</v>
      </c>
      <c r="O219" t="s">
        <v>49</v>
      </c>
      <c r="P219" t="s">
        <v>45</v>
      </c>
      <c r="Q219">
        <v>15</v>
      </c>
      <c r="R219">
        <v>8555.9599999999991</v>
      </c>
      <c r="S219" t="s">
        <v>29</v>
      </c>
    </row>
    <row r="220" spans="1:19" x14ac:dyDescent="0.3">
      <c r="A220" t="s">
        <v>290</v>
      </c>
      <c r="B220">
        <v>52</v>
      </c>
      <c r="C220" t="s">
        <v>19</v>
      </c>
      <c r="D220" t="s">
        <v>61</v>
      </c>
      <c r="E220" s="1">
        <v>45457</v>
      </c>
      <c r="F220" s="3">
        <v>45470</v>
      </c>
      <c r="G220" t="s">
        <v>33</v>
      </c>
      <c r="H220" t="s">
        <v>34</v>
      </c>
      <c r="I220" t="s">
        <v>91</v>
      </c>
      <c r="J220">
        <v>6938.76</v>
      </c>
      <c r="K220">
        <v>13</v>
      </c>
      <c r="L220" t="s">
        <v>36</v>
      </c>
      <c r="M220" t="s">
        <v>59</v>
      </c>
      <c r="N220" t="s">
        <v>26</v>
      </c>
      <c r="O220" t="s">
        <v>37</v>
      </c>
      <c r="P220" t="s">
        <v>28</v>
      </c>
      <c r="Q220">
        <v>10</v>
      </c>
      <c r="R220">
        <v>2742.37</v>
      </c>
      <c r="S220" t="s">
        <v>29</v>
      </c>
    </row>
    <row r="221" spans="1:19" x14ac:dyDescent="0.3">
      <c r="A221" t="s">
        <v>291</v>
      </c>
      <c r="B221">
        <v>48</v>
      </c>
      <c r="C221" t="s">
        <v>19</v>
      </c>
      <c r="D221" t="s">
        <v>79</v>
      </c>
      <c r="E221" s="1">
        <v>45744</v>
      </c>
      <c r="F221" s="3">
        <v>45752</v>
      </c>
      <c r="G221" t="s">
        <v>67</v>
      </c>
      <c r="H221" t="s">
        <v>42</v>
      </c>
      <c r="I221" t="s">
        <v>83</v>
      </c>
      <c r="J221">
        <v>6570.42</v>
      </c>
      <c r="K221">
        <v>8</v>
      </c>
      <c r="L221" t="s">
        <v>36</v>
      </c>
      <c r="M221" t="s">
        <v>25</v>
      </c>
      <c r="N221" t="s">
        <v>55</v>
      </c>
      <c r="O221" t="s">
        <v>37</v>
      </c>
      <c r="P221" t="s">
        <v>28</v>
      </c>
      <c r="Q221">
        <v>2</v>
      </c>
      <c r="R221">
        <v>1438.82</v>
      </c>
      <c r="S221" t="s">
        <v>29</v>
      </c>
    </row>
    <row r="222" spans="1:19" x14ac:dyDescent="0.3">
      <c r="A222" t="s">
        <v>292</v>
      </c>
      <c r="B222">
        <v>72</v>
      </c>
      <c r="C222" t="s">
        <v>31</v>
      </c>
      <c r="D222" t="s">
        <v>89</v>
      </c>
      <c r="E222" s="1">
        <v>44974</v>
      </c>
      <c r="F222" s="3">
        <v>44987</v>
      </c>
      <c r="G222" t="s">
        <v>41</v>
      </c>
      <c r="H222" t="s">
        <v>42</v>
      </c>
      <c r="I222" t="s">
        <v>35</v>
      </c>
      <c r="J222">
        <v>14153.7</v>
      </c>
      <c r="K222">
        <v>13</v>
      </c>
      <c r="L222" t="s">
        <v>36</v>
      </c>
      <c r="M222" t="s">
        <v>59</v>
      </c>
      <c r="N222" t="s">
        <v>44</v>
      </c>
      <c r="O222" t="s">
        <v>49</v>
      </c>
      <c r="P222" t="s">
        <v>38</v>
      </c>
      <c r="Q222">
        <v>14</v>
      </c>
      <c r="R222">
        <v>5363.4</v>
      </c>
      <c r="S222" t="s">
        <v>29</v>
      </c>
    </row>
    <row r="223" spans="1:19" x14ac:dyDescent="0.3">
      <c r="A223" t="s">
        <v>293</v>
      </c>
      <c r="B223">
        <v>60</v>
      </c>
      <c r="C223" t="s">
        <v>31</v>
      </c>
      <c r="D223" t="s">
        <v>61</v>
      </c>
      <c r="E223" s="1">
        <v>45592</v>
      </c>
      <c r="F223" s="3">
        <v>45612</v>
      </c>
      <c r="G223" t="s">
        <v>41</v>
      </c>
      <c r="H223" t="s">
        <v>42</v>
      </c>
      <c r="I223" t="s">
        <v>81</v>
      </c>
      <c r="J223">
        <v>8325.44</v>
      </c>
      <c r="K223">
        <v>20</v>
      </c>
      <c r="L223" t="s">
        <v>24</v>
      </c>
      <c r="M223" t="s">
        <v>25</v>
      </c>
      <c r="N223" t="s">
        <v>44</v>
      </c>
      <c r="O223" t="s">
        <v>56</v>
      </c>
      <c r="P223" t="s">
        <v>45</v>
      </c>
      <c r="Q223">
        <v>5</v>
      </c>
      <c r="R223">
        <v>1405.37</v>
      </c>
      <c r="S223" t="s">
        <v>39</v>
      </c>
    </row>
    <row r="224" spans="1:19" x14ac:dyDescent="0.3">
      <c r="A224" t="s">
        <v>294</v>
      </c>
      <c r="B224">
        <v>56</v>
      </c>
      <c r="C224" t="s">
        <v>31</v>
      </c>
      <c r="D224" t="s">
        <v>47</v>
      </c>
      <c r="E224" s="1">
        <v>45761</v>
      </c>
      <c r="F224" s="3">
        <v>45775</v>
      </c>
      <c r="G224" t="s">
        <v>21</v>
      </c>
      <c r="H224" t="s">
        <v>22</v>
      </c>
      <c r="I224" t="s">
        <v>35</v>
      </c>
      <c r="J224">
        <v>8843.98</v>
      </c>
      <c r="K224">
        <v>14</v>
      </c>
      <c r="L224" t="s">
        <v>24</v>
      </c>
      <c r="M224" t="s">
        <v>59</v>
      </c>
      <c r="N224" t="s">
        <v>26</v>
      </c>
      <c r="O224" t="s">
        <v>37</v>
      </c>
      <c r="P224" t="s">
        <v>50</v>
      </c>
      <c r="Q224">
        <v>5</v>
      </c>
      <c r="R224">
        <v>1799.06</v>
      </c>
      <c r="S224" t="s">
        <v>29</v>
      </c>
    </row>
    <row r="225" spans="1:19" x14ac:dyDescent="0.3">
      <c r="A225" t="s">
        <v>295</v>
      </c>
      <c r="B225">
        <v>80</v>
      </c>
      <c r="C225" t="s">
        <v>19</v>
      </c>
      <c r="D225" t="s">
        <v>79</v>
      </c>
      <c r="E225" s="1">
        <v>45476</v>
      </c>
      <c r="F225" s="3">
        <v>45488</v>
      </c>
      <c r="G225" t="s">
        <v>52</v>
      </c>
      <c r="H225" t="s">
        <v>53</v>
      </c>
      <c r="I225" t="s">
        <v>35</v>
      </c>
      <c r="J225">
        <v>10239.19</v>
      </c>
      <c r="K225">
        <v>12</v>
      </c>
      <c r="L225" t="s">
        <v>24</v>
      </c>
      <c r="M225" t="s">
        <v>25</v>
      </c>
      <c r="N225" t="s">
        <v>44</v>
      </c>
      <c r="O225" t="s">
        <v>37</v>
      </c>
      <c r="P225" t="s">
        <v>28</v>
      </c>
      <c r="Q225">
        <v>3</v>
      </c>
      <c r="R225">
        <v>1559.66</v>
      </c>
      <c r="S225" t="s">
        <v>39</v>
      </c>
    </row>
    <row r="226" spans="1:19" x14ac:dyDescent="0.3">
      <c r="A226" t="s">
        <v>296</v>
      </c>
      <c r="B226">
        <v>80</v>
      </c>
      <c r="C226" t="s">
        <v>31</v>
      </c>
      <c r="D226" t="s">
        <v>47</v>
      </c>
      <c r="E226" s="1">
        <v>45182</v>
      </c>
      <c r="F226" s="3">
        <v>45200</v>
      </c>
      <c r="G226" t="s">
        <v>33</v>
      </c>
      <c r="H226" t="s">
        <v>34</v>
      </c>
      <c r="I226" t="s">
        <v>35</v>
      </c>
      <c r="J226">
        <v>9982.2199999999993</v>
      </c>
      <c r="K226">
        <v>18</v>
      </c>
      <c r="L226" t="s">
        <v>36</v>
      </c>
      <c r="M226" t="s">
        <v>25</v>
      </c>
      <c r="N226" t="s">
        <v>55</v>
      </c>
      <c r="O226" t="s">
        <v>27</v>
      </c>
      <c r="P226" t="s">
        <v>28</v>
      </c>
      <c r="Q226">
        <v>15</v>
      </c>
      <c r="R226">
        <v>3170.19</v>
      </c>
      <c r="S226" t="s">
        <v>29</v>
      </c>
    </row>
    <row r="227" spans="1:19" x14ac:dyDescent="0.3">
      <c r="A227" t="s">
        <v>297</v>
      </c>
      <c r="B227">
        <v>32</v>
      </c>
      <c r="C227" t="s">
        <v>31</v>
      </c>
      <c r="D227" t="s">
        <v>32</v>
      </c>
      <c r="E227" s="1">
        <v>45844</v>
      </c>
      <c r="F227" s="3">
        <v>45847</v>
      </c>
      <c r="G227" t="s">
        <v>67</v>
      </c>
      <c r="H227" t="s">
        <v>42</v>
      </c>
      <c r="I227" t="s">
        <v>83</v>
      </c>
      <c r="J227">
        <v>3937.84</v>
      </c>
      <c r="K227">
        <v>3</v>
      </c>
      <c r="L227" t="s">
        <v>36</v>
      </c>
      <c r="M227" t="s">
        <v>59</v>
      </c>
      <c r="N227" t="s">
        <v>55</v>
      </c>
      <c r="O227" t="s">
        <v>56</v>
      </c>
      <c r="P227" t="s">
        <v>38</v>
      </c>
      <c r="Q227">
        <v>12</v>
      </c>
      <c r="R227">
        <v>816.32</v>
      </c>
      <c r="S227" t="s">
        <v>29</v>
      </c>
    </row>
    <row r="228" spans="1:19" x14ac:dyDescent="0.3">
      <c r="A228" t="s">
        <v>298</v>
      </c>
      <c r="B228">
        <v>58</v>
      </c>
      <c r="C228" t="s">
        <v>31</v>
      </c>
      <c r="D228" t="s">
        <v>79</v>
      </c>
      <c r="E228" s="1">
        <v>45763</v>
      </c>
      <c r="F228" s="3">
        <v>45770</v>
      </c>
      <c r="G228" t="s">
        <v>52</v>
      </c>
      <c r="H228" t="s">
        <v>53</v>
      </c>
      <c r="I228" t="s">
        <v>54</v>
      </c>
      <c r="J228">
        <v>3559.97</v>
      </c>
      <c r="K228">
        <v>7</v>
      </c>
      <c r="L228" t="s">
        <v>36</v>
      </c>
      <c r="M228" t="s">
        <v>25</v>
      </c>
      <c r="N228" t="s">
        <v>55</v>
      </c>
      <c r="O228" t="s">
        <v>27</v>
      </c>
      <c r="P228" t="s">
        <v>28</v>
      </c>
      <c r="Q228">
        <v>10</v>
      </c>
      <c r="R228">
        <v>1202</v>
      </c>
      <c r="S228" t="s">
        <v>29</v>
      </c>
    </row>
    <row r="229" spans="1:19" x14ac:dyDescent="0.3">
      <c r="A229" t="s">
        <v>299</v>
      </c>
      <c r="B229">
        <v>51</v>
      </c>
      <c r="C229" t="s">
        <v>31</v>
      </c>
      <c r="D229" t="s">
        <v>66</v>
      </c>
      <c r="E229" s="1">
        <v>45525</v>
      </c>
      <c r="F229" s="3">
        <v>45536</v>
      </c>
      <c r="G229" t="s">
        <v>71</v>
      </c>
      <c r="H229" t="s">
        <v>72</v>
      </c>
      <c r="I229" t="s">
        <v>23</v>
      </c>
      <c r="J229">
        <v>3634.76</v>
      </c>
      <c r="K229">
        <v>11</v>
      </c>
      <c r="L229" t="s">
        <v>36</v>
      </c>
      <c r="M229" t="s">
        <v>25</v>
      </c>
      <c r="N229" t="s">
        <v>26</v>
      </c>
      <c r="O229" t="s">
        <v>27</v>
      </c>
      <c r="P229" t="s">
        <v>50</v>
      </c>
      <c r="Q229">
        <v>2</v>
      </c>
      <c r="R229">
        <v>1204.08</v>
      </c>
      <c r="S229" t="s">
        <v>29</v>
      </c>
    </row>
    <row r="230" spans="1:19" x14ac:dyDescent="0.3">
      <c r="A230" t="s">
        <v>300</v>
      </c>
      <c r="B230">
        <v>50</v>
      </c>
      <c r="C230" t="s">
        <v>19</v>
      </c>
      <c r="D230" t="s">
        <v>61</v>
      </c>
      <c r="E230" s="1">
        <v>45662</v>
      </c>
      <c r="F230" s="3">
        <v>45664</v>
      </c>
      <c r="G230" t="s">
        <v>74</v>
      </c>
      <c r="H230" t="s">
        <v>75</v>
      </c>
      <c r="I230" t="s">
        <v>58</v>
      </c>
      <c r="J230">
        <v>3748.74</v>
      </c>
      <c r="K230">
        <v>2</v>
      </c>
      <c r="L230" t="s">
        <v>36</v>
      </c>
      <c r="M230" t="s">
        <v>59</v>
      </c>
      <c r="N230" t="s">
        <v>26</v>
      </c>
      <c r="O230" t="s">
        <v>27</v>
      </c>
      <c r="P230" t="s">
        <v>45</v>
      </c>
      <c r="Q230">
        <v>7</v>
      </c>
      <c r="R230">
        <v>1181.45</v>
      </c>
      <c r="S230" t="s">
        <v>29</v>
      </c>
    </row>
    <row r="231" spans="1:19" x14ac:dyDescent="0.3">
      <c r="A231" t="s">
        <v>301</v>
      </c>
      <c r="B231">
        <v>89</v>
      </c>
      <c r="C231" t="s">
        <v>19</v>
      </c>
      <c r="D231" t="s">
        <v>47</v>
      </c>
      <c r="E231" s="1">
        <v>45303</v>
      </c>
      <c r="F231" s="3">
        <v>45322</v>
      </c>
      <c r="G231" t="s">
        <v>33</v>
      </c>
      <c r="H231" t="s">
        <v>34</v>
      </c>
      <c r="I231" t="s">
        <v>54</v>
      </c>
      <c r="J231">
        <v>11048.14</v>
      </c>
      <c r="K231">
        <v>19</v>
      </c>
      <c r="L231" t="s">
        <v>36</v>
      </c>
      <c r="M231" t="s">
        <v>25</v>
      </c>
      <c r="N231" t="s">
        <v>26</v>
      </c>
      <c r="O231" t="s">
        <v>49</v>
      </c>
      <c r="P231" t="s">
        <v>45</v>
      </c>
      <c r="Q231">
        <v>14</v>
      </c>
      <c r="R231">
        <v>1788.44</v>
      </c>
      <c r="S231" t="s">
        <v>29</v>
      </c>
    </row>
    <row r="232" spans="1:19" x14ac:dyDescent="0.3">
      <c r="A232" t="s">
        <v>302</v>
      </c>
      <c r="B232">
        <v>35</v>
      </c>
      <c r="C232" t="s">
        <v>19</v>
      </c>
      <c r="D232" t="s">
        <v>66</v>
      </c>
      <c r="E232" s="1">
        <v>45149</v>
      </c>
      <c r="F232" s="3">
        <v>45150</v>
      </c>
      <c r="G232" t="s">
        <v>67</v>
      </c>
      <c r="H232" t="s">
        <v>42</v>
      </c>
      <c r="I232" t="s">
        <v>43</v>
      </c>
      <c r="J232">
        <v>3532.11</v>
      </c>
      <c r="K232">
        <v>1</v>
      </c>
      <c r="L232" t="s">
        <v>36</v>
      </c>
      <c r="M232" t="s">
        <v>25</v>
      </c>
      <c r="N232" t="s">
        <v>55</v>
      </c>
      <c r="O232" t="s">
        <v>37</v>
      </c>
      <c r="P232" t="s">
        <v>50</v>
      </c>
      <c r="Q232">
        <v>14</v>
      </c>
      <c r="R232">
        <v>1156.94</v>
      </c>
      <c r="S232" t="s">
        <v>29</v>
      </c>
    </row>
    <row r="233" spans="1:19" x14ac:dyDescent="0.3">
      <c r="A233" t="s">
        <v>303</v>
      </c>
      <c r="B233">
        <v>87</v>
      </c>
      <c r="C233" t="s">
        <v>31</v>
      </c>
      <c r="D233" t="s">
        <v>70</v>
      </c>
      <c r="E233" s="1">
        <v>45775</v>
      </c>
      <c r="F233" s="3">
        <v>45785</v>
      </c>
      <c r="G233" t="s">
        <v>67</v>
      </c>
      <c r="H233" t="s">
        <v>42</v>
      </c>
      <c r="I233" t="s">
        <v>58</v>
      </c>
      <c r="J233">
        <v>2883.71</v>
      </c>
      <c r="K233">
        <v>10</v>
      </c>
      <c r="L233" t="s">
        <v>36</v>
      </c>
      <c r="M233" t="s">
        <v>59</v>
      </c>
      <c r="N233" t="s">
        <v>55</v>
      </c>
      <c r="O233" t="s">
        <v>56</v>
      </c>
      <c r="P233" t="s">
        <v>28</v>
      </c>
      <c r="Q233">
        <v>7</v>
      </c>
      <c r="R233">
        <v>1108.3599999999999</v>
      </c>
      <c r="S233" t="s">
        <v>29</v>
      </c>
    </row>
    <row r="234" spans="1:19" x14ac:dyDescent="0.3">
      <c r="A234" t="s">
        <v>304</v>
      </c>
      <c r="B234">
        <v>26</v>
      </c>
      <c r="C234" t="s">
        <v>31</v>
      </c>
      <c r="D234" t="s">
        <v>89</v>
      </c>
      <c r="E234" s="1">
        <v>45161</v>
      </c>
      <c r="F234" s="3">
        <v>45162</v>
      </c>
      <c r="G234" t="s">
        <v>71</v>
      </c>
      <c r="H234" t="s">
        <v>72</v>
      </c>
      <c r="I234" t="s">
        <v>83</v>
      </c>
      <c r="J234">
        <v>3303.21</v>
      </c>
      <c r="K234">
        <v>1</v>
      </c>
      <c r="L234" t="s">
        <v>36</v>
      </c>
      <c r="M234" t="s">
        <v>25</v>
      </c>
      <c r="N234" t="s">
        <v>55</v>
      </c>
      <c r="O234" t="s">
        <v>37</v>
      </c>
      <c r="P234" t="s">
        <v>28</v>
      </c>
      <c r="Q234">
        <v>5</v>
      </c>
      <c r="R234">
        <v>954.71</v>
      </c>
      <c r="S234" t="s">
        <v>29</v>
      </c>
    </row>
    <row r="235" spans="1:19" x14ac:dyDescent="0.3">
      <c r="A235" t="s">
        <v>305</v>
      </c>
      <c r="B235">
        <v>60</v>
      </c>
      <c r="C235" t="s">
        <v>31</v>
      </c>
      <c r="D235" t="s">
        <v>61</v>
      </c>
      <c r="E235" s="1">
        <v>45071</v>
      </c>
      <c r="F235" s="3">
        <v>45080</v>
      </c>
      <c r="G235" t="s">
        <v>71</v>
      </c>
      <c r="H235" t="s">
        <v>72</v>
      </c>
      <c r="I235" t="s">
        <v>81</v>
      </c>
      <c r="J235">
        <v>4264.9399999999996</v>
      </c>
      <c r="K235">
        <v>9</v>
      </c>
      <c r="L235" t="s">
        <v>24</v>
      </c>
      <c r="M235" t="s">
        <v>25</v>
      </c>
      <c r="N235" t="s">
        <v>26</v>
      </c>
      <c r="O235" t="s">
        <v>56</v>
      </c>
      <c r="P235" t="s">
        <v>28</v>
      </c>
      <c r="Q235">
        <v>2</v>
      </c>
      <c r="R235">
        <v>1394.9</v>
      </c>
      <c r="S235" t="s">
        <v>29</v>
      </c>
    </row>
    <row r="236" spans="1:19" x14ac:dyDescent="0.3">
      <c r="A236" t="s">
        <v>306</v>
      </c>
      <c r="B236">
        <v>41</v>
      </c>
      <c r="C236" t="s">
        <v>31</v>
      </c>
      <c r="D236" t="s">
        <v>61</v>
      </c>
      <c r="E236" s="1">
        <v>45135</v>
      </c>
      <c r="F236" s="3">
        <v>45160</v>
      </c>
      <c r="G236" t="s">
        <v>52</v>
      </c>
      <c r="H236" t="s">
        <v>53</v>
      </c>
      <c r="I236" t="s">
        <v>58</v>
      </c>
      <c r="J236">
        <v>11129.21</v>
      </c>
      <c r="K236">
        <v>25</v>
      </c>
      <c r="L236" t="s">
        <v>24</v>
      </c>
      <c r="M236" t="s">
        <v>25</v>
      </c>
      <c r="N236" t="s">
        <v>26</v>
      </c>
      <c r="O236" t="s">
        <v>49</v>
      </c>
      <c r="P236" t="s">
        <v>50</v>
      </c>
      <c r="Q236">
        <v>3</v>
      </c>
      <c r="R236">
        <v>4044.38</v>
      </c>
      <c r="S236" t="s">
        <v>29</v>
      </c>
    </row>
    <row r="237" spans="1:19" x14ac:dyDescent="0.3">
      <c r="A237" t="s">
        <v>307</v>
      </c>
      <c r="B237">
        <v>77</v>
      </c>
      <c r="C237" t="s">
        <v>31</v>
      </c>
      <c r="D237" t="s">
        <v>89</v>
      </c>
      <c r="E237" s="1">
        <v>44935</v>
      </c>
      <c r="F237" s="3">
        <v>44949</v>
      </c>
      <c r="G237" t="s">
        <v>33</v>
      </c>
      <c r="H237" t="s">
        <v>34</v>
      </c>
      <c r="I237" t="s">
        <v>58</v>
      </c>
      <c r="J237">
        <v>14543.09</v>
      </c>
      <c r="K237">
        <v>14</v>
      </c>
      <c r="L237" t="s">
        <v>24</v>
      </c>
      <c r="M237" t="s">
        <v>101</v>
      </c>
      <c r="N237" t="s">
        <v>55</v>
      </c>
      <c r="O237" t="s">
        <v>49</v>
      </c>
      <c r="P237" t="s">
        <v>45</v>
      </c>
      <c r="Q237">
        <v>6</v>
      </c>
      <c r="R237">
        <v>2614.02</v>
      </c>
      <c r="S237" t="s">
        <v>29</v>
      </c>
    </row>
    <row r="238" spans="1:19" x14ac:dyDescent="0.3">
      <c r="A238" t="s">
        <v>308</v>
      </c>
      <c r="B238">
        <v>68</v>
      </c>
      <c r="C238" t="s">
        <v>31</v>
      </c>
      <c r="D238" t="s">
        <v>20</v>
      </c>
      <c r="E238" s="1">
        <v>44971</v>
      </c>
      <c r="F238" s="3">
        <v>44985</v>
      </c>
      <c r="G238" t="s">
        <v>21</v>
      </c>
      <c r="H238" t="s">
        <v>22</v>
      </c>
      <c r="I238" t="s">
        <v>91</v>
      </c>
      <c r="J238">
        <v>13055.12</v>
      </c>
      <c r="K238">
        <v>14</v>
      </c>
      <c r="L238" t="s">
        <v>24</v>
      </c>
      <c r="M238" t="s">
        <v>25</v>
      </c>
      <c r="N238" t="s">
        <v>26</v>
      </c>
      <c r="O238" t="s">
        <v>49</v>
      </c>
      <c r="P238" t="s">
        <v>45</v>
      </c>
      <c r="Q238">
        <v>5</v>
      </c>
      <c r="R238">
        <v>5213.84</v>
      </c>
      <c r="S238" t="s">
        <v>39</v>
      </c>
    </row>
    <row r="239" spans="1:19" x14ac:dyDescent="0.3">
      <c r="A239" t="s">
        <v>309</v>
      </c>
      <c r="B239">
        <v>62</v>
      </c>
      <c r="C239" t="s">
        <v>31</v>
      </c>
      <c r="D239" t="s">
        <v>89</v>
      </c>
      <c r="E239" s="1">
        <v>45569</v>
      </c>
      <c r="F239" s="3">
        <v>45570</v>
      </c>
      <c r="G239" t="s">
        <v>62</v>
      </c>
      <c r="H239" t="s">
        <v>63</v>
      </c>
      <c r="I239" t="s">
        <v>83</v>
      </c>
      <c r="J239">
        <v>1014.53</v>
      </c>
      <c r="K239">
        <v>1</v>
      </c>
      <c r="L239" t="s">
        <v>24</v>
      </c>
      <c r="M239" t="s">
        <v>25</v>
      </c>
      <c r="N239" t="s">
        <v>55</v>
      </c>
      <c r="O239" t="s">
        <v>37</v>
      </c>
      <c r="P239" t="s">
        <v>50</v>
      </c>
      <c r="Q239">
        <v>3</v>
      </c>
      <c r="R239">
        <v>335.18</v>
      </c>
      <c r="S239" t="s">
        <v>29</v>
      </c>
    </row>
    <row r="240" spans="1:19" x14ac:dyDescent="0.3">
      <c r="A240" t="s">
        <v>310</v>
      </c>
      <c r="B240">
        <v>89</v>
      </c>
      <c r="C240" t="s">
        <v>31</v>
      </c>
      <c r="D240" t="s">
        <v>32</v>
      </c>
      <c r="E240" s="1">
        <v>45270</v>
      </c>
      <c r="F240" s="3">
        <v>45276</v>
      </c>
      <c r="G240" t="s">
        <v>74</v>
      </c>
      <c r="H240" t="s">
        <v>75</v>
      </c>
      <c r="I240" t="s">
        <v>54</v>
      </c>
      <c r="J240">
        <v>4667.4799999999996</v>
      </c>
      <c r="K240">
        <v>6</v>
      </c>
      <c r="L240" t="s">
        <v>36</v>
      </c>
      <c r="M240" t="s">
        <v>25</v>
      </c>
      <c r="N240" t="s">
        <v>26</v>
      </c>
      <c r="O240" t="s">
        <v>27</v>
      </c>
      <c r="P240" t="s">
        <v>45</v>
      </c>
      <c r="Q240">
        <v>3</v>
      </c>
      <c r="R240">
        <v>1392.05</v>
      </c>
      <c r="S240" t="s">
        <v>39</v>
      </c>
    </row>
    <row r="241" spans="1:19" x14ac:dyDescent="0.3">
      <c r="A241" t="s">
        <v>311</v>
      </c>
      <c r="B241">
        <v>78</v>
      </c>
      <c r="C241" t="s">
        <v>31</v>
      </c>
      <c r="D241" t="s">
        <v>66</v>
      </c>
      <c r="E241" s="1">
        <v>45480</v>
      </c>
      <c r="F241" s="3">
        <v>45491</v>
      </c>
      <c r="G241" t="s">
        <v>71</v>
      </c>
      <c r="H241" t="s">
        <v>72</v>
      </c>
      <c r="I241" t="s">
        <v>43</v>
      </c>
      <c r="J241">
        <v>13844.27</v>
      </c>
      <c r="K241">
        <v>11</v>
      </c>
      <c r="L241" t="s">
        <v>24</v>
      </c>
      <c r="M241" t="s">
        <v>25</v>
      </c>
      <c r="N241" t="s">
        <v>44</v>
      </c>
      <c r="O241" t="s">
        <v>49</v>
      </c>
      <c r="P241" t="s">
        <v>28</v>
      </c>
      <c r="Q241">
        <v>7</v>
      </c>
      <c r="R241">
        <v>4138.91</v>
      </c>
      <c r="S241" t="s">
        <v>39</v>
      </c>
    </row>
    <row r="242" spans="1:19" x14ac:dyDescent="0.3">
      <c r="A242" t="s">
        <v>312</v>
      </c>
      <c r="B242">
        <v>32</v>
      </c>
      <c r="C242" t="s">
        <v>19</v>
      </c>
      <c r="D242" t="s">
        <v>47</v>
      </c>
      <c r="E242" s="1">
        <v>44961</v>
      </c>
      <c r="F242" s="3">
        <v>44978</v>
      </c>
      <c r="G242" t="s">
        <v>33</v>
      </c>
      <c r="H242" t="s">
        <v>34</v>
      </c>
      <c r="I242" t="s">
        <v>43</v>
      </c>
      <c r="J242">
        <v>10517.9</v>
      </c>
      <c r="K242">
        <v>17</v>
      </c>
      <c r="L242" t="s">
        <v>36</v>
      </c>
      <c r="M242" t="s">
        <v>59</v>
      </c>
      <c r="N242" t="s">
        <v>55</v>
      </c>
      <c r="O242" t="s">
        <v>56</v>
      </c>
      <c r="P242" t="s">
        <v>28</v>
      </c>
      <c r="Q242">
        <v>7</v>
      </c>
      <c r="R242">
        <v>1637.85</v>
      </c>
      <c r="S242" t="s">
        <v>29</v>
      </c>
    </row>
    <row r="243" spans="1:19" x14ac:dyDescent="0.3">
      <c r="A243" t="s">
        <v>313</v>
      </c>
      <c r="B243">
        <v>80</v>
      </c>
      <c r="C243" t="s">
        <v>31</v>
      </c>
      <c r="D243" t="s">
        <v>47</v>
      </c>
      <c r="E243" s="1">
        <v>45650</v>
      </c>
      <c r="F243" s="3">
        <v>45661</v>
      </c>
      <c r="G243" t="s">
        <v>33</v>
      </c>
      <c r="H243" t="s">
        <v>34</v>
      </c>
      <c r="I243" t="s">
        <v>54</v>
      </c>
      <c r="J243">
        <v>13073.05</v>
      </c>
      <c r="K243">
        <v>11</v>
      </c>
      <c r="L243" t="s">
        <v>24</v>
      </c>
      <c r="M243" t="s">
        <v>25</v>
      </c>
      <c r="N243" t="s">
        <v>26</v>
      </c>
      <c r="O243" t="s">
        <v>49</v>
      </c>
      <c r="P243" t="s">
        <v>38</v>
      </c>
      <c r="Q243">
        <v>9</v>
      </c>
      <c r="R243">
        <v>3294.34</v>
      </c>
      <c r="S243" t="s">
        <v>29</v>
      </c>
    </row>
    <row r="244" spans="1:19" x14ac:dyDescent="0.3">
      <c r="A244" t="s">
        <v>314</v>
      </c>
      <c r="B244">
        <v>41</v>
      </c>
      <c r="C244" t="s">
        <v>19</v>
      </c>
      <c r="D244" t="s">
        <v>32</v>
      </c>
      <c r="E244" s="1">
        <v>45166</v>
      </c>
      <c r="F244" s="3">
        <v>45177</v>
      </c>
      <c r="G244" t="s">
        <v>41</v>
      </c>
      <c r="H244" t="s">
        <v>42</v>
      </c>
      <c r="I244" t="s">
        <v>81</v>
      </c>
      <c r="J244">
        <v>5425.67</v>
      </c>
      <c r="K244">
        <v>11</v>
      </c>
      <c r="L244" t="s">
        <v>24</v>
      </c>
      <c r="M244" t="s">
        <v>101</v>
      </c>
      <c r="N244" t="s">
        <v>55</v>
      </c>
      <c r="O244" t="s">
        <v>37</v>
      </c>
      <c r="P244" t="s">
        <v>50</v>
      </c>
      <c r="Q244">
        <v>1</v>
      </c>
      <c r="R244">
        <v>887.32</v>
      </c>
      <c r="S244" t="s">
        <v>29</v>
      </c>
    </row>
    <row r="245" spans="1:19" x14ac:dyDescent="0.3">
      <c r="A245" t="s">
        <v>315</v>
      </c>
      <c r="B245">
        <v>69</v>
      </c>
      <c r="C245" t="s">
        <v>31</v>
      </c>
      <c r="D245" t="s">
        <v>70</v>
      </c>
      <c r="E245" s="1">
        <v>45494</v>
      </c>
      <c r="F245" s="3">
        <v>45512</v>
      </c>
      <c r="G245" t="s">
        <v>52</v>
      </c>
      <c r="H245" t="s">
        <v>53</v>
      </c>
      <c r="I245" t="s">
        <v>81</v>
      </c>
      <c r="J245">
        <v>7355.19</v>
      </c>
      <c r="K245">
        <v>18</v>
      </c>
      <c r="L245" t="s">
        <v>24</v>
      </c>
      <c r="M245" t="s">
        <v>59</v>
      </c>
      <c r="N245" t="s">
        <v>55</v>
      </c>
      <c r="O245" t="s">
        <v>37</v>
      </c>
      <c r="P245" t="s">
        <v>38</v>
      </c>
      <c r="Q245">
        <v>5</v>
      </c>
      <c r="R245">
        <v>2288.04</v>
      </c>
      <c r="S245" t="s">
        <v>29</v>
      </c>
    </row>
    <row r="246" spans="1:19" x14ac:dyDescent="0.3">
      <c r="A246" t="s">
        <v>316</v>
      </c>
      <c r="B246">
        <v>67</v>
      </c>
      <c r="C246" t="s">
        <v>19</v>
      </c>
      <c r="D246" t="s">
        <v>70</v>
      </c>
      <c r="E246" s="1">
        <v>45167</v>
      </c>
      <c r="F246" s="3">
        <v>45184</v>
      </c>
      <c r="G246" t="s">
        <v>62</v>
      </c>
      <c r="H246" t="s">
        <v>63</v>
      </c>
      <c r="I246" t="s">
        <v>83</v>
      </c>
      <c r="J246">
        <v>16805.03</v>
      </c>
      <c r="K246">
        <v>17</v>
      </c>
      <c r="L246" t="s">
        <v>36</v>
      </c>
      <c r="M246" t="s">
        <v>25</v>
      </c>
      <c r="N246" t="s">
        <v>26</v>
      </c>
      <c r="O246" t="s">
        <v>49</v>
      </c>
      <c r="P246" t="s">
        <v>50</v>
      </c>
      <c r="Q246">
        <v>3</v>
      </c>
      <c r="R246">
        <v>5346.26</v>
      </c>
      <c r="S246" t="s">
        <v>29</v>
      </c>
    </row>
    <row r="247" spans="1:19" x14ac:dyDescent="0.3">
      <c r="A247" t="s">
        <v>317</v>
      </c>
      <c r="B247">
        <v>71</v>
      </c>
      <c r="C247" t="s">
        <v>19</v>
      </c>
      <c r="D247" t="s">
        <v>89</v>
      </c>
      <c r="E247" s="1">
        <v>45587</v>
      </c>
      <c r="F247" s="3">
        <v>45599</v>
      </c>
      <c r="G247" t="s">
        <v>71</v>
      </c>
      <c r="H247" t="s">
        <v>72</v>
      </c>
      <c r="I247" t="s">
        <v>43</v>
      </c>
      <c r="J247">
        <v>12399.41</v>
      </c>
      <c r="K247">
        <v>12</v>
      </c>
      <c r="L247" t="s">
        <v>36</v>
      </c>
      <c r="M247" t="s">
        <v>25</v>
      </c>
      <c r="N247" t="s">
        <v>44</v>
      </c>
      <c r="O247" t="s">
        <v>49</v>
      </c>
      <c r="P247" t="s">
        <v>50</v>
      </c>
      <c r="Q247">
        <v>14</v>
      </c>
      <c r="R247">
        <v>3029.79</v>
      </c>
      <c r="S247" t="s">
        <v>39</v>
      </c>
    </row>
    <row r="248" spans="1:19" x14ac:dyDescent="0.3">
      <c r="A248" t="s">
        <v>318</v>
      </c>
      <c r="B248">
        <v>79</v>
      </c>
      <c r="C248" t="s">
        <v>31</v>
      </c>
      <c r="D248" t="s">
        <v>20</v>
      </c>
      <c r="E248" s="1">
        <v>45404</v>
      </c>
      <c r="F248" s="3">
        <v>45427</v>
      </c>
      <c r="G248" t="s">
        <v>21</v>
      </c>
      <c r="H248" t="s">
        <v>22</v>
      </c>
      <c r="I248" t="s">
        <v>83</v>
      </c>
      <c r="J248">
        <v>9719.1299999999992</v>
      </c>
      <c r="K248">
        <v>23</v>
      </c>
      <c r="L248" t="s">
        <v>24</v>
      </c>
      <c r="M248" t="s">
        <v>101</v>
      </c>
      <c r="N248" t="s">
        <v>26</v>
      </c>
      <c r="O248" t="s">
        <v>49</v>
      </c>
      <c r="P248" t="s">
        <v>28</v>
      </c>
      <c r="Q248">
        <v>10</v>
      </c>
      <c r="R248">
        <v>2728.4</v>
      </c>
      <c r="S248" t="s">
        <v>29</v>
      </c>
    </row>
    <row r="249" spans="1:19" x14ac:dyDescent="0.3">
      <c r="A249" t="s">
        <v>319</v>
      </c>
      <c r="B249">
        <v>39</v>
      </c>
      <c r="C249" t="s">
        <v>31</v>
      </c>
      <c r="D249" t="s">
        <v>61</v>
      </c>
      <c r="E249" s="1">
        <v>45360</v>
      </c>
      <c r="F249" s="3">
        <v>45373</v>
      </c>
      <c r="G249" t="s">
        <v>21</v>
      </c>
      <c r="H249" t="s">
        <v>22</v>
      </c>
      <c r="I249" t="s">
        <v>43</v>
      </c>
      <c r="J249">
        <v>8577.11</v>
      </c>
      <c r="K249">
        <v>13</v>
      </c>
      <c r="L249" t="s">
        <v>36</v>
      </c>
      <c r="M249" t="s">
        <v>101</v>
      </c>
      <c r="N249" t="s">
        <v>44</v>
      </c>
      <c r="O249" t="s">
        <v>49</v>
      </c>
      <c r="P249" t="s">
        <v>38</v>
      </c>
      <c r="Q249">
        <v>6</v>
      </c>
      <c r="R249">
        <v>1782.06</v>
      </c>
      <c r="S249" t="s">
        <v>29</v>
      </c>
    </row>
    <row r="250" spans="1:19" x14ac:dyDescent="0.3">
      <c r="A250" t="s">
        <v>320</v>
      </c>
      <c r="B250">
        <v>22</v>
      </c>
      <c r="C250" t="s">
        <v>31</v>
      </c>
      <c r="D250" t="s">
        <v>70</v>
      </c>
      <c r="E250" s="1">
        <v>45168</v>
      </c>
      <c r="F250" s="3">
        <v>45185</v>
      </c>
      <c r="G250" t="s">
        <v>41</v>
      </c>
      <c r="H250" t="s">
        <v>42</v>
      </c>
      <c r="I250" t="s">
        <v>81</v>
      </c>
      <c r="J250">
        <v>4758.1000000000004</v>
      </c>
      <c r="K250">
        <v>17</v>
      </c>
      <c r="L250" t="s">
        <v>24</v>
      </c>
      <c r="M250" t="s">
        <v>25</v>
      </c>
      <c r="N250" t="s">
        <v>44</v>
      </c>
      <c r="O250" t="s">
        <v>56</v>
      </c>
      <c r="P250" t="s">
        <v>38</v>
      </c>
      <c r="Q250">
        <v>4</v>
      </c>
      <c r="R250">
        <v>1072.96</v>
      </c>
      <c r="S250" t="s">
        <v>29</v>
      </c>
    </row>
    <row r="251" spans="1:19" x14ac:dyDescent="0.3">
      <c r="A251" t="s">
        <v>321</v>
      </c>
      <c r="B251">
        <v>30</v>
      </c>
      <c r="C251" t="s">
        <v>31</v>
      </c>
      <c r="D251" t="s">
        <v>79</v>
      </c>
      <c r="E251" s="1">
        <v>45613</v>
      </c>
      <c r="F251" s="3">
        <v>45621</v>
      </c>
      <c r="G251" t="s">
        <v>67</v>
      </c>
      <c r="H251" t="s">
        <v>42</v>
      </c>
      <c r="I251" t="s">
        <v>54</v>
      </c>
      <c r="J251">
        <v>5535.23</v>
      </c>
      <c r="K251">
        <v>8</v>
      </c>
      <c r="L251" t="s">
        <v>36</v>
      </c>
      <c r="M251" t="s">
        <v>76</v>
      </c>
      <c r="N251" t="s">
        <v>26</v>
      </c>
      <c r="O251" t="s">
        <v>56</v>
      </c>
      <c r="P251" t="s">
        <v>38</v>
      </c>
      <c r="Q251">
        <v>7</v>
      </c>
      <c r="R251">
        <v>2065.08</v>
      </c>
      <c r="S251" t="s">
        <v>29</v>
      </c>
    </row>
    <row r="252" spans="1:19" x14ac:dyDescent="0.3">
      <c r="A252" t="s">
        <v>322</v>
      </c>
      <c r="B252">
        <v>53</v>
      </c>
      <c r="C252" t="s">
        <v>19</v>
      </c>
      <c r="D252" t="s">
        <v>32</v>
      </c>
      <c r="E252" s="1">
        <v>45037</v>
      </c>
      <c r="F252" s="3">
        <v>45042</v>
      </c>
      <c r="G252" t="s">
        <v>67</v>
      </c>
      <c r="H252" t="s">
        <v>42</v>
      </c>
      <c r="I252" t="s">
        <v>54</v>
      </c>
      <c r="J252">
        <v>3039.48</v>
      </c>
      <c r="K252">
        <v>5</v>
      </c>
      <c r="L252" t="s">
        <v>36</v>
      </c>
      <c r="M252" t="s">
        <v>25</v>
      </c>
      <c r="N252" t="s">
        <v>55</v>
      </c>
      <c r="O252" t="s">
        <v>27</v>
      </c>
      <c r="P252" t="s">
        <v>50</v>
      </c>
      <c r="Q252">
        <v>7</v>
      </c>
      <c r="R252">
        <v>548.03</v>
      </c>
      <c r="S252" t="s">
        <v>29</v>
      </c>
    </row>
    <row r="253" spans="1:19" x14ac:dyDescent="0.3">
      <c r="A253" t="s">
        <v>323</v>
      </c>
      <c r="B253">
        <v>53</v>
      </c>
      <c r="C253" t="s">
        <v>31</v>
      </c>
      <c r="D253" t="s">
        <v>70</v>
      </c>
      <c r="E253" s="1">
        <v>45176</v>
      </c>
      <c r="F253" s="3">
        <v>45182</v>
      </c>
      <c r="G253" t="s">
        <v>33</v>
      </c>
      <c r="H253" t="s">
        <v>34</v>
      </c>
      <c r="I253" t="s">
        <v>58</v>
      </c>
      <c r="J253">
        <v>5312.95</v>
      </c>
      <c r="K253">
        <v>6</v>
      </c>
      <c r="L253" t="s">
        <v>24</v>
      </c>
      <c r="M253" t="s">
        <v>25</v>
      </c>
      <c r="N253" t="s">
        <v>55</v>
      </c>
      <c r="O253" t="s">
        <v>56</v>
      </c>
      <c r="P253" t="s">
        <v>50</v>
      </c>
      <c r="Q253">
        <v>6</v>
      </c>
      <c r="R253">
        <v>1001.73</v>
      </c>
      <c r="S253" t="s">
        <v>29</v>
      </c>
    </row>
    <row r="254" spans="1:19" x14ac:dyDescent="0.3">
      <c r="A254" t="s">
        <v>324</v>
      </c>
      <c r="B254">
        <v>68</v>
      </c>
      <c r="C254" t="s">
        <v>19</v>
      </c>
      <c r="D254" t="s">
        <v>32</v>
      </c>
      <c r="E254" s="1">
        <v>45673</v>
      </c>
      <c r="F254" s="3">
        <v>45682</v>
      </c>
      <c r="G254" t="s">
        <v>41</v>
      </c>
      <c r="H254" t="s">
        <v>42</v>
      </c>
      <c r="I254" t="s">
        <v>91</v>
      </c>
      <c r="J254">
        <v>13033.54</v>
      </c>
      <c r="K254">
        <v>9</v>
      </c>
      <c r="L254" t="s">
        <v>24</v>
      </c>
      <c r="M254" t="s">
        <v>25</v>
      </c>
      <c r="N254" t="s">
        <v>55</v>
      </c>
      <c r="O254" t="s">
        <v>49</v>
      </c>
      <c r="P254" t="s">
        <v>45</v>
      </c>
      <c r="Q254">
        <v>8</v>
      </c>
      <c r="R254">
        <v>4950.5600000000004</v>
      </c>
      <c r="S254" t="s">
        <v>29</v>
      </c>
    </row>
    <row r="255" spans="1:19" x14ac:dyDescent="0.3">
      <c r="A255" t="s">
        <v>325</v>
      </c>
      <c r="B255">
        <v>35</v>
      </c>
      <c r="C255" t="s">
        <v>31</v>
      </c>
      <c r="D255" t="s">
        <v>32</v>
      </c>
      <c r="E255" s="1">
        <v>45670</v>
      </c>
      <c r="F255" s="3">
        <v>45673</v>
      </c>
      <c r="G255" t="s">
        <v>67</v>
      </c>
      <c r="H255" t="s">
        <v>42</v>
      </c>
      <c r="I255" t="s">
        <v>83</v>
      </c>
      <c r="J255">
        <v>1868.35</v>
      </c>
      <c r="K255">
        <v>3</v>
      </c>
      <c r="L255" t="s">
        <v>36</v>
      </c>
      <c r="M255" t="s">
        <v>25</v>
      </c>
      <c r="N255" t="s">
        <v>26</v>
      </c>
      <c r="O255" t="s">
        <v>27</v>
      </c>
      <c r="P255" t="s">
        <v>28</v>
      </c>
      <c r="Q255">
        <v>11</v>
      </c>
      <c r="R255">
        <v>426.23</v>
      </c>
      <c r="S255" t="s">
        <v>29</v>
      </c>
    </row>
    <row r="256" spans="1:19" x14ac:dyDescent="0.3">
      <c r="A256" t="s">
        <v>326</v>
      </c>
      <c r="B256">
        <v>69</v>
      </c>
      <c r="C256" t="s">
        <v>31</v>
      </c>
      <c r="D256" t="s">
        <v>89</v>
      </c>
      <c r="E256" s="1">
        <v>44967</v>
      </c>
      <c r="F256" s="3">
        <v>44984</v>
      </c>
      <c r="G256" t="s">
        <v>52</v>
      </c>
      <c r="H256" t="s">
        <v>53</v>
      </c>
      <c r="I256" t="s">
        <v>83</v>
      </c>
      <c r="J256">
        <v>10628.31</v>
      </c>
      <c r="K256">
        <v>17</v>
      </c>
      <c r="L256" t="s">
        <v>24</v>
      </c>
      <c r="M256" t="s">
        <v>25</v>
      </c>
      <c r="N256" t="s">
        <v>55</v>
      </c>
      <c r="O256" t="s">
        <v>56</v>
      </c>
      <c r="P256" t="s">
        <v>38</v>
      </c>
      <c r="Q256">
        <v>14</v>
      </c>
      <c r="R256">
        <v>1921.58</v>
      </c>
      <c r="S256" t="s">
        <v>29</v>
      </c>
    </row>
    <row r="257" spans="1:19" x14ac:dyDescent="0.3">
      <c r="A257" t="s">
        <v>327</v>
      </c>
      <c r="B257">
        <v>38</v>
      </c>
      <c r="C257" t="s">
        <v>19</v>
      </c>
      <c r="D257" t="s">
        <v>89</v>
      </c>
      <c r="E257" s="1">
        <v>45208</v>
      </c>
      <c r="F257" s="3">
        <v>45211</v>
      </c>
      <c r="G257" t="s">
        <v>48</v>
      </c>
      <c r="H257" t="s">
        <v>22</v>
      </c>
      <c r="I257" t="s">
        <v>23</v>
      </c>
      <c r="J257">
        <v>4692.1099999999997</v>
      </c>
      <c r="K257">
        <v>3</v>
      </c>
      <c r="L257" t="s">
        <v>36</v>
      </c>
      <c r="M257" t="s">
        <v>25</v>
      </c>
      <c r="N257" t="s">
        <v>26</v>
      </c>
      <c r="O257" t="s">
        <v>56</v>
      </c>
      <c r="P257" t="s">
        <v>45</v>
      </c>
      <c r="Q257">
        <v>11</v>
      </c>
      <c r="R257">
        <v>1723.28</v>
      </c>
      <c r="S257" t="s">
        <v>29</v>
      </c>
    </row>
    <row r="258" spans="1:19" x14ac:dyDescent="0.3">
      <c r="A258" t="s">
        <v>328</v>
      </c>
      <c r="B258">
        <v>90</v>
      </c>
      <c r="C258" t="s">
        <v>19</v>
      </c>
      <c r="D258" t="s">
        <v>79</v>
      </c>
      <c r="E258" s="1">
        <v>45642</v>
      </c>
      <c r="F258" s="3">
        <v>45661</v>
      </c>
      <c r="G258" t="s">
        <v>21</v>
      </c>
      <c r="H258" t="s">
        <v>22</v>
      </c>
      <c r="I258" t="s">
        <v>83</v>
      </c>
      <c r="J258">
        <v>7772.2</v>
      </c>
      <c r="K258">
        <v>19</v>
      </c>
      <c r="L258" t="s">
        <v>36</v>
      </c>
      <c r="M258" t="s">
        <v>25</v>
      </c>
      <c r="N258" t="s">
        <v>26</v>
      </c>
      <c r="O258" t="s">
        <v>27</v>
      </c>
      <c r="P258" t="s">
        <v>38</v>
      </c>
      <c r="Q258">
        <v>12</v>
      </c>
      <c r="R258">
        <v>2962.06</v>
      </c>
      <c r="S258" t="s">
        <v>29</v>
      </c>
    </row>
    <row r="259" spans="1:19" x14ac:dyDescent="0.3">
      <c r="A259" t="s">
        <v>329</v>
      </c>
      <c r="B259">
        <v>38</v>
      </c>
      <c r="C259" t="s">
        <v>19</v>
      </c>
      <c r="D259" t="s">
        <v>66</v>
      </c>
      <c r="E259" s="1">
        <v>45234</v>
      </c>
      <c r="F259" s="3">
        <v>45259</v>
      </c>
      <c r="G259" t="s">
        <v>71</v>
      </c>
      <c r="H259" t="s">
        <v>72</v>
      </c>
      <c r="I259" t="s">
        <v>83</v>
      </c>
      <c r="J259">
        <v>20106.25</v>
      </c>
      <c r="K259">
        <v>25</v>
      </c>
      <c r="L259" t="s">
        <v>36</v>
      </c>
      <c r="M259" t="s">
        <v>25</v>
      </c>
      <c r="N259" t="s">
        <v>55</v>
      </c>
      <c r="O259" t="s">
        <v>49</v>
      </c>
      <c r="P259" t="s">
        <v>45</v>
      </c>
      <c r="Q259">
        <v>11</v>
      </c>
      <c r="R259">
        <v>4053.63</v>
      </c>
      <c r="S259" t="s">
        <v>39</v>
      </c>
    </row>
    <row r="260" spans="1:19" x14ac:dyDescent="0.3">
      <c r="A260" t="s">
        <v>330</v>
      </c>
      <c r="B260">
        <v>71</v>
      </c>
      <c r="C260" t="s">
        <v>31</v>
      </c>
      <c r="D260" t="s">
        <v>70</v>
      </c>
      <c r="E260" s="1">
        <v>45543</v>
      </c>
      <c r="F260" s="3">
        <v>45559</v>
      </c>
      <c r="G260" t="s">
        <v>52</v>
      </c>
      <c r="H260" t="s">
        <v>53</v>
      </c>
      <c r="I260" t="s">
        <v>35</v>
      </c>
      <c r="J260">
        <v>9474.1200000000008</v>
      </c>
      <c r="K260">
        <v>16</v>
      </c>
      <c r="L260" t="s">
        <v>36</v>
      </c>
      <c r="M260" t="s">
        <v>25</v>
      </c>
      <c r="N260" t="s">
        <v>44</v>
      </c>
      <c r="O260" t="s">
        <v>56</v>
      </c>
      <c r="P260" t="s">
        <v>45</v>
      </c>
      <c r="Q260">
        <v>12</v>
      </c>
      <c r="R260">
        <v>2364.8000000000002</v>
      </c>
      <c r="S260" t="s">
        <v>29</v>
      </c>
    </row>
    <row r="261" spans="1:19" x14ac:dyDescent="0.3">
      <c r="A261" t="s">
        <v>331</v>
      </c>
      <c r="B261">
        <v>49</v>
      </c>
      <c r="C261" t="s">
        <v>19</v>
      </c>
      <c r="D261" t="s">
        <v>89</v>
      </c>
      <c r="E261" s="1">
        <v>45435</v>
      </c>
      <c r="F261" s="3">
        <v>45447</v>
      </c>
      <c r="G261" t="s">
        <v>21</v>
      </c>
      <c r="H261" t="s">
        <v>22</v>
      </c>
      <c r="I261" t="s">
        <v>54</v>
      </c>
      <c r="J261">
        <v>7054.87</v>
      </c>
      <c r="K261">
        <v>12</v>
      </c>
      <c r="L261" t="s">
        <v>24</v>
      </c>
      <c r="M261" t="s">
        <v>25</v>
      </c>
      <c r="N261" t="s">
        <v>55</v>
      </c>
      <c r="O261" t="s">
        <v>56</v>
      </c>
      <c r="P261" t="s">
        <v>28</v>
      </c>
      <c r="Q261">
        <v>1</v>
      </c>
      <c r="R261">
        <v>1636.58</v>
      </c>
      <c r="S261" t="s">
        <v>29</v>
      </c>
    </row>
    <row r="262" spans="1:19" x14ac:dyDescent="0.3">
      <c r="A262" t="s">
        <v>332</v>
      </c>
      <c r="B262">
        <v>62</v>
      </c>
      <c r="C262" t="s">
        <v>19</v>
      </c>
      <c r="D262" t="s">
        <v>61</v>
      </c>
      <c r="E262" s="1">
        <v>45488</v>
      </c>
      <c r="F262" s="3">
        <v>45492</v>
      </c>
      <c r="G262" t="s">
        <v>33</v>
      </c>
      <c r="H262" t="s">
        <v>34</v>
      </c>
      <c r="I262" t="s">
        <v>23</v>
      </c>
      <c r="J262">
        <v>1964.01</v>
      </c>
      <c r="K262">
        <v>4</v>
      </c>
      <c r="L262" t="s">
        <v>24</v>
      </c>
      <c r="M262" t="s">
        <v>25</v>
      </c>
      <c r="N262" t="s">
        <v>44</v>
      </c>
      <c r="O262" t="s">
        <v>27</v>
      </c>
      <c r="P262" t="s">
        <v>38</v>
      </c>
      <c r="Q262">
        <v>8</v>
      </c>
      <c r="R262">
        <v>718.85</v>
      </c>
      <c r="S262" t="s">
        <v>29</v>
      </c>
    </row>
    <row r="263" spans="1:19" x14ac:dyDescent="0.3">
      <c r="A263" t="s">
        <v>333</v>
      </c>
      <c r="B263">
        <v>82</v>
      </c>
      <c r="C263" t="s">
        <v>19</v>
      </c>
      <c r="D263" t="s">
        <v>79</v>
      </c>
      <c r="E263" s="1">
        <v>45624</v>
      </c>
      <c r="F263" s="3">
        <v>45627</v>
      </c>
      <c r="G263" t="s">
        <v>33</v>
      </c>
      <c r="H263" t="s">
        <v>34</v>
      </c>
      <c r="I263" t="s">
        <v>91</v>
      </c>
      <c r="J263">
        <v>3207.76</v>
      </c>
      <c r="K263">
        <v>3</v>
      </c>
      <c r="L263" t="s">
        <v>24</v>
      </c>
      <c r="M263" t="s">
        <v>25</v>
      </c>
      <c r="N263" t="s">
        <v>55</v>
      </c>
      <c r="O263" t="s">
        <v>56</v>
      </c>
      <c r="P263" t="s">
        <v>45</v>
      </c>
      <c r="Q263">
        <v>2</v>
      </c>
      <c r="R263">
        <v>959.16</v>
      </c>
      <c r="S263" t="s">
        <v>29</v>
      </c>
    </row>
    <row r="264" spans="1:19" x14ac:dyDescent="0.3">
      <c r="A264" t="s">
        <v>334</v>
      </c>
      <c r="B264">
        <v>44</v>
      </c>
      <c r="C264" t="s">
        <v>31</v>
      </c>
      <c r="D264" t="s">
        <v>79</v>
      </c>
      <c r="E264" s="1">
        <v>45736</v>
      </c>
      <c r="F264" s="3">
        <v>45751</v>
      </c>
      <c r="G264" t="s">
        <v>67</v>
      </c>
      <c r="H264" t="s">
        <v>42</v>
      </c>
      <c r="I264" t="s">
        <v>43</v>
      </c>
      <c r="J264">
        <v>6202.83</v>
      </c>
      <c r="K264">
        <v>15</v>
      </c>
      <c r="L264" t="s">
        <v>24</v>
      </c>
      <c r="M264" t="s">
        <v>25</v>
      </c>
      <c r="N264" t="s">
        <v>55</v>
      </c>
      <c r="O264" t="s">
        <v>27</v>
      </c>
      <c r="P264" t="s">
        <v>50</v>
      </c>
      <c r="Q264">
        <v>11</v>
      </c>
      <c r="R264">
        <v>1088.29</v>
      </c>
      <c r="S264" t="s">
        <v>29</v>
      </c>
    </row>
    <row r="265" spans="1:19" x14ac:dyDescent="0.3">
      <c r="A265" t="s">
        <v>335</v>
      </c>
      <c r="B265">
        <v>53</v>
      </c>
      <c r="C265" t="s">
        <v>31</v>
      </c>
      <c r="D265" t="s">
        <v>47</v>
      </c>
      <c r="E265" s="1">
        <v>45199</v>
      </c>
      <c r="F265" s="3">
        <v>45215</v>
      </c>
      <c r="G265" t="s">
        <v>67</v>
      </c>
      <c r="H265" t="s">
        <v>42</v>
      </c>
      <c r="I265" t="s">
        <v>43</v>
      </c>
      <c r="J265">
        <v>11683.78</v>
      </c>
      <c r="K265">
        <v>16</v>
      </c>
      <c r="L265" t="s">
        <v>36</v>
      </c>
      <c r="M265" t="s">
        <v>25</v>
      </c>
      <c r="N265" t="s">
        <v>26</v>
      </c>
      <c r="O265" t="s">
        <v>27</v>
      </c>
      <c r="P265" t="s">
        <v>45</v>
      </c>
      <c r="Q265">
        <v>8</v>
      </c>
      <c r="R265">
        <v>4328.6000000000004</v>
      </c>
      <c r="S265" t="s">
        <v>29</v>
      </c>
    </row>
    <row r="266" spans="1:19" x14ac:dyDescent="0.3">
      <c r="A266" t="s">
        <v>336</v>
      </c>
      <c r="B266">
        <v>83</v>
      </c>
      <c r="C266" t="s">
        <v>19</v>
      </c>
      <c r="D266" t="s">
        <v>66</v>
      </c>
      <c r="E266" s="1">
        <v>45659</v>
      </c>
      <c r="F266" s="3">
        <v>45666</v>
      </c>
      <c r="G266" t="s">
        <v>62</v>
      </c>
      <c r="H266" t="s">
        <v>63</v>
      </c>
      <c r="I266" t="s">
        <v>91</v>
      </c>
      <c r="J266">
        <v>11395.03</v>
      </c>
      <c r="K266">
        <v>7</v>
      </c>
      <c r="L266" t="s">
        <v>24</v>
      </c>
      <c r="M266" t="s">
        <v>59</v>
      </c>
      <c r="N266" t="s">
        <v>26</v>
      </c>
      <c r="O266" t="s">
        <v>49</v>
      </c>
      <c r="P266" t="s">
        <v>28</v>
      </c>
      <c r="Q266">
        <v>10</v>
      </c>
      <c r="R266">
        <v>1712.55</v>
      </c>
      <c r="S266" t="s">
        <v>29</v>
      </c>
    </row>
    <row r="267" spans="1:19" x14ac:dyDescent="0.3">
      <c r="A267" t="s">
        <v>337</v>
      </c>
      <c r="B267">
        <v>18</v>
      </c>
      <c r="C267" t="s">
        <v>19</v>
      </c>
      <c r="D267" t="s">
        <v>61</v>
      </c>
      <c r="E267" s="1">
        <v>45857</v>
      </c>
      <c r="F267" s="3">
        <v>45871</v>
      </c>
      <c r="G267" t="s">
        <v>52</v>
      </c>
      <c r="H267" t="s">
        <v>53</v>
      </c>
      <c r="I267" t="s">
        <v>58</v>
      </c>
      <c r="J267">
        <v>13098.45</v>
      </c>
      <c r="K267">
        <v>14</v>
      </c>
      <c r="L267" t="s">
        <v>24</v>
      </c>
      <c r="M267" t="s">
        <v>25</v>
      </c>
      <c r="N267" t="s">
        <v>44</v>
      </c>
      <c r="O267" t="s">
        <v>49</v>
      </c>
      <c r="P267" t="s">
        <v>50</v>
      </c>
      <c r="Q267">
        <v>3</v>
      </c>
      <c r="R267">
        <v>2679.31</v>
      </c>
      <c r="S267" t="s">
        <v>29</v>
      </c>
    </row>
    <row r="268" spans="1:19" x14ac:dyDescent="0.3">
      <c r="A268" t="s">
        <v>338</v>
      </c>
      <c r="B268">
        <v>65</v>
      </c>
      <c r="C268" t="s">
        <v>31</v>
      </c>
      <c r="D268" t="s">
        <v>47</v>
      </c>
      <c r="E268" s="1">
        <v>45117</v>
      </c>
      <c r="F268" s="3">
        <v>45134</v>
      </c>
      <c r="G268" t="s">
        <v>93</v>
      </c>
      <c r="H268" t="s">
        <v>72</v>
      </c>
      <c r="I268" t="s">
        <v>35</v>
      </c>
      <c r="J268">
        <v>11132.85</v>
      </c>
      <c r="K268">
        <v>17</v>
      </c>
      <c r="L268" t="s">
        <v>24</v>
      </c>
      <c r="M268" t="s">
        <v>25</v>
      </c>
      <c r="N268" t="s">
        <v>55</v>
      </c>
      <c r="O268" t="s">
        <v>37</v>
      </c>
      <c r="P268" t="s">
        <v>38</v>
      </c>
      <c r="Q268">
        <v>13</v>
      </c>
      <c r="R268">
        <v>2009.45</v>
      </c>
      <c r="S268" t="s">
        <v>29</v>
      </c>
    </row>
    <row r="269" spans="1:19" x14ac:dyDescent="0.3">
      <c r="A269" t="s">
        <v>339</v>
      </c>
      <c r="B269">
        <v>41</v>
      </c>
      <c r="C269" t="s">
        <v>19</v>
      </c>
      <c r="D269" t="s">
        <v>89</v>
      </c>
      <c r="E269" s="1">
        <v>44981</v>
      </c>
      <c r="F269" s="3">
        <v>44982</v>
      </c>
      <c r="G269" t="s">
        <v>67</v>
      </c>
      <c r="H269" t="s">
        <v>42</v>
      </c>
      <c r="I269" t="s">
        <v>91</v>
      </c>
      <c r="J269">
        <v>812.24</v>
      </c>
      <c r="K269">
        <v>1</v>
      </c>
      <c r="L269" t="s">
        <v>36</v>
      </c>
      <c r="M269" t="s">
        <v>101</v>
      </c>
      <c r="N269" t="s">
        <v>44</v>
      </c>
      <c r="O269" t="s">
        <v>27</v>
      </c>
      <c r="P269" t="s">
        <v>38</v>
      </c>
      <c r="Q269">
        <v>7</v>
      </c>
      <c r="R269">
        <v>205.62</v>
      </c>
      <c r="S269" t="s">
        <v>29</v>
      </c>
    </row>
    <row r="270" spans="1:19" x14ac:dyDescent="0.3">
      <c r="A270" t="s">
        <v>340</v>
      </c>
      <c r="B270">
        <v>83</v>
      </c>
      <c r="C270" t="s">
        <v>31</v>
      </c>
      <c r="D270" t="s">
        <v>66</v>
      </c>
      <c r="E270" s="1">
        <v>45834</v>
      </c>
      <c r="F270" s="3">
        <v>45845</v>
      </c>
      <c r="G270" t="s">
        <v>48</v>
      </c>
      <c r="H270" t="s">
        <v>22</v>
      </c>
      <c r="I270" t="s">
        <v>23</v>
      </c>
      <c r="J270">
        <v>11342.64</v>
      </c>
      <c r="K270">
        <v>11</v>
      </c>
      <c r="L270" t="s">
        <v>24</v>
      </c>
      <c r="M270" t="s">
        <v>25</v>
      </c>
      <c r="N270" t="s">
        <v>26</v>
      </c>
      <c r="O270" t="s">
        <v>49</v>
      </c>
      <c r="P270" t="s">
        <v>38</v>
      </c>
      <c r="Q270">
        <v>4</v>
      </c>
      <c r="R270">
        <v>3905.95</v>
      </c>
      <c r="S270" t="s">
        <v>29</v>
      </c>
    </row>
    <row r="271" spans="1:19" x14ac:dyDescent="0.3">
      <c r="A271" t="s">
        <v>341</v>
      </c>
      <c r="B271">
        <v>53</v>
      </c>
      <c r="C271" t="s">
        <v>31</v>
      </c>
      <c r="D271" t="s">
        <v>89</v>
      </c>
      <c r="E271" s="1">
        <v>45824</v>
      </c>
      <c r="F271" s="3">
        <v>45833</v>
      </c>
      <c r="G271" t="s">
        <v>67</v>
      </c>
      <c r="H271" t="s">
        <v>42</v>
      </c>
      <c r="I271" t="s">
        <v>83</v>
      </c>
      <c r="J271">
        <v>4822.38</v>
      </c>
      <c r="K271">
        <v>9</v>
      </c>
      <c r="L271" t="s">
        <v>24</v>
      </c>
      <c r="M271" t="s">
        <v>25</v>
      </c>
      <c r="N271" t="s">
        <v>26</v>
      </c>
      <c r="O271" t="s">
        <v>27</v>
      </c>
      <c r="P271" t="s">
        <v>50</v>
      </c>
      <c r="Q271">
        <v>10</v>
      </c>
      <c r="R271">
        <v>1188.05</v>
      </c>
      <c r="S271" t="s">
        <v>29</v>
      </c>
    </row>
    <row r="272" spans="1:19" x14ac:dyDescent="0.3">
      <c r="A272" t="s">
        <v>342</v>
      </c>
      <c r="B272">
        <v>59</v>
      </c>
      <c r="C272" t="s">
        <v>31</v>
      </c>
      <c r="D272" t="s">
        <v>66</v>
      </c>
      <c r="E272" s="1">
        <v>45822</v>
      </c>
      <c r="F272" s="3">
        <v>45829</v>
      </c>
      <c r="G272" t="s">
        <v>74</v>
      </c>
      <c r="H272" t="s">
        <v>75</v>
      </c>
      <c r="I272" t="s">
        <v>81</v>
      </c>
      <c r="J272">
        <v>9063.43</v>
      </c>
      <c r="K272">
        <v>7</v>
      </c>
      <c r="L272" t="s">
        <v>36</v>
      </c>
      <c r="M272" t="s">
        <v>25</v>
      </c>
      <c r="N272" t="s">
        <v>55</v>
      </c>
      <c r="O272" t="s">
        <v>49</v>
      </c>
      <c r="P272" t="s">
        <v>50</v>
      </c>
      <c r="Q272">
        <v>10</v>
      </c>
      <c r="R272">
        <v>1740.05</v>
      </c>
      <c r="S272" t="s">
        <v>29</v>
      </c>
    </row>
    <row r="273" spans="1:19" x14ac:dyDescent="0.3">
      <c r="A273" t="s">
        <v>343</v>
      </c>
      <c r="B273">
        <v>57</v>
      </c>
      <c r="C273" t="s">
        <v>19</v>
      </c>
      <c r="D273" t="s">
        <v>61</v>
      </c>
      <c r="E273" s="1">
        <v>45912</v>
      </c>
      <c r="F273" s="3">
        <v>45915</v>
      </c>
      <c r="G273" t="s">
        <v>52</v>
      </c>
      <c r="H273" t="s">
        <v>53</v>
      </c>
      <c r="I273" t="s">
        <v>81</v>
      </c>
      <c r="J273">
        <v>2691.09</v>
      </c>
      <c r="K273">
        <v>3</v>
      </c>
      <c r="L273" t="s">
        <v>36</v>
      </c>
      <c r="M273" t="s">
        <v>25</v>
      </c>
      <c r="N273" t="s">
        <v>55</v>
      </c>
      <c r="O273" t="s">
        <v>27</v>
      </c>
      <c r="P273" t="s">
        <v>50</v>
      </c>
      <c r="Q273">
        <v>1</v>
      </c>
      <c r="R273">
        <v>841.66</v>
      </c>
      <c r="S273" t="s">
        <v>29</v>
      </c>
    </row>
    <row r="274" spans="1:19" x14ac:dyDescent="0.3">
      <c r="A274" t="s">
        <v>344</v>
      </c>
      <c r="B274">
        <v>30</v>
      </c>
      <c r="C274" t="s">
        <v>31</v>
      </c>
      <c r="D274" t="s">
        <v>20</v>
      </c>
      <c r="E274" s="1">
        <v>45282</v>
      </c>
      <c r="F274" s="3">
        <v>45285</v>
      </c>
      <c r="G274" t="s">
        <v>33</v>
      </c>
      <c r="H274" t="s">
        <v>34</v>
      </c>
      <c r="I274" t="s">
        <v>35</v>
      </c>
      <c r="J274">
        <v>3515.59</v>
      </c>
      <c r="K274">
        <v>3</v>
      </c>
      <c r="L274" t="s">
        <v>36</v>
      </c>
      <c r="M274" t="s">
        <v>25</v>
      </c>
      <c r="N274" t="s">
        <v>26</v>
      </c>
      <c r="O274" t="s">
        <v>27</v>
      </c>
      <c r="P274" t="s">
        <v>50</v>
      </c>
      <c r="Q274">
        <v>9</v>
      </c>
      <c r="R274">
        <v>925.6</v>
      </c>
      <c r="S274" t="s">
        <v>29</v>
      </c>
    </row>
    <row r="275" spans="1:19" x14ac:dyDescent="0.3">
      <c r="A275" t="s">
        <v>345</v>
      </c>
      <c r="B275">
        <v>69</v>
      </c>
      <c r="C275" t="s">
        <v>19</v>
      </c>
      <c r="D275" t="s">
        <v>20</v>
      </c>
      <c r="E275" s="1">
        <v>44980</v>
      </c>
      <c r="F275" s="3">
        <v>44998</v>
      </c>
      <c r="G275" t="s">
        <v>62</v>
      </c>
      <c r="H275" t="s">
        <v>63</v>
      </c>
      <c r="I275" t="s">
        <v>43</v>
      </c>
      <c r="J275">
        <v>9931.64</v>
      </c>
      <c r="K275">
        <v>18</v>
      </c>
      <c r="L275" t="s">
        <v>24</v>
      </c>
      <c r="M275" t="s">
        <v>101</v>
      </c>
      <c r="N275" t="s">
        <v>55</v>
      </c>
      <c r="O275" t="s">
        <v>56</v>
      </c>
      <c r="P275" t="s">
        <v>38</v>
      </c>
      <c r="Q275">
        <v>6</v>
      </c>
      <c r="R275">
        <v>1556.33</v>
      </c>
      <c r="S275" t="s">
        <v>29</v>
      </c>
    </row>
    <row r="276" spans="1:19" x14ac:dyDescent="0.3">
      <c r="A276" t="s">
        <v>346</v>
      </c>
      <c r="B276">
        <v>74</v>
      </c>
      <c r="C276" t="s">
        <v>19</v>
      </c>
      <c r="D276" t="s">
        <v>79</v>
      </c>
      <c r="E276" s="1">
        <v>45135</v>
      </c>
      <c r="F276" s="3">
        <v>45152</v>
      </c>
      <c r="G276" t="s">
        <v>74</v>
      </c>
      <c r="H276" t="s">
        <v>75</v>
      </c>
      <c r="I276" t="s">
        <v>81</v>
      </c>
      <c r="J276">
        <v>13113.69</v>
      </c>
      <c r="K276">
        <v>17</v>
      </c>
      <c r="L276" t="s">
        <v>36</v>
      </c>
      <c r="M276" t="s">
        <v>25</v>
      </c>
      <c r="N276" t="s">
        <v>55</v>
      </c>
      <c r="O276" t="s">
        <v>27</v>
      </c>
      <c r="P276" t="s">
        <v>28</v>
      </c>
      <c r="Q276">
        <v>1</v>
      </c>
      <c r="R276">
        <v>5047.54</v>
      </c>
      <c r="S276" t="s">
        <v>29</v>
      </c>
    </row>
    <row r="277" spans="1:19" x14ac:dyDescent="0.3">
      <c r="A277" t="s">
        <v>347</v>
      </c>
      <c r="B277">
        <v>34</v>
      </c>
      <c r="C277" t="s">
        <v>19</v>
      </c>
      <c r="D277" t="s">
        <v>66</v>
      </c>
      <c r="E277" s="1">
        <v>45724</v>
      </c>
      <c r="F277" s="3">
        <v>45739</v>
      </c>
      <c r="G277" t="s">
        <v>33</v>
      </c>
      <c r="H277" t="s">
        <v>34</v>
      </c>
      <c r="I277" t="s">
        <v>43</v>
      </c>
      <c r="J277">
        <v>7230.42</v>
      </c>
      <c r="K277">
        <v>15</v>
      </c>
      <c r="L277" t="s">
        <v>24</v>
      </c>
      <c r="M277" t="s">
        <v>25</v>
      </c>
      <c r="N277" t="s">
        <v>26</v>
      </c>
      <c r="O277" t="s">
        <v>27</v>
      </c>
      <c r="P277" t="s">
        <v>28</v>
      </c>
      <c r="Q277">
        <v>15</v>
      </c>
      <c r="R277">
        <v>2693.21</v>
      </c>
      <c r="S277" t="s">
        <v>29</v>
      </c>
    </row>
    <row r="278" spans="1:19" x14ac:dyDescent="0.3">
      <c r="A278" t="s">
        <v>348</v>
      </c>
      <c r="B278">
        <v>58</v>
      </c>
      <c r="C278" t="s">
        <v>19</v>
      </c>
      <c r="D278" t="s">
        <v>47</v>
      </c>
      <c r="E278" s="1">
        <v>45564</v>
      </c>
      <c r="F278" s="3">
        <v>45565</v>
      </c>
      <c r="G278" t="s">
        <v>33</v>
      </c>
      <c r="H278" t="s">
        <v>34</v>
      </c>
      <c r="I278" t="s">
        <v>35</v>
      </c>
      <c r="J278">
        <v>3097.64</v>
      </c>
      <c r="K278">
        <v>1</v>
      </c>
      <c r="L278" t="s">
        <v>36</v>
      </c>
      <c r="M278" t="s">
        <v>25</v>
      </c>
      <c r="N278" t="s">
        <v>44</v>
      </c>
      <c r="O278" t="s">
        <v>27</v>
      </c>
      <c r="P278" t="s">
        <v>50</v>
      </c>
      <c r="Q278">
        <v>15</v>
      </c>
      <c r="R278">
        <v>1234.77</v>
      </c>
      <c r="S278" t="s">
        <v>39</v>
      </c>
    </row>
    <row r="279" spans="1:19" x14ac:dyDescent="0.3">
      <c r="A279" t="s">
        <v>349</v>
      </c>
      <c r="B279">
        <v>65</v>
      </c>
      <c r="C279" t="s">
        <v>19</v>
      </c>
      <c r="D279" t="s">
        <v>61</v>
      </c>
      <c r="E279" s="1">
        <v>45358</v>
      </c>
      <c r="F279" s="3">
        <v>45375</v>
      </c>
      <c r="G279" t="s">
        <v>62</v>
      </c>
      <c r="H279" t="s">
        <v>63</v>
      </c>
      <c r="I279" t="s">
        <v>83</v>
      </c>
      <c r="J279">
        <v>19240.07</v>
      </c>
      <c r="K279">
        <v>17</v>
      </c>
      <c r="L279" t="s">
        <v>36</v>
      </c>
      <c r="M279" t="s">
        <v>25</v>
      </c>
      <c r="N279" t="s">
        <v>26</v>
      </c>
      <c r="O279" t="s">
        <v>49</v>
      </c>
      <c r="P279" t="s">
        <v>28</v>
      </c>
      <c r="Q279">
        <v>5</v>
      </c>
      <c r="R279">
        <v>7640.48</v>
      </c>
      <c r="S279" t="s">
        <v>29</v>
      </c>
    </row>
    <row r="280" spans="1:19" x14ac:dyDescent="0.3">
      <c r="A280" t="s">
        <v>350</v>
      </c>
      <c r="B280">
        <v>47</v>
      </c>
      <c r="C280" t="s">
        <v>19</v>
      </c>
      <c r="D280" t="s">
        <v>70</v>
      </c>
      <c r="E280" s="1">
        <v>45183</v>
      </c>
      <c r="F280" s="3">
        <v>45193</v>
      </c>
      <c r="G280" t="s">
        <v>93</v>
      </c>
      <c r="H280" t="s">
        <v>72</v>
      </c>
      <c r="I280" t="s">
        <v>83</v>
      </c>
      <c r="J280">
        <v>8033.15</v>
      </c>
      <c r="K280">
        <v>10</v>
      </c>
      <c r="L280" t="s">
        <v>24</v>
      </c>
      <c r="M280" t="s">
        <v>25</v>
      </c>
      <c r="N280" t="s">
        <v>26</v>
      </c>
      <c r="O280" t="s">
        <v>56</v>
      </c>
      <c r="P280" t="s">
        <v>28</v>
      </c>
      <c r="Q280">
        <v>15</v>
      </c>
      <c r="R280">
        <v>1457.69</v>
      </c>
      <c r="S280" t="s">
        <v>29</v>
      </c>
    </row>
    <row r="281" spans="1:19" x14ac:dyDescent="0.3">
      <c r="A281" t="s">
        <v>351</v>
      </c>
      <c r="B281">
        <v>70</v>
      </c>
      <c r="C281" t="s">
        <v>19</v>
      </c>
      <c r="D281" t="s">
        <v>20</v>
      </c>
      <c r="E281" s="1">
        <v>45312</v>
      </c>
      <c r="F281" s="3">
        <v>45331</v>
      </c>
      <c r="G281" t="s">
        <v>93</v>
      </c>
      <c r="H281" t="s">
        <v>72</v>
      </c>
      <c r="I281" t="s">
        <v>81</v>
      </c>
      <c r="J281">
        <v>11717.01</v>
      </c>
      <c r="K281">
        <v>19</v>
      </c>
      <c r="L281" t="s">
        <v>24</v>
      </c>
      <c r="M281" t="s">
        <v>25</v>
      </c>
      <c r="N281" t="s">
        <v>44</v>
      </c>
      <c r="O281" t="s">
        <v>27</v>
      </c>
      <c r="P281" t="s">
        <v>38</v>
      </c>
      <c r="Q281">
        <v>5</v>
      </c>
      <c r="R281">
        <v>3637.65</v>
      </c>
      <c r="S281" t="s">
        <v>39</v>
      </c>
    </row>
    <row r="282" spans="1:19" x14ac:dyDescent="0.3">
      <c r="A282" t="s">
        <v>352</v>
      </c>
      <c r="B282">
        <v>45</v>
      </c>
      <c r="C282" t="s">
        <v>31</v>
      </c>
      <c r="D282" t="s">
        <v>47</v>
      </c>
      <c r="E282" s="1">
        <v>45588</v>
      </c>
      <c r="F282" s="3">
        <v>45598</v>
      </c>
      <c r="G282" t="s">
        <v>71</v>
      </c>
      <c r="H282" t="s">
        <v>72</v>
      </c>
      <c r="I282" t="s">
        <v>23</v>
      </c>
      <c r="J282">
        <v>7073.48</v>
      </c>
      <c r="K282">
        <v>10</v>
      </c>
      <c r="L282" t="s">
        <v>36</v>
      </c>
      <c r="M282" t="s">
        <v>25</v>
      </c>
      <c r="N282" t="s">
        <v>44</v>
      </c>
      <c r="O282" t="s">
        <v>56</v>
      </c>
      <c r="P282" t="s">
        <v>28</v>
      </c>
      <c r="Q282">
        <v>10</v>
      </c>
      <c r="R282">
        <v>1834.5</v>
      </c>
      <c r="S282" t="s">
        <v>29</v>
      </c>
    </row>
    <row r="283" spans="1:19" x14ac:dyDescent="0.3">
      <c r="A283" t="s">
        <v>353</v>
      </c>
      <c r="B283">
        <v>29</v>
      </c>
      <c r="C283" t="s">
        <v>31</v>
      </c>
      <c r="D283" t="s">
        <v>20</v>
      </c>
      <c r="E283" s="1">
        <v>45809</v>
      </c>
      <c r="F283" s="3">
        <v>45813</v>
      </c>
      <c r="G283" t="s">
        <v>67</v>
      </c>
      <c r="H283" t="s">
        <v>42</v>
      </c>
      <c r="I283" t="s">
        <v>54</v>
      </c>
      <c r="J283">
        <v>2535.0500000000002</v>
      </c>
      <c r="K283">
        <v>4</v>
      </c>
      <c r="L283" t="s">
        <v>24</v>
      </c>
      <c r="M283" t="s">
        <v>25</v>
      </c>
      <c r="N283" t="s">
        <v>26</v>
      </c>
      <c r="O283" t="s">
        <v>27</v>
      </c>
      <c r="P283" t="s">
        <v>28</v>
      </c>
      <c r="Q283">
        <v>4</v>
      </c>
      <c r="R283">
        <v>853.06</v>
      </c>
      <c r="S283" t="s">
        <v>29</v>
      </c>
    </row>
    <row r="284" spans="1:19" x14ac:dyDescent="0.3">
      <c r="A284" t="s">
        <v>354</v>
      </c>
      <c r="B284">
        <v>20</v>
      </c>
      <c r="C284" t="s">
        <v>31</v>
      </c>
      <c r="D284" t="s">
        <v>89</v>
      </c>
      <c r="E284" s="1">
        <v>45046</v>
      </c>
      <c r="F284" s="3">
        <v>45062</v>
      </c>
      <c r="G284" t="s">
        <v>48</v>
      </c>
      <c r="H284" t="s">
        <v>22</v>
      </c>
      <c r="I284" t="s">
        <v>43</v>
      </c>
      <c r="J284">
        <v>14708.3</v>
      </c>
      <c r="K284">
        <v>16</v>
      </c>
      <c r="L284" t="s">
        <v>24</v>
      </c>
      <c r="M284" t="s">
        <v>25</v>
      </c>
      <c r="N284" t="s">
        <v>26</v>
      </c>
      <c r="O284" t="s">
        <v>49</v>
      </c>
      <c r="P284" t="s">
        <v>45</v>
      </c>
      <c r="Q284">
        <v>3</v>
      </c>
      <c r="R284">
        <v>4954.0600000000004</v>
      </c>
      <c r="S284" t="s">
        <v>29</v>
      </c>
    </row>
    <row r="285" spans="1:19" x14ac:dyDescent="0.3">
      <c r="A285" t="s">
        <v>355</v>
      </c>
      <c r="B285">
        <v>81</v>
      </c>
      <c r="C285" t="s">
        <v>19</v>
      </c>
      <c r="D285" t="s">
        <v>32</v>
      </c>
      <c r="E285" s="1">
        <v>45582</v>
      </c>
      <c r="F285" s="3">
        <v>45596</v>
      </c>
      <c r="G285" t="s">
        <v>62</v>
      </c>
      <c r="H285" t="s">
        <v>63</v>
      </c>
      <c r="I285" t="s">
        <v>35</v>
      </c>
      <c r="J285">
        <v>9767.0400000000009</v>
      </c>
      <c r="K285">
        <v>14</v>
      </c>
      <c r="L285" t="s">
        <v>24</v>
      </c>
      <c r="M285" t="s">
        <v>25</v>
      </c>
      <c r="N285" t="s">
        <v>55</v>
      </c>
      <c r="O285" t="s">
        <v>56</v>
      </c>
      <c r="P285" t="s">
        <v>38</v>
      </c>
      <c r="Q285">
        <v>5</v>
      </c>
      <c r="R285">
        <v>1494.06</v>
      </c>
      <c r="S285" t="s">
        <v>29</v>
      </c>
    </row>
    <row r="286" spans="1:19" x14ac:dyDescent="0.3">
      <c r="A286" t="s">
        <v>356</v>
      </c>
      <c r="B286">
        <v>22</v>
      </c>
      <c r="C286" t="s">
        <v>31</v>
      </c>
      <c r="D286" t="s">
        <v>89</v>
      </c>
      <c r="E286" s="1">
        <v>44995</v>
      </c>
      <c r="F286" s="3">
        <v>45008</v>
      </c>
      <c r="G286" t="s">
        <v>62</v>
      </c>
      <c r="H286" t="s">
        <v>63</v>
      </c>
      <c r="I286" t="s">
        <v>58</v>
      </c>
      <c r="J286">
        <v>11581.73</v>
      </c>
      <c r="K286">
        <v>13</v>
      </c>
      <c r="L286" t="s">
        <v>36</v>
      </c>
      <c r="M286" t="s">
        <v>25</v>
      </c>
      <c r="N286" t="s">
        <v>44</v>
      </c>
      <c r="O286" t="s">
        <v>37</v>
      </c>
      <c r="P286" t="s">
        <v>50</v>
      </c>
      <c r="Q286">
        <v>2</v>
      </c>
      <c r="R286">
        <v>3663.25</v>
      </c>
      <c r="S286" t="s">
        <v>29</v>
      </c>
    </row>
    <row r="287" spans="1:19" x14ac:dyDescent="0.3">
      <c r="A287" t="s">
        <v>357</v>
      </c>
      <c r="B287">
        <v>44</v>
      </c>
      <c r="C287" t="s">
        <v>31</v>
      </c>
      <c r="D287" t="s">
        <v>79</v>
      </c>
      <c r="E287" s="1">
        <v>45192</v>
      </c>
      <c r="F287" s="3">
        <v>45211</v>
      </c>
      <c r="G287" t="s">
        <v>21</v>
      </c>
      <c r="H287" t="s">
        <v>22</v>
      </c>
      <c r="I287" t="s">
        <v>54</v>
      </c>
      <c r="J287">
        <v>10348.379999999999</v>
      </c>
      <c r="K287">
        <v>19</v>
      </c>
      <c r="L287" t="s">
        <v>36</v>
      </c>
      <c r="M287" t="s">
        <v>25</v>
      </c>
      <c r="N287" t="s">
        <v>44</v>
      </c>
      <c r="O287" t="s">
        <v>56</v>
      </c>
      <c r="P287" t="s">
        <v>38</v>
      </c>
      <c r="Q287">
        <v>14</v>
      </c>
      <c r="R287">
        <v>3800.67</v>
      </c>
      <c r="S287" t="s">
        <v>29</v>
      </c>
    </row>
    <row r="288" spans="1:19" x14ac:dyDescent="0.3">
      <c r="A288" t="s">
        <v>358</v>
      </c>
      <c r="B288">
        <v>28</v>
      </c>
      <c r="C288" t="s">
        <v>19</v>
      </c>
      <c r="D288" t="s">
        <v>89</v>
      </c>
      <c r="E288" s="1">
        <v>45725</v>
      </c>
      <c r="F288" s="3">
        <v>45740</v>
      </c>
      <c r="G288" t="s">
        <v>41</v>
      </c>
      <c r="H288" t="s">
        <v>42</v>
      </c>
      <c r="I288" t="s">
        <v>83</v>
      </c>
      <c r="J288">
        <v>4814.47</v>
      </c>
      <c r="K288">
        <v>15</v>
      </c>
      <c r="L288" t="s">
        <v>36</v>
      </c>
      <c r="M288" t="s">
        <v>25</v>
      </c>
      <c r="N288" t="s">
        <v>55</v>
      </c>
      <c r="O288" t="s">
        <v>56</v>
      </c>
      <c r="P288" t="s">
        <v>50</v>
      </c>
      <c r="Q288">
        <v>1</v>
      </c>
      <c r="R288">
        <v>1623.78</v>
      </c>
      <c r="S288" t="s">
        <v>29</v>
      </c>
    </row>
    <row r="289" spans="1:19" x14ac:dyDescent="0.3">
      <c r="A289" t="s">
        <v>359</v>
      </c>
      <c r="B289">
        <v>58</v>
      </c>
      <c r="C289" t="s">
        <v>19</v>
      </c>
      <c r="D289" t="s">
        <v>89</v>
      </c>
      <c r="E289" s="1">
        <v>45317</v>
      </c>
      <c r="F289" s="3">
        <v>45325</v>
      </c>
      <c r="G289" t="s">
        <v>48</v>
      </c>
      <c r="H289" t="s">
        <v>22</v>
      </c>
      <c r="I289" t="s">
        <v>54</v>
      </c>
      <c r="J289">
        <v>11040.69</v>
      </c>
      <c r="K289">
        <v>8</v>
      </c>
      <c r="L289" t="s">
        <v>24</v>
      </c>
      <c r="M289" t="s">
        <v>25</v>
      </c>
      <c r="N289" t="s">
        <v>55</v>
      </c>
      <c r="O289" t="s">
        <v>49</v>
      </c>
      <c r="P289" t="s">
        <v>38</v>
      </c>
      <c r="Q289">
        <v>5</v>
      </c>
      <c r="R289">
        <v>3582.63</v>
      </c>
      <c r="S289" t="s">
        <v>29</v>
      </c>
    </row>
    <row r="290" spans="1:19" x14ac:dyDescent="0.3">
      <c r="A290" t="s">
        <v>360</v>
      </c>
      <c r="B290">
        <v>74</v>
      </c>
      <c r="C290" t="s">
        <v>31</v>
      </c>
      <c r="D290" t="s">
        <v>61</v>
      </c>
      <c r="E290" s="1">
        <v>44934</v>
      </c>
      <c r="F290" s="3">
        <v>44941</v>
      </c>
      <c r="G290" t="s">
        <v>71</v>
      </c>
      <c r="H290" t="s">
        <v>72</v>
      </c>
      <c r="I290" t="s">
        <v>23</v>
      </c>
      <c r="J290">
        <v>6109.59</v>
      </c>
      <c r="K290">
        <v>7</v>
      </c>
      <c r="L290" t="s">
        <v>24</v>
      </c>
      <c r="M290" t="s">
        <v>25</v>
      </c>
      <c r="N290" t="s">
        <v>44</v>
      </c>
      <c r="O290" t="s">
        <v>27</v>
      </c>
      <c r="P290" t="s">
        <v>50</v>
      </c>
      <c r="Q290">
        <v>2</v>
      </c>
      <c r="R290">
        <v>989.07</v>
      </c>
      <c r="S290" t="s">
        <v>29</v>
      </c>
    </row>
    <row r="291" spans="1:19" x14ac:dyDescent="0.3">
      <c r="A291" t="s">
        <v>361</v>
      </c>
      <c r="B291">
        <v>36</v>
      </c>
      <c r="C291" t="s">
        <v>19</v>
      </c>
      <c r="D291" t="s">
        <v>89</v>
      </c>
      <c r="E291" s="1">
        <v>44993</v>
      </c>
      <c r="F291" s="3">
        <v>45005</v>
      </c>
      <c r="G291" t="s">
        <v>41</v>
      </c>
      <c r="H291" t="s">
        <v>42</v>
      </c>
      <c r="I291" t="s">
        <v>23</v>
      </c>
      <c r="J291">
        <v>9403.61</v>
      </c>
      <c r="K291">
        <v>12</v>
      </c>
      <c r="L291" t="s">
        <v>36</v>
      </c>
      <c r="M291" t="s">
        <v>25</v>
      </c>
      <c r="N291" t="s">
        <v>44</v>
      </c>
      <c r="O291" t="s">
        <v>56</v>
      </c>
      <c r="P291" t="s">
        <v>45</v>
      </c>
      <c r="Q291">
        <v>1</v>
      </c>
      <c r="R291">
        <v>1708.56</v>
      </c>
      <c r="S291" t="s">
        <v>39</v>
      </c>
    </row>
    <row r="292" spans="1:19" x14ac:dyDescent="0.3">
      <c r="A292" t="s">
        <v>362</v>
      </c>
      <c r="B292">
        <v>84</v>
      </c>
      <c r="C292" t="s">
        <v>31</v>
      </c>
      <c r="D292" t="s">
        <v>47</v>
      </c>
      <c r="E292" s="1">
        <v>45109</v>
      </c>
      <c r="F292" s="3">
        <v>45111</v>
      </c>
      <c r="G292" t="s">
        <v>48</v>
      </c>
      <c r="H292" t="s">
        <v>22</v>
      </c>
      <c r="I292" t="s">
        <v>23</v>
      </c>
      <c r="J292">
        <v>2327.96</v>
      </c>
      <c r="K292">
        <v>2</v>
      </c>
      <c r="L292" t="s">
        <v>24</v>
      </c>
      <c r="M292" t="s">
        <v>59</v>
      </c>
      <c r="N292" t="s">
        <v>26</v>
      </c>
      <c r="O292" t="s">
        <v>56</v>
      </c>
      <c r="P292" t="s">
        <v>50</v>
      </c>
      <c r="Q292">
        <v>5</v>
      </c>
      <c r="R292">
        <v>718.34</v>
      </c>
      <c r="S292" t="s">
        <v>29</v>
      </c>
    </row>
    <row r="293" spans="1:19" x14ac:dyDescent="0.3">
      <c r="A293" t="s">
        <v>363</v>
      </c>
      <c r="B293">
        <v>44</v>
      </c>
      <c r="C293" t="s">
        <v>31</v>
      </c>
      <c r="D293" t="s">
        <v>89</v>
      </c>
      <c r="E293" s="1">
        <v>45319</v>
      </c>
      <c r="F293" s="3">
        <v>45336</v>
      </c>
      <c r="G293" t="s">
        <v>74</v>
      </c>
      <c r="H293" t="s">
        <v>75</v>
      </c>
      <c r="I293" t="s">
        <v>83</v>
      </c>
      <c r="J293">
        <v>12477.03</v>
      </c>
      <c r="K293">
        <v>17</v>
      </c>
      <c r="L293" t="s">
        <v>24</v>
      </c>
      <c r="M293" t="s">
        <v>25</v>
      </c>
      <c r="N293" t="s">
        <v>55</v>
      </c>
      <c r="O293" t="s">
        <v>56</v>
      </c>
      <c r="P293" t="s">
        <v>45</v>
      </c>
      <c r="Q293">
        <v>14</v>
      </c>
      <c r="R293">
        <v>4237.17</v>
      </c>
      <c r="S293" t="s">
        <v>39</v>
      </c>
    </row>
    <row r="294" spans="1:19" x14ac:dyDescent="0.3">
      <c r="A294" t="s">
        <v>364</v>
      </c>
      <c r="B294">
        <v>85</v>
      </c>
      <c r="C294" t="s">
        <v>31</v>
      </c>
      <c r="D294" t="s">
        <v>20</v>
      </c>
      <c r="E294" s="1">
        <v>45830</v>
      </c>
      <c r="F294" s="3">
        <v>45834</v>
      </c>
      <c r="G294" t="s">
        <v>48</v>
      </c>
      <c r="H294" t="s">
        <v>22</v>
      </c>
      <c r="I294" t="s">
        <v>23</v>
      </c>
      <c r="J294">
        <v>10116.200000000001</v>
      </c>
      <c r="K294">
        <v>4</v>
      </c>
      <c r="L294" t="s">
        <v>36</v>
      </c>
      <c r="M294" t="s">
        <v>25</v>
      </c>
      <c r="N294" t="s">
        <v>55</v>
      </c>
      <c r="O294" t="s">
        <v>49</v>
      </c>
      <c r="P294" t="s">
        <v>50</v>
      </c>
      <c r="Q294">
        <v>8</v>
      </c>
      <c r="R294">
        <v>3785.61</v>
      </c>
      <c r="S294" t="s">
        <v>29</v>
      </c>
    </row>
    <row r="295" spans="1:19" x14ac:dyDescent="0.3">
      <c r="A295" t="s">
        <v>365</v>
      </c>
      <c r="B295">
        <v>37</v>
      </c>
      <c r="C295" t="s">
        <v>31</v>
      </c>
      <c r="D295" t="s">
        <v>32</v>
      </c>
      <c r="E295" s="1">
        <v>45062</v>
      </c>
      <c r="F295" s="3">
        <v>45081</v>
      </c>
      <c r="G295" t="s">
        <v>41</v>
      </c>
      <c r="H295" t="s">
        <v>42</v>
      </c>
      <c r="I295" t="s">
        <v>91</v>
      </c>
      <c r="J295">
        <v>9368.99</v>
      </c>
      <c r="K295">
        <v>19</v>
      </c>
      <c r="L295" t="s">
        <v>24</v>
      </c>
      <c r="M295" t="s">
        <v>25</v>
      </c>
      <c r="N295" t="s">
        <v>55</v>
      </c>
      <c r="O295" t="s">
        <v>37</v>
      </c>
      <c r="P295" t="s">
        <v>38</v>
      </c>
      <c r="Q295">
        <v>7</v>
      </c>
      <c r="R295">
        <v>3323.58</v>
      </c>
      <c r="S295" t="s">
        <v>29</v>
      </c>
    </row>
    <row r="296" spans="1:19" x14ac:dyDescent="0.3">
      <c r="A296" t="s">
        <v>366</v>
      </c>
      <c r="B296">
        <v>18</v>
      </c>
      <c r="C296" t="s">
        <v>31</v>
      </c>
      <c r="D296" t="s">
        <v>61</v>
      </c>
      <c r="E296" s="1">
        <v>45491</v>
      </c>
      <c r="F296" s="3">
        <v>45504</v>
      </c>
      <c r="G296" t="s">
        <v>52</v>
      </c>
      <c r="H296" t="s">
        <v>53</v>
      </c>
      <c r="I296" t="s">
        <v>43</v>
      </c>
      <c r="J296">
        <v>8743</v>
      </c>
      <c r="K296">
        <v>13</v>
      </c>
      <c r="L296" t="s">
        <v>24</v>
      </c>
      <c r="M296" t="s">
        <v>59</v>
      </c>
      <c r="N296" t="s">
        <v>26</v>
      </c>
      <c r="O296" t="s">
        <v>27</v>
      </c>
      <c r="P296" t="s">
        <v>45</v>
      </c>
      <c r="Q296">
        <v>3</v>
      </c>
      <c r="R296">
        <v>2893.76</v>
      </c>
      <c r="S296" t="s">
        <v>29</v>
      </c>
    </row>
    <row r="297" spans="1:19" x14ac:dyDescent="0.3">
      <c r="A297" t="s">
        <v>367</v>
      </c>
      <c r="B297">
        <v>70</v>
      </c>
      <c r="C297" t="s">
        <v>31</v>
      </c>
      <c r="D297" t="s">
        <v>32</v>
      </c>
      <c r="E297" s="1">
        <v>45185</v>
      </c>
      <c r="F297" s="3">
        <v>45204</v>
      </c>
      <c r="G297" t="s">
        <v>62</v>
      </c>
      <c r="H297" t="s">
        <v>63</v>
      </c>
      <c r="I297" t="s">
        <v>54</v>
      </c>
      <c r="J297">
        <v>5844.94</v>
      </c>
      <c r="K297">
        <v>19</v>
      </c>
      <c r="L297" t="s">
        <v>24</v>
      </c>
      <c r="M297" t="s">
        <v>25</v>
      </c>
      <c r="N297" t="s">
        <v>44</v>
      </c>
      <c r="O297" t="s">
        <v>56</v>
      </c>
      <c r="P297" t="s">
        <v>28</v>
      </c>
      <c r="Q297">
        <v>5</v>
      </c>
      <c r="R297">
        <v>1942.62</v>
      </c>
      <c r="S297" t="s">
        <v>29</v>
      </c>
    </row>
    <row r="298" spans="1:19" x14ac:dyDescent="0.3">
      <c r="A298" t="s">
        <v>368</v>
      </c>
      <c r="B298">
        <v>62</v>
      </c>
      <c r="C298" t="s">
        <v>31</v>
      </c>
      <c r="D298" t="s">
        <v>89</v>
      </c>
      <c r="E298" s="1">
        <v>45154</v>
      </c>
      <c r="F298" s="3">
        <v>45167</v>
      </c>
      <c r="G298" t="s">
        <v>41</v>
      </c>
      <c r="H298" t="s">
        <v>42</v>
      </c>
      <c r="I298" t="s">
        <v>23</v>
      </c>
      <c r="J298">
        <v>7587.93</v>
      </c>
      <c r="K298">
        <v>13</v>
      </c>
      <c r="L298" t="s">
        <v>36</v>
      </c>
      <c r="M298" t="s">
        <v>76</v>
      </c>
      <c r="N298" t="s">
        <v>26</v>
      </c>
      <c r="O298" t="s">
        <v>56</v>
      </c>
      <c r="P298" t="s">
        <v>45</v>
      </c>
      <c r="Q298">
        <v>6</v>
      </c>
      <c r="R298">
        <v>1661.61</v>
      </c>
      <c r="S298" t="s">
        <v>29</v>
      </c>
    </row>
    <row r="299" spans="1:19" x14ac:dyDescent="0.3">
      <c r="A299" t="s">
        <v>369</v>
      </c>
      <c r="B299">
        <v>78</v>
      </c>
      <c r="C299" t="s">
        <v>31</v>
      </c>
      <c r="D299" t="s">
        <v>61</v>
      </c>
      <c r="E299" s="1">
        <v>45714</v>
      </c>
      <c r="F299" s="3">
        <v>45717</v>
      </c>
      <c r="G299" t="s">
        <v>93</v>
      </c>
      <c r="H299" t="s">
        <v>72</v>
      </c>
      <c r="I299" t="s">
        <v>83</v>
      </c>
      <c r="J299">
        <v>3358.55</v>
      </c>
      <c r="K299">
        <v>3</v>
      </c>
      <c r="L299" t="s">
        <v>36</v>
      </c>
      <c r="M299" t="s">
        <v>59</v>
      </c>
      <c r="N299" t="s">
        <v>26</v>
      </c>
      <c r="O299" t="s">
        <v>27</v>
      </c>
      <c r="P299" t="s">
        <v>28</v>
      </c>
      <c r="Q299">
        <v>3</v>
      </c>
      <c r="R299">
        <v>1033.1600000000001</v>
      </c>
      <c r="S299" t="s">
        <v>29</v>
      </c>
    </row>
    <row r="300" spans="1:19" x14ac:dyDescent="0.3">
      <c r="A300" t="s">
        <v>370</v>
      </c>
      <c r="B300">
        <v>60</v>
      </c>
      <c r="C300" t="s">
        <v>19</v>
      </c>
      <c r="D300" t="s">
        <v>20</v>
      </c>
      <c r="E300" s="1">
        <v>45480</v>
      </c>
      <c r="F300" s="3">
        <v>45497</v>
      </c>
      <c r="G300" t="s">
        <v>52</v>
      </c>
      <c r="H300" t="s">
        <v>53</v>
      </c>
      <c r="I300" t="s">
        <v>58</v>
      </c>
      <c r="J300">
        <v>9165.2099999999991</v>
      </c>
      <c r="K300">
        <v>17</v>
      </c>
      <c r="L300" t="s">
        <v>36</v>
      </c>
      <c r="M300" t="s">
        <v>25</v>
      </c>
      <c r="N300" t="s">
        <v>55</v>
      </c>
      <c r="O300" t="s">
        <v>49</v>
      </c>
      <c r="P300" t="s">
        <v>28</v>
      </c>
      <c r="Q300">
        <v>4</v>
      </c>
      <c r="R300">
        <v>1983.4</v>
      </c>
      <c r="S300" t="s">
        <v>39</v>
      </c>
    </row>
    <row r="301" spans="1:19" x14ac:dyDescent="0.3">
      <c r="A301" t="s">
        <v>371</v>
      </c>
      <c r="B301">
        <v>52</v>
      </c>
      <c r="C301" t="s">
        <v>19</v>
      </c>
      <c r="D301" t="s">
        <v>89</v>
      </c>
      <c r="E301" s="1">
        <v>45695</v>
      </c>
      <c r="F301" s="3">
        <v>45700</v>
      </c>
      <c r="G301" t="s">
        <v>62</v>
      </c>
      <c r="H301" t="s">
        <v>63</v>
      </c>
      <c r="I301" t="s">
        <v>35</v>
      </c>
      <c r="J301">
        <v>7897.92</v>
      </c>
      <c r="K301">
        <v>5</v>
      </c>
      <c r="L301" t="s">
        <v>24</v>
      </c>
      <c r="M301" t="s">
        <v>25</v>
      </c>
      <c r="N301" t="s">
        <v>44</v>
      </c>
      <c r="O301" t="s">
        <v>49</v>
      </c>
      <c r="P301" t="s">
        <v>38</v>
      </c>
      <c r="Q301">
        <v>2</v>
      </c>
      <c r="R301">
        <v>2538.1799999999998</v>
      </c>
      <c r="S301" t="s">
        <v>29</v>
      </c>
    </row>
    <row r="302" spans="1:19" x14ac:dyDescent="0.3">
      <c r="A302" t="s">
        <v>372</v>
      </c>
      <c r="B302">
        <v>86</v>
      </c>
      <c r="C302" t="s">
        <v>31</v>
      </c>
      <c r="D302" t="s">
        <v>89</v>
      </c>
      <c r="E302" s="1">
        <v>45159</v>
      </c>
      <c r="F302" s="3">
        <v>45167</v>
      </c>
      <c r="G302" t="s">
        <v>48</v>
      </c>
      <c r="H302" t="s">
        <v>22</v>
      </c>
      <c r="I302" t="s">
        <v>81</v>
      </c>
      <c r="J302">
        <v>11820.76</v>
      </c>
      <c r="K302">
        <v>8</v>
      </c>
      <c r="L302" t="s">
        <v>24</v>
      </c>
      <c r="M302" t="s">
        <v>59</v>
      </c>
      <c r="N302" t="s">
        <v>26</v>
      </c>
      <c r="O302" t="s">
        <v>49</v>
      </c>
      <c r="P302" t="s">
        <v>45</v>
      </c>
      <c r="Q302">
        <v>10</v>
      </c>
      <c r="R302">
        <v>3714.3</v>
      </c>
      <c r="S302" t="s">
        <v>29</v>
      </c>
    </row>
    <row r="303" spans="1:19" x14ac:dyDescent="0.3">
      <c r="A303" t="s">
        <v>373</v>
      </c>
      <c r="B303">
        <v>54</v>
      </c>
      <c r="C303" t="s">
        <v>31</v>
      </c>
      <c r="D303" t="s">
        <v>47</v>
      </c>
      <c r="E303" s="1">
        <v>45600</v>
      </c>
      <c r="F303" s="3">
        <v>45614</v>
      </c>
      <c r="G303" t="s">
        <v>62</v>
      </c>
      <c r="H303" t="s">
        <v>63</v>
      </c>
      <c r="I303" t="s">
        <v>43</v>
      </c>
      <c r="J303">
        <v>15539.91</v>
      </c>
      <c r="K303">
        <v>14</v>
      </c>
      <c r="L303" t="s">
        <v>36</v>
      </c>
      <c r="M303" t="s">
        <v>25</v>
      </c>
      <c r="N303" t="s">
        <v>44</v>
      </c>
      <c r="O303" t="s">
        <v>49</v>
      </c>
      <c r="P303" t="s">
        <v>38</v>
      </c>
      <c r="Q303">
        <v>14</v>
      </c>
      <c r="R303">
        <v>2566.56</v>
      </c>
      <c r="S303" t="s">
        <v>29</v>
      </c>
    </row>
    <row r="304" spans="1:19" x14ac:dyDescent="0.3">
      <c r="A304" t="s">
        <v>374</v>
      </c>
      <c r="B304">
        <v>28</v>
      </c>
      <c r="C304" t="s">
        <v>31</v>
      </c>
      <c r="D304" t="s">
        <v>79</v>
      </c>
      <c r="E304" s="1">
        <v>45744</v>
      </c>
      <c r="F304" s="3">
        <v>45764</v>
      </c>
      <c r="G304" t="s">
        <v>93</v>
      </c>
      <c r="H304" t="s">
        <v>72</v>
      </c>
      <c r="I304" t="s">
        <v>23</v>
      </c>
      <c r="J304">
        <v>11372.99</v>
      </c>
      <c r="K304">
        <v>20</v>
      </c>
      <c r="L304" t="s">
        <v>24</v>
      </c>
      <c r="M304" t="s">
        <v>25</v>
      </c>
      <c r="N304" t="s">
        <v>55</v>
      </c>
      <c r="O304" t="s">
        <v>56</v>
      </c>
      <c r="P304" t="s">
        <v>38</v>
      </c>
      <c r="Q304">
        <v>14</v>
      </c>
      <c r="R304">
        <v>2480.31</v>
      </c>
      <c r="S304" t="s">
        <v>29</v>
      </c>
    </row>
    <row r="305" spans="1:19" x14ac:dyDescent="0.3">
      <c r="A305" t="s">
        <v>375</v>
      </c>
      <c r="B305">
        <v>71</v>
      </c>
      <c r="C305" t="s">
        <v>31</v>
      </c>
      <c r="D305" t="s">
        <v>70</v>
      </c>
      <c r="E305" s="1">
        <v>45153</v>
      </c>
      <c r="F305" s="3">
        <v>45159</v>
      </c>
      <c r="G305" t="s">
        <v>74</v>
      </c>
      <c r="H305" t="s">
        <v>75</v>
      </c>
      <c r="I305" t="s">
        <v>91</v>
      </c>
      <c r="J305">
        <v>3214.77</v>
      </c>
      <c r="K305">
        <v>6</v>
      </c>
      <c r="L305" t="s">
        <v>36</v>
      </c>
      <c r="M305" t="s">
        <v>59</v>
      </c>
      <c r="N305" t="s">
        <v>55</v>
      </c>
      <c r="O305" t="s">
        <v>56</v>
      </c>
      <c r="P305" t="s">
        <v>28</v>
      </c>
      <c r="Q305">
        <v>15</v>
      </c>
      <c r="R305">
        <v>1252.5999999999999</v>
      </c>
      <c r="S305" t="s">
        <v>29</v>
      </c>
    </row>
    <row r="306" spans="1:19" x14ac:dyDescent="0.3">
      <c r="A306" t="s">
        <v>376</v>
      </c>
      <c r="B306">
        <v>39</v>
      </c>
      <c r="C306" t="s">
        <v>31</v>
      </c>
      <c r="D306" t="s">
        <v>89</v>
      </c>
      <c r="E306" s="1">
        <v>45449</v>
      </c>
      <c r="F306" s="3">
        <v>45459</v>
      </c>
      <c r="G306" t="s">
        <v>48</v>
      </c>
      <c r="H306" t="s">
        <v>22</v>
      </c>
      <c r="I306" t="s">
        <v>23</v>
      </c>
      <c r="J306">
        <v>7121.56</v>
      </c>
      <c r="K306">
        <v>10</v>
      </c>
      <c r="L306" t="s">
        <v>36</v>
      </c>
      <c r="M306" t="s">
        <v>25</v>
      </c>
      <c r="N306" t="s">
        <v>44</v>
      </c>
      <c r="O306" t="s">
        <v>37</v>
      </c>
      <c r="P306" t="s">
        <v>45</v>
      </c>
      <c r="Q306">
        <v>5</v>
      </c>
      <c r="R306">
        <v>1962.85</v>
      </c>
      <c r="S306" t="s">
        <v>29</v>
      </c>
    </row>
    <row r="307" spans="1:19" x14ac:dyDescent="0.3">
      <c r="A307" t="s">
        <v>377</v>
      </c>
      <c r="B307">
        <v>21</v>
      </c>
      <c r="C307" t="s">
        <v>31</v>
      </c>
      <c r="D307" t="s">
        <v>66</v>
      </c>
      <c r="E307" s="1">
        <v>45220</v>
      </c>
      <c r="F307" s="3">
        <v>45226</v>
      </c>
      <c r="G307" t="s">
        <v>62</v>
      </c>
      <c r="H307" t="s">
        <v>63</v>
      </c>
      <c r="I307" t="s">
        <v>83</v>
      </c>
      <c r="J307">
        <v>3477.95</v>
      </c>
      <c r="K307">
        <v>6</v>
      </c>
      <c r="L307" t="s">
        <v>36</v>
      </c>
      <c r="M307" t="s">
        <v>25</v>
      </c>
      <c r="N307" t="s">
        <v>55</v>
      </c>
      <c r="O307" t="s">
        <v>37</v>
      </c>
      <c r="P307" t="s">
        <v>28</v>
      </c>
      <c r="Q307">
        <v>11</v>
      </c>
      <c r="R307">
        <v>1242.96</v>
      </c>
      <c r="S307" t="s">
        <v>29</v>
      </c>
    </row>
    <row r="308" spans="1:19" x14ac:dyDescent="0.3">
      <c r="A308" t="s">
        <v>378</v>
      </c>
      <c r="B308">
        <v>46</v>
      </c>
      <c r="C308" t="s">
        <v>31</v>
      </c>
      <c r="D308" t="s">
        <v>70</v>
      </c>
      <c r="E308" s="1">
        <v>45641</v>
      </c>
      <c r="F308" s="3">
        <v>45658</v>
      </c>
      <c r="G308" t="s">
        <v>74</v>
      </c>
      <c r="H308" t="s">
        <v>75</v>
      </c>
      <c r="I308" t="s">
        <v>23</v>
      </c>
      <c r="J308">
        <v>5300.94</v>
      </c>
      <c r="K308">
        <v>17</v>
      </c>
      <c r="L308" t="s">
        <v>24</v>
      </c>
      <c r="M308" t="s">
        <v>25</v>
      </c>
      <c r="N308" t="s">
        <v>55</v>
      </c>
      <c r="O308" t="s">
        <v>37</v>
      </c>
      <c r="P308" t="s">
        <v>50</v>
      </c>
      <c r="Q308">
        <v>10</v>
      </c>
      <c r="R308">
        <v>1051.51</v>
      </c>
      <c r="S308" t="s">
        <v>29</v>
      </c>
    </row>
    <row r="309" spans="1:19" x14ac:dyDescent="0.3">
      <c r="A309" t="s">
        <v>379</v>
      </c>
      <c r="B309">
        <v>53</v>
      </c>
      <c r="C309" t="s">
        <v>31</v>
      </c>
      <c r="D309" t="s">
        <v>66</v>
      </c>
      <c r="E309" s="1">
        <v>45158</v>
      </c>
      <c r="F309" s="3">
        <v>45187</v>
      </c>
      <c r="G309" t="s">
        <v>52</v>
      </c>
      <c r="H309" t="s">
        <v>53</v>
      </c>
      <c r="I309" t="s">
        <v>54</v>
      </c>
      <c r="J309">
        <v>12464.45</v>
      </c>
      <c r="K309">
        <v>29</v>
      </c>
      <c r="L309" t="s">
        <v>36</v>
      </c>
      <c r="M309" t="s">
        <v>76</v>
      </c>
      <c r="N309" t="s">
        <v>26</v>
      </c>
      <c r="O309" t="s">
        <v>49</v>
      </c>
      <c r="P309" t="s">
        <v>50</v>
      </c>
      <c r="Q309">
        <v>8</v>
      </c>
      <c r="R309">
        <v>3957.37</v>
      </c>
      <c r="S309" t="s">
        <v>29</v>
      </c>
    </row>
    <row r="310" spans="1:19" x14ac:dyDescent="0.3">
      <c r="A310" t="s">
        <v>380</v>
      </c>
      <c r="B310">
        <v>64</v>
      </c>
      <c r="C310" t="s">
        <v>19</v>
      </c>
      <c r="D310" t="s">
        <v>66</v>
      </c>
      <c r="E310" s="1">
        <v>45608</v>
      </c>
      <c r="F310" s="3">
        <v>45620</v>
      </c>
      <c r="G310" t="s">
        <v>41</v>
      </c>
      <c r="H310" t="s">
        <v>42</v>
      </c>
      <c r="I310" t="s">
        <v>54</v>
      </c>
      <c r="J310">
        <v>5270.61</v>
      </c>
      <c r="K310">
        <v>12</v>
      </c>
      <c r="L310" t="s">
        <v>36</v>
      </c>
      <c r="M310" t="s">
        <v>59</v>
      </c>
      <c r="N310" t="s">
        <v>55</v>
      </c>
      <c r="O310" t="s">
        <v>37</v>
      </c>
      <c r="P310" t="s">
        <v>38</v>
      </c>
      <c r="Q310">
        <v>9</v>
      </c>
      <c r="R310">
        <v>1599.61</v>
      </c>
      <c r="S310" t="s">
        <v>29</v>
      </c>
    </row>
    <row r="311" spans="1:19" x14ac:dyDescent="0.3">
      <c r="A311" t="s">
        <v>381</v>
      </c>
      <c r="B311">
        <v>62</v>
      </c>
      <c r="C311" t="s">
        <v>19</v>
      </c>
      <c r="D311" t="s">
        <v>32</v>
      </c>
      <c r="E311" s="1">
        <v>45627</v>
      </c>
      <c r="F311" s="3">
        <v>45640</v>
      </c>
      <c r="G311" t="s">
        <v>62</v>
      </c>
      <c r="H311" t="s">
        <v>63</v>
      </c>
      <c r="I311" t="s">
        <v>58</v>
      </c>
      <c r="J311">
        <v>4129.87</v>
      </c>
      <c r="K311">
        <v>13</v>
      </c>
      <c r="L311" t="s">
        <v>24</v>
      </c>
      <c r="M311" t="s">
        <v>25</v>
      </c>
      <c r="N311" t="s">
        <v>55</v>
      </c>
      <c r="O311" t="s">
        <v>56</v>
      </c>
      <c r="P311" t="s">
        <v>45</v>
      </c>
      <c r="Q311">
        <v>3</v>
      </c>
      <c r="R311">
        <v>1354.72</v>
      </c>
      <c r="S311" t="s">
        <v>39</v>
      </c>
    </row>
    <row r="312" spans="1:19" x14ac:dyDescent="0.3">
      <c r="A312" t="s">
        <v>382</v>
      </c>
      <c r="B312">
        <v>21</v>
      </c>
      <c r="C312" t="s">
        <v>19</v>
      </c>
      <c r="D312" t="s">
        <v>70</v>
      </c>
      <c r="E312" s="1">
        <v>45504</v>
      </c>
      <c r="F312" s="3">
        <v>45514</v>
      </c>
      <c r="G312" t="s">
        <v>41</v>
      </c>
      <c r="H312" t="s">
        <v>42</v>
      </c>
      <c r="I312" t="s">
        <v>58</v>
      </c>
      <c r="J312">
        <v>8422.61</v>
      </c>
      <c r="K312">
        <v>10</v>
      </c>
      <c r="L312" t="s">
        <v>36</v>
      </c>
      <c r="M312" t="s">
        <v>25</v>
      </c>
      <c r="N312" t="s">
        <v>44</v>
      </c>
      <c r="O312" t="s">
        <v>49</v>
      </c>
      <c r="P312" t="s">
        <v>50</v>
      </c>
      <c r="Q312">
        <v>6</v>
      </c>
      <c r="R312">
        <v>1377.56</v>
      </c>
      <c r="S312" t="s">
        <v>29</v>
      </c>
    </row>
    <row r="313" spans="1:19" x14ac:dyDescent="0.3">
      <c r="A313" t="s">
        <v>383</v>
      </c>
      <c r="B313">
        <v>57</v>
      </c>
      <c r="C313" t="s">
        <v>19</v>
      </c>
      <c r="D313" t="s">
        <v>66</v>
      </c>
      <c r="E313" s="1">
        <v>45838</v>
      </c>
      <c r="F313" s="3">
        <v>45846</v>
      </c>
      <c r="G313" t="s">
        <v>33</v>
      </c>
      <c r="H313" t="s">
        <v>34</v>
      </c>
      <c r="I313" t="s">
        <v>81</v>
      </c>
      <c r="J313">
        <v>5146.2700000000004</v>
      </c>
      <c r="K313">
        <v>8</v>
      </c>
      <c r="L313" t="s">
        <v>24</v>
      </c>
      <c r="M313" t="s">
        <v>25</v>
      </c>
      <c r="N313" t="s">
        <v>44</v>
      </c>
      <c r="O313" t="s">
        <v>27</v>
      </c>
      <c r="P313" t="s">
        <v>50</v>
      </c>
      <c r="Q313">
        <v>3</v>
      </c>
      <c r="R313">
        <v>1608.67</v>
      </c>
      <c r="S313" t="s">
        <v>29</v>
      </c>
    </row>
    <row r="314" spans="1:19" x14ac:dyDescent="0.3">
      <c r="A314" t="s">
        <v>384</v>
      </c>
      <c r="B314">
        <v>29</v>
      </c>
      <c r="C314" t="s">
        <v>31</v>
      </c>
      <c r="D314" t="s">
        <v>66</v>
      </c>
      <c r="E314" s="1">
        <v>45069</v>
      </c>
      <c r="F314" s="3">
        <v>45091</v>
      </c>
      <c r="G314" t="s">
        <v>71</v>
      </c>
      <c r="H314" t="s">
        <v>72</v>
      </c>
      <c r="I314" t="s">
        <v>54</v>
      </c>
      <c r="J314">
        <v>15858.99</v>
      </c>
      <c r="K314">
        <v>22</v>
      </c>
      <c r="L314" t="s">
        <v>36</v>
      </c>
      <c r="M314" t="s">
        <v>25</v>
      </c>
      <c r="N314" t="s">
        <v>26</v>
      </c>
      <c r="O314" t="s">
        <v>49</v>
      </c>
      <c r="P314" t="s">
        <v>28</v>
      </c>
      <c r="Q314">
        <v>14</v>
      </c>
      <c r="R314">
        <v>3535.8</v>
      </c>
      <c r="S314" t="s">
        <v>29</v>
      </c>
    </row>
    <row r="315" spans="1:19" x14ac:dyDescent="0.3">
      <c r="A315" t="s">
        <v>385</v>
      </c>
      <c r="B315">
        <v>88</v>
      </c>
      <c r="C315" t="s">
        <v>31</v>
      </c>
      <c r="D315" t="s">
        <v>61</v>
      </c>
      <c r="E315" s="1">
        <v>45647</v>
      </c>
      <c r="F315" s="3">
        <v>45666</v>
      </c>
      <c r="G315" t="s">
        <v>74</v>
      </c>
      <c r="H315" t="s">
        <v>75</v>
      </c>
      <c r="I315" t="s">
        <v>91</v>
      </c>
      <c r="J315">
        <v>11684.33</v>
      </c>
      <c r="K315">
        <v>19</v>
      </c>
      <c r="L315" t="s">
        <v>36</v>
      </c>
      <c r="M315" t="s">
        <v>25</v>
      </c>
      <c r="N315" t="s">
        <v>26</v>
      </c>
      <c r="O315" t="s">
        <v>56</v>
      </c>
      <c r="P315" t="s">
        <v>50</v>
      </c>
      <c r="Q315">
        <v>10</v>
      </c>
      <c r="R315">
        <v>2323.8000000000002</v>
      </c>
      <c r="S315" t="s">
        <v>29</v>
      </c>
    </row>
    <row r="316" spans="1:19" x14ac:dyDescent="0.3">
      <c r="A316" t="s">
        <v>386</v>
      </c>
      <c r="B316">
        <v>40</v>
      </c>
      <c r="C316" t="s">
        <v>31</v>
      </c>
      <c r="D316" t="s">
        <v>32</v>
      </c>
      <c r="E316" s="1">
        <v>45473</v>
      </c>
      <c r="F316" s="3">
        <v>45490</v>
      </c>
      <c r="G316" t="s">
        <v>41</v>
      </c>
      <c r="H316" t="s">
        <v>42</v>
      </c>
      <c r="I316" t="s">
        <v>54</v>
      </c>
      <c r="J316">
        <v>11514.92</v>
      </c>
      <c r="K316">
        <v>17</v>
      </c>
      <c r="L316" t="s">
        <v>24</v>
      </c>
      <c r="M316" t="s">
        <v>25</v>
      </c>
      <c r="N316" t="s">
        <v>26</v>
      </c>
      <c r="O316" t="s">
        <v>27</v>
      </c>
      <c r="P316" t="s">
        <v>28</v>
      </c>
      <c r="Q316">
        <v>4</v>
      </c>
      <c r="R316">
        <v>2900.54</v>
      </c>
      <c r="S316" t="s">
        <v>39</v>
      </c>
    </row>
    <row r="317" spans="1:19" x14ac:dyDescent="0.3">
      <c r="A317" t="s">
        <v>387</v>
      </c>
      <c r="B317">
        <v>35</v>
      </c>
      <c r="C317" t="s">
        <v>19</v>
      </c>
      <c r="D317" t="s">
        <v>47</v>
      </c>
      <c r="E317" s="1">
        <v>45341</v>
      </c>
      <c r="F317" s="3">
        <v>45361</v>
      </c>
      <c r="G317" t="s">
        <v>41</v>
      </c>
      <c r="H317" t="s">
        <v>42</v>
      </c>
      <c r="I317" t="s">
        <v>58</v>
      </c>
      <c r="J317">
        <v>10775.19</v>
      </c>
      <c r="K317">
        <v>20</v>
      </c>
      <c r="L317" t="s">
        <v>36</v>
      </c>
      <c r="M317" t="s">
        <v>59</v>
      </c>
      <c r="N317" t="s">
        <v>26</v>
      </c>
      <c r="O317" t="s">
        <v>27</v>
      </c>
      <c r="P317" t="s">
        <v>38</v>
      </c>
      <c r="Q317">
        <v>11</v>
      </c>
      <c r="R317">
        <v>2815.8</v>
      </c>
      <c r="S317" t="s">
        <v>29</v>
      </c>
    </row>
    <row r="318" spans="1:19" x14ac:dyDescent="0.3">
      <c r="A318" t="s">
        <v>388</v>
      </c>
      <c r="B318">
        <v>55</v>
      </c>
      <c r="C318" t="s">
        <v>31</v>
      </c>
      <c r="D318" t="s">
        <v>89</v>
      </c>
      <c r="E318" s="1">
        <v>45004</v>
      </c>
      <c r="F318" s="3">
        <v>45013</v>
      </c>
      <c r="G318" t="s">
        <v>41</v>
      </c>
      <c r="H318" t="s">
        <v>42</v>
      </c>
      <c r="I318" t="s">
        <v>81</v>
      </c>
      <c r="J318">
        <v>8629.49</v>
      </c>
      <c r="K318">
        <v>9</v>
      </c>
      <c r="L318" t="s">
        <v>24</v>
      </c>
      <c r="M318" t="s">
        <v>25</v>
      </c>
      <c r="N318" t="s">
        <v>26</v>
      </c>
      <c r="O318" t="s">
        <v>37</v>
      </c>
      <c r="P318" t="s">
        <v>28</v>
      </c>
      <c r="Q318">
        <v>5</v>
      </c>
      <c r="R318">
        <v>3404.08</v>
      </c>
      <c r="S318" t="s">
        <v>29</v>
      </c>
    </row>
    <row r="319" spans="1:19" x14ac:dyDescent="0.3">
      <c r="A319" t="s">
        <v>389</v>
      </c>
      <c r="B319">
        <v>81</v>
      </c>
      <c r="C319" t="s">
        <v>19</v>
      </c>
      <c r="D319" t="s">
        <v>32</v>
      </c>
      <c r="E319" s="1">
        <v>45149</v>
      </c>
      <c r="F319" s="3">
        <v>45156</v>
      </c>
      <c r="G319" t="s">
        <v>52</v>
      </c>
      <c r="H319" t="s">
        <v>53</v>
      </c>
      <c r="I319" t="s">
        <v>91</v>
      </c>
      <c r="J319">
        <v>3988.37</v>
      </c>
      <c r="K319">
        <v>7</v>
      </c>
      <c r="L319" t="s">
        <v>36</v>
      </c>
      <c r="M319" t="s">
        <v>25</v>
      </c>
      <c r="N319" t="s">
        <v>44</v>
      </c>
      <c r="O319" t="s">
        <v>27</v>
      </c>
      <c r="P319" t="s">
        <v>38</v>
      </c>
      <c r="Q319">
        <v>11</v>
      </c>
      <c r="R319">
        <v>1292.21</v>
      </c>
      <c r="S319" t="s">
        <v>29</v>
      </c>
    </row>
    <row r="320" spans="1:19" x14ac:dyDescent="0.3">
      <c r="A320" t="s">
        <v>390</v>
      </c>
      <c r="B320">
        <v>47</v>
      </c>
      <c r="C320" t="s">
        <v>19</v>
      </c>
      <c r="D320" t="s">
        <v>79</v>
      </c>
      <c r="E320" s="1">
        <v>45723</v>
      </c>
      <c r="F320" s="3">
        <v>45748</v>
      </c>
      <c r="G320" t="s">
        <v>74</v>
      </c>
      <c r="H320" t="s">
        <v>75</v>
      </c>
      <c r="I320" t="s">
        <v>43</v>
      </c>
      <c r="J320">
        <v>24911.69</v>
      </c>
      <c r="K320">
        <v>25</v>
      </c>
      <c r="L320" t="s">
        <v>36</v>
      </c>
      <c r="M320" t="s">
        <v>25</v>
      </c>
      <c r="N320" t="s">
        <v>26</v>
      </c>
      <c r="O320" t="s">
        <v>49</v>
      </c>
      <c r="P320" t="s">
        <v>50</v>
      </c>
      <c r="Q320">
        <v>6</v>
      </c>
      <c r="R320">
        <v>7322.45</v>
      </c>
      <c r="S320" t="s">
        <v>39</v>
      </c>
    </row>
    <row r="321" spans="1:19" x14ac:dyDescent="0.3">
      <c r="A321" t="s">
        <v>391</v>
      </c>
      <c r="B321">
        <v>86</v>
      </c>
      <c r="C321" t="s">
        <v>19</v>
      </c>
      <c r="D321" t="s">
        <v>47</v>
      </c>
      <c r="E321" s="1">
        <v>45701</v>
      </c>
      <c r="F321" s="3">
        <v>45721</v>
      </c>
      <c r="G321" t="s">
        <v>62</v>
      </c>
      <c r="H321" t="s">
        <v>63</v>
      </c>
      <c r="I321" t="s">
        <v>35</v>
      </c>
      <c r="J321">
        <v>11401.62</v>
      </c>
      <c r="K321">
        <v>20</v>
      </c>
      <c r="L321" t="s">
        <v>24</v>
      </c>
      <c r="M321" t="s">
        <v>25</v>
      </c>
      <c r="N321" t="s">
        <v>44</v>
      </c>
      <c r="O321" t="s">
        <v>49</v>
      </c>
      <c r="P321" t="s">
        <v>38</v>
      </c>
      <c r="Q321">
        <v>1</v>
      </c>
      <c r="R321">
        <v>2045.72</v>
      </c>
      <c r="S321" t="s">
        <v>29</v>
      </c>
    </row>
    <row r="322" spans="1:19" x14ac:dyDescent="0.3">
      <c r="A322" t="s">
        <v>392</v>
      </c>
      <c r="B322">
        <v>42</v>
      </c>
      <c r="C322" t="s">
        <v>31</v>
      </c>
      <c r="D322" t="s">
        <v>70</v>
      </c>
      <c r="E322" s="1">
        <v>45438</v>
      </c>
      <c r="F322" s="3">
        <v>45466</v>
      </c>
      <c r="G322" t="s">
        <v>48</v>
      </c>
      <c r="H322" t="s">
        <v>22</v>
      </c>
      <c r="I322" t="s">
        <v>58</v>
      </c>
      <c r="J322">
        <v>12893.48</v>
      </c>
      <c r="K322">
        <v>28</v>
      </c>
      <c r="L322" t="s">
        <v>24</v>
      </c>
      <c r="M322" t="s">
        <v>25</v>
      </c>
      <c r="N322" t="s">
        <v>44</v>
      </c>
      <c r="O322" t="s">
        <v>49</v>
      </c>
      <c r="P322" t="s">
        <v>50</v>
      </c>
      <c r="Q322">
        <v>3</v>
      </c>
      <c r="R322">
        <v>2612.86</v>
      </c>
      <c r="S322" t="s">
        <v>29</v>
      </c>
    </row>
    <row r="323" spans="1:19" x14ac:dyDescent="0.3">
      <c r="A323" t="s">
        <v>393</v>
      </c>
      <c r="B323">
        <v>85</v>
      </c>
      <c r="C323" t="s">
        <v>19</v>
      </c>
      <c r="D323" t="s">
        <v>70</v>
      </c>
      <c r="E323" s="1">
        <v>45724</v>
      </c>
      <c r="F323" s="3">
        <v>45741</v>
      </c>
      <c r="G323" t="s">
        <v>62</v>
      </c>
      <c r="H323" t="s">
        <v>63</v>
      </c>
      <c r="I323" t="s">
        <v>81</v>
      </c>
      <c r="J323">
        <v>7491.25</v>
      </c>
      <c r="K323">
        <v>17</v>
      </c>
      <c r="L323" t="s">
        <v>24</v>
      </c>
      <c r="M323" t="s">
        <v>25</v>
      </c>
      <c r="N323" t="s">
        <v>55</v>
      </c>
      <c r="O323" t="s">
        <v>27</v>
      </c>
      <c r="P323" t="s">
        <v>50</v>
      </c>
      <c r="Q323">
        <v>11</v>
      </c>
      <c r="R323">
        <v>1644.65</v>
      </c>
      <c r="S323" t="s">
        <v>29</v>
      </c>
    </row>
    <row r="324" spans="1:19" x14ac:dyDescent="0.3">
      <c r="A324" t="s">
        <v>394</v>
      </c>
      <c r="B324">
        <v>38</v>
      </c>
      <c r="C324" t="s">
        <v>19</v>
      </c>
      <c r="D324" t="s">
        <v>32</v>
      </c>
      <c r="E324" s="1">
        <v>45252</v>
      </c>
      <c r="F324" s="3">
        <v>45269</v>
      </c>
      <c r="G324" t="s">
        <v>62</v>
      </c>
      <c r="H324" t="s">
        <v>63</v>
      </c>
      <c r="I324" t="s">
        <v>43</v>
      </c>
      <c r="J324">
        <v>8534</v>
      </c>
      <c r="K324">
        <v>17</v>
      </c>
      <c r="L324" t="s">
        <v>24</v>
      </c>
      <c r="M324" t="s">
        <v>25</v>
      </c>
      <c r="N324" t="s">
        <v>55</v>
      </c>
      <c r="O324" t="s">
        <v>27</v>
      </c>
      <c r="P324" t="s">
        <v>38</v>
      </c>
      <c r="Q324">
        <v>10</v>
      </c>
      <c r="R324">
        <v>1326.3</v>
      </c>
      <c r="S324" t="s">
        <v>29</v>
      </c>
    </row>
    <row r="325" spans="1:19" x14ac:dyDescent="0.3">
      <c r="A325" t="s">
        <v>395</v>
      </c>
      <c r="B325">
        <v>24</v>
      </c>
      <c r="C325" t="s">
        <v>19</v>
      </c>
      <c r="D325" t="s">
        <v>32</v>
      </c>
      <c r="E325" s="1">
        <v>45303</v>
      </c>
      <c r="F325" s="3">
        <v>45313</v>
      </c>
      <c r="G325" t="s">
        <v>41</v>
      </c>
      <c r="H325" t="s">
        <v>42</v>
      </c>
      <c r="I325" t="s">
        <v>43</v>
      </c>
      <c r="J325">
        <v>8704.4699999999993</v>
      </c>
      <c r="K325">
        <v>10</v>
      </c>
      <c r="L325" t="s">
        <v>36</v>
      </c>
      <c r="M325" t="s">
        <v>25</v>
      </c>
      <c r="N325" t="s">
        <v>44</v>
      </c>
      <c r="O325" t="s">
        <v>27</v>
      </c>
      <c r="P325" t="s">
        <v>45</v>
      </c>
      <c r="Q325">
        <v>5</v>
      </c>
      <c r="R325">
        <v>2169.13</v>
      </c>
      <c r="S325" t="s">
        <v>29</v>
      </c>
    </row>
    <row r="326" spans="1:19" x14ac:dyDescent="0.3">
      <c r="A326" t="s">
        <v>396</v>
      </c>
      <c r="B326">
        <v>89</v>
      </c>
      <c r="C326" t="s">
        <v>31</v>
      </c>
      <c r="D326" t="s">
        <v>79</v>
      </c>
      <c r="E326" s="1">
        <v>45335</v>
      </c>
      <c r="F326" s="3">
        <v>45362</v>
      </c>
      <c r="G326" t="s">
        <v>67</v>
      </c>
      <c r="H326" t="s">
        <v>42</v>
      </c>
      <c r="I326" t="s">
        <v>81</v>
      </c>
      <c r="J326">
        <v>20712.52</v>
      </c>
      <c r="K326">
        <v>27</v>
      </c>
      <c r="L326" t="s">
        <v>36</v>
      </c>
      <c r="M326" t="s">
        <v>25</v>
      </c>
      <c r="N326" t="s">
        <v>55</v>
      </c>
      <c r="O326" t="s">
        <v>49</v>
      </c>
      <c r="P326" t="s">
        <v>28</v>
      </c>
      <c r="Q326">
        <v>2</v>
      </c>
      <c r="R326">
        <v>4657.05</v>
      </c>
      <c r="S326" t="s">
        <v>29</v>
      </c>
    </row>
    <row r="327" spans="1:19" x14ac:dyDescent="0.3">
      <c r="A327" t="s">
        <v>397</v>
      </c>
      <c r="B327">
        <v>28</v>
      </c>
      <c r="C327" t="s">
        <v>19</v>
      </c>
      <c r="D327" t="s">
        <v>70</v>
      </c>
      <c r="E327" s="1">
        <v>45618</v>
      </c>
      <c r="F327" s="3">
        <v>45623</v>
      </c>
      <c r="G327" t="s">
        <v>33</v>
      </c>
      <c r="H327" t="s">
        <v>34</v>
      </c>
      <c r="I327" t="s">
        <v>43</v>
      </c>
      <c r="J327">
        <v>2550.67</v>
      </c>
      <c r="K327">
        <v>5</v>
      </c>
      <c r="L327" t="s">
        <v>36</v>
      </c>
      <c r="M327" t="s">
        <v>25</v>
      </c>
      <c r="N327" t="s">
        <v>26</v>
      </c>
      <c r="O327" t="s">
        <v>56</v>
      </c>
      <c r="P327" t="s">
        <v>45</v>
      </c>
      <c r="Q327">
        <v>5</v>
      </c>
      <c r="R327">
        <v>726.14</v>
      </c>
      <c r="S327" t="s">
        <v>29</v>
      </c>
    </row>
    <row r="328" spans="1:19" x14ac:dyDescent="0.3">
      <c r="A328" t="s">
        <v>398</v>
      </c>
      <c r="B328">
        <v>35</v>
      </c>
      <c r="C328" t="s">
        <v>31</v>
      </c>
      <c r="D328" t="s">
        <v>20</v>
      </c>
      <c r="E328" s="1">
        <v>45687</v>
      </c>
      <c r="F328" s="3">
        <v>45696</v>
      </c>
      <c r="G328" t="s">
        <v>52</v>
      </c>
      <c r="H328" t="s">
        <v>53</v>
      </c>
      <c r="I328" t="s">
        <v>43</v>
      </c>
      <c r="J328">
        <v>3935.2</v>
      </c>
      <c r="K328">
        <v>9</v>
      </c>
      <c r="L328" t="s">
        <v>36</v>
      </c>
      <c r="M328" t="s">
        <v>25</v>
      </c>
      <c r="N328" t="s">
        <v>44</v>
      </c>
      <c r="O328" t="s">
        <v>56</v>
      </c>
      <c r="P328" t="s">
        <v>45</v>
      </c>
      <c r="Q328">
        <v>11</v>
      </c>
      <c r="R328">
        <v>1435.5</v>
      </c>
      <c r="S328" t="s">
        <v>29</v>
      </c>
    </row>
    <row r="329" spans="1:19" x14ac:dyDescent="0.3">
      <c r="A329" t="s">
        <v>399</v>
      </c>
      <c r="B329">
        <v>22</v>
      </c>
      <c r="C329" t="s">
        <v>19</v>
      </c>
      <c r="D329" t="s">
        <v>66</v>
      </c>
      <c r="E329" s="1">
        <v>45509</v>
      </c>
      <c r="F329" s="3">
        <v>45515</v>
      </c>
      <c r="G329" t="s">
        <v>41</v>
      </c>
      <c r="H329" t="s">
        <v>42</v>
      </c>
      <c r="I329" t="s">
        <v>58</v>
      </c>
      <c r="J329">
        <v>4549.34</v>
      </c>
      <c r="K329">
        <v>6</v>
      </c>
      <c r="L329" t="s">
        <v>24</v>
      </c>
      <c r="M329" t="s">
        <v>101</v>
      </c>
      <c r="N329" t="s">
        <v>44</v>
      </c>
      <c r="O329" t="s">
        <v>27</v>
      </c>
      <c r="P329" t="s">
        <v>50</v>
      </c>
      <c r="Q329">
        <v>2</v>
      </c>
      <c r="R329">
        <v>1261.25</v>
      </c>
      <c r="S329" t="s">
        <v>29</v>
      </c>
    </row>
    <row r="330" spans="1:19" x14ac:dyDescent="0.3">
      <c r="A330" t="s">
        <v>400</v>
      </c>
      <c r="B330">
        <v>30</v>
      </c>
      <c r="C330" t="s">
        <v>31</v>
      </c>
      <c r="D330" t="s">
        <v>89</v>
      </c>
      <c r="E330" s="1">
        <v>45170</v>
      </c>
      <c r="F330" s="3">
        <v>45188</v>
      </c>
      <c r="G330" t="s">
        <v>74</v>
      </c>
      <c r="H330" t="s">
        <v>75</v>
      </c>
      <c r="I330" t="s">
        <v>35</v>
      </c>
      <c r="J330">
        <v>13527.26</v>
      </c>
      <c r="K330">
        <v>18</v>
      </c>
      <c r="L330" t="s">
        <v>24</v>
      </c>
      <c r="M330" t="s">
        <v>101</v>
      </c>
      <c r="N330" t="s">
        <v>55</v>
      </c>
      <c r="O330" t="s">
        <v>49</v>
      </c>
      <c r="P330" t="s">
        <v>38</v>
      </c>
      <c r="Q330">
        <v>13</v>
      </c>
      <c r="R330">
        <v>2777.2</v>
      </c>
      <c r="S330" t="s">
        <v>29</v>
      </c>
    </row>
    <row r="331" spans="1:19" x14ac:dyDescent="0.3">
      <c r="A331" t="s">
        <v>401</v>
      </c>
      <c r="B331">
        <v>87</v>
      </c>
      <c r="C331" t="s">
        <v>19</v>
      </c>
      <c r="D331" t="s">
        <v>70</v>
      </c>
      <c r="E331" s="1">
        <v>45156</v>
      </c>
      <c r="F331" s="3">
        <v>45181</v>
      </c>
      <c r="G331" t="s">
        <v>71</v>
      </c>
      <c r="H331" t="s">
        <v>72</v>
      </c>
      <c r="I331" t="s">
        <v>54</v>
      </c>
      <c r="J331">
        <v>18126.09</v>
      </c>
      <c r="K331">
        <v>25</v>
      </c>
      <c r="L331" t="s">
        <v>24</v>
      </c>
      <c r="M331" t="s">
        <v>25</v>
      </c>
      <c r="N331" t="s">
        <v>55</v>
      </c>
      <c r="O331" t="s">
        <v>49</v>
      </c>
      <c r="P331" t="s">
        <v>45</v>
      </c>
      <c r="Q331">
        <v>12</v>
      </c>
      <c r="R331">
        <v>2988.24</v>
      </c>
      <c r="S331" t="s">
        <v>39</v>
      </c>
    </row>
    <row r="332" spans="1:19" x14ac:dyDescent="0.3">
      <c r="A332" t="s">
        <v>402</v>
      </c>
      <c r="B332">
        <v>56</v>
      </c>
      <c r="C332" t="s">
        <v>19</v>
      </c>
      <c r="D332" t="s">
        <v>20</v>
      </c>
      <c r="E332" s="1">
        <v>45180</v>
      </c>
      <c r="F332" s="3">
        <v>45196</v>
      </c>
      <c r="G332" t="s">
        <v>67</v>
      </c>
      <c r="H332" t="s">
        <v>42</v>
      </c>
      <c r="I332" t="s">
        <v>81</v>
      </c>
      <c r="J332">
        <v>5735.99</v>
      </c>
      <c r="K332">
        <v>16</v>
      </c>
      <c r="L332" t="s">
        <v>36</v>
      </c>
      <c r="M332" t="s">
        <v>59</v>
      </c>
      <c r="N332" t="s">
        <v>55</v>
      </c>
      <c r="O332" t="s">
        <v>37</v>
      </c>
      <c r="P332" t="s">
        <v>28</v>
      </c>
      <c r="Q332">
        <v>11</v>
      </c>
      <c r="R332">
        <v>1616.42</v>
      </c>
      <c r="S332" t="s">
        <v>39</v>
      </c>
    </row>
    <row r="333" spans="1:19" x14ac:dyDescent="0.3">
      <c r="A333" t="s">
        <v>403</v>
      </c>
      <c r="B333">
        <v>42</v>
      </c>
      <c r="C333" t="s">
        <v>19</v>
      </c>
      <c r="D333" t="s">
        <v>47</v>
      </c>
      <c r="E333" s="1">
        <v>45443</v>
      </c>
      <c r="F333" s="3">
        <v>45450</v>
      </c>
      <c r="G333" t="s">
        <v>74</v>
      </c>
      <c r="H333" t="s">
        <v>75</v>
      </c>
      <c r="I333" t="s">
        <v>54</v>
      </c>
      <c r="J333">
        <v>3885.45</v>
      </c>
      <c r="K333">
        <v>7</v>
      </c>
      <c r="L333" t="s">
        <v>36</v>
      </c>
      <c r="M333" t="s">
        <v>25</v>
      </c>
      <c r="N333" t="s">
        <v>55</v>
      </c>
      <c r="O333" t="s">
        <v>56</v>
      </c>
      <c r="P333" t="s">
        <v>28</v>
      </c>
      <c r="Q333">
        <v>8</v>
      </c>
      <c r="R333">
        <v>1334.03</v>
      </c>
      <c r="S333" t="s">
        <v>29</v>
      </c>
    </row>
    <row r="334" spans="1:19" x14ac:dyDescent="0.3">
      <c r="A334" t="s">
        <v>404</v>
      </c>
      <c r="B334">
        <v>64</v>
      </c>
      <c r="C334" t="s">
        <v>31</v>
      </c>
      <c r="D334" t="s">
        <v>47</v>
      </c>
      <c r="E334" s="1">
        <v>45785</v>
      </c>
      <c r="F334" s="3">
        <v>45793</v>
      </c>
      <c r="G334" t="s">
        <v>52</v>
      </c>
      <c r="H334" t="s">
        <v>53</v>
      </c>
      <c r="I334" t="s">
        <v>54</v>
      </c>
      <c r="J334">
        <v>2709.35</v>
      </c>
      <c r="K334">
        <v>8</v>
      </c>
      <c r="L334" t="s">
        <v>24</v>
      </c>
      <c r="M334" t="s">
        <v>59</v>
      </c>
      <c r="N334" t="s">
        <v>44</v>
      </c>
      <c r="O334" t="s">
        <v>37</v>
      </c>
      <c r="P334" t="s">
        <v>28</v>
      </c>
      <c r="Q334">
        <v>12</v>
      </c>
      <c r="R334">
        <v>482.08</v>
      </c>
      <c r="S334" t="s">
        <v>29</v>
      </c>
    </row>
    <row r="335" spans="1:19" x14ac:dyDescent="0.3">
      <c r="A335" t="s">
        <v>405</v>
      </c>
      <c r="B335">
        <v>36</v>
      </c>
      <c r="C335" t="s">
        <v>19</v>
      </c>
      <c r="D335" t="s">
        <v>20</v>
      </c>
      <c r="E335" s="1">
        <v>45795</v>
      </c>
      <c r="F335" s="3">
        <v>45802</v>
      </c>
      <c r="G335" t="s">
        <v>52</v>
      </c>
      <c r="H335" t="s">
        <v>53</v>
      </c>
      <c r="I335" t="s">
        <v>58</v>
      </c>
      <c r="J335">
        <v>11182.86</v>
      </c>
      <c r="K335">
        <v>7</v>
      </c>
      <c r="L335" t="s">
        <v>36</v>
      </c>
      <c r="M335" t="s">
        <v>25</v>
      </c>
      <c r="N335" t="s">
        <v>55</v>
      </c>
      <c r="O335" t="s">
        <v>49</v>
      </c>
      <c r="P335" t="s">
        <v>45</v>
      </c>
      <c r="Q335">
        <v>2</v>
      </c>
      <c r="R335">
        <v>3729.63</v>
      </c>
      <c r="S335" t="s">
        <v>29</v>
      </c>
    </row>
    <row r="336" spans="1:19" x14ac:dyDescent="0.3">
      <c r="A336" t="s">
        <v>406</v>
      </c>
      <c r="B336">
        <v>75</v>
      </c>
      <c r="C336" t="s">
        <v>19</v>
      </c>
      <c r="D336" t="s">
        <v>20</v>
      </c>
      <c r="E336" s="1">
        <v>45282</v>
      </c>
      <c r="F336" s="3">
        <v>45289</v>
      </c>
      <c r="G336" t="s">
        <v>74</v>
      </c>
      <c r="H336" t="s">
        <v>75</v>
      </c>
      <c r="I336" t="s">
        <v>54</v>
      </c>
      <c r="J336">
        <v>5132.95</v>
      </c>
      <c r="K336">
        <v>7</v>
      </c>
      <c r="L336" t="s">
        <v>24</v>
      </c>
      <c r="M336" t="s">
        <v>59</v>
      </c>
      <c r="N336" t="s">
        <v>55</v>
      </c>
      <c r="O336" t="s">
        <v>37</v>
      </c>
      <c r="P336" t="s">
        <v>50</v>
      </c>
      <c r="Q336">
        <v>1</v>
      </c>
      <c r="R336">
        <v>1298.97</v>
      </c>
      <c r="S336" t="s">
        <v>29</v>
      </c>
    </row>
    <row r="337" spans="1:19" x14ac:dyDescent="0.3">
      <c r="A337" t="s">
        <v>407</v>
      </c>
      <c r="B337">
        <v>34</v>
      </c>
      <c r="C337" t="s">
        <v>31</v>
      </c>
      <c r="D337" t="s">
        <v>20</v>
      </c>
      <c r="E337" s="1">
        <v>45885</v>
      </c>
      <c r="F337" s="3">
        <v>45897</v>
      </c>
      <c r="G337" t="s">
        <v>52</v>
      </c>
      <c r="H337" t="s">
        <v>53</v>
      </c>
      <c r="I337" t="s">
        <v>58</v>
      </c>
      <c r="J337">
        <v>9384.2000000000007</v>
      </c>
      <c r="K337">
        <v>12</v>
      </c>
      <c r="L337" t="s">
        <v>24</v>
      </c>
      <c r="M337" t="s">
        <v>101</v>
      </c>
      <c r="N337" t="s">
        <v>44</v>
      </c>
      <c r="O337" t="s">
        <v>37</v>
      </c>
      <c r="P337" t="s">
        <v>50</v>
      </c>
      <c r="Q337">
        <v>4</v>
      </c>
      <c r="R337">
        <v>1469.7</v>
      </c>
      <c r="S337" t="s">
        <v>29</v>
      </c>
    </row>
    <row r="338" spans="1:19" x14ac:dyDescent="0.3">
      <c r="A338" t="s">
        <v>408</v>
      </c>
      <c r="B338">
        <v>20</v>
      </c>
      <c r="C338" t="s">
        <v>19</v>
      </c>
      <c r="D338" t="s">
        <v>70</v>
      </c>
      <c r="E338" s="1">
        <v>45904</v>
      </c>
      <c r="F338" s="3">
        <v>45916</v>
      </c>
      <c r="G338" t="s">
        <v>71</v>
      </c>
      <c r="H338" t="s">
        <v>72</v>
      </c>
      <c r="I338" t="s">
        <v>43</v>
      </c>
      <c r="J338">
        <v>2340.9699999999998</v>
      </c>
      <c r="K338">
        <v>12</v>
      </c>
      <c r="L338" t="s">
        <v>36</v>
      </c>
      <c r="M338" t="s">
        <v>25</v>
      </c>
      <c r="N338" t="s">
        <v>26</v>
      </c>
      <c r="O338" t="s">
        <v>56</v>
      </c>
      <c r="P338" t="s">
        <v>28</v>
      </c>
      <c r="Q338">
        <v>11</v>
      </c>
      <c r="R338">
        <v>880.28</v>
      </c>
      <c r="S338" t="s">
        <v>29</v>
      </c>
    </row>
    <row r="339" spans="1:19" x14ac:dyDescent="0.3">
      <c r="A339" t="s">
        <v>409</v>
      </c>
      <c r="B339">
        <v>37</v>
      </c>
      <c r="C339" t="s">
        <v>19</v>
      </c>
      <c r="D339" t="s">
        <v>89</v>
      </c>
      <c r="E339" s="1">
        <v>44950</v>
      </c>
      <c r="F339" s="3">
        <v>44966</v>
      </c>
      <c r="G339" t="s">
        <v>93</v>
      </c>
      <c r="H339" t="s">
        <v>72</v>
      </c>
      <c r="I339" t="s">
        <v>23</v>
      </c>
      <c r="J339">
        <v>3729.27</v>
      </c>
      <c r="K339">
        <v>16</v>
      </c>
      <c r="L339" t="s">
        <v>36</v>
      </c>
      <c r="M339" t="s">
        <v>25</v>
      </c>
      <c r="N339" t="s">
        <v>44</v>
      </c>
      <c r="O339" t="s">
        <v>27</v>
      </c>
      <c r="P339" t="s">
        <v>38</v>
      </c>
      <c r="Q339">
        <v>1</v>
      </c>
      <c r="R339">
        <v>1020.46</v>
      </c>
      <c r="S339" t="s">
        <v>29</v>
      </c>
    </row>
    <row r="340" spans="1:19" x14ac:dyDescent="0.3">
      <c r="A340" t="s">
        <v>410</v>
      </c>
      <c r="B340">
        <v>24</v>
      </c>
      <c r="C340" t="s">
        <v>19</v>
      </c>
      <c r="D340" t="s">
        <v>70</v>
      </c>
      <c r="E340" s="1">
        <v>45050</v>
      </c>
      <c r="F340" s="3">
        <v>45056</v>
      </c>
      <c r="G340" t="s">
        <v>48</v>
      </c>
      <c r="H340" t="s">
        <v>22</v>
      </c>
      <c r="I340" t="s">
        <v>58</v>
      </c>
      <c r="J340">
        <v>4262.8500000000004</v>
      </c>
      <c r="K340">
        <v>6</v>
      </c>
      <c r="L340" t="s">
        <v>36</v>
      </c>
      <c r="M340" t="s">
        <v>25</v>
      </c>
      <c r="N340" t="s">
        <v>44</v>
      </c>
      <c r="O340" t="s">
        <v>56</v>
      </c>
      <c r="P340" t="s">
        <v>50</v>
      </c>
      <c r="Q340">
        <v>9</v>
      </c>
      <c r="R340">
        <v>850.04</v>
      </c>
      <c r="S340" t="s">
        <v>29</v>
      </c>
    </row>
    <row r="341" spans="1:19" x14ac:dyDescent="0.3">
      <c r="A341" t="s">
        <v>411</v>
      </c>
      <c r="B341">
        <v>36</v>
      </c>
      <c r="C341" t="s">
        <v>31</v>
      </c>
      <c r="D341" t="s">
        <v>61</v>
      </c>
      <c r="E341" s="1">
        <v>45046</v>
      </c>
      <c r="F341" s="3">
        <v>45057</v>
      </c>
      <c r="G341" t="s">
        <v>71</v>
      </c>
      <c r="H341" t="s">
        <v>72</v>
      </c>
      <c r="I341" t="s">
        <v>58</v>
      </c>
      <c r="J341">
        <v>11871.39</v>
      </c>
      <c r="K341">
        <v>11</v>
      </c>
      <c r="L341" t="s">
        <v>24</v>
      </c>
      <c r="M341" t="s">
        <v>25</v>
      </c>
      <c r="N341" t="s">
        <v>55</v>
      </c>
      <c r="O341" t="s">
        <v>49</v>
      </c>
      <c r="P341" t="s">
        <v>28</v>
      </c>
      <c r="Q341">
        <v>2</v>
      </c>
      <c r="R341">
        <v>3148.35</v>
      </c>
      <c r="S341" t="s">
        <v>39</v>
      </c>
    </row>
    <row r="342" spans="1:19" x14ac:dyDescent="0.3">
      <c r="A342" t="s">
        <v>412</v>
      </c>
      <c r="B342">
        <v>49</v>
      </c>
      <c r="C342" t="s">
        <v>31</v>
      </c>
      <c r="D342" t="s">
        <v>70</v>
      </c>
      <c r="E342" s="1">
        <v>45030</v>
      </c>
      <c r="F342" s="3">
        <v>45052</v>
      </c>
      <c r="G342" t="s">
        <v>21</v>
      </c>
      <c r="H342" t="s">
        <v>22</v>
      </c>
      <c r="I342" t="s">
        <v>83</v>
      </c>
      <c r="J342">
        <v>20749.29</v>
      </c>
      <c r="K342">
        <v>22</v>
      </c>
      <c r="L342" t="s">
        <v>24</v>
      </c>
      <c r="M342" t="s">
        <v>25</v>
      </c>
      <c r="N342" t="s">
        <v>44</v>
      </c>
      <c r="O342" t="s">
        <v>49</v>
      </c>
      <c r="P342" t="s">
        <v>45</v>
      </c>
      <c r="Q342">
        <v>7</v>
      </c>
      <c r="R342">
        <v>7334.85</v>
      </c>
      <c r="S342" t="s">
        <v>29</v>
      </c>
    </row>
    <row r="343" spans="1:19" x14ac:dyDescent="0.3">
      <c r="A343" t="s">
        <v>413</v>
      </c>
      <c r="B343">
        <v>57</v>
      </c>
      <c r="C343" t="s">
        <v>19</v>
      </c>
      <c r="D343" t="s">
        <v>79</v>
      </c>
      <c r="E343" s="1">
        <v>45577</v>
      </c>
      <c r="F343" s="3">
        <v>45592</v>
      </c>
      <c r="G343" t="s">
        <v>67</v>
      </c>
      <c r="H343" t="s">
        <v>42</v>
      </c>
      <c r="I343" t="s">
        <v>43</v>
      </c>
      <c r="J343">
        <v>7313.87</v>
      </c>
      <c r="K343">
        <v>15</v>
      </c>
      <c r="L343" t="s">
        <v>24</v>
      </c>
      <c r="M343" t="s">
        <v>101</v>
      </c>
      <c r="N343" t="s">
        <v>55</v>
      </c>
      <c r="O343" t="s">
        <v>37</v>
      </c>
      <c r="P343" t="s">
        <v>45</v>
      </c>
      <c r="Q343">
        <v>14</v>
      </c>
      <c r="R343">
        <v>2427.2800000000002</v>
      </c>
      <c r="S343" t="s">
        <v>29</v>
      </c>
    </row>
    <row r="344" spans="1:19" x14ac:dyDescent="0.3">
      <c r="A344" t="s">
        <v>414</v>
      </c>
      <c r="B344">
        <v>47</v>
      </c>
      <c r="C344" t="s">
        <v>19</v>
      </c>
      <c r="D344" t="s">
        <v>89</v>
      </c>
      <c r="E344" s="1">
        <v>45174</v>
      </c>
      <c r="F344" s="3">
        <v>45191</v>
      </c>
      <c r="G344" t="s">
        <v>33</v>
      </c>
      <c r="H344" t="s">
        <v>34</v>
      </c>
      <c r="I344" t="s">
        <v>58</v>
      </c>
      <c r="J344">
        <v>14392.23</v>
      </c>
      <c r="K344">
        <v>17</v>
      </c>
      <c r="L344" t="s">
        <v>24</v>
      </c>
      <c r="M344" t="s">
        <v>25</v>
      </c>
      <c r="N344" t="s">
        <v>44</v>
      </c>
      <c r="O344" t="s">
        <v>49</v>
      </c>
      <c r="P344" t="s">
        <v>45</v>
      </c>
      <c r="Q344">
        <v>9</v>
      </c>
      <c r="R344">
        <v>3818.95</v>
      </c>
      <c r="S344" t="s">
        <v>29</v>
      </c>
    </row>
    <row r="345" spans="1:19" x14ac:dyDescent="0.3">
      <c r="A345" t="s">
        <v>415</v>
      </c>
      <c r="B345">
        <v>25</v>
      </c>
      <c r="C345" t="s">
        <v>31</v>
      </c>
      <c r="D345" t="s">
        <v>66</v>
      </c>
      <c r="E345" s="1">
        <v>45523</v>
      </c>
      <c r="F345" s="3">
        <v>45539</v>
      </c>
      <c r="G345" t="s">
        <v>48</v>
      </c>
      <c r="H345" t="s">
        <v>22</v>
      </c>
      <c r="I345" t="s">
        <v>81</v>
      </c>
      <c r="J345">
        <v>12202.1</v>
      </c>
      <c r="K345">
        <v>16</v>
      </c>
      <c r="L345" t="s">
        <v>24</v>
      </c>
      <c r="M345" t="s">
        <v>25</v>
      </c>
      <c r="N345" t="s">
        <v>26</v>
      </c>
      <c r="O345" t="s">
        <v>49</v>
      </c>
      <c r="P345" t="s">
        <v>28</v>
      </c>
      <c r="Q345">
        <v>13</v>
      </c>
      <c r="R345">
        <v>2699.15</v>
      </c>
      <c r="S345" t="s">
        <v>29</v>
      </c>
    </row>
    <row r="346" spans="1:19" x14ac:dyDescent="0.3">
      <c r="A346" t="s">
        <v>416</v>
      </c>
      <c r="B346">
        <v>32</v>
      </c>
      <c r="C346" t="s">
        <v>19</v>
      </c>
      <c r="D346" t="s">
        <v>47</v>
      </c>
      <c r="E346" s="1">
        <v>45323</v>
      </c>
      <c r="F346" s="3">
        <v>45336</v>
      </c>
      <c r="G346" t="s">
        <v>21</v>
      </c>
      <c r="H346" t="s">
        <v>22</v>
      </c>
      <c r="I346" t="s">
        <v>58</v>
      </c>
      <c r="J346">
        <v>11611.59</v>
      </c>
      <c r="K346">
        <v>13</v>
      </c>
      <c r="L346" t="s">
        <v>36</v>
      </c>
      <c r="M346" t="s">
        <v>25</v>
      </c>
      <c r="N346" t="s">
        <v>26</v>
      </c>
      <c r="O346" t="s">
        <v>56</v>
      </c>
      <c r="P346" t="s">
        <v>28</v>
      </c>
      <c r="Q346">
        <v>1</v>
      </c>
      <c r="R346">
        <v>3556.58</v>
      </c>
      <c r="S346" t="s">
        <v>29</v>
      </c>
    </row>
    <row r="347" spans="1:19" x14ac:dyDescent="0.3">
      <c r="A347" t="s">
        <v>417</v>
      </c>
      <c r="B347">
        <v>57</v>
      </c>
      <c r="C347" t="s">
        <v>19</v>
      </c>
      <c r="D347" t="s">
        <v>70</v>
      </c>
      <c r="E347" s="1">
        <v>45464</v>
      </c>
      <c r="F347" s="3">
        <v>45484</v>
      </c>
      <c r="G347" t="s">
        <v>33</v>
      </c>
      <c r="H347" t="s">
        <v>34</v>
      </c>
      <c r="I347" t="s">
        <v>35</v>
      </c>
      <c r="J347">
        <v>13119.27</v>
      </c>
      <c r="K347">
        <v>20</v>
      </c>
      <c r="L347" t="s">
        <v>24</v>
      </c>
      <c r="M347" t="s">
        <v>59</v>
      </c>
      <c r="N347" t="s">
        <v>26</v>
      </c>
      <c r="O347" t="s">
        <v>37</v>
      </c>
      <c r="P347" t="s">
        <v>38</v>
      </c>
      <c r="Q347">
        <v>6</v>
      </c>
      <c r="R347">
        <v>4771.12</v>
      </c>
      <c r="S347" t="s">
        <v>29</v>
      </c>
    </row>
    <row r="348" spans="1:19" x14ac:dyDescent="0.3">
      <c r="A348" t="s">
        <v>418</v>
      </c>
      <c r="B348">
        <v>68</v>
      </c>
      <c r="C348" t="s">
        <v>19</v>
      </c>
      <c r="D348" t="s">
        <v>32</v>
      </c>
      <c r="E348" s="1">
        <v>45380</v>
      </c>
      <c r="F348" s="3">
        <v>45385</v>
      </c>
      <c r="G348" t="s">
        <v>62</v>
      </c>
      <c r="H348" t="s">
        <v>63</v>
      </c>
      <c r="I348" t="s">
        <v>83</v>
      </c>
      <c r="J348">
        <v>2431.92</v>
      </c>
      <c r="K348">
        <v>5</v>
      </c>
      <c r="L348" t="s">
        <v>36</v>
      </c>
      <c r="M348" t="s">
        <v>25</v>
      </c>
      <c r="N348" t="s">
        <v>44</v>
      </c>
      <c r="O348" t="s">
        <v>37</v>
      </c>
      <c r="P348" t="s">
        <v>28</v>
      </c>
      <c r="Q348">
        <v>13</v>
      </c>
      <c r="R348">
        <v>933.73</v>
      </c>
      <c r="S348" t="s">
        <v>29</v>
      </c>
    </row>
    <row r="349" spans="1:19" x14ac:dyDescent="0.3">
      <c r="A349" t="s">
        <v>419</v>
      </c>
      <c r="B349">
        <v>24</v>
      </c>
      <c r="C349" t="s">
        <v>19</v>
      </c>
      <c r="D349" t="s">
        <v>89</v>
      </c>
      <c r="E349" s="1">
        <v>45210</v>
      </c>
      <c r="F349" s="3">
        <v>45236</v>
      </c>
      <c r="G349" t="s">
        <v>48</v>
      </c>
      <c r="H349" t="s">
        <v>22</v>
      </c>
      <c r="I349" t="s">
        <v>81</v>
      </c>
      <c r="J349">
        <v>18963.64</v>
      </c>
      <c r="K349">
        <v>26</v>
      </c>
      <c r="L349" t="s">
        <v>36</v>
      </c>
      <c r="M349" t="s">
        <v>76</v>
      </c>
      <c r="N349" t="s">
        <v>55</v>
      </c>
      <c r="O349" t="s">
        <v>49</v>
      </c>
      <c r="P349" t="s">
        <v>50</v>
      </c>
      <c r="Q349">
        <v>6</v>
      </c>
      <c r="R349">
        <v>3299.05</v>
      </c>
      <c r="S349" t="s">
        <v>29</v>
      </c>
    </row>
    <row r="350" spans="1:19" x14ac:dyDescent="0.3">
      <c r="A350" t="s">
        <v>420</v>
      </c>
      <c r="B350">
        <v>61</v>
      </c>
      <c r="C350" t="s">
        <v>31</v>
      </c>
      <c r="D350" t="s">
        <v>61</v>
      </c>
      <c r="E350" s="1">
        <v>45596</v>
      </c>
      <c r="F350" s="3">
        <v>45623</v>
      </c>
      <c r="G350" t="s">
        <v>52</v>
      </c>
      <c r="H350" t="s">
        <v>53</v>
      </c>
      <c r="I350" t="s">
        <v>54</v>
      </c>
      <c r="J350">
        <v>23923.3</v>
      </c>
      <c r="K350">
        <v>27</v>
      </c>
      <c r="L350" t="s">
        <v>36</v>
      </c>
      <c r="M350" t="s">
        <v>25</v>
      </c>
      <c r="N350" t="s">
        <v>44</v>
      </c>
      <c r="O350" t="s">
        <v>49</v>
      </c>
      <c r="P350" t="s">
        <v>38</v>
      </c>
      <c r="Q350">
        <v>11</v>
      </c>
      <c r="R350">
        <v>7470.19</v>
      </c>
      <c r="S350" t="s">
        <v>29</v>
      </c>
    </row>
    <row r="351" spans="1:19" x14ac:dyDescent="0.3">
      <c r="A351" t="s">
        <v>421</v>
      </c>
      <c r="B351">
        <v>62</v>
      </c>
      <c r="C351" t="s">
        <v>31</v>
      </c>
      <c r="D351" t="s">
        <v>79</v>
      </c>
      <c r="E351" s="1">
        <v>45595</v>
      </c>
      <c r="F351" s="3">
        <v>45605</v>
      </c>
      <c r="G351" t="s">
        <v>48</v>
      </c>
      <c r="H351" t="s">
        <v>22</v>
      </c>
      <c r="I351" t="s">
        <v>23</v>
      </c>
      <c r="J351">
        <v>11373.35</v>
      </c>
      <c r="K351">
        <v>10</v>
      </c>
      <c r="L351" t="s">
        <v>24</v>
      </c>
      <c r="M351" t="s">
        <v>25</v>
      </c>
      <c r="N351" t="s">
        <v>44</v>
      </c>
      <c r="O351" t="s">
        <v>49</v>
      </c>
      <c r="P351" t="s">
        <v>38</v>
      </c>
      <c r="Q351">
        <v>3</v>
      </c>
      <c r="R351">
        <v>3526.67</v>
      </c>
      <c r="S351" t="s">
        <v>29</v>
      </c>
    </row>
    <row r="352" spans="1:19" x14ac:dyDescent="0.3">
      <c r="A352" t="s">
        <v>422</v>
      </c>
      <c r="B352">
        <v>32</v>
      </c>
      <c r="C352" t="s">
        <v>19</v>
      </c>
      <c r="D352" t="s">
        <v>32</v>
      </c>
      <c r="E352" s="1">
        <v>45539</v>
      </c>
      <c r="F352" s="3">
        <v>45554</v>
      </c>
      <c r="G352" t="s">
        <v>93</v>
      </c>
      <c r="H352" t="s">
        <v>72</v>
      </c>
      <c r="I352" t="s">
        <v>91</v>
      </c>
      <c r="J352">
        <v>8330.7900000000009</v>
      </c>
      <c r="K352">
        <v>15</v>
      </c>
      <c r="L352" t="s">
        <v>36</v>
      </c>
      <c r="M352" t="s">
        <v>25</v>
      </c>
      <c r="N352" t="s">
        <v>55</v>
      </c>
      <c r="O352" t="s">
        <v>27</v>
      </c>
      <c r="P352" t="s">
        <v>28</v>
      </c>
      <c r="Q352">
        <v>11</v>
      </c>
      <c r="R352">
        <v>1450.71</v>
      </c>
      <c r="S352" t="s">
        <v>29</v>
      </c>
    </row>
    <row r="353" spans="1:19" x14ac:dyDescent="0.3">
      <c r="A353" t="s">
        <v>423</v>
      </c>
      <c r="B353">
        <v>84</v>
      </c>
      <c r="C353" t="s">
        <v>31</v>
      </c>
      <c r="D353" t="s">
        <v>61</v>
      </c>
      <c r="E353" s="1">
        <v>45145</v>
      </c>
      <c r="F353" s="3">
        <v>45154</v>
      </c>
      <c r="G353" t="s">
        <v>71</v>
      </c>
      <c r="H353" t="s">
        <v>72</v>
      </c>
      <c r="I353" t="s">
        <v>54</v>
      </c>
      <c r="J353">
        <v>11244.15</v>
      </c>
      <c r="K353">
        <v>9</v>
      </c>
      <c r="L353" t="s">
        <v>24</v>
      </c>
      <c r="M353" t="s">
        <v>25</v>
      </c>
      <c r="N353" t="s">
        <v>44</v>
      </c>
      <c r="O353" t="s">
        <v>49</v>
      </c>
      <c r="P353" t="s">
        <v>38</v>
      </c>
      <c r="Q353">
        <v>6</v>
      </c>
      <c r="R353">
        <v>1754.65</v>
      </c>
      <c r="S353" t="s">
        <v>29</v>
      </c>
    </row>
    <row r="354" spans="1:19" x14ac:dyDescent="0.3">
      <c r="A354" t="s">
        <v>424</v>
      </c>
      <c r="B354">
        <v>27</v>
      </c>
      <c r="C354" t="s">
        <v>31</v>
      </c>
      <c r="D354" t="s">
        <v>32</v>
      </c>
      <c r="E354" s="1">
        <v>45363</v>
      </c>
      <c r="F354" s="3">
        <v>45380</v>
      </c>
      <c r="G354" t="s">
        <v>48</v>
      </c>
      <c r="H354" t="s">
        <v>22</v>
      </c>
      <c r="I354" t="s">
        <v>58</v>
      </c>
      <c r="J354">
        <v>13388.64</v>
      </c>
      <c r="K354">
        <v>17</v>
      </c>
      <c r="L354" t="s">
        <v>36</v>
      </c>
      <c r="M354" t="s">
        <v>76</v>
      </c>
      <c r="N354" t="s">
        <v>55</v>
      </c>
      <c r="O354" t="s">
        <v>37</v>
      </c>
      <c r="P354" t="s">
        <v>50</v>
      </c>
      <c r="Q354">
        <v>7</v>
      </c>
      <c r="R354">
        <v>2038.02</v>
      </c>
      <c r="S354" t="s">
        <v>29</v>
      </c>
    </row>
    <row r="355" spans="1:19" x14ac:dyDescent="0.3">
      <c r="A355" t="s">
        <v>425</v>
      </c>
      <c r="B355">
        <v>47</v>
      </c>
      <c r="C355" t="s">
        <v>19</v>
      </c>
      <c r="D355" t="s">
        <v>47</v>
      </c>
      <c r="E355" s="1">
        <v>45322</v>
      </c>
      <c r="F355" s="3">
        <v>45334</v>
      </c>
      <c r="G355" t="s">
        <v>67</v>
      </c>
      <c r="H355" t="s">
        <v>42</v>
      </c>
      <c r="I355" t="s">
        <v>83</v>
      </c>
      <c r="J355">
        <v>12313.31</v>
      </c>
      <c r="K355">
        <v>12</v>
      </c>
      <c r="L355" t="s">
        <v>36</v>
      </c>
      <c r="M355" t="s">
        <v>25</v>
      </c>
      <c r="N355" t="s">
        <v>26</v>
      </c>
      <c r="O355" t="s">
        <v>49</v>
      </c>
      <c r="P355" t="s">
        <v>38</v>
      </c>
      <c r="Q355">
        <v>12</v>
      </c>
      <c r="R355">
        <v>2679.96</v>
      </c>
      <c r="S355" t="s">
        <v>39</v>
      </c>
    </row>
    <row r="356" spans="1:19" x14ac:dyDescent="0.3">
      <c r="A356" t="s">
        <v>426</v>
      </c>
      <c r="B356">
        <v>54</v>
      </c>
      <c r="C356" t="s">
        <v>19</v>
      </c>
      <c r="D356" t="s">
        <v>70</v>
      </c>
      <c r="E356" s="1">
        <v>45765</v>
      </c>
      <c r="F356" s="3">
        <v>45784</v>
      </c>
      <c r="G356" t="s">
        <v>74</v>
      </c>
      <c r="H356" t="s">
        <v>75</v>
      </c>
      <c r="I356" t="s">
        <v>54</v>
      </c>
      <c r="J356">
        <v>10327.24</v>
      </c>
      <c r="K356">
        <v>19</v>
      </c>
      <c r="L356" t="s">
        <v>24</v>
      </c>
      <c r="M356" t="s">
        <v>76</v>
      </c>
      <c r="N356" t="s">
        <v>44</v>
      </c>
      <c r="O356" t="s">
        <v>56</v>
      </c>
      <c r="P356" t="s">
        <v>28</v>
      </c>
      <c r="Q356">
        <v>14</v>
      </c>
      <c r="R356">
        <v>4099.7700000000004</v>
      </c>
      <c r="S356" t="s">
        <v>29</v>
      </c>
    </row>
    <row r="357" spans="1:19" x14ac:dyDescent="0.3">
      <c r="A357" t="s">
        <v>427</v>
      </c>
      <c r="B357">
        <v>62</v>
      </c>
      <c r="C357" t="s">
        <v>19</v>
      </c>
      <c r="D357" t="s">
        <v>79</v>
      </c>
      <c r="E357" s="1">
        <v>45695</v>
      </c>
      <c r="F357" s="3">
        <v>45710</v>
      </c>
      <c r="G357" t="s">
        <v>52</v>
      </c>
      <c r="H357" t="s">
        <v>53</v>
      </c>
      <c r="I357" t="s">
        <v>81</v>
      </c>
      <c r="J357">
        <v>10310.94</v>
      </c>
      <c r="K357">
        <v>15</v>
      </c>
      <c r="L357" t="s">
        <v>24</v>
      </c>
      <c r="M357" t="s">
        <v>25</v>
      </c>
      <c r="N357" t="s">
        <v>55</v>
      </c>
      <c r="O357" t="s">
        <v>49</v>
      </c>
      <c r="P357" t="s">
        <v>38</v>
      </c>
      <c r="Q357">
        <v>6</v>
      </c>
      <c r="R357">
        <v>3784.11</v>
      </c>
      <c r="S357" t="s">
        <v>39</v>
      </c>
    </row>
    <row r="358" spans="1:19" x14ac:dyDescent="0.3">
      <c r="A358" t="s">
        <v>428</v>
      </c>
      <c r="B358">
        <v>25</v>
      </c>
      <c r="C358" t="s">
        <v>31</v>
      </c>
      <c r="D358" t="s">
        <v>66</v>
      </c>
      <c r="E358" s="1">
        <v>45198</v>
      </c>
      <c r="F358" s="3">
        <v>45216</v>
      </c>
      <c r="G358" t="s">
        <v>52</v>
      </c>
      <c r="H358" t="s">
        <v>53</v>
      </c>
      <c r="I358" t="s">
        <v>35</v>
      </c>
      <c r="J358">
        <v>10701.9</v>
      </c>
      <c r="K358">
        <v>18</v>
      </c>
      <c r="L358" t="s">
        <v>36</v>
      </c>
      <c r="M358" t="s">
        <v>101</v>
      </c>
      <c r="N358" t="s">
        <v>44</v>
      </c>
      <c r="O358" t="s">
        <v>49</v>
      </c>
      <c r="P358" t="s">
        <v>38</v>
      </c>
      <c r="Q358">
        <v>12</v>
      </c>
      <c r="R358">
        <v>1656.07</v>
      </c>
      <c r="S358" t="s">
        <v>29</v>
      </c>
    </row>
    <row r="359" spans="1:19" x14ac:dyDescent="0.3">
      <c r="A359" t="s">
        <v>429</v>
      </c>
      <c r="B359">
        <v>19</v>
      </c>
      <c r="C359" t="s">
        <v>19</v>
      </c>
      <c r="D359" t="s">
        <v>61</v>
      </c>
      <c r="E359" s="1">
        <v>45282</v>
      </c>
      <c r="F359" s="3">
        <v>45295</v>
      </c>
      <c r="G359" t="s">
        <v>67</v>
      </c>
      <c r="H359" t="s">
        <v>42</v>
      </c>
      <c r="I359" t="s">
        <v>81</v>
      </c>
      <c r="J359">
        <v>9373.92</v>
      </c>
      <c r="K359">
        <v>13</v>
      </c>
      <c r="L359" t="s">
        <v>24</v>
      </c>
      <c r="M359" t="s">
        <v>25</v>
      </c>
      <c r="N359" t="s">
        <v>55</v>
      </c>
      <c r="O359" t="s">
        <v>56</v>
      </c>
      <c r="P359" t="s">
        <v>45</v>
      </c>
      <c r="Q359">
        <v>14</v>
      </c>
      <c r="R359">
        <v>1580.88</v>
      </c>
      <c r="S359" t="s">
        <v>29</v>
      </c>
    </row>
    <row r="360" spans="1:19" x14ac:dyDescent="0.3">
      <c r="A360" t="s">
        <v>430</v>
      </c>
      <c r="B360">
        <v>49</v>
      </c>
      <c r="C360" t="s">
        <v>19</v>
      </c>
      <c r="D360" t="s">
        <v>20</v>
      </c>
      <c r="E360" s="1">
        <v>45407</v>
      </c>
      <c r="F360" s="3">
        <v>45411</v>
      </c>
      <c r="G360" t="s">
        <v>48</v>
      </c>
      <c r="H360" t="s">
        <v>22</v>
      </c>
      <c r="I360" t="s">
        <v>91</v>
      </c>
      <c r="J360">
        <v>3411.39</v>
      </c>
      <c r="K360">
        <v>4</v>
      </c>
      <c r="L360" t="s">
        <v>24</v>
      </c>
      <c r="M360" t="s">
        <v>25</v>
      </c>
      <c r="N360" t="s">
        <v>55</v>
      </c>
      <c r="O360" t="s">
        <v>37</v>
      </c>
      <c r="P360" t="s">
        <v>45</v>
      </c>
      <c r="Q360">
        <v>11</v>
      </c>
      <c r="R360">
        <v>757.76</v>
      </c>
      <c r="S360" t="s">
        <v>29</v>
      </c>
    </row>
    <row r="361" spans="1:19" x14ac:dyDescent="0.3">
      <c r="A361" t="s">
        <v>431</v>
      </c>
      <c r="B361">
        <v>74</v>
      </c>
      <c r="C361" t="s">
        <v>19</v>
      </c>
      <c r="D361" t="s">
        <v>70</v>
      </c>
      <c r="E361" s="1">
        <v>45736</v>
      </c>
      <c r="F361" s="3">
        <v>45763</v>
      </c>
      <c r="G361" t="s">
        <v>52</v>
      </c>
      <c r="H361" t="s">
        <v>53</v>
      </c>
      <c r="I361" t="s">
        <v>58</v>
      </c>
      <c r="J361">
        <v>14200.74</v>
      </c>
      <c r="K361">
        <v>27</v>
      </c>
      <c r="L361" t="s">
        <v>24</v>
      </c>
      <c r="M361" t="s">
        <v>25</v>
      </c>
      <c r="N361" t="s">
        <v>44</v>
      </c>
      <c r="O361" t="s">
        <v>49</v>
      </c>
      <c r="P361" t="s">
        <v>38</v>
      </c>
      <c r="Q361">
        <v>11</v>
      </c>
      <c r="R361">
        <v>2590.09</v>
      </c>
      <c r="S361" t="s">
        <v>29</v>
      </c>
    </row>
    <row r="362" spans="1:19" x14ac:dyDescent="0.3">
      <c r="A362" t="s">
        <v>432</v>
      </c>
      <c r="B362">
        <v>47</v>
      </c>
      <c r="C362" t="s">
        <v>31</v>
      </c>
      <c r="D362" t="s">
        <v>32</v>
      </c>
      <c r="E362" s="1">
        <v>45509</v>
      </c>
      <c r="F362" s="3">
        <v>45516</v>
      </c>
      <c r="G362" t="s">
        <v>93</v>
      </c>
      <c r="H362" t="s">
        <v>72</v>
      </c>
      <c r="I362" t="s">
        <v>81</v>
      </c>
      <c r="J362">
        <v>10745.4</v>
      </c>
      <c r="K362">
        <v>7</v>
      </c>
      <c r="L362" t="s">
        <v>24</v>
      </c>
      <c r="M362" t="s">
        <v>25</v>
      </c>
      <c r="N362" t="s">
        <v>55</v>
      </c>
      <c r="O362" t="s">
        <v>49</v>
      </c>
      <c r="P362" t="s">
        <v>38</v>
      </c>
      <c r="Q362">
        <v>8</v>
      </c>
      <c r="R362">
        <v>3022.83</v>
      </c>
      <c r="S362" t="s">
        <v>29</v>
      </c>
    </row>
    <row r="363" spans="1:19" x14ac:dyDescent="0.3">
      <c r="A363" t="s">
        <v>433</v>
      </c>
      <c r="B363">
        <v>28</v>
      </c>
      <c r="C363" t="s">
        <v>31</v>
      </c>
      <c r="D363" t="s">
        <v>70</v>
      </c>
      <c r="E363" s="1">
        <v>45785</v>
      </c>
      <c r="F363" s="3">
        <v>45801</v>
      </c>
      <c r="G363" t="s">
        <v>62</v>
      </c>
      <c r="H363" t="s">
        <v>63</v>
      </c>
      <c r="I363" t="s">
        <v>23</v>
      </c>
      <c r="J363">
        <v>7041.61</v>
      </c>
      <c r="K363">
        <v>16</v>
      </c>
      <c r="L363" t="s">
        <v>24</v>
      </c>
      <c r="M363" t="s">
        <v>59</v>
      </c>
      <c r="N363" t="s">
        <v>44</v>
      </c>
      <c r="O363" t="s">
        <v>56</v>
      </c>
      <c r="P363" t="s">
        <v>45</v>
      </c>
      <c r="Q363">
        <v>6</v>
      </c>
      <c r="R363">
        <v>1481.31</v>
      </c>
      <c r="S363" t="s">
        <v>29</v>
      </c>
    </row>
    <row r="364" spans="1:19" x14ac:dyDescent="0.3">
      <c r="A364" t="s">
        <v>434</v>
      </c>
      <c r="B364">
        <v>31</v>
      </c>
      <c r="C364" t="s">
        <v>19</v>
      </c>
      <c r="D364" t="s">
        <v>79</v>
      </c>
      <c r="E364" s="1">
        <v>44949</v>
      </c>
      <c r="F364" s="3">
        <v>44968</v>
      </c>
      <c r="G364" t="s">
        <v>52</v>
      </c>
      <c r="H364" t="s">
        <v>53</v>
      </c>
      <c r="I364" t="s">
        <v>81</v>
      </c>
      <c r="J364">
        <v>14312.75</v>
      </c>
      <c r="K364">
        <v>19</v>
      </c>
      <c r="L364" t="s">
        <v>36</v>
      </c>
      <c r="M364" t="s">
        <v>25</v>
      </c>
      <c r="N364" t="s">
        <v>26</v>
      </c>
      <c r="O364" t="s">
        <v>37</v>
      </c>
      <c r="P364" t="s">
        <v>45</v>
      </c>
      <c r="Q364">
        <v>7</v>
      </c>
      <c r="R364">
        <v>2780.89</v>
      </c>
      <c r="S364" t="s">
        <v>29</v>
      </c>
    </row>
    <row r="365" spans="1:19" x14ac:dyDescent="0.3">
      <c r="A365" t="s">
        <v>435</v>
      </c>
      <c r="B365">
        <v>68</v>
      </c>
      <c r="C365" t="s">
        <v>31</v>
      </c>
      <c r="D365" t="s">
        <v>89</v>
      </c>
      <c r="E365" s="1">
        <v>45143</v>
      </c>
      <c r="F365" s="3">
        <v>45148</v>
      </c>
      <c r="G365" t="s">
        <v>33</v>
      </c>
      <c r="H365" t="s">
        <v>34</v>
      </c>
      <c r="I365" t="s">
        <v>23</v>
      </c>
      <c r="J365">
        <v>4316.41</v>
      </c>
      <c r="K365">
        <v>5</v>
      </c>
      <c r="L365" t="s">
        <v>36</v>
      </c>
      <c r="M365" t="s">
        <v>25</v>
      </c>
      <c r="N365" t="s">
        <v>55</v>
      </c>
      <c r="O365" t="s">
        <v>27</v>
      </c>
      <c r="P365" t="s">
        <v>28</v>
      </c>
      <c r="Q365">
        <v>6</v>
      </c>
      <c r="R365">
        <v>728.95</v>
      </c>
      <c r="S365" t="s">
        <v>29</v>
      </c>
    </row>
    <row r="366" spans="1:19" x14ac:dyDescent="0.3">
      <c r="A366" t="s">
        <v>436</v>
      </c>
      <c r="B366">
        <v>27</v>
      </c>
      <c r="C366" t="s">
        <v>31</v>
      </c>
      <c r="D366" t="s">
        <v>66</v>
      </c>
      <c r="E366" s="1">
        <v>45162</v>
      </c>
      <c r="F366" s="3">
        <v>45167</v>
      </c>
      <c r="G366" t="s">
        <v>41</v>
      </c>
      <c r="H366" t="s">
        <v>42</v>
      </c>
      <c r="I366" t="s">
        <v>83</v>
      </c>
      <c r="J366">
        <v>1607.51</v>
      </c>
      <c r="K366">
        <v>5</v>
      </c>
      <c r="L366" t="s">
        <v>36</v>
      </c>
      <c r="M366" t="s">
        <v>59</v>
      </c>
      <c r="N366" t="s">
        <v>26</v>
      </c>
      <c r="O366" t="s">
        <v>27</v>
      </c>
      <c r="P366" t="s">
        <v>38</v>
      </c>
      <c r="Q366">
        <v>1</v>
      </c>
      <c r="R366">
        <v>496.22</v>
      </c>
      <c r="S366" t="s">
        <v>29</v>
      </c>
    </row>
    <row r="367" spans="1:19" x14ac:dyDescent="0.3">
      <c r="A367" t="s">
        <v>437</v>
      </c>
      <c r="B367">
        <v>46</v>
      </c>
      <c r="C367" t="s">
        <v>19</v>
      </c>
      <c r="D367" t="s">
        <v>89</v>
      </c>
      <c r="E367" s="1">
        <v>45017</v>
      </c>
      <c r="F367" s="3">
        <v>45033</v>
      </c>
      <c r="G367" t="s">
        <v>41</v>
      </c>
      <c r="H367" t="s">
        <v>42</v>
      </c>
      <c r="I367" t="s">
        <v>43</v>
      </c>
      <c r="J367">
        <v>3678.14</v>
      </c>
      <c r="K367">
        <v>16</v>
      </c>
      <c r="L367" t="s">
        <v>36</v>
      </c>
      <c r="M367" t="s">
        <v>25</v>
      </c>
      <c r="N367" t="s">
        <v>55</v>
      </c>
      <c r="O367" t="s">
        <v>37</v>
      </c>
      <c r="P367" t="s">
        <v>38</v>
      </c>
      <c r="Q367">
        <v>11</v>
      </c>
      <c r="R367">
        <v>1424.69</v>
      </c>
      <c r="S367" t="s">
        <v>29</v>
      </c>
    </row>
    <row r="368" spans="1:19" x14ac:dyDescent="0.3">
      <c r="A368" t="s">
        <v>438</v>
      </c>
      <c r="B368">
        <v>59</v>
      </c>
      <c r="C368" t="s">
        <v>31</v>
      </c>
      <c r="D368" t="s">
        <v>66</v>
      </c>
      <c r="E368" s="1">
        <v>45460</v>
      </c>
      <c r="F368" s="3">
        <v>45479</v>
      </c>
      <c r="G368" t="s">
        <v>74</v>
      </c>
      <c r="H368" t="s">
        <v>75</v>
      </c>
      <c r="I368" t="s">
        <v>23</v>
      </c>
      <c r="J368">
        <v>6204.64</v>
      </c>
      <c r="K368">
        <v>19</v>
      </c>
      <c r="L368" t="s">
        <v>36</v>
      </c>
      <c r="M368" t="s">
        <v>59</v>
      </c>
      <c r="N368" t="s">
        <v>26</v>
      </c>
      <c r="O368" t="s">
        <v>27</v>
      </c>
      <c r="P368" t="s">
        <v>38</v>
      </c>
      <c r="Q368">
        <v>14</v>
      </c>
      <c r="R368">
        <v>2174.11</v>
      </c>
      <c r="S368" t="s">
        <v>29</v>
      </c>
    </row>
    <row r="369" spans="1:19" x14ac:dyDescent="0.3">
      <c r="A369" t="s">
        <v>439</v>
      </c>
      <c r="B369">
        <v>68</v>
      </c>
      <c r="C369" t="s">
        <v>19</v>
      </c>
      <c r="D369" t="s">
        <v>66</v>
      </c>
      <c r="E369" s="1">
        <v>45895</v>
      </c>
      <c r="F369" s="3">
        <v>45924</v>
      </c>
      <c r="G369" t="s">
        <v>41</v>
      </c>
      <c r="H369" t="s">
        <v>42</v>
      </c>
      <c r="I369" t="s">
        <v>91</v>
      </c>
      <c r="J369">
        <v>26290.39</v>
      </c>
      <c r="K369">
        <v>29</v>
      </c>
      <c r="L369" t="s">
        <v>24</v>
      </c>
      <c r="M369" t="s">
        <v>25</v>
      </c>
      <c r="N369" t="s">
        <v>55</v>
      </c>
      <c r="O369" t="s">
        <v>49</v>
      </c>
      <c r="P369" t="s">
        <v>45</v>
      </c>
      <c r="Q369">
        <v>1</v>
      </c>
      <c r="R369">
        <v>7615.92</v>
      </c>
      <c r="S369" t="s">
        <v>29</v>
      </c>
    </row>
    <row r="370" spans="1:19" x14ac:dyDescent="0.3">
      <c r="A370" t="s">
        <v>440</v>
      </c>
      <c r="B370">
        <v>30</v>
      </c>
      <c r="C370" t="s">
        <v>19</v>
      </c>
      <c r="D370" t="s">
        <v>20</v>
      </c>
      <c r="E370" s="1">
        <v>45021</v>
      </c>
      <c r="F370" s="3">
        <v>45049</v>
      </c>
      <c r="G370" t="s">
        <v>48</v>
      </c>
      <c r="H370" t="s">
        <v>22</v>
      </c>
      <c r="I370" t="s">
        <v>58</v>
      </c>
      <c r="J370">
        <v>16632.45</v>
      </c>
      <c r="K370">
        <v>28</v>
      </c>
      <c r="L370" t="s">
        <v>36</v>
      </c>
      <c r="M370" t="s">
        <v>25</v>
      </c>
      <c r="N370" t="s">
        <v>55</v>
      </c>
      <c r="O370" t="s">
        <v>49</v>
      </c>
      <c r="P370" t="s">
        <v>50</v>
      </c>
      <c r="Q370">
        <v>11</v>
      </c>
      <c r="R370">
        <v>5787.6</v>
      </c>
      <c r="S370" t="s">
        <v>29</v>
      </c>
    </row>
    <row r="371" spans="1:19" x14ac:dyDescent="0.3">
      <c r="A371" t="s">
        <v>441</v>
      </c>
      <c r="B371">
        <v>60</v>
      </c>
      <c r="C371" t="s">
        <v>31</v>
      </c>
      <c r="D371" t="s">
        <v>20</v>
      </c>
      <c r="E371" s="1">
        <v>45755</v>
      </c>
      <c r="F371" s="3">
        <v>45770</v>
      </c>
      <c r="G371" t="s">
        <v>93</v>
      </c>
      <c r="H371" t="s">
        <v>72</v>
      </c>
      <c r="I371" t="s">
        <v>35</v>
      </c>
      <c r="J371">
        <v>8399.9</v>
      </c>
      <c r="K371">
        <v>15</v>
      </c>
      <c r="L371" t="s">
        <v>24</v>
      </c>
      <c r="M371" t="s">
        <v>59</v>
      </c>
      <c r="N371" t="s">
        <v>44</v>
      </c>
      <c r="O371" t="s">
        <v>56</v>
      </c>
      <c r="P371" t="s">
        <v>38</v>
      </c>
      <c r="Q371">
        <v>5</v>
      </c>
      <c r="R371">
        <v>1945.82</v>
      </c>
      <c r="S371" t="s">
        <v>29</v>
      </c>
    </row>
    <row r="372" spans="1:19" x14ac:dyDescent="0.3">
      <c r="A372" t="s">
        <v>442</v>
      </c>
      <c r="B372">
        <v>21</v>
      </c>
      <c r="C372" t="s">
        <v>19</v>
      </c>
      <c r="D372" t="s">
        <v>89</v>
      </c>
      <c r="E372" s="1">
        <v>45919</v>
      </c>
      <c r="F372" s="3">
        <v>45923</v>
      </c>
      <c r="G372" t="s">
        <v>74</v>
      </c>
      <c r="H372" t="s">
        <v>75</v>
      </c>
      <c r="I372" t="s">
        <v>23</v>
      </c>
      <c r="J372">
        <v>8736.9599999999991</v>
      </c>
      <c r="K372">
        <v>4</v>
      </c>
      <c r="L372" t="s">
        <v>36</v>
      </c>
      <c r="M372" t="s">
        <v>59</v>
      </c>
      <c r="N372" t="s">
        <v>55</v>
      </c>
      <c r="O372" t="s">
        <v>49</v>
      </c>
      <c r="P372" t="s">
        <v>45</v>
      </c>
      <c r="Q372">
        <v>1</v>
      </c>
      <c r="R372">
        <v>1833.45</v>
      </c>
      <c r="S372" t="s">
        <v>29</v>
      </c>
    </row>
    <row r="373" spans="1:19" x14ac:dyDescent="0.3">
      <c r="A373" t="s">
        <v>443</v>
      </c>
      <c r="B373">
        <v>75</v>
      </c>
      <c r="C373" t="s">
        <v>19</v>
      </c>
      <c r="D373" t="s">
        <v>47</v>
      </c>
      <c r="E373" s="1">
        <v>45488</v>
      </c>
      <c r="F373" s="3">
        <v>45507</v>
      </c>
      <c r="G373" t="s">
        <v>67</v>
      </c>
      <c r="H373" t="s">
        <v>42</v>
      </c>
      <c r="I373" t="s">
        <v>91</v>
      </c>
      <c r="J373">
        <v>7070.97</v>
      </c>
      <c r="K373">
        <v>19</v>
      </c>
      <c r="L373" t="s">
        <v>36</v>
      </c>
      <c r="M373" t="s">
        <v>25</v>
      </c>
      <c r="N373" t="s">
        <v>55</v>
      </c>
      <c r="O373" t="s">
        <v>27</v>
      </c>
      <c r="P373" t="s">
        <v>28</v>
      </c>
      <c r="Q373">
        <v>2</v>
      </c>
      <c r="R373">
        <v>1818.46</v>
      </c>
      <c r="S373" t="s">
        <v>39</v>
      </c>
    </row>
    <row r="374" spans="1:19" x14ac:dyDescent="0.3">
      <c r="A374" t="s">
        <v>444</v>
      </c>
      <c r="B374">
        <v>32</v>
      </c>
      <c r="C374" t="s">
        <v>19</v>
      </c>
      <c r="D374" t="s">
        <v>61</v>
      </c>
      <c r="E374" s="1">
        <v>45049</v>
      </c>
      <c r="F374" s="3">
        <v>45051</v>
      </c>
      <c r="G374" t="s">
        <v>52</v>
      </c>
      <c r="H374" t="s">
        <v>53</v>
      </c>
      <c r="I374" t="s">
        <v>58</v>
      </c>
      <c r="J374">
        <v>1881.7</v>
      </c>
      <c r="K374">
        <v>2</v>
      </c>
      <c r="L374" t="s">
        <v>36</v>
      </c>
      <c r="M374" t="s">
        <v>25</v>
      </c>
      <c r="N374" t="s">
        <v>44</v>
      </c>
      <c r="O374" t="s">
        <v>27</v>
      </c>
      <c r="P374" t="s">
        <v>38</v>
      </c>
      <c r="Q374">
        <v>9</v>
      </c>
      <c r="R374">
        <v>415.43</v>
      </c>
      <c r="S374" t="s">
        <v>39</v>
      </c>
    </row>
    <row r="375" spans="1:19" x14ac:dyDescent="0.3">
      <c r="A375" t="s">
        <v>445</v>
      </c>
      <c r="B375">
        <v>47</v>
      </c>
      <c r="C375" t="s">
        <v>19</v>
      </c>
      <c r="D375" t="s">
        <v>79</v>
      </c>
      <c r="E375" s="1">
        <v>45737</v>
      </c>
      <c r="F375" s="3">
        <v>45764</v>
      </c>
      <c r="G375" t="s">
        <v>62</v>
      </c>
      <c r="H375" t="s">
        <v>63</v>
      </c>
      <c r="I375" t="s">
        <v>91</v>
      </c>
      <c r="J375">
        <v>11834.31</v>
      </c>
      <c r="K375">
        <v>27</v>
      </c>
      <c r="L375" t="s">
        <v>36</v>
      </c>
      <c r="M375" t="s">
        <v>25</v>
      </c>
      <c r="N375" t="s">
        <v>55</v>
      </c>
      <c r="O375" t="s">
        <v>49</v>
      </c>
      <c r="P375" t="s">
        <v>38</v>
      </c>
      <c r="Q375">
        <v>11</v>
      </c>
      <c r="R375">
        <v>3835.71</v>
      </c>
      <c r="S375" t="s">
        <v>29</v>
      </c>
    </row>
    <row r="376" spans="1:19" x14ac:dyDescent="0.3">
      <c r="A376" t="s">
        <v>446</v>
      </c>
      <c r="B376">
        <v>58</v>
      </c>
      <c r="C376" t="s">
        <v>19</v>
      </c>
      <c r="D376" t="s">
        <v>66</v>
      </c>
      <c r="E376" s="1">
        <v>45879</v>
      </c>
      <c r="F376" s="3">
        <v>45898</v>
      </c>
      <c r="G376" t="s">
        <v>67</v>
      </c>
      <c r="H376" t="s">
        <v>42</v>
      </c>
      <c r="I376" t="s">
        <v>91</v>
      </c>
      <c r="J376">
        <v>9218.02</v>
      </c>
      <c r="K376">
        <v>19</v>
      </c>
      <c r="L376" t="s">
        <v>24</v>
      </c>
      <c r="M376" t="s">
        <v>25</v>
      </c>
      <c r="N376" t="s">
        <v>26</v>
      </c>
      <c r="O376" t="s">
        <v>37</v>
      </c>
      <c r="P376" t="s">
        <v>50</v>
      </c>
      <c r="Q376">
        <v>1</v>
      </c>
      <c r="R376">
        <v>2198.4299999999998</v>
      </c>
      <c r="S376" t="s">
        <v>29</v>
      </c>
    </row>
    <row r="377" spans="1:19" x14ac:dyDescent="0.3">
      <c r="A377" t="s">
        <v>447</v>
      </c>
      <c r="B377">
        <v>35</v>
      </c>
      <c r="C377" t="s">
        <v>31</v>
      </c>
      <c r="D377" t="s">
        <v>66</v>
      </c>
      <c r="E377" s="1">
        <v>45162</v>
      </c>
      <c r="F377" s="3">
        <v>45185</v>
      </c>
      <c r="G377" t="s">
        <v>93</v>
      </c>
      <c r="H377" t="s">
        <v>72</v>
      </c>
      <c r="I377" t="s">
        <v>83</v>
      </c>
      <c r="J377">
        <v>23338.32</v>
      </c>
      <c r="K377">
        <v>23</v>
      </c>
      <c r="L377" t="s">
        <v>24</v>
      </c>
      <c r="M377" t="s">
        <v>25</v>
      </c>
      <c r="N377" t="s">
        <v>44</v>
      </c>
      <c r="O377" t="s">
        <v>49</v>
      </c>
      <c r="P377" t="s">
        <v>28</v>
      </c>
      <c r="Q377">
        <v>14</v>
      </c>
      <c r="R377">
        <v>5641.12</v>
      </c>
      <c r="S377" t="s">
        <v>29</v>
      </c>
    </row>
    <row r="378" spans="1:19" x14ac:dyDescent="0.3">
      <c r="A378" t="s">
        <v>448</v>
      </c>
      <c r="B378">
        <v>89</v>
      </c>
      <c r="C378" t="s">
        <v>31</v>
      </c>
      <c r="D378" t="s">
        <v>61</v>
      </c>
      <c r="E378" s="1">
        <v>45696</v>
      </c>
      <c r="F378" s="3">
        <v>45706</v>
      </c>
      <c r="G378" t="s">
        <v>33</v>
      </c>
      <c r="H378" t="s">
        <v>34</v>
      </c>
      <c r="I378" t="s">
        <v>54</v>
      </c>
      <c r="J378">
        <v>5591.47</v>
      </c>
      <c r="K378">
        <v>10</v>
      </c>
      <c r="L378" t="s">
        <v>24</v>
      </c>
      <c r="M378" t="s">
        <v>25</v>
      </c>
      <c r="N378" t="s">
        <v>55</v>
      </c>
      <c r="O378" t="s">
        <v>37</v>
      </c>
      <c r="P378" t="s">
        <v>50</v>
      </c>
      <c r="Q378">
        <v>12</v>
      </c>
      <c r="R378">
        <v>913.17</v>
      </c>
      <c r="S378" t="s">
        <v>29</v>
      </c>
    </row>
    <row r="379" spans="1:19" x14ac:dyDescent="0.3">
      <c r="A379" t="s">
        <v>449</v>
      </c>
      <c r="B379">
        <v>60</v>
      </c>
      <c r="C379" t="s">
        <v>19</v>
      </c>
      <c r="D379" t="s">
        <v>47</v>
      </c>
      <c r="E379" s="1">
        <v>45633</v>
      </c>
      <c r="F379" s="3">
        <v>45648</v>
      </c>
      <c r="G379" t="s">
        <v>21</v>
      </c>
      <c r="H379" t="s">
        <v>22</v>
      </c>
      <c r="I379" t="s">
        <v>23</v>
      </c>
      <c r="J379">
        <v>11753.57</v>
      </c>
      <c r="K379">
        <v>15</v>
      </c>
      <c r="L379" t="s">
        <v>24</v>
      </c>
      <c r="M379" t="s">
        <v>25</v>
      </c>
      <c r="N379" t="s">
        <v>26</v>
      </c>
      <c r="O379" t="s">
        <v>27</v>
      </c>
      <c r="P379" t="s">
        <v>38</v>
      </c>
      <c r="Q379">
        <v>5</v>
      </c>
      <c r="R379">
        <v>4272.75</v>
      </c>
      <c r="S379" t="s">
        <v>39</v>
      </c>
    </row>
    <row r="380" spans="1:19" x14ac:dyDescent="0.3">
      <c r="A380" t="s">
        <v>450</v>
      </c>
      <c r="B380">
        <v>45</v>
      </c>
      <c r="C380" t="s">
        <v>31</v>
      </c>
      <c r="D380" t="s">
        <v>47</v>
      </c>
      <c r="E380" s="1">
        <v>45217</v>
      </c>
      <c r="F380" s="3">
        <v>45230</v>
      </c>
      <c r="G380" t="s">
        <v>74</v>
      </c>
      <c r="H380" t="s">
        <v>75</v>
      </c>
      <c r="I380" t="s">
        <v>91</v>
      </c>
      <c r="J380">
        <v>15738.78</v>
      </c>
      <c r="K380">
        <v>13</v>
      </c>
      <c r="L380" t="s">
        <v>24</v>
      </c>
      <c r="M380" t="s">
        <v>59</v>
      </c>
      <c r="N380" t="s">
        <v>44</v>
      </c>
      <c r="O380" t="s">
        <v>49</v>
      </c>
      <c r="P380" t="s">
        <v>45</v>
      </c>
      <c r="Q380">
        <v>7</v>
      </c>
      <c r="R380">
        <v>5089.8</v>
      </c>
      <c r="S380" t="s">
        <v>29</v>
      </c>
    </row>
    <row r="381" spans="1:19" x14ac:dyDescent="0.3">
      <c r="A381" t="s">
        <v>451</v>
      </c>
      <c r="B381">
        <v>60</v>
      </c>
      <c r="C381" t="s">
        <v>31</v>
      </c>
      <c r="D381" t="s">
        <v>47</v>
      </c>
      <c r="E381" s="1">
        <v>45612</v>
      </c>
      <c r="F381" s="3">
        <v>45638</v>
      </c>
      <c r="G381" t="s">
        <v>21</v>
      </c>
      <c r="H381" t="s">
        <v>22</v>
      </c>
      <c r="I381" t="s">
        <v>83</v>
      </c>
      <c r="J381">
        <v>24639.040000000001</v>
      </c>
      <c r="K381">
        <v>26</v>
      </c>
      <c r="L381" t="s">
        <v>36</v>
      </c>
      <c r="M381" t="s">
        <v>101</v>
      </c>
      <c r="N381" t="s">
        <v>26</v>
      </c>
      <c r="O381" t="s">
        <v>49</v>
      </c>
      <c r="P381" t="s">
        <v>28</v>
      </c>
      <c r="Q381">
        <v>8</v>
      </c>
      <c r="R381">
        <v>6793.72</v>
      </c>
      <c r="S381" t="s">
        <v>29</v>
      </c>
    </row>
    <row r="382" spans="1:19" x14ac:dyDescent="0.3">
      <c r="A382" t="s">
        <v>452</v>
      </c>
      <c r="B382">
        <v>26</v>
      </c>
      <c r="C382" t="s">
        <v>19</v>
      </c>
      <c r="D382" t="s">
        <v>32</v>
      </c>
      <c r="E382" s="1">
        <v>45305</v>
      </c>
      <c r="F382" s="3">
        <v>45319</v>
      </c>
      <c r="G382" t="s">
        <v>62</v>
      </c>
      <c r="H382" t="s">
        <v>63</v>
      </c>
      <c r="I382" t="s">
        <v>23</v>
      </c>
      <c r="J382">
        <v>4519.38</v>
      </c>
      <c r="K382">
        <v>14</v>
      </c>
      <c r="L382" t="s">
        <v>36</v>
      </c>
      <c r="M382" t="s">
        <v>25</v>
      </c>
      <c r="N382" t="s">
        <v>55</v>
      </c>
      <c r="O382" t="s">
        <v>37</v>
      </c>
      <c r="P382" t="s">
        <v>28</v>
      </c>
      <c r="Q382">
        <v>1</v>
      </c>
      <c r="R382">
        <v>811.11</v>
      </c>
      <c r="S382" t="s">
        <v>29</v>
      </c>
    </row>
    <row r="383" spans="1:19" x14ac:dyDescent="0.3">
      <c r="A383" t="s">
        <v>453</v>
      </c>
      <c r="B383">
        <v>48</v>
      </c>
      <c r="C383" t="s">
        <v>19</v>
      </c>
      <c r="D383" t="s">
        <v>79</v>
      </c>
      <c r="E383" s="1">
        <v>45712</v>
      </c>
      <c r="F383" s="3">
        <v>45714</v>
      </c>
      <c r="G383" t="s">
        <v>67</v>
      </c>
      <c r="H383" t="s">
        <v>42</v>
      </c>
      <c r="I383" t="s">
        <v>83</v>
      </c>
      <c r="J383">
        <v>2206.2199999999998</v>
      </c>
      <c r="K383">
        <v>2</v>
      </c>
      <c r="L383" t="s">
        <v>36</v>
      </c>
      <c r="M383" t="s">
        <v>25</v>
      </c>
      <c r="N383" t="s">
        <v>26</v>
      </c>
      <c r="O383" t="s">
        <v>37</v>
      </c>
      <c r="P383" t="s">
        <v>50</v>
      </c>
      <c r="Q383">
        <v>3</v>
      </c>
      <c r="R383">
        <v>834.94</v>
      </c>
      <c r="S383" t="s">
        <v>29</v>
      </c>
    </row>
    <row r="384" spans="1:19" x14ac:dyDescent="0.3">
      <c r="A384" t="s">
        <v>454</v>
      </c>
      <c r="B384">
        <v>63</v>
      </c>
      <c r="C384" t="s">
        <v>31</v>
      </c>
      <c r="D384" t="s">
        <v>47</v>
      </c>
      <c r="E384" s="1">
        <v>45025</v>
      </c>
      <c r="F384" s="3">
        <v>45027</v>
      </c>
      <c r="G384" t="s">
        <v>74</v>
      </c>
      <c r="H384" t="s">
        <v>75</v>
      </c>
      <c r="I384" t="s">
        <v>91</v>
      </c>
      <c r="J384">
        <v>2527.06</v>
      </c>
      <c r="K384">
        <v>2</v>
      </c>
      <c r="L384" t="s">
        <v>36</v>
      </c>
      <c r="M384" t="s">
        <v>59</v>
      </c>
      <c r="N384" t="s">
        <v>26</v>
      </c>
      <c r="O384" t="s">
        <v>27</v>
      </c>
      <c r="P384" t="s">
        <v>45</v>
      </c>
      <c r="Q384">
        <v>6</v>
      </c>
      <c r="R384">
        <v>869.21</v>
      </c>
      <c r="S384" t="s">
        <v>39</v>
      </c>
    </row>
    <row r="385" spans="1:19" x14ac:dyDescent="0.3">
      <c r="A385" t="s">
        <v>455</v>
      </c>
      <c r="B385">
        <v>33</v>
      </c>
      <c r="C385" t="s">
        <v>31</v>
      </c>
      <c r="D385" t="s">
        <v>89</v>
      </c>
      <c r="E385" s="1">
        <v>45867</v>
      </c>
      <c r="F385" s="3">
        <v>45877</v>
      </c>
      <c r="G385" t="s">
        <v>71</v>
      </c>
      <c r="H385" t="s">
        <v>72</v>
      </c>
      <c r="I385" t="s">
        <v>83</v>
      </c>
      <c r="J385">
        <v>5630.33</v>
      </c>
      <c r="K385">
        <v>10</v>
      </c>
      <c r="L385" t="s">
        <v>36</v>
      </c>
      <c r="M385" t="s">
        <v>25</v>
      </c>
      <c r="N385" t="s">
        <v>26</v>
      </c>
      <c r="O385" t="s">
        <v>37</v>
      </c>
      <c r="P385" t="s">
        <v>28</v>
      </c>
      <c r="Q385">
        <v>11</v>
      </c>
      <c r="R385">
        <v>2237.42</v>
      </c>
      <c r="S385" t="s">
        <v>29</v>
      </c>
    </row>
    <row r="386" spans="1:19" x14ac:dyDescent="0.3">
      <c r="A386" t="s">
        <v>456</v>
      </c>
      <c r="B386">
        <v>41</v>
      </c>
      <c r="C386" t="s">
        <v>19</v>
      </c>
      <c r="D386" t="s">
        <v>61</v>
      </c>
      <c r="E386" s="1">
        <v>45199</v>
      </c>
      <c r="F386" s="3">
        <v>45218</v>
      </c>
      <c r="G386" t="s">
        <v>21</v>
      </c>
      <c r="H386" t="s">
        <v>22</v>
      </c>
      <c r="I386" t="s">
        <v>58</v>
      </c>
      <c r="J386">
        <v>13364.84</v>
      </c>
      <c r="K386">
        <v>19</v>
      </c>
      <c r="L386" t="s">
        <v>24</v>
      </c>
      <c r="M386" t="s">
        <v>25</v>
      </c>
      <c r="N386" t="s">
        <v>26</v>
      </c>
      <c r="O386" t="s">
        <v>27</v>
      </c>
      <c r="P386" t="s">
        <v>50</v>
      </c>
      <c r="Q386">
        <v>7</v>
      </c>
      <c r="R386">
        <v>4256.16</v>
      </c>
      <c r="S386" t="s">
        <v>29</v>
      </c>
    </row>
    <row r="387" spans="1:19" x14ac:dyDescent="0.3">
      <c r="A387" t="s">
        <v>457</v>
      </c>
      <c r="B387">
        <v>58</v>
      </c>
      <c r="C387" t="s">
        <v>31</v>
      </c>
      <c r="D387" t="s">
        <v>89</v>
      </c>
      <c r="E387" s="1">
        <v>45764</v>
      </c>
      <c r="F387" s="3">
        <v>45770</v>
      </c>
      <c r="G387" t="s">
        <v>74</v>
      </c>
      <c r="H387" t="s">
        <v>75</v>
      </c>
      <c r="I387" t="s">
        <v>23</v>
      </c>
      <c r="J387">
        <v>4223.76</v>
      </c>
      <c r="K387">
        <v>6</v>
      </c>
      <c r="L387" t="s">
        <v>36</v>
      </c>
      <c r="M387" t="s">
        <v>25</v>
      </c>
      <c r="N387" t="s">
        <v>26</v>
      </c>
      <c r="O387" t="s">
        <v>56</v>
      </c>
      <c r="P387" t="s">
        <v>28</v>
      </c>
      <c r="Q387">
        <v>6</v>
      </c>
      <c r="R387">
        <v>1566.62</v>
      </c>
      <c r="S387" t="s">
        <v>29</v>
      </c>
    </row>
    <row r="388" spans="1:19" x14ac:dyDescent="0.3">
      <c r="A388" t="s">
        <v>458</v>
      </c>
      <c r="B388">
        <v>19</v>
      </c>
      <c r="C388" t="s">
        <v>19</v>
      </c>
      <c r="D388" t="s">
        <v>79</v>
      </c>
      <c r="E388" s="1">
        <v>44976</v>
      </c>
      <c r="F388" s="3">
        <v>44980</v>
      </c>
      <c r="G388" t="s">
        <v>71</v>
      </c>
      <c r="H388" t="s">
        <v>72</v>
      </c>
      <c r="I388" t="s">
        <v>54</v>
      </c>
      <c r="J388">
        <v>2106.0300000000002</v>
      </c>
      <c r="K388">
        <v>4</v>
      </c>
      <c r="L388" t="s">
        <v>36</v>
      </c>
      <c r="M388" t="s">
        <v>25</v>
      </c>
      <c r="N388" t="s">
        <v>44</v>
      </c>
      <c r="O388" t="s">
        <v>37</v>
      </c>
      <c r="P388" t="s">
        <v>28</v>
      </c>
      <c r="Q388">
        <v>11</v>
      </c>
      <c r="R388">
        <v>475.95</v>
      </c>
      <c r="S388" t="s">
        <v>29</v>
      </c>
    </row>
    <row r="389" spans="1:19" x14ac:dyDescent="0.3">
      <c r="A389" t="s">
        <v>459</v>
      </c>
      <c r="B389">
        <v>24</v>
      </c>
      <c r="C389" t="s">
        <v>31</v>
      </c>
      <c r="D389" t="s">
        <v>79</v>
      </c>
      <c r="E389" s="1">
        <v>45384</v>
      </c>
      <c r="F389" s="3">
        <v>45395</v>
      </c>
      <c r="G389" t="s">
        <v>74</v>
      </c>
      <c r="H389" t="s">
        <v>75</v>
      </c>
      <c r="I389" t="s">
        <v>43</v>
      </c>
      <c r="J389">
        <v>7669.2</v>
      </c>
      <c r="K389">
        <v>11</v>
      </c>
      <c r="L389" t="s">
        <v>24</v>
      </c>
      <c r="M389" t="s">
        <v>25</v>
      </c>
      <c r="N389" t="s">
        <v>44</v>
      </c>
      <c r="O389" t="s">
        <v>27</v>
      </c>
      <c r="P389" t="s">
        <v>38</v>
      </c>
      <c r="Q389">
        <v>13</v>
      </c>
      <c r="R389">
        <v>1964.2</v>
      </c>
      <c r="S389" t="s">
        <v>29</v>
      </c>
    </row>
    <row r="390" spans="1:19" x14ac:dyDescent="0.3">
      <c r="A390" t="s">
        <v>460</v>
      </c>
      <c r="B390">
        <v>77</v>
      </c>
      <c r="C390" t="s">
        <v>19</v>
      </c>
      <c r="D390" t="s">
        <v>20</v>
      </c>
      <c r="E390" s="1">
        <v>45527</v>
      </c>
      <c r="F390" s="3">
        <v>45540</v>
      </c>
      <c r="G390" t="s">
        <v>93</v>
      </c>
      <c r="H390" t="s">
        <v>72</v>
      </c>
      <c r="I390" t="s">
        <v>58</v>
      </c>
      <c r="J390">
        <v>4145.1000000000004</v>
      </c>
      <c r="K390">
        <v>13</v>
      </c>
      <c r="L390" t="s">
        <v>24</v>
      </c>
      <c r="M390" t="s">
        <v>25</v>
      </c>
      <c r="N390" t="s">
        <v>44</v>
      </c>
      <c r="O390" t="s">
        <v>37</v>
      </c>
      <c r="P390" t="s">
        <v>45</v>
      </c>
      <c r="Q390">
        <v>1</v>
      </c>
      <c r="R390">
        <v>1538.38</v>
      </c>
      <c r="S390" t="s">
        <v>29</v>
      </c>
    </row>
    <row r="391" spans="1:19" x14ac:dyDescent="0.3">
      <c r="A391" t="s">
        <v>461</v>
      </c>
      <c r="B391">
        <v>18</v>
      </c>
      <c r="C391" t="s">
        <v>19</v>
      </c>
      <c r="D391" t="s">
        <v>47</v>
      </c>
      <c r="E391" s="1">
        <v>45569</v>
      </c>
      <c r="F391" s="3">
        <v>45574</v>
      </c>
      <c r="G391" t="s">
        <v>74</v>
      </c>
      <c r="H391" t="s">
        <v>75</v>
      </c>
      <c r="I391" t="s">
        <v>91</v>
      </c>
      <c r="J391">
        <v>8146.05</v>
      </c>
      <c r="K391">
        <v>5</v>
      </c>
      <c r="L391" t="s">
        <v>24</v>
      </c>
      <c r="M391" t="s">
        <v>25</v>
      </c>
      <c r="N391" t="s">
        <v>55</v>
      </c>
      <c r="O391" t="s">
        <v>49</v>
      </c>
      <c r="P391" t="s">
        <v>38</v>
      </c>
      <c r="Q391">
        <v>11</v>
      </c>
      <c r="R391">
        <v>2884</v>
      </c>
      <c r="S391" t="s">
        <v>29</v>
      </c>
    </row>
    <row r="392" spans="1:19" x14ac:dyDescent="0.3">
      <c r="A392" t="s">
        <v>462</v>
      </c>
      <c r="B392">
        <v>79</v>
      </c>
      <c r="C392" t="s">
        <v>19</v>
      </c>
      <c r="D392" t="s">
        <v>79</v>
      </c>
      <c r="E392" s="1">
        <v>45443</v>
      </c>
      <c r="F392" s="3">
        <v>45462</v>
      </c>
      <c r="G392" t="s">
        <v>67</v>
      </c>
      <c r="H392" t="s">
        <v>42</v>
      </c>
      <c r="I392" t="s">
        <v>23</v>
      </c>
      <c r="J392">
        <v>6578.39</v>
      </c>
      <c r="K392">
        <v>19</v>
      </c>
      <c r="L392" t="s">
        <v>36</v>
      </c>
      <c r="M392" t="s">
        <v>25</v>
      </c>
      <c r="N392" t="s">
        <v>55</v>
      </c>
      <c r="O392" t="s">
        <v>27</v>
      </c>
      <c r="P392" t="s">
        <v>28</v>
      </c>
      <c r="Q392">
        <v>8</v>
      </c>
      <c r="R392">
        <v>1006.78</v>
      </c>
      <c r="S392" t="s">
        <v>29</v>
      </c>
    </row>
    <row r="393" spans="1:19" x14ac:dyDescent="0.3">
      <c r="A393" t="s">
        <v>463</v>
      </c>
      <c r="B393">
        <v>37</v>
      </c>
      <c r="C393" t="s">
        <v>31</v>
      </c>
      <c r="D393" t="s">
        <v>47</v>
      </c>
      <c r="E393" s="1">
        <v>45121</v>
      </c>
      <c r="F393" s="3">
        <v>45135</v>
      </c>
      <c r="G393" t="s">
        <v>33</v>
      </c>
      <c r="H393" t="s">
        <v>34</v>
      </c>
      <c r="I393" t="s">
        <v>35</v>
      </c>
      <c r="J393">
        <v>8773.31</v>
      </c>
      <c r="K393">
        <v>14</v>
      </c>
      <c r="L393" t="s">
        <v>36</v>
      </c>
      <c r="M393" t="s">
        <v>25</v>
      </c>
      <c r="N393" t="s">
        <v>55</v>
      </c>
      <c r="O393" t="s">
        <v>56</v>
      </c>
      <c r="P393" t="s">
        <v>50</v>
      </c>
      <c r="Q393">
        <v>15</v>
      </c>
      <c r="R393">
        <v>2905.67</v>
      </c>
      <c r="S393" t="s">
        <v>29</v>
      </c>
    </row>
    <row r="394" spans="1:19" x14ac:dyDescent="0.3">
      <c r="A394" t="s">
        <v>464</v>
      </c>
      <c r="B394">
        <v>33</v>
      </c>
      <c r="C394" t="s">
        <v>31</v>
      </c>
      <c r="D394" t="s">
        <v>32</v>
      </c>
      <c r="E394" s="1">
        <v>45423</v>
      </c>
      <c r="F394" s="3">
        <v>45433</v>
      </c>
      <c r="G394" t="s">
        <v>71</v>
      </c>
      <c r="H394" t="s">
        <v>72</v>
      </c>
      <c r="I394" t="s">
        <v>43</v>
      </c>
      <c r="J394">
        <v>7691.08</v>
      </c>
      <c r="K394">
        <v>10</v>
      </c>
      <c r="L394" t="s">
        <v>36</v>
      </c>
      <c r="M394" t="s">
        <v>25</v>
      </c>
      <c r="N394" t="s">
        <v>44</v>
      </c>
      <c r="O394" t="s">
        <v>56</v>
      </c>
      <c r="P394" t="s">
        <v>50</v>
      </c>
      <c r="Q394">
        <v>3</v>
      </c>
      <c r="R394">
        <v>2307.66</v>
      </c>
      <c r="S394" t="s">
        <v>39</v>
      </c>
    </row>
    <row r="395" spans="1:19" x14ac:dyDescent="0.3">
      <c r="A395" t="s">
        <v>465</v>
      </c>
      <c r="B395">
        <v>70</v>
      </c>
      <c r="C395" t="s">
        <v>19</v>
      </c>
      <c r="D395" t="s">
        <v>66</v>
      </c>
      <c r="E395" s="1">
        <v>45536</v>
      </c>
      <c r="F395" s="3">
        <v>45544</v>
      </c>
      <c r="G395" t="s">
        <v>74</v>
      </c>
      <c r="H395" t="s">
        <v>75</v>
      </c>
      <c r="I395" t="s">
        <v>54</v>
      </c>
      <c r="J395">
        <v>5605.45</v>
      </c>
      <c r="K395">
        <v>8</v>
      </c>
      <c r="L395" t="s">
        <v>24</v>
      </c>
      <c r="M395" t="s">
        <v>25</v>
      </c>
      <c r="N395" t="s">
        <v>55</v>
      </c>
      <c r="O395" t="s">
        <v>37</v>
      </c>
      <c r="P395" t="s">
        <v>28</v>
      </c>
      <c r="Q395">
        <v>12</v>
      </c>
      <c r="R395">
        <v>1805.28</v>
      </c>
      <c r="S395" t="s">
        <v>29</v>
      </c>
    </row>
    <row r="396" spans="1:19" x14ac:dyDescent="0.3">
      <c r="A396" t="s">
        <v>466</v>
      </c>
      <c r="B396">
        <v>65</v>
      </c>
      <c r="C396" t="s">
        <v>31</v>
      </c>
      <c r="D396" t="s">
        <v>47</v>
      </c>
      <c r="E396" s="1">
        <v>44983</v>
      </c>
      <c r="F396" s="3">
        <v>45001</v>
      </c>
      <c r="G396" t="s">
        <v>93</v>
      </c>
      <c r="H396" t="s">
        <v>72</v>
      </c>
      <c r="I396" t="s">
        <v>58</v>
      </c>
      <c r="J396">
        <v>10676.55</v>
      </c>
      <c r="K396">
        <v>18</v>
      </c>
      <c r="L396" t="s">
        <v>24</v>
      </c>
      <c r="M396" t="s">
        <v>25</v>
      </c>
      <c r="N396" t="s">
        <v>55</v>
      </c>
      <c r="O396" t="s">
        <v>27</v>
      </c>
      <c r="P396" t="s">
        <v>50</v>
      </c>
      <c r="Q396">
        <v>9</v>
      </c>
      <c r="R396">
        <v>4223.26</v>
      </c>
      <c r="S396" t="s">
        <v>29</v>
      </c>
    </row>
    <row r="397" spans="1:19" x14ac:dyDescent="0.3">
      <c r="A397" t="s">
        <v>467</v>
      </c>
      <c r="B397">
        <v>41</v>
      </c>
      <c r="C397" t="s">
        <v>19</v>
      </c>
      <c r="D397" t="s">
        <v>70</v>
      </c>
      <c r="E397" s="1">
        <v>45499</v>
      </c>
      <c r="F397" s="3">
        <v>45504</v>
      </c>
      <c r="G397" t="s">
        <v>48</v>
      </c>
      <c r="H397" t="s">
        <v>22</v>
      </c>
      <c r="I397" t="s">
        <v>35</v>
      </c>
      <c r="J397">
        <v>2933.63</v>
      </c>
      <c r="K397">
        <v>5</v>
      </c>
      <c r="L397" t="s">
        <v>36</v>
      </c>
      <c r="M397" t="s">
        <v>25</v>
      </c>
      <c r="N397" t="s">
        <v>44</v>
      </c>
      <c r="O397" t="s">
        <v>56</v>
      </c>
      <c r="P397" t="s">
        <v>38</v>
      </c>
      <c r="Q397">
        <v>5</v>
      </c>
      <c r="R397">
        <v>1019</v>
      </c>
      <c r="S397" t="s">
        <v>29</v>
      </c>
    </row>
    <row r="398" spans="1:19" x14ac:dyDescent="0.3">
      <c r="A398" t="s">
        <v>468</v>
      </c>
      <c r="B398">
        <v>74</v>
      </c>
      <c r="C398" t="s">
        <v>19</v>
      </c>
      <c r="D398" t="s">
        <v>47</v>
      </c>
      <c r="E398" s="1">
        <v>45199</v>
      </c>
      <c r="F398" s="3">
        <v>45203</v>
      </c>
      <c r="G398" t="s">
        <v>48</v>
      </c>
      <c r="H398" t="s">
        <v>22</v>
      </c>
      <c r="I398" t="s">
        <v>54</v>
      </c>
      <c r="J398">
        <v>2234.4299999999998</v>
      </c>
      <c r="K398">
        <v>4</v>
      </c>
      <c r="L398" t="s">
        <v>24</v>
      </c>
      <c r="M398" t="s">
        <v>25</v>
      </c>
      <c r="N398" t="s">
        <v>55</v>
      </c>
      <c r="O398" t="s">
        <v>27</v>
      </c>
      <c r="P398" t="s">
        <v>28</v>
      </c>
      <c r="Q398">
        <v>13</v>
      </c>
      <c r="R398">
        <v>387.01</v>
      </c>
      <c r="S398" t="s">
        <v>29</v>
      </c>
    </row>
    <row r="399" spans="1:19" x14ac:dyDescent="0.3">
      <c r="A399" t="s">
        <v>469</v>
      </c>
      <c r="B399">
        <v>56</v>
      </c>
      <c r="C399" t="s">
        <v>19</v>
      </c>
      <c r="D399" t="s">
        <v>70</v>
      </c>
      <c r="E399" s="1">
        <v>45464</v>
      </c>
      <c r="F399" s="3">
        <v>45476</v>
      </c>
      <c r="G399" t="s">
        <v>67</v>
      </c>
      <c r="H399" t="s">
        <v>42</v>
      </c>
      <c r="I399" t="s">
        <v>83</v>
      </c>
      <c r="J399">
        <v>4446.04</v>
      </c>
      <c r="K399">
        <v>12</v>
      </c>
      <c r="L399" t="s">
        <v>24</v>
      </c>
      <c r="M399" t="s">
        <v>25</v>
      </c>
      <c r="N399" t="s">
        <v>55</v>
      </c>
      <c r="O399" t="s">
        <v>56</v>
      </c>
      <c r="P399" t="s">
        <v>38</v>
      </c>
      <c r="Q399">
        <v>11</v>
      </c>
      <c r="R399">
        <v>1512.76</v>
      </c>
      <c r="S399" t="s">
        <v>29</v>
      </c>
    </row>
    <row r="400" spans="1:19" x14ac:dyDescent="0.3">
      <c r="A400" t="s">
        <v>470</v>
      </c>
      <c r="B400">
        <v>48</v>
      </c>
      <c r="C400" t="s">
        <v>31</v>
      </c>
      <c r="D400" t="s">
        <v>70</v>
      </c>
      <c r="E400" s="1">
        <v>45492</v>
      </c>
      <c r="F400" s="3">
        <v>45495</v>
      </c>
      <c r="G400" t="s">
        <v>93</v>
      </c>
      <c r="H400" t="s">
        <v>72</v>
      </c>
      <c r="I400" t="s">
        <v>43</v>
      </c>
      <c r="J400">
        <v>9365.26</v>
      </c>
      <c r="K400">
        <v>3</v>
      </c>
      <c r="L400" t="s">
        <v>36</v>
      </c>
      <c r="M400" t="s">
        <v>25</v>
      </c>
      <c r="N400" t="s">
        <v>55</v>
      </c>
      <c r="O400" t="s">
        <v>49</v>
      </c>
      <c r="P400" t="s">
        <v>50</v>
      </c>
      <c r="Q400">
        <v>7</v>
      </c>
      <c r="R400">
        <v>1538.17</v>
      </c>
      <c r="S400" t="s">
        <v>29</v>
      </c>
    </row>
    <row r="401" spans="1:19" x14ac:dyDescent="0.3">
      <c r="A401" t="s">
        <v>471</v>
      </c>
      <c r="B401">
        <v>65</v>
      </c>
      <c r="C401" t="s">
        <v>31</v>
      </c>
      <c r="D401" t="s">
        <v>47</v>
      </c>
      <c r="E401" s="1">
        <v>45047</v>
      </c>
      <c r="F401" s="3">
        <v>45050</v>
      </c>
      <c r="G401" t="s">
        <v>74</v>
      </c>
      <c r="H401" t="s">
        <v>75</v>
      </c>
      <c r="I401" t="s">
        <v>43</v>
      </c>
      <c r="J401">
        <v>3760.94</v>
      </c>
      <c r="K401">
        <v>3</v>
      </c>
      <c r="L401" t="s">
        <v>36</v>
      </c>
      <c r="M401" t="s">
        <v>25</v>
      </c>
      <c r="N401" t="s">
        <v>26</v>
      </c>
      <c r="O401" t="s">
        <v>37</v>
      </c>
      <c r="P401" t="s">
        <v>50</v>
      </c>
      <c r="Q401">
        <v>1</v>
      </c>
      <c r="R401">
        <v>1440.74</v>
      </c>
      <c r="S401" t="s">
        <v>29</v>
      </c>
    </row>
    <row r="402" spans="1:19" x14ac:dyDescent="0.3">
      <c r="A402" t="s">
        <v>472</v>
      </c>
      <c r="B402">
        <v>38</v>
      </c>
      <c r="C402" t="s">
        <v>31</v>
      </c>
      <c r="D402" t="s">
        <v>47</v>
      </c>
      <c r="E402" s="1">
        <v>45888</v>
      </c>
      <c r="F402" s="3">
        <v>45897</v>
      </c>
      <c r="G402" t="s">
        <v>62</v>
      </c>
      <c r="H402" t="s">
        <v>63</v>
      </c>
      <c r="I402" t="s">
        <v>58</v>
      </c>
      <c r="J402">
        <v>3184.87</v>
      </c>
      <c r="K402">
        <v>9</v>
      </c>
      <c r="L402" t="s">
        <v>36</v>
      </c>
      <c r="M402" t="s">
        <v>25</v>
      </c>
      <c r="N402" t="s">
        <v>55</v>
      </c>
      <c r="O402" t="s">
        <v>37</v>
      </c>
      <c r="P402" t="s">
        <v>45</v>
      </c>
      <c r="Q402">
        <v>11</v>
      </c>
      <c r="R402">
        <v>738.24</v>
      </c>
      <c r="S402" t="s">
        <v>29</v>
      </c>
    </row>
    <row r="403" spans="1:19" x14ac:dyDescent="0.3">
      <c r="A403" t="s">
        <v>473</v>
      </c>
      <c r="B403">
        <v>62</v>
      </c>
      <c r="C403" t="s">
        <v>31</v>
      </c>
      <c r="D403" t="s">
        <v>32</v>
      </c>
      <c r="E403" s="1">
        <v>45032</v>
      </c>
      <c r="F403" s="3">
        <v>45052</v>
      </c>
      <c r="G403" t="s">
        <v>21</v>
      </c>
      <c r="H403" t="s">
        <v>22</v>
      </c>
      <c r="I403" t="s">
        <v>54</v>
      </c>
      <c r="J403">
        <v>7419.68</v>
      </c>
      <c r="K403">
        <v>20</v>
      </c>
      <c r="L403" t="s">
        <v>36</v>
      </c>
      <c r="M403" t="s">
        <v>25</v>
      </c>
      <c r="N403" t="s">
        <v>26</v>
      </c>
      <c r="O403" t="s">
        <v>37</v>
      </c>
      <c r="P403" t="s">
        <v>28</v>
      </c>
      <c r="Q403">
        <v>1</v>
      </c>
      <c r="R403">
        <v>1767.61</v>
      </c>
      <c r="S403" t="s">
        <v>29</v>
      </c>
    </row>
    <row r="404" spans="1:19" x14ac:dyDescent="0.3">
      <c r="A404" t="s">
        <v>474</v>
      </c>
      <c r="B404">
        <v>60</v>
      </c>
      <c r="C404" t="s">
        <v>19</v>
      </c>
      <c r="D404" t="s">
        <v>20</v>
      </c>
      <c r="E404" s="1">
        <v>45665</v>
      </c>
      <c r="F404" s="3">
        <v>45674</v>
      </c>
      <c r="G404" t="s">
        <v>74</v>
      </c>
      <c r="H404" t="s">
        <v>75</v>
      </c>
      <c r="I404" t="s">
        <v>91</v>
      </c>
      <c r="J404">
        <v>5306.96</v>
      </c>
      <c r="K404">
        <v>9</v>
      </c>
      <c r="L404" t="s">
        <v>24</v>
      </c>
      <c r="M404" t="s">
        <v>25</v>
      </c>
      <c r="N404" t="s">
        <v>55</v>
      </c>
      <c r="O404" t="s">
        <v>56</v>
      </c>
      <c r="P404" t="s">
        <v>45</v>
      </c>
      <c r="Q404">
        <v>2</v>
      </c>
      <c r="R404">
        <v>1036.92</v>
      </c>
      <c r="S404" t="s">
        <v>29</v>
      </c>
    </row>
    <row r="405" spans="1:19" x14ac:dyDescent="0.3">
      <c r="A405" t="s">
        <v>475</v>
      </c>
      <c r="B405">
        <v>36</v>
      </c>
      <c r="C405" t="s">
        <v>19</v>
      </c>
      <c r="D405" t="s">
        <v>32</v>
      </c>
      <c r="E405" s="1">
        <v>45898</v>
      </c>
      <c r="F405" s="3">
        <v>45917</v>
      </c>
      <c r="G405" t="s">
        <v>33</v>
      </c>
      <c r="H405" t="s">
        <v>34</v>
      </c>
      <c r="I405" t="s">
        <v>81</v>
      </c>
      <c r="J405">
        <v>7521.12</v>
      </c>
      <c r="K405">
        <v>19</v>
      </c>
      <c r="L405" t="s">
        <v>36</v>
      </c>
      <c r="M405" t="s">
        <v>25</v>
      </c>
      <c r="N405" t="s">
        <v>26</v>
      </c>
      <c r="O405" t="s">
        <v>27</v>
      </c>
      <c r="P405" t="s">
        <v>50</v>
      </c>
      <c r="Q405">
        <v>7</v>
      </c>
      <c r="R405">
        <v>1580.02</v>
      </c>
      <c r="S405" t="s">
        <v>29</v>
      </c>
    </row>
    <row r="406" spans="1:19" x14ac:dyDescent="0.3">
      <c r="A406" t="s">
        <v>476</v>
      </c>
      <c r="B406">
        <v>36</v>
      </c>
      <c r="C406" t="s">
        <v>31</v>
      </c>
      <c r="D406" t="s">
        <v>89</v>
      </c>
      <c r="E406" s="1">
        <v>45389</v>
      </c>
      <c r="F406" s="3">
        <v>45418</v>
      </c>
      <c r="G406" t="s">
        <v>41</v>
      </c>
      <c r="H406" t="s">
        <v>42</v>
      </c>
      <c r="I406" t="s">
        <v>54</v>
      </c>
      <c r="J406">
        <v>25234.13</v>
      </c>
      <c r="K406">
        <v>29</v>
      </c>
      <c r="L406" t="s">
        <v>36</v>
      </c>
      <c r="M406" t="s">
        <v>25</v>
      </c>
      <c r="N406" t="s">
        <v>44</v>
      </c>
      <c r="O406" t="s">
        <v>49</v>
      </c>
      <c r="P406" t="s">
        <v>38</v>
      </c>
      <c r="Q406">
        <v>3</v>
      </c>
      <c r="R406">
        <v>4369.3500000000004</v>
      </c>
      <c r="S406" t="s">
        <v>29</v>
      </c>
    </row>
    <row r="407" spans="1:19" x14ac:dyDescent="0.3">
      <c r="A407" t="s">
        <v>477</v>
      </c>
      <c r="B407">
        <v>83</v>
      </c>
      <c r="C407" t="s">
        <v>19</v>
      </c>
      <c r="D407" t="s">
        <v>70</v>
      </c>
      <c r="E407" s="1">
        <v>45561</v>
      </c>
      <c r="F407" s="3">
        <v>45570</v>
      </c>
      <c r="G407" t="s">
        <v>52</v>
      </c>
      <c r="H407" t="s">
        <v>53</v>
      </c>
      <c r="I407" t="s">
        <v>91</v>
      </c>
      <c r="J407">
        <v>10192.799999999999</v>
      </c>
      <c r="K407">
        <v>9</v>
      </c>
      <c r="L407" t="s">
        <v>24</v>
      </c>
      <c r="M407" t="s">
        <v>25</v>
      </c>
      <c r="N407" t="s">
        <v>26</v>
      </c>
      <c r="O407" t="s">
        <v>49</v>
      </c>
      <c r="P407" t="s">
        <v>28</v>
      </c>
      <c r="Q407">
        <v>15</v>
      </c>
      <c r="R407">
        <v>1674.2</v>
      </c>
      <c r="S407" t="s">
        <v>29</v>
      </c>
    </row>
    <row r="408" spans="1:19" x14ac:dyDescent="0.3">
      <c r="A408" t="s">
        <v>478</v>
      </c>
      <c r="B408">
        <v>44</v>
      </c>
      <c r="C408" t="s">
        <v>31</v>
      </c>
      <c r="D408" t="s">
        <v>89</v>
      </c>
      <c r="E408" s="1">
        <v>45605</v>
      </c>
      <c r="F408" s="3">
        <v>45623</v>
      </c>
      <c r="G408" t="s">
        <v>21</v>
      </c>
      <c r="H408" t="s">
        <v>22</v>
      </c>
      <c r="I408" t="s">
        <v>23</v>
      </c>
      <c r="J408">
        <v>6605.59</v>
      </c>
      <c r="K408">
        <v>18</v>
      </c>
      <c r="L408" t="s">
        <v>36</v>
      </c>
      <c r="M408" t="s">
        <v>59</v>
      </c>
      <c r="N408" t="s">
        <v>26</v>
      </c>
      <c r="O408" t="s">
        <v>27</v>
      </c>
      <c r="P408" t="s">
        <v>28</v>
      </c>
      <c r="Q408">
        <v>13</v>
      </c>
      <c r="R408">
        <v>1900.23</v>
      </c>
      <c r="S408" t="s">
        <v>29</v>
      </c>
    </row>
    <row r="409" spans="1:19" x14ac:dyDescent="0.3">
      <c r="A409" t="s">
        <v>479</v>
      </c>
      <c r="B409">
        <v>65</v>
      </c>
      <c r="C409" t="s">
        <v>19</v>
      </c>
      <c r="D409" t="s">
        <v>61</v>
      </c>
      <c r="E409" s="1">
        <v>45353</v>
      </c>
      <c r="F409" s="3">
        <v>45373</v>
      </c>
      <c r="G409" t="s">
        <v>67</v>
      </c>
      <c r="H409" t="s">
        <v>42</v>
      </c>
      <c r="I409" t="s">
        <v>58</v>
      </c>
      <c r="J409">
        <v>8771.9500000000007</v>
      </c>
      <c r="K409">
        <v>20</v>
      </c>
      <c r="L409" t="s">
        <v>36</v>
      </c>
      <c r="M409" t="s">
        <v>101</v>
      </c>
      <c r="N409" t="s">
        <v>26</v>
      </c>
      <c r="O409" t="s">
        <v>56</v>
      </c>
      <c r="P409" t="s">
        <v>45</v>
      </c>
      <c r="Q409">
        <v>2</v>
      </c>
      <c r="R409">
        <v>2277.69</v>
      </c>
      <c r="S409" t="s">
        <v>29</v>
      </c>
    </row>
    <row r="410" spans="1:19" x14ac:dyDescent="0.3">
      <c r="A410" t="s">
        <v>480</v>
      </c>
      <c r="B410">
        <v>61</v>
      </c>
      <c r="C410" t="s">
        <v>31</v>
      </c>
      <c r="D410" t="s">
        <v>89</v>
      </c>
      <c r="E410" s="1">
        <v>45785</v>
      </c>
      <c r="F410" s="3">
        <v>45789</v>
      </c>
      <c r="G410" t="s">
        <v>71</v>
      </c>
      <c r="H410" t="s">
        <v>72</v>
      </c>
      <c r="I410" t="s">
        <v>91</v>
      </c>
      <c r="J410">
        <v>3235.71</v>
      </c>
      <c r="K410">
        <v>4</v>
      </c>
      <c r="L410" t="s">
        <v>24</v>
      </c>
      <c r="M410" t="s">
        <v>25</v>
      </c>
      <c r="N410" t="s">
        <v>26</v>
      </c>
      <c r="O410" t="s">
        <v>56</v>
      </c>
      <c r="P410" t="s">
        <v>45</v>
      </c>
      <c r="Q410">
        <v>11</v>
      </c>
      <c r="R410">
        <v>947.95</v>
      </c>
      <c r="S410" t="s">
        <v>29</v>
      </c>
    </row>
    <row r="411" spans="1:19" x14ac:dyDescent="0.3">
      <c r="A411" t="s">
        <v>481</v>
      </c>
      <c r="B411">
        <v>24</v>
      </c>
      <c r="C411" t="s">
        <v>19</v>
      </c>
      <c r="D411" t="s">
        <v>70</v>
      </c>
      <c r="E411" s="1">
        <v>45922</v>
      </c>
      <c r="F411" s="3">
        <v>45939</v>
      </c>
      <c r="G411" t="s">
        <v>67</v>
      </c>
      <c r="H411" t="s">
        <v>42</v>
      </c>
      <c r="I411" t="s">
        <v>91</v>
      </c>
      <c r="J411">
        <v>5229.24</v>
      </c>
      <c r="K411">
        <v>17</v>
      </c>
      <c r="L411" t="s">
        <v>36</v>
      </c>
      <c r="M411" t="s">
        <v>59</v>
      </c>
      <c r="N411" t="s">
        <v>44</v>
      </c>
      <c r="O411" t="s">
        <v>27</v>
      </c>
      <c r="P411" t="s">
        <v>50</v>
      </c>
      <c r="Q411">
        <v>10</v>
      </c>
      <c r="R411">
        <v>1200.92</v>
      </c>
      <c r="S411" t="s">
        <v>29</v>
      </c>
    </row>
    <row r="412" spans="1:19" x14ac:dyDescent="0.3">
      <c r="A412" t="s">
        <v>482</v>
      </c>
      <c r="B412">
        <v>35</v>
      </c>
      <c r="C412" t="s">
        <v>31</v>
      </c>
      <c r="D412" t="s">
        <v>89</v>
      </c>
      <c r="E412" s="1">
        <v>45736</v>
      </c>
      <c r="F412" s="3">
        <v>45746</v>
      </c>
      <c r="G412" t="s">
        <v>33</v>
      </c>
      <c r="H412" t="s">
        <v>34</v>
      </c>
      <c r="I412" t="s">
        <v>91</v>
      </c>
      <c r="J412">
        <v>9397.2199999999993</v>
      </c>
      <c r="K412">
        <v>10</v>
      </c>
      <c r="L412" t="s">
        <v>24</v>
      </c>
      <c r="M412" t="s">
        <v>25</v>
      </c>
      <c r="N412" t="s">
        <v>55</v>
      </c>
      <c r="O412" t="s">
        <v>37</v>
      </c>
      <c r="P412" t="s">
        <v>38</v>
      </c>
      <c r="Q412">
        <v>9</v>
      </c>
      <c r="R412">
        <v>2729.21</v>
      </c>
      <c r="S412" t="s">
        <v>29</v>
      </c>
    </row>
    <row r="413" spans="1:19" x14ac:dyDescent="0.3">
      <c r="A413" t="s">
        <v>483</v>
      </c>
      <c r="B413">
        <v>50</v>
      </c>
      <c r="C413" t="s">
        <v>19</v>
      </c>
      <c r="D413" t="s">
        <v>20</v>
      </c>
      <c r="E413" s="1">
        <v>45377</v>
      </c>
      <c r="F413" s="3">
        <v>45384</v>
      </c>
      <c r="G413" t="s">
        <v>74</v>
      </c>
      <c r="H413" t="s">
        <v>75</v>
      </c>
      <c r="I413" t="s">
        <v>83</v>
      </c>
      <c r="J413">
        <v>7752.02</v>
      </c>
      <c r="K413">
        <v>7</v>
      </c>
      <c r="L413" t="s">
        <v>24</v>
      </c>
      <c r="M413" t="s">
        <v>59</v>
      </c>
      <c r="N413" t="s">
        <v>55</v>
      </c>
      <c r="O413" t="s">
        <v>49</v>
      </c>
      <c r="P413" t="s">
        <v>28</v>
      </c>
      <c r="Q413">
        <v>4</v>
      </c>
      <c r="R413">
        <v>2651.13</v>
      </c>
      <c r="S413" t="s">
        <v>39</v>
      </c>
    </row>
    <row r="414" spans="1:19" x14ac:dyDescent="0.3">
      <c r="A414" t="s">
        <v>484</v>
      </c>
      <c r="B414">
        <v>18</v>
      </c>
      <c r="C414" t="s">
        <v>31</v>
      </c>
      <c r="D414" t="s">
        <v>66</v>
      </c>
      <c r="E414" s="1">
        <v>45336</v>
      </c>
      <c r="F414" s="3">
        <v>45337</v>
      </c>
      <c r="G414" t="s">
        <v>33</v>
      </c>
      <c r="H414" t="s">
        <v>34</v>
      </c>
      <c r="I414" t="s">
        <v>81</v>
      </c>
      <c r="J414">
        <v>1016.03</v>
      </c>
      <c r="K414">
        <v>1</v>
      </c>
      <c r="L414" t="s">
        <v>24</v>
      </c>
      <c r="M414" t="s">
        <v>25</v>
      </c>
      <c r="N414" t="s">
        <v>26</v>
      </c>
      <c r="O414" t="s">
        <v>37</v>
      </c>
      <c r="P414" t="s">
        <v>38</v>
      </c>
      <c r="Q414">
        <v>13</v>
      </c>
      <c r="R414">
        <v>238.34</v>
      </c>
      <c r="S414" t="s">
        <v>29</v>
      </c>
    </row>
    <row r="415" spans="1:19" x14ac:dyDescent="0.3">
      <c r="A415" t="s">
        <v>485</v>
      </c>
      <c r="B415">
        <v>61</v>
      </c>
      <c r="C415" t="s">
        <v>31</v>
      </c>
      <c r="D415" t="s">
        <v>61</v>
      </c>
      <c r="E415" s="1">
        <v>45765</v>
      </c>
      <c r="F415" s="3">
        <v>45776</v>
      </c>
      <c r="G415" t="s">
        <v>21</v>
      </c>
      <c r="H415" t="s">
        <v>22</v>
      </c>
      <c r="I415" t="s">
        <v>81</v>
      </c>
      <c r="J415">
        <v>7887.92</v>
      </c>
      <c r="K415">
        <v>11</v>
      </c>
      <c r="L415" t="s">
        <v>24</v>
      </c>
      <c r="M415" t="s">
        <v>25</v>
      </c>
      <c r="N415" t="s">
        <v>44</v>
      </c>
      <c r="O415" t="s">
        <v>27</v>
      </c>
      <c r="P415" t="s">
        <v>38</v>
      </c>
      <c r="Q415">
        <v>4</v>
      </c>
      <c r="R415">
        <v>1826.38</v>
      </c>
      <c r="S415" t="s">
        <v>29</v>
      </c>
    </row>
    <row r="416" spans="1:19" x14ac:dyDescent="0.3">
      <c r="A416" t="s">
        <v>486</v>
      </c>
      <c r="B416">
        <v>21</v>
      </c>
      <c r="C416" t="s">
        <v>31</v>
      </c>
      <c r="D416" t="s">
        <v>79</v>
      </c>
      <c r="E416" s="1">
        <v>45605</v>
      </c>
      <c r="F416" s="3">
        <v>45613</v>
      </c>
      <c r="G416" t="s">
        <v>62</v>
      </c>
      <c r="H416" t="s">
        <v>63</v>
      </c>
      <c r="I416" t="s">
        <v>54</v>
      </c>
      <c r="J416">
        <v>11318.41</v>
      </c>
      <c r="K416">
        <v>8</v>
      </c>
      <c r="L416" t="s">
        <v>24</v>
      </c>
      <c r="M416" t="s">
        <v>25</v>
      </c>
      <c r="N416" t="s">
        <v>55</v>
      </c>
      <c r="O416" t="s">
        <v>49</v>
      </c>
      <c r="P416" t="s">
        <v>50</v>
      </c>
      <c r="Q416">
        <v>9</v>
      </c>
      <c r="R416">
        <v>2698.24</v>
      </c>
      <c r="S416" t="s">
        <v>29</v>
      </c>
    </row>
    <row r="417" spans="1:19" x14ac:dyDescent="0.3">
      <c r="A417" t="s">
        <v>487</v>
      </c>
      <c r="B417">
        <v>63</v>
      </c>
      <c r="C417" t="s">
        <v>31</v>
      </c>
      <c r="D417" t="s">
        <v>79</v>
      </c>
      <c r="E417" s="1">
        <v>45207</v>
      </c>
      <c r="F417" s="3">
        <v>45222</v>
      </c>
      <c r="G417" t="s">
        <v>71</v>
      </c>
      <c r="H417" t="s">
        <v>72</v>
      </c>
      <c r="I417" t="s">
        <v>91</v>
      </c>
      <c r="J417">
        <v>8163.83</v>
      </c>
      <c r="K417">
        <v>15</v>
      </c>
      <c r="L417" t="s">
        <v>36</v>
      </c>
      <c r="M417" t="s">
        <v>25</v>
      </c>
      <c r="N417" t="s">
        <v>26</v>
      </c>
      <c r="O417" t="s">
        <v>56</v>
      </c>
      <c r="P417" t="s">
        <v>45</v>
      </c>
      <c r="Q417">
        <v>15</v>
      </c>
      <c r="R417">
        <v>1833.71</v>
      </c>
      <c r="S417" t="s">
        <v>39</v>
      </c>
    </row>
    <row r="418" spans="1:19" x14ac:dyDescent="0.3">
      <c r="A418" t="s">
        <v>488</v>
      </c>
      <c r="B418">
        <v>83</v>
      </c>
      <c r="C418" t="s">
        <v>31</v>
      </c>
      <c r="D418" t="s">
        <v>47</v>
      </c>
      <c r="E418" s="1">
        <v>45327</v>
      </c>
      <c r="F418" s="3">
        <v>45345</v>
      </c>
      <c r="G418" t="s">
        <v>67</v>
      </c>
      <c r="H418" t="s">
        <v>42</v>
      </c>
      <c r="I418" t="s">
        <v>43</v>
      </c>
      <c r="J418">
        <v>12704.59</v>
      </c>
      <c r="K418">
        <v>18</v>
      </c>
      <c r="L418" t="s">
        <v>36</v>
      </c>
      <c r="M418" t="s">
        <v>25</v>
      </c>
      <c r="N418" t="s">
        <v>44</v>
      </c>
      <c r="O418" t="s">
        <v>37</v>
      </c>
      <c r="P418" t="s">
        <v>45</v>
      </c>
      <c r="Q418">
        <v>6</v>
      </c>
      <c r="R418">
        <v>4355.09</v>
      </c>
      <c r="S418" t="s">
        <v>29</v>
      </c>
    </row>
    <row r="419" spans="1:19" x14ac:dyDescent="0.3">
      <c r="A419" t="s">
        <v>489</v>
      </c>
      <c r="B419">
        <v>82</v>
      </c>
      <c r="C419" t="s">
        <v>31</v>
      </c>
      <c r="D419" t="s">
        <v>20</v>
      </c>
      <c r="E419" s="1">
        <v>45682</v>
      </c>
      <c r="F419" s="3">
        <v>45694</v>
      </c>
      <c r="G419" t="s">
        <v>67</v>
      </c>
      <c r="H419" t="s">
        <v>42</v>
      </c>
      <c r="I419" t="s">
        <v>23</v>
      </c>
      <c r="J419">
        <v>12885.99</v>
      </c>
      <c r="K419">
        <v>12</v>
      </c>
      <c r="L419" t="s">
        <v>36</v>
      </c>
      <c r="M419" t="s">
        <v>25</v>
      </c>
      <c r="N419" t="s">
        <v>44</v>
      </c>
      <c r="O419" t="s">
        <v>49</v>
      </c>
      <c r="P419" t="s">
        <v>28</v>
      </c>
      <c r="Q419">
        <v>4</v>
      </c>
      <c r="R419">
        <v>2402.81</v>
      </c>
      <c r="S419" t="s">
        <v>39</v>
      </c>
    </row>
    <row r="420" spans="1:19" x14ac:dyDescent="0.3">
      <c r="A420" t="s">
        <v>490</v>
      </c>
      <c r="B420">
        <v>34</v>
      </c>
      <c r="C420" t="s">
        <v>19</v>
      </c>
      <c r="D420" t="s">
        <v>61</v>
      </c>
      <c r="E420" s="1">
        <v>45798</v>
      </c>
      <c r="F420" s="3">
        <v>45816</v>
      </c>
      <c r="G420" t="s">
        <v>74</v>
      </c>
      <c r="H420" t="s">
        <v>75</v>
      </c>
      <c r="I420" t="s">
        <v>54</v>
      </c>
      <c r="J420">
        <v>7995.96</v>
      </c>
      <c r="K420">
        <v>18</v>
      </c>
      <c r="L420" t="s">
        <v>36</v>
      </c>
      <c r="M420" t="s">
        <v>25</v>
      </c>
      <c r="N420" t="s">
        <v>26</v>
      </c>
      <c r="O420" t="s">
        <v>56</v>
      </c>
      <c r="P420" t="s">
        <v>50</v>
      </c>
      <c r="Q420">
        <v>1</v>
      </c>
      <c r="R420">
        <v>2680.02</v>
      </c>
      <c r="S420" t="s">
        <v>29</v>
      </c>
    </row>
    <row r="421" spans="1:19" x14ac:dyDescent="0.3">
      <c r="A421" t="s">
        <v>491</v>
      </c>
      <c r="B421">
        <v>87</v>
      </c>
      <c r="C421" t="s">
        <v>19</v>
      </c>
      <c r="D421" t="s">
        <v>61</v>
      </c>
      <c r="E421" s="1">
        <v>45705</v>
      </c>
      <c r="F421" s="3">
        <v>45733</v>
      </c>
      <c r="G421" t="s">
        <v>41</v>
      </c>
      <c r="H421" t="s">
        <v>42</v>
      </c>
      <c r="I421" t="s">
        <v>54</v>
      </c>
      <c r="J421">
        <v>15415.07</v>
      </c>
      <c r="K421">
        <v>28</v>
      </c>
      <c r="L421" t="s">
        <v>24</v>
      </c>
      <c r="M421" t="s">
        <v>25</v>
      </c>
      <c r="N421" t="s">
        <v>26</v>
      </c>
      <c r="O421" t="s">
        <v>49</v>
      </c>
      <c r="P421" t="s">
        <v>50</v>
      </c>
      <c r="Q421">
        <v>10</v>
      </c>
      <c r="R421">
        <v>3134.23</v>
      </c>
      <c r="S421" t="s">
        <v>29</v>
      </c>
    </row>
    <row r="422" spans="1:19" x14ac:dyDescent="0.3">
      <c r="A422" t="s">
        <v>492</v>
      </c>
      <c r="B422">
        <v>74</v>
      </c>
      <c r="C422" t="s">
        <v>19</v>
      </c>
      <c r="D422" t="s">
        <v>70</v>
      </c>
      <c r="E422" s="1">
        <v>45073</v>
      </c>
      <c r="F422" s="3">
        <v>45078</v>
      </c>
      <c r="G422" t="s">
        <v>41</v>
      </c>
      <c r="H422" t="s">
        <v>42</v>
      </c>
      <c r="I422" t="s">
        <v>43</v>
      </c>
      <c r="J422">
        <v>4638.74</v>
      </c>
      <c r="K422">
        <v>5</v>
      </c>
      <c r="L422" t="s">
        <v>36</v>
      </c>
      <c r="M422" t="s">
        <v>59</v>
      </c>
      <c r="N422" t="s">
        <v>55</v>
      </c>
      <c r="O422" t="s">
        <v>27</v>
      </c>
      <c r="P422" t="s">
        <v>45</v>
      </c>
      <c r="Q422">
        <v>6</v>
      </c>
      <c r="R422">
        <v>1190.8900000000001</v>
      </c>
      <c r="S422" t="s">
        <v>39</v>
      </c>
    </row>
    <row r="423" spans="1:19" x14ac:dyDescent="0.3">
      <c r="A423" t="s">
        <v>493</v>
      </c>
      <c r="B423">
        <v>69</v>
      </c>
      <c r="C423" t="s">
        <v>19</v>
      </c>
      <c r="D423" t="s">
        <v>89</v>
      </c>
      <c r="E423" s="1">
        <v>45302</v>
      </c>
      <c r="F423" s="3">
        <v>45320</v>
      </c>
      <c r="G423" t="s">
        <v>41</v>
      </c>
      <c r="H423" t="s">
        <v>42</v>
      </c>
      <c r="I423" t="s">
        <v>81</v>
      </c>
      <c r="J423">
        <v>10003</v>
      </c>
      <c r="K423">
        <v>18</v>
      </c>
      <c r="L423" t="s">
        <v>36</v>
      </c>
      <c r="M423" t="s">
        <v>25</v>
      </c>
      <c r="N423" t="s">
        <v>55</v>
      </c>
      <c r="O423" t="s">
        <v>56</v>
      </c>
      <c r="P423" t="s">
        <v>28</v>
      </c>
      <c r="Q423">
        <v>13</v>
      </c>
      <c r="R423">
        <v>3181.9</v>
      </c>
      <c r="S423" t="s">
        <v>29</v>
      </c>
    </row>
    <row r="424" spans="1:19" x14ac:dyDescent="0.3">
      <c r="A424" t="s">
        <v>494</v>
      </c>
      <c r="B424">
        <v>20</v>
      </c>
      <c r="C424" t="s">
        <v>31</v>
      </c>
      <c r="D424" t="s">
        <v>47</v>
      </c>
      <c r="E424" s="1">
        <v>45518</v>
      </c>
      <c r="F424" s="3">
        <v>45540</v>
      </c>
      <c r="G424" t="s">
        <v>48</v>
      </c>
      <c r="H424" t="s">
        <v>22</v>
      </c>
      <c r="I424" t="s">
        <v>58</v>
      </c>
      <c r="J424">
        <v>14746.05</v>
      </c>
      <c r="K424">
        <v>22</v>
      </c>
      <c r="L424" t="s">
        <v>24</v>
      </c>
      <c r="M424" t="s">
        <v>76</v>
      </c>
      <c r="N424" t="s">
        <v>44</v>
      </c>
      <c r="O424" t="s">
        <v>49</v>
      </c>
      <c r="P424" t="s">
        <v>45</v>
      </c>
      <c r="Q424">
        <v>5</v>
      </c>
      <c r="R424">
        <v>2483.21</v>
      </c>
      <c r="S424" t="s">
        <v>29</v>
      </c>
    </row>
    <row r="425" spans="1:19" x14ac:dyDescent="0.3">
      <c r="A425" t="s">
        <v>495</v>
      </c>
      <c r="B425">
        <v>79</v>
      </c>
      <c r="C425" t="s">
        <v>19</v>
      </c>
      <c r="D425" t="s">
        <v>66</v>
      </c>
      <c r="E425" s="1">
        <v>45051</v>
      </c>
      <c r="F425" s="3">
        <v>45066</v>
      </c>
      <c r="G425" t="s">
        <v>48</v>
      </c>
      <c r="H425" t="s">
        <v>22</v>
      </c>
      <c r="I425" t="s">
        <v>81</v>
      </c>
      <c r="J425">
        <v>6528.99</v>
      </c>
      <c r="K425">
        <v>15</v>
      </c>
      <c r="L425" t="s">
        <v>36</v>
      </c>
      <c r="M425" t="s">
        <v>59</v>
      </c>
      <c r="N425" t="s">
        <v>55</v>
      </c>
      <c r="O425" t="s">
        <v>56</v>
      </c>
      <c r="P425" t="s">
        <v>50</v>
      </c>
      <c r="Q425">
        <v>6</v>
      </c>
      <c r="R425">
        <v>1125.74</v>
      </c>
      <c r="S425" t="s">
        <v>29</v>
      </c>
    </row>
    <row r="426" spans="1:19" x14ac:dyDescent="0.3">
      <c r="A426" t="s">
        <v>496</v>
      </c>
      <c r="B426">
        <v>52</v>
      </c>
      <c r="C426" t="s">
        <v>19</v>
      </c>
      <c r="D426" t="s">
        <v>61</v>
      </c>
      <c r="E426" s="1">
        <v>45855</v>
      </c>
      <c r="F426" s="3">
        <v>45861</v>
      </c>
      <c r="G426" t="s">
        <v>67</v>
      </c>
      <c r="H426" t="s">
        <v>42</v>
      </c>
      <c r="I426" t="s">
        <v>58</v>
      </c>
      <c r="J426">
        <v>2619.9899999999998</v>
      </c>
      <c r="K426">
        <v>6</v>
      </c>
      <c r="L426" t="s">
        <v>24</v>
      </c>
      <c r="M426" t="s">
        <v>25</v>
      </c>
      <c r="N426" t="s">
        <v>44</v>
      </c>
      <c r="O426" t="s">
        <v>27</v>
      </c>
      <c r="P426" t="s">
        <v>45</v>
      </c>
      <c r="Q426">
        <v>1</v>
      </c>
      <c r="R426">
        <v>713.22</v>
      </c>
      <c r="S426" t="s">
        <v>29</v>
      </c>
    </row>
    <row r="427" spans="1:19" x14ac:dyDescent="0.3">
      <c r="A427" t="s">
        <v>497</v>
      </c>
      <c r="B427">
        <v>19</v>
      </c>
      <c r="C427" t="s">
        <v>31</v>
      </c>
      <c r="D427" t="s">
        <v>89</v>
      </c>
      <c r="E427" s="1">
        <v>45773</v>
      </c>
      <c r="F427" s="3">
        <v>45789</v>
      </c>
      <c r="G427" t="s">
        <v>33</v>
      </c>
      <c r="H427" t="s">
        <v>34</v>
      </c>
      <c r="I427" t="s">
        <v>23</v>
      </c>
      <c r="J427">
        <v>8114.15</v>
      </c>
      <c r="K427">
        <v>16</v>
      </c>
      <c r="L427" t="s">
        <v>24</v>
      </c>
      <c r="M427" t="s">
        <v>101</v>
      </c>
      <c r="N427" t="s">
        <v>26</v>
      </c>
      <c r="O427" t="s">
        <v>27</v>
      </c>
      <c r="P427" t="s">
        <v>45</v>
      </c>
      <c r="Q427">
        <v>4</v>
      </c>
      <c r="R427">
        <v>2266.35</v>
      </c>
      <c r="S427" t="s">
        <v>39</v>
      </c>
    </row>
    <row r="428" spans="1:19" x14ac:dyDescent="0.3">
      <c r="A428" t="s">
        <v>498</v>
      </c>
      <c r="B428">
        <v>75</v>
      </c>
      <c r="C428" t="s">
        <v>19</v>
      </c>
      <c r="D428" t="s">
        <v>66</v>
      </c>
      <c r="E428" s="1">
        <v>45645</v>
      </c>
      <c r="F428" s="3">
        <v>45661</v>
      </c>
      <c r="G428" t="s">
        <v>33</v>
      </c>
      <c r="H428" t="s">
        <v>34</v>
      </c>
      <c r="I428" t="s">
        <v>81</v>
      </c>
      <c r="J428">
        <v>6237.6</v>
      </c>
      <c r="K428">
        <v>16</v>
      </c>
      <c r="L428" t="s">
        <v>24</v>
      </c>
      <c r="M428" t="s">
        <v>25</v>
      </c>
      <c r="N428" t="s">
        <v>55</v>
      </c>
      <c r="O428" t="s">
        <v>27</v>
      </c>
      <c r="P428" t="s">
        <v>45</v>
      </c>
      <c r="Q428">
        <v>11</v>
      </c>
      <c r="R428">
        <v>2014.49</v>
      </c>
      <c r="S428" t="s">
        <v>29</v>
      </c>
    </row>
    <row r="429" spans="1:19" x14ac:dyDescent="0.3">
      <c r="A429" t="s">
        <v>499</v>
      </c>
      <c r="B429">
        <v>52</v>
      </c>
      <c r="C429" t="s">
        <v>19</v>
      </c>
      <c r="D429" t="s">
        <v>47</v>
      </c>
      <c r="E429" s="1">
        <v>45015</v>
      </c>
      <c r="F429" s="3">
        <v>45028</v>
      </c>
      <c r="G429" t="s">
        <v>71</v>
      </c>
      <c r="H429" t="s">
        <v>72</v>
      </c>
      <c r="I429" t="s">
        <v>23</v>
      </c>
      <c r="J429">
        <v>8682.7099999999991</v>
      </c>
      <c r="K429">
        <v>13</v>
      </c>
      <c r="L429" t="s">
        <v>36</v>
      </c>
      <c r="M429" t="s">
        <v>25</v>
      </c>
      <c r="N429" t="s">
        <v>26</v>
      </c>
      <c r="O429" t="s">
        <v>56</v>
      </c>
      <c r="P429" t="s">
        <v>45</v>
      </c>
      <c r="Q429">
        <v>14</v>
      </c>
      <c r="R429">
        <v>2400.41</v>
      </c>
      <c r="S429" t="s">
        <v>39</v>
      </c>
    </row>
    <row r="430" spans="1:19" x14ac:dyDescent="0.3">
      <c r="A430" t="s">
        <v>500</v>
      </c>
      <c r="B430">
        <v>63</v>
      </c>
      <c r="C430" t="s">
        <v>31</v>
      </c>
      <c r="D430" t="s">
        <v>32</v>
      </c>
      <c r="E430" s="1">
        <v>45072</v>
      </c>
      <c r="F430" s="3">
        <v>45092</v>
      </c>
      <c r="G430" t="s">
        <v>74</v>
      </c>
      <c r="H430" t="s">
        <v>75</v>
      </c>
      <c r="I430" t="s">
        <v>81</v>
      </c>
      <c r="J430">
        <v>14857.71</v>
      </c>
      <c r="K430">
        <v>20</v>
      </c>
      <c r="L430" t="s">
        <v>36</v>
      </c>
      <c r="M430" t="s">
        <v>25</v>
      </c>
      <c r="N430" t="s">
        <v>26</v>
      </c>
      <c r="O430" t="s">
        <v>37</v>
      </c>
      <c r="P430" t="s">
        <v>28</v>
      </c>
      <c r="Q430">
        <v>13</v>
      </c>
      <c r="R430">
        <v>5753.14</v>
      </c>
      <c r="S430" t="s">
        <v>29</v>
      </c>
    </row>
    <row r="431" spans="1:19" x14ac:dyDescent="0.3">
      <c r="A431" t="s">
        <v>501</v>
      </c>
      <c r="B431">
        <v>46</v>
      </c>
      <c r="C431" t="s">
        <v>31</v>
      </c>
      <c r="D431" t="s">
        <v>89</v>
      </c>
      <c r="E431" s="1">
        <v>45441</v>
      </c>
      <c r="F431" s="3">
        <v>45448</v>
      </c>
      <c r="G431" t="s">
        <v>62</v>
      </c>
      <c r="H431" t="s">
        <v>63</v>
      </c>
      <c r="I431" t="s">
        <v>23</v>
      </c>
      <c r="J431">
        <v>7657.85</v>
      </c>
      <c r="K431">
        <v>7</v>
      </c>
      <c r="L431" t="s">
        <v>24</v>
      </c>
      <c r="M431" t="s">
        <v>59</v>
      </c>
      <c r="N431" t="s">
        <v>26</v>
      </c>
      <c r="O431" t="s">
        <v>49</v>
      </c>
      <c r="P431" t="s">
        <v>38</v>
      </c>
      <c r="Q431">
        <v>7</v>
      </c>
      <c r="R431">
        <v>1714.91</v>
      </c>
      <c r="S431" t="s">
        <v>29</v>
      </c>
    </row>
    <row r="432" spans="1:19" x14ac:dyDescent="0.3">
      <c r="A432" t="s">
        <v>502</v>
      </c>
      <c r="B432">
        <v>68</v>
      </c>
      <c r="C432" t="s">
        <v>19</v>
      </c>
      <c r="D432" t="s">
        <v>32</v>
      </c>
      <c r="E432" s="1">
        <v>45085</v>
      </c>
      <c r="F432" s="3">
        <v>45098</v>
      </c>
      <c r="G432" t="s">
        <v>71</v>
      </c>
      <c r="H432" t="s">
        <v>72</v>
      </c>
      <c r="I432" t="s">
        <v>81</v>
      </c>
      <c r="J432">
        <v>8366.44</v>
      </c>
      <c r="K432">
        <v>13</v>
      </c>
      <c r="L432" t="s">
        <v>24</v>
      </c>
      <c r="M432" t="s">
        <v>25</v>
      </c>
      <c r="N432" t="s">
        <v>26</v>
      </c>
      <c r="O432" t="s">
        <v>56</v>
      </c>
      <c r="P432" t="s">
        <v>38</v>
      </c>
      <c r="Q432">
        <v>9</v>
      </c>
      <c r="R432">
        <v>1859.18</v>
      </c>
      <c r="S432" t="s">
        <v>29</v>
      </c>
    </row>
    <row r="433" spans="1:19" x14ac:dyDescent="0.3">
      <c r="A433" t="s">
        <v>503</v>
      </c>
      <c r="B433">
        <v>34</v>
      </c>
      <c r="C433" t="s">
        <v>31</v>
      </c>
      <c r="D433" t="s">
        <v>79</v>
      </c>
      <c r="E433" s="1">
        <v>45445</v>
      </c>
      <c r="F433" s="3">
        <v>45460</v>
      </c>
      <c r="G433" t="s">
        <v>74</v>
      </c>
      <c r="H433" t="s">
        <v>75</v>
      </c>
      <c r="I433" t="s">
        <v>81</v>
      </c>
      <c r="J433">
        <v>6835.58</v>
      </c>
      <c r="K433">
        <v>15</v>
      </c>
      <c r="L433" t="s">
        <v>24</v>
      </c>
      <c r="M433" t="s">
        <v>25</v>
      </c>
      <c r="N433" t="s">
        <v>26</v>
      </c>
      <c r="O433" t="s">
        <v>37</v>
      </c>
      <c r="P433" t="s">
        <v>28</v>
      </c>
      <c r="Q433">
        <v>3</v>
      </c>
      <c r="R433">
        <v>1495.52</v>
      </c>
      <c r="S433" t="s">
        <v>29</v>
      </c>
    </row>
    <row r="434" spans="1:19" x14ac:dyDescent="0.3">
      <c r="A434" t="s">
        <v>504</v>
      </c>
      <c r="B434">
        <v>33</v>
      </c>
      <c r="C434" t="s">
        <v>31</v>
      </c>
      <c r="D434" t="s">
        <v>70</v>
      </c>
      <c r="E434" s="1">
        <v>45425</v>
      </c>
      <c r="F434" s="3">
        <v>45429</v>
      </c>
      <c r="G434" t="s">
        <v>52</v>
      </c>
      <c r="H434" t="s">
        <v>53</v>
      </c>
      <c r="I434" t="s">
        <v>35</v>
      </c>
      <c r="J434">
        <v>4301.3500000000004</v>
      </c>
      <c r="K434">
        <v>4</v>
      </c>
      <c r="L434" t="s">
        <v>24</v>
      </c>
      <c r="M434" t="s">
        <v>25</v>
      </c>
      <c r="N434" t="s">
        <v>44</v>
      </c>
      <c r="O434" t="s">
        <v>37</v>
      </c>
      <c r="P434" t="s">
        <v>28</v>
      </c>
      <c r="Q434">
        <v>2</v>
      </c>
      <c r="R434">
        <v>1666.24</v>
      </c>
      <c r="S434" t="s">
        <v>29</v>
      </c>
    </row>
    <row r="435" spans="1:19" x14ac:dyDescent="0.3">
      <c r="A435" t="s">
        <v>505</v>
      </c>
      <c r="B435">
        <v>63</v>
      </c>
      <c r="C435" t="s">
        <v>19</v>
      </c>
      <c r="D435" t="s">
        <v>79</v>
      </c>
      <c r="E435" s="1">
        <v>45335</v>
      </c>
      <c r="F435" s="3">
        <v>45337</v>
      </c>
      <c r="G435" t="s">
        <v>48</v>
      </c>
      <c r="H435" t="s">
        <v>22</v>
      </c>
      <c r="I435" t="s">
        <v>35</v>
      </c>
      <c r="J435">
        <v>1831.18</v>
      </c>
      <c r="K435">
        <v>2</v>
      </c>
      <c r="L435" t="s">
        <v>36</v>
      </c>
      <c r="M435" t="s">
        <v>25</v>
      </c>
      <c r="N435" t="s">
        <v>55</v>
      </c>
      <c r="O435" t="s">
        <v>27</v>
      </c>
      <c r="P435" t="s">
        <v>50</v>
      </c>
      <c r="Q435">
        <v>9</v>
      </c>
      <c r="R435">
        <v>714.41</v>
      </c>
      <c r="S435" t="s">
        <v>29</v>
      </c>
    </row>
    <row r="436" spans="1:19" x14ac:dyDescent="0.3">
      <c r="A436" t="s">
        <v>506</v>
      </c>
      <c r="B436">
        <v>65</v>
      </c>
      <c r="C436" t="s">
        <v>19</v>
      </c>
      <c r="D436" t="s">
        <v>70</v>
      </c>
      <c r="E436" s="1">
        <v>45256</v>
      </c>
      <c r="F436" s="3">
        <v>45265</v>
      </c>
      <c r="G436" t="s">
        <v>67</v>
      </c>
      <c r="H436" t="s">
        <v>42</v>
      </c>
      <c r="I436" t="s">
        <v>54</v>
      </c>
      <c r="J436">
        <v>7447.37</v>
      </c>
      <c r="K436">
        <v>9</v>
      </c>
      <c r="L436" t="s">
        <v>24</v>
      </c>
      <c r="M436" t="s">
        <v>25</v>
      </c>
      <c r="N436" t="s">
        <v>26</v>
      </c>
      <c r="O436" t="s">
        <v>37</v>
      </c>
      <c r="P436" t="s">
        <v>50</v>
      </c>
      <c r="Q436">
        <v>3</v>
      </c>
      <c r="R436">
        <v>1165.68</v>
      </c>
      <c r="S436" t="s">
        <v>29</v>
      </c>
    </row>
    <row r="437" spans="1:19" x14ac:dyDescent="0.3">
      <c r="A437" t="s">
        <v>507</v>
      </c>
      <c r="B437">
        <v>63</v>
      </c>
      <c r="C437" t="s">
        <v>19</v>
      </c>
      <c r="D437" t="s">
        <v>89</v>
      </c>
      <c r="E437" s="1">
        <v>45333</v>
      </c>
      <c r="F437" s="3">
        <v>45352</v>
      </c>
      <c r="G437" t="s">
        <v>71</v>
      </c>
      <c r="H437" t="s">
        <v>72</v>
      </c>
      <c r="I437" t="s">
        <v>54</v>
      </c>
      <c r="J437">
        <v>4344.78</v>
      </c>
      <c r="K437">
        <v>19</v>
      </c>
      <c r="L437" t="s">
        <v>24</v>
      </c>
      <c r="M437" t="s">
        <v>59</v>
      </c>
      <c r="N437" t="s">
        <v>26</v>
      </c>
      <c r="O437" t="s">
        <v>56</v>
      </c>
      <c r="P437" t="s">
        <v>50</v>
      </c>
      <c r="Q437">
        <v>1</v>
      </c>
      <c r="R437">
        <v>1606.87</v>
      </c>
      <c r="S437" t="s">
        <v>29</v>
      </c>
    </row>
    <row r="438" spans="1:19" x14ac:dyDescent="0.3">
      <c r="A438" t="s">
        <v>508</v>
      </c>
      <c r="B438">
        <v>68</v>
      </c>
      <c r="C438" t="s">
        <v>19</v>
      </c>
      <c r="D438" t="s">
        <v>89</v>
      </c>
      <c r="E438" s="1">
        <v>45752</v>
      </c>
      <c r="F438" s="3">
        <v>45762</v>
      </c>
      <c r="G438" t="s">
        <v>52</v>
      </c>
      <c r="H438" t="s">
        <v>53</v>
      </c>
      <c r="I438" t="s">
        <v>83</v>
      </c>
      <c r="J438">
        <v>7187.53</v>
      </c>
      <c r="K438">
        <v>10</v>
      </c>
      <c r="L438" t="s">
        <v>36</v>
      </c>
      <c r="M438" t="s">
        <v>101</v>
      </c>
      <c r="N438" t="s">
        <v>44</v>
      </c>
      <c r="O438" t="s">
        <v>37</v>
      </c>
      <c r="P438" t="s">
        <v>28</v>
      </c>
      <c r="Q438">
        <v>13</v>
      </c>
      <c r="R438">
        <v>2134.11</v>
      </c>
      <c r="S438" t="s">
        <v>29</v>
      </c>
    </row>
    <row r="439" spans="1:19" x14ac:dyDescent="0.3">
      <c r="A439" t="s">
        <v>509</v>
      </c>
      <c r="B439">
        <v>72</v>
      </c>
      <c r="C439" t="s">
        <v>19</v>
      </c>
      <c r="D439" t="s">
        <v>70</v>
      </c>
      <c r="E439" s="1">
        <v>44947</v>
      </c>
      <c r="F439" s="3">
        <v>44970</v>
      </c>
      <c r="G439" t="s">
        <v>74</v>
      </c>
      <c r="H439" t="s">
        <v>75</v>
      </c>
      <c r="I439" t="s">
        <v>43</v>
      </c>
      <c r="J439">
        <v>18994.57</v>
      </c>
      <c r="K439">
        <v>23</v>
      </c>
      <c r="L439" t="s">
        <v>24</v>
      </c>
      <c r="M439" t="s">
        <v>25</v>
      </c>
      <c r="N439" t="s">
        <v>55</v>
      </c>
      <c r="O439" t="s">
        <v>49</v>
      </c>
      <c r="P439" t="s">
        <v>50</v>
      </c>
      <c r="Q439">
        <v>13</v>
      </c>
      <c r="R439">
        <v>5668.5</v>
      </c>
      <c r="S439" t="s">
        <v>29</v>
      </c>
    </row>
    <row r="440" spans="1:19" x14ac:dyDescent="0.3">
      <c r="A440" t="s">
        <v>510</v>
      </c>
      <c r="B440">
        <v>38</v>
      </c>
      <c r="C440" t="s">
        <v>31</v>
      </c>
      <c r="D440" t="s">
        <v>79</v>
      </c>
      <c r="E440" s="1">
        <v>44970</v>
      </c>
      <c r="F440" s="3">
        <v>44989</v>
      </c>
      <c r="G440" t="s">
        <v>48</v>
      </c>
      <c r="H440" t="s">
        <v>22</v>
      </c>
      <c r="I440" t="s">
        <v>23</v>
      </c>
      <c r="J440">
        <v>9705.3799999999992</v>
      </c>
      <c r="K440">
        <v>19</v>
      </c>
      <c r="L440" t="s">
        <v>24</v>
      </c>
      <c r="M440" t="s">
        <v>101</v>
      </c>
      <c r="N440" t="s">
        <v>55</v>
      </c>
      <c r="O440" t="s">
        <v>56</v>
      </c>
      <c r="P440" t="s">
        <v>45</v>
      </c>
      <c r="Q440">
        <v>12</v>
      </c>
      <c r="R440">
        <v>2668.44</v>
      </c>
      <c r="S440" t="s">
        <v>29</v>
      </c>
    </row>
    <row r="441" spans="1:19" x14ac:dyDescent="0.3">
      <c r="A441" t="s">
        <v>511</v>
      </c>
      <c r="B441">
        <v>81</v>
      </c>
      <c r="C441" t="s">
        <v>19</v>
      </c>
      <c r="D441" t="s">
        <v>20</v>
      </c>
      <c r="E441" s="1">
        <v>45231</v>
      </c>
      <c r="F441" s="3">
        <v>45239</v>
      </c>
      <c r="G441" t="s">
        <v>21</v>
      </c>
      <c r="H441" t="s">
        <v>22</v>
      </c>
      <c r="I441" t="s">
        <v>23</v>
      </c>
      <c r="J441">
        <v>4291.1000000000004</v>
      </c>
      <c r="K441">
        <v>8</v>
      </c>
      <c r="L441" t="s">
        <v>24</v>
      </c>
      <c r="M441" t="s">
        <v>101</v>
      </c>
      <c r="N441" t="s">
        <v>55</v>
      </c>
      <c r="O441" t="s">
        <v>37</v>
      </c>
      <c r="P441" t="s">
        <v>45</v>
      </c>
      <c r="Q441">
        <v>15</v>
      </c>
      <c r="R441">
        <v>1024.78</v>
      </c>
      <c r="S441" t="s">
        <v>29</v>
      </c>
    </row>
    <row r="442" spans="1:19" x14ac:dyDescent="0.3">
      <c r="A442" t="s">
        <v>512</v>
      </c>
      <c r="B442">
        <v>53</v>
      </c>
      <c r="C442" t="s">
        <v>31</v>
      </c>
      <c r="D442" t="s">
        <v>20</v>
      </c>
      <c r="E442" s="1">
        <v>45490</v>
      </c>
      <c r="F442" s="3">
        <v>45499</v>
      </c>
      <c r="G442" t="s">
        <v>41</v>
      </c>
      <c r="H442" t="s">
        <v>42</v>
      </c>
      <c r="I442" t="s">
        <v>43</v>
      </c>
      <c r="J442">
        <v>7837.71</v>
      </c>
      <c r="K442">
        <v>9</v>
      </c>
      <c r="L442" t="s">
        <v>36</v>
      </c>
      <c r="M442" t="s">
        <v>59</v>
      </c>
      <c r="N442" t="s">
        <v>44</v>
      </c>
      <c r="O442" t="s">
        <v>56</v>
      </c>
      <c r="P442" t="s">
        <v>45</v>
      </c>
      <c r="Q442">
        <v>5</v>
      </c>
      <c r="R442">
        <v>1442.05</v>
      </c>
      <c r="S442" t="s">
        <v>29</v>
      </c>
    </row>
    <row r="443" spans="1:19" x14ac:dyDescent="0.3">
      <c r="A443" t="s">
        <v>513</v>
      </c>
      <c r="B443">
        <v>68</v>
      </c>
      <c r="C443" t="s">
        <v>31</v>
      </c>
      <c r="D443" t="s">
        <v>70</v>
      </c>
      <c r="E443" s="1">
        <v>45855</v>
      </c>
      <c r="F443" s="3">
        <v>45862</v>
      </c>
      <c r="G443" t="s">
        <v>33</v>
      </c>
      <c r="H443" t="s">
        <v>34</v>
      </c>
      <c r="I443" t="s">
        <v>91</v>
      </c>
      <c r="J443">
        <v>4409.6499999999996</v>
      </c>
      <c r="K443">
        <v>7</v>
      </c>
      <c r="L443" t="s">
        <v>36</v>
      </c>
      <c r="M443" t="s">
        <v>25</v>
      </c>
      <c r="N443" t="s">
        <v>55</v>
      </c>
      <c r="O443" t="s">
        <v>56</v>
      </c>
      <c r="P443" t="s">
        <v>50</v>
      </c>
      <c r="Q443">
        <v>13</v>
      </c>
      <c r="R443">
        <v>1700.24</v>
      </c>
      <c r="S443" t="s">
        <v>29</v>
      </c>
    </row>
    <row r="444" spans="1:19" x14ac:dyDescent="0.3">
      <c r="A444" t="s">
        <v>514</v>
      </c>
      <c r="B444">
        <v>74</v>
      </c>
      <c r="C444" t="s">
        <v>19</v>
      </c>
      <c r="D444" t="s">
        <v>70</v>
      </c>
      <c r="E444" s="1">
        <v>45878</v>
      </c>
      <c r="F444" s="3">
        <v>45886</v>
      </c>
      <c r="G444" t="s">
        <v>74</v>
      </c>
      <c r="H444" t="s">
        <v>75</v>
      </c>
      <c r="I444" t="s">
        <v>81</v>
      </c>
      <c r="J444">
        <v>11918.75</v>
      </c>
      <c r="K444">
        <v>8</v>
      </c>
      <c r="L444" t="s">
        <v>36</v>
      </c>
      <c r="M444" t="s">
        <v>59</v>
      </c>
      <c r="N444" t="s">
        <v>55</v>
      </c>
      <c r="O444" t="s">
        <v>49</v>
      </c>
      <c r="P444" t="s">
        <v>38</v>
      </c>
      <c r="Q444">
        <v>13</v>
      </c>
      <c r="R444">
        <v>2504.5300000000002</v>
      </c>
      <c r="S444" t="s">
        <v>29</v>
      </c>
    </row>
    <row r="445" spans="1:19" x14ac:dyDescent="0.3">
      <c r="A445" t="s">
        <v>515</v>
      </c>
      <c r="B445">
        <v>68</v>
      </c>
      <c r="C445" t="s">
        <v>31</v>
      </c>
      <c r="D445" t="s">
        <v>32</v>
      </c>
      <c r="E445" s="1">
        <v>45665</v>
      </c>
      <c r="F445" s="3">
        <v>45671</v>
      </c>
      <c r="G445" t="s">
        <v>71</v>
      </c>
      <c r="H445" t="s">
        <v>72</v>
      </c>
      <c r="I445" t="s">
        <v>35</v>
      </c>
      <c r="J445">
        <v>6051.4</v>
      </c>
      <c r="K445">
        <v>6</v>
      </c>
      <c r="L445" t="s">
        <v>36</v>
      </c>
      <c r="M445" t="s">
        <v>25</v>
      </c>
      <c r="N445" t="s">
        <v>26</v>
      </c>
      <c r="O445" t="s">
        <v>37</v>
      </c>
      <c r="P445" t="s">
        <v>45</v>
      </c>
      <c r="Q445">
        <v>2</v>
      </c>
      <c r="R445">
        <v>1864.04</v>
      </c>
      <c r="S445" t="s">
        <v>29</v>
      </c>
    </row>
    <row r="446" spans="1:19" x14ac:dyDescent="0.3">
      <c r="A446" t="s">
        <v>516</v>
      </c>
      <c r="B446">
        <v>85</v>
      </c>
      <c r="C446" t="s">
        <v>19</v>
      </c>
      <c r="D446" t="s">
        <v>66</v>
      </c>
      <c r="E446" s="1">
        <v>45060</v>
      </c>
      <c r="F446" s="3">
        <v>45069</v>
      </c>
      <c r="G446" t="s">
        <v>67</v>
      </c>
      <c r="H446" t="s">
        <v>42</v>
      </c>
      <c r="I446" t="s">
        <v>23</v>
      </c>
      <c r="J446">
        <v>9423.33</v>
      </c>
      <c r="K446">
        <v>9</v>
      </c>
      <c r="L446" t="s">
        <v>36</v>
      </c>
      <c r="M446" t="s">
        <v>25</v>
      </c>
      <c r="N446" t="s">
        <v>55</v>
      </c>
      <c r="O446" t="s">
        <v>49</v>
      </c>
      <c r="P446" t="s">
        <v>28</v>
      </c>
      <c r="Q446">
        <v>5</v>
      </c>
      <c r="R446">
        <v>3555.04</v>
      </c>
      <c r="S446" t="s">
        <v>29</v>
      </c>
    </row>
    <row r="447" spans="1:19" x14ac:dyDescent="0.3">
      <c r="A447" t="s">
        <v>517</v>
      </c>
      <c r="B447">
        <v>49</v>
      </c>
      <c r="C447" t="s">
        <v>19</v>
      </c>
      <c r="D447" t="s">
        <v>47</v>
      </c>
      <c r="E447" s="1">
        <v>45682</v>
      </c>
      <c r="F447" s="3">
        <v>45697</v>
      </c>
      <c r="G447" t="s">
        <v>71</v>
      </c>
      <c r="H447" t="s">
        <v>72</v>
      </c>
      <c r="I447" t="s">
        <v>23</v>
      </c>
      <c r="J447">
        <v>10382.19</v>
      </c>
      <c r="K447">
        <v>15</v>
      </c>
      <c r="L447" t="s">
        <v>36</v>
      </c>
      <c r="M447" t="s">
        <v>25</v>
      </c>
      <c r="N447" t="s">
        <v>55</v>
      </c>
      <c r="O447" t="s">
        <v>49</v>
      </c>
      <c r="P447" t="s">
        <v>50</v>
      </c>
      <c r="Q447">
        <v>4</v>
      </c>
      <c r="R447">
        <v>3881.43</v>
      </c>
      <c r="S447" t="s">
        <v>29</v>
      </c>
    </row>
    <row r="448" spans="1:19" x14ac:dyDescent="0.3">
      <c r="A448" t="s">
        <v>518</v>
      </c>
      <c r="B448">
        <v>76</v>
      </c>
      <c r="C448" t="s">
        <v>19</v>
      </c>
      <c r="D448" t="s">
        <v>70</v>
      </c>
      <c r="E448" s="1">
        <v>44946</v>
      </c>
      <c r="F448" s="3">
        <v>44966</v>
      </c>
      <c r="G448" t="s">
        <v>93</v>
      </c>
      <c r="H448" t="s">
        <v>72</v>
      </c>
      <c r="I448" t="s">
        <v>91</v>
      </c>
      <c r="J448">
        <v>13265.45</v>
      </c>
      <c r="K448">
        <v>20</v>
      </c>
      <c r="L448" t="s">
        <v>24</v>
      </c>
      <c r="M448" t="s">
        <v>25</v>
      </c>
      <c r="N448" t="s">
        <v>26</v>
      </c>
      <c r="O448" t="s">
        <v>27</v>
      </c>
      <c r="P448" t="s">
        <v>50</v>
      </c>
      <c r="Q448">
        <v>8</v>
      </c>
      <c r="R448">
        <v>2914.72</v>
      </c>
      <c r="S448" t="s">
        <v>29</v>
      </c>
    </row>
    <row r="449" spans="1:19" x14ac:dyDescent="0.3">
      <c r="A449" t="s">
        <v>519</v>
      </c>
      <c r="B449">
        <v>55</v>
      </c>
      <c r="C449" t="s">
        <v>19</v>
      </c>
      <c r="D449" t="s">
        <v>66</v>
      </c>
      <c r="E449" s="1">
        <v>45735</v>
      </c>
      <c r="F449" s="3">
        <v>45753</v>
      </c>
      <c r="G449" t="s">
        <v>93</v>
      </c>
      <c r="H449" t="s">
        <v>72</v>
      </c>
      <c r="I449" t="s">
        <v>81</v>
      </c>
      <c r="J449">
        <v>13233.46</v>
      </c>
      <c r="K449">
        <v>18</v>
      </c>
      <c r="L449" t="s">
        <v>24</v>
      </c>
      <c r="M449" t="s">
        <v>59</v>
      </c>
      <c r="N449" t="s">
        <v>44</v>
      </c>
      <c r="O449" t="s">
        <v>37</v>
      </c>
      <c r="P449" t="s">
        <v>45</v>
      </c>
      <c r="Q449">
        <v>15</v>
      </c>
      <c r="R449">
        <v>3723.44</v>
      </c>
      <c r="S449" t="s">
        <v>29</v>
      </c>
    </row>
    <row r="450" spans="1:19" x14ac:dyDescent="0.3">
      <c r="A450" t="s">
        <v>520</v>
      </c>
      <c r="B450">
        <v>66</v>
      </c>
      <c r="C450" t="s">
        <v>31</v>
      </c>
      <c r="D450" t="s">
        <v>79</v>
      </c>
      <c r="E450" s="1">
        <v>45152</v>
      </c>
      <c r="F450" s="3">
        <v>45168</v>
      </c>
      <c r="G450" t="s">
        <v>74</v>
      </c>
      <c r="H450" t="s">
        <v>75</v>
      </c>
      <c r="I450" t="s">
        <v>58</v>
      </c>
      <c r="J450">
        <v>8466.82</v>
      </c>
      <c r="K450">
        <v>16</v>
      </c>
      <c r="L450" t="s">
        <v>36</v>
      </c>
      <c r="M450" t="s">
        <v>25</v>
      </c>
      <c r="N450" t="s">
        <v>26</v>
      </c>
      <c r="O450" t="s">
        <v>56</v>
      </c>
      <c r="P450" t="s">
        <v>38</v>
      </c>
      <c r="Q450">
        <v>2</v>
      </c>
      <c r="R450">
        <v>2974.19</v>
      </c>
      <c r="S450" t="s">
        <v>29</v>
      </c>
    </row>
    <row r="451" spans="1:19" x14ac:dyDescent="0.3">
      <c r="A451" t="s">
        <v>521</v>
      </c>
      <c r="B451">
        <v>42</v>
      </c>
      <c r="C451" t="s">
        <v>19</v>
      </c>
      <c r="D451" t="s">
        <v>89</v>
      </c>
      <c r="E451" s="1">
        <v>45548</v>
      </c>
      <c r="F451" s="3">
        <v>45566</v>
      </c>
      <c r="G451" t="s">
        <v>93</v>
      </c>
      <c r="H451" t="s">
        <v>72</v>
      </c>
      <c r="I451" t="s">
        <v>35</v>
      </c>
      <c r="J451">
        <v>17534.740000000002</v>
      </c>
      <c r="K451">
        <v>18</v>
      </c>
      <c r="L451" t="s">
        <v>24</v>
      </c>
      <c r="M451" t="s">
        <v>59</v>
      </c>
      <c r="N451" t="s">
        <v>44</v>
      </c>
      <c r="O451" t="s">
        <v>49</v>
      </c>
      <c r="P451" t="s">
        <v>28</v>
      </c>
      <c r="Q451">
        <v>1</v>
      </c>
      <c r="R451">
        <v>6629.65</v>
      </c>
      <c r="S451" t="s">
        <v>29</v>
      </c>
    </row>
    <row r="452" spans="1:19" x14ac:dyDescent="0.3">
      <c r="A452" t="s">
        <v>522</v>
      </c>
      <c r="B452">
        <v>39</v>
      </c>
      <c r="C452" t="s">
        <v>31</v>
      </c>
      <c r="D452" t="s">
        <v>70</v>
      </c>
      <c r="E452" s="1">
        <v>45573</v>
      </c>
      <c r="F452" s="3">
        <v>45578</v>
      </c>
      <c r="G452" t="s">
        <v>21</v>
      </c>
      <c r="H452" t="s">
        <v>22</v>
      </c>
      <c r="I452" t="s">
        <v>43</v>
      </c>
      <c r="J452">
        <v>1371.62</v>
      </c>
      <c r="K452">
        <v>5</v>
      </c>
      <c r="L452" t="s">
        <v>24</v>
      </c>
      <c r="M452" t="s">
        <v>25</v>
      </c>
      <c r="N452" t="s">
        <v>26</v>
      </c>
      <c r="O452" t="s">
        <v>27</v>
      </c>
      <c r="P452" t="s">
        <v>38</v>
      </c>
      <c r="Q452">
        <v>12</v>
      </c>
      <c r="R452">
        <v>219.6</v>
      </c>
      <c r="S452" t="s">
        <v>29</v>
      </c>
    </row>
    <row r="453" spans="1:19" x14ac:dyDescent="0.3">
      <c r="A453" t="s">
        <v>523</v>
      </c>
      <c r="B453">
        <v>73</v>
      </c>
      <c r="C453" t="s">
        <v>19</v>
      </c>
      <c r="D453" t="s">
        <v>20</v>
      </c>
      <c r="E453" s="1">
        <v>45124</v>
      </c>
      <c r="F453" s="3">
        <v>45130</v>
      </c>
      <c r="G453" t="s">
        <v>67</v>
      </c>
      <c r="H453" t="s">
        <v>42</v>
      </c>
      <c r="I453" t="s">
        <v>83</v>
      </c>
      <c r="J453">
        <v>3925.76</v>
      </c>
      <c r="K453">
        <v>6</v>
      </c>
      <c r="L453" t="s">
        <v>36</v>
      </c>
      <c r="M453" t="s">
        <v>25</v>
      </c>
      <c r="N453" t="s">
        <v>44</v>
      </c>
      <c r="O453" t="s">
        <v>37</v>
      </c>
      <c r="P453" t="s">
        <v>45</v>
      </c>
      <c r="Q453">
        <v>9</v>
      </c>
      <c r="R453">
        <v>1279.46</v>
      </c>
      <c r="S453" t="s">
        <v>29</v>
      </c>
    </row>
    <row r="454" spans="1:19" x14ac:dyDescent="0.3">
      <c r="A454" t="s">
        <v>524</v>
      </c>
      <c r="B454">
        <v>38</v>
      </c>
      <c r="C454" t="s">
        <v>31</v>
      </c>
      <c r="D454" t="s">
        <v>20</v>
      </c>
      <c r="E454" s="1">
        <v>45382</v>
      </c>
      <c r="F454" s="3">
        <v>45399</v>
      </c>
      <c r="G454" t="s">
        <v>67</v>
      </c>
      <c r="H454" t="s">
        <v>42</v>
      </c>
      <c r="I454" t="s">
        <v>43</v>
      </c>
      <c r="J454">
        <v>5223.32</v>
      </c>
      <c r="K454">
        <v>17</v>
      </c>
      <c r="L454" t="s">
        <v>24</v>
      </c>
      <c r="M454" t="s">
        <v>25</v>
      </c>
      <c r="N454" t="s">
        <v>44</v>
      </c>
      <c r="O454" t="s">
        <v>27</v>
      </c>
      <c r="P454" t="s">
        <v>38</v>
      </c>
      <c r="Q454">
        <v>15</v>
      </c>
      <c r="R454">
        <v>1260.72</v>
      </c>
      <c r="S454" t="s">
        <v>29</v>
      </c>
    </row>
    <row r="455" spans="1:19" x14ac:dyDescent="0.3">
      <c r="A455" t="s">
        <v>525</v>
      </c>
      <c r="B455">
        <v>21</v>
      </c>
      <c r="C455" t="s">
        <v>31</v>
      </c>
      <c r="D455" t="s">
        <v>89</v>
      </c>
      <c r="E455" s="1">
        <v>45848</v>
      </c>
      <c r="F455" s="3">
        <v>45862</v>
      </c>
      <c r="G455" t="s">
        <v>93</v>
      </c>
      <c r="H455" t="s">
        <v>72</v>
      </c>
      <c r="I455" t="s">
        <v>23</v>
      </c>
      <c r="J455">
        <v>4014.23</v>
      </c>
      <c r="K455">
        <v>14</v>
      </c>
      <c r="L455" t="s">
        <v>24</v>
      </c>
      <c r="M455" t="s">
        <v>59</v>
      </c>
      <c r="N455" t="s">
        <v>44</v>
      </c>
      <c r="O455" t="s">
        <v>56</v>
      </c>
      <c r="P455" t="s">
        <v>38</v>
      </c>
      <c r="Q455">
        <v>11</v>
      </c>
      <c r="R455">
        <v>840.91</v>
      </c>
      <c r="S455" t="s">
        <v>29</v>
      </c>
    </row>
    <row r="456" spans="1:19" x14ac:dyDescent="0.3">
      <c r="A456" t="s">
        <v>526</v>
      </c>
      <c r="B456">
        <v>21</v>
      </c>
      <c r="C456" t="s">
        <v>19</v>
      </c>
      <c r="D456" t="s">
        <v>70</v>
      </c>
      <c r="E456" s="1">
        <v>45423</v>
      </c>
      <c r="F456" s="3">
        <v>45440</v>
      </c>
      <c r="G456" t="s">
        <v>93</v>
      </c>
      <c r="H456" t="s">
        <v>72</v>
      </c>
      <c r="I456" t="s">
        <v>58</v>
      </c>
      <c r="J456">
        <v>4888.5</v>
      </c>
      <c r="K456">
        <v>17</v>
      </c>
      <c r="L456" t="s">
        <v>36</v>
      </c>
      <c r="M456" t="s">
        <v>25</v>
      </c>
      <c r="N456" t="s">
        <v>44</v>
      </c>
      <c r="O456" t="s">
        <v>27</v>
      </c>
      <c r="P456" t="s">
        <v>45</v>
      </c>
      <c r="Q456">
        <v>7</v>
      </c>
      <c r="R456">
        <v>1827.8</v>
      </c>
      <c r="S456" t="s">
        <v>29</v>
      </c>
    </row>
    <row r="457" spans="1:19" x14ac:dyDescent="0.3">
      <c r="A457" t="s">
        <v>527</v>
      </c>
      <c r="B457">
        <v>74</v>
      </c>
      <c r="C457" t="s">
        <v>31</v>
      </c>
      <c r="D457" t="s">
        <v>89</v>
      </c>
      <c r="E457" s="1">
        <v>45925</v>
      </c>
      <c r="F457" s="3">
        <v>45936</v>
      </c>
      <c r="G457" t="s">
        <v>93</v>
      </c>
      <c r="H457" t="s">
        <v>72</v>
      </c>
      <c r="I457" t="s">
        <v>54</v>
      </c>
      <c r="J457">
        <v>8835.43</v>
      </c>
      <c r="K457">
        <v>11</v>
      </c>
      <c r="L457" t="s">
        <v>36</v>
      </c>
      <c r="M457" t="s">
        <v>25</v>
      </c>
      <c r="N457" t="s">
        <v>26</v>
      </c>
      <c r="O457" t="s">
        <v>56</v>
      </c>
      <c r="P457" t="s">
        <v>45</v>
      </c>
      <c r="Q457">
        <v>5</v>
      </c>
      <c r="R457">
        <v>2522.4499999999998</v>
      </c>
      <c r="S457" t="s">
        <v>29</v>
      </c>
    </row>
    <row r="458" spans="1:19" x14ac:dyDescent="0.3">
      <c r="A458" t="s">
        <v>528</v>
      </c>
      <c r="B458">
        <v>47</v>
      </c>
      <c r="C458" t="s">
        <v>31</v>
      </c>
      <c r="D458" t="s">
        <v>70</v>
      </c>
      <c r="E458" s="1">
        <v>45473</v>
      </c>
      <c r="F458" s="3">
        <v>45502</v>
      </c>
      <c r="G458" t="s">
        <v>33</v>
      </c>
      <c r="H458" t="s">
        <v>34</v>
      </c>
      <c r="I458" t="s">
        <v>91</v>
      </c>
      <c r="J458">
        <v>19452.419999999998</v>
      </c>
      <c r="K458">
        <v>29</v>
      </c>
      <c r="L458" t="s">
        <v>36</v>
      </c>
      <c r="M458" t="s">
        <v>25</v>
      </c>
      <c r="N458" t="s">
        <v>26</v>
      </c>
      <c r="O458" t="s">
        <v>49</v>
      </c>
      <c r="P458" t="s">
        <v>38</v>
      </c>
      <c r="Q458">
        <v>5</v>
      </c>
      <c r="R458">
        <v>6206.86</v>
      </c>
      <c r="S458" t="s">
        <v>29</v>
      </c>
    </row>
    <row r="459" spans="1:19" x14ac:dyDescent="0.3">
      <c r="A459" t="s">
        <v>529</v>
      </c>
      <c r="B459">
        <v>75</v>
      </c>
      <c r="C459" t="s">
        <v>19</v>
      </c>
      <c r="D459" t="s">
        <v>61</v>
      </c>
      <c r="E459" s="1">
        <v>45807</v>
      </c>
      <c r="F459" s="3">
        <v>45825</v>
      </c>
      <c r="G459" t="s">
        <v>52</v>
      </c>
      <c r="H459" t="s">
        <v>53</v>
      </c>
      <c r="I459" t="s">
        <v>58</v>
      </c>
      <c r="J459">
        <v>11557.33</v>
      </c>
      <c r="K459">
        <v>18</v>
      </c>
      <c r="L459" t="s">
        <v>36</v>
      </c>
      <c r="M459" t="s">
        <v>25</v>
      </c>
      <c r="N459" t="s">
        <v>55</v>
      </c>
      <c r="O459" t="s">
        <v>37</v>
      </c>
      <c r="P459" t="s">
        <v>45</v>
      </c>
      <c r="Q459">
        <v>13</v>
      </c>
      <c r="R459">
        <v>4112.75</v>
      </c>
      <c r="S459" t="s">
        <v>39</v>
      </c>
    </row>
    <row r="460" spans="1:19" x14ac:dyDescent="0.3">
      <c r="A460" t="s">
        <v>530</v>
      </c>
      <c r="B460">
        <v>44</v>
      </c>
      <c r="C460" t="s">
        <v>19</v>
      </c>
      <c r="D460" t="s">
        <v>66</v>
      </c>
      <c r="E460" s="1">
        <v>45121</v>
      </c>
      <c r="F460" s="3">
        <v>45125</v>
      </c>
      <c r="G460" t="s">
        <v>67</v>
      </c>
      <c r="H460" t="s">
        <v>42</v>
      </c>
      <c r="I460" t="s">
        <v>58</v>
      </c>
      <c r="J460">
        <v>4492.79</v>
      </c>
      <c r="K460">
        <v>4</v>
      </c>
      <c r="L460" t="s">
        <v>36</v>
      </c>
      <c r="M460" t="s">
        <v>25</v>
      </c>
      <c r="N460" t="s">
        <v>55</v>
      </c>
      <c r="O460" t="s">
        <v>56</v>
      </c>
      <c r="P460" t="s">
        <v>38</v>
      </c>
      <c r="Q460">
        <v>3</v>
      </c>
      <c r="R460">
        <v>707.58</v>
      </c>
      <c r="S460" t="s">
        <v>29</v>
      </c>
    </row>
    <row r="461" spans="1:19" x14ac:dyDescent="0.3">
      <c r="A461" t="s">
        <v>531</v>
      </c>
      <c r="B461">
        <v>41</v>
      </c>
      <c r="C461" t="s">
        <v>31</v>
      </c>
      <c r="D461" t="s">
        <v>89</v>
      </c>
      <c r="E461" s="1">
        <v>45349</v>
      </c>
      <c r="F461" s="3">
        <v>45352</v>
      </c>
      <c r="G461" t="s">
        <v>67</v>
      </c>
      <c r="H461" t="s">
        <v>42</v>
      </c>
      <c r="I461" t="s">
        <v>35</v>
      </c>
      <c r="J461">
        <v>3393.26</v>
      </c>
      <c r="K461">
        <v>3</v>
      </c>
      <c r="L461" t="s">
        <v>36</v>
      </c>
      <c r="M461" t="s">
        <v>25</v>
      </c>
      <c r="N461" t="s">
        <v>26</v>
      </c>
      <c r="O461" t="s">
        <v>27</v>
      </c>
      <c r="P461" t="s">
        <v>50</v>
      </c>
      <c r="Q461">
        <v>12</v>
      </c>
      <c r="R461">
        <v>593.87</v>
      </c>
      <c r="S461" t="s">
        <v>29</v>
      </c>
    </row>
    <row r="462" spans="1:19" x14ac:dyDescent="0.3">
      <c r="A462" t="s">
        <v>532</v>
      </c>
      <c r="B462">
        <v>55</v>
      </c>
      <c r="C462" t="s">
        <v>31</v>
      </c>
      <c r="D462" t="s">
        <v>61</v>
      </c>
      <c r="E462" s="1">
        <v>45385</v>
      </c>
      <c r="F462" s="3">
        <v>45391</v>
      </c>
      <c r="G462" t="s">
        <v>48</v>
      </c>
      <c r="H462" t="s">
        <v>22</v>
      </c>
      <c r="I462" t="s">
        <v>54</v>
      </c>
      <c r="J462">
        <v>3730.14</v>
      </c>
      <c r="K462">
        <v>6</v>
      </c>
      <c r="L462" t="s">
        <v>36</v>
      </c>
      <c r="M462" t="s">
        <v>25</v>
      </c>
      <c r="N462" t="s">
        <v>55</v>
      </c>
      <c r="O462" t="s">
        <v>37</v>
      </c>
      <c r="P462" t="s">
        <v>50</v>
      </c>
      <c r="Q462">
        <v>15</v>
      </c>
      <c r="R462">
        <v>1487.63</v>
      </c>
      <c r="S462" t="s">
        <v>39</v>
      </c>
    </row>
    <row r="463" spans="1:19" x14ac:dyDescent="0.3">
      <c r="A463" t="s">
        <v>533</v>
      </c>
      <c r="B463">
        <v>89</v>
      </c>
      <c r="C463" t="s">
        <v>19</v>
      </c>
      <c r="D463" t="s">
        <v>61</v>
      </c>
      <c r="E463" s="1">
        <v>45055</v>
      </c>
      <c r="F463" s="3">
        <v>45069</v>
      </c>
      <c r="G463" t="s">
        <v>48</v>
      </c>
      <c r="H463" t="s">
        <v>22</v>
      </c>
      <c r="I463" t="s">
        <v>43</v>
      </c>
      <c r="J463">
        <v>3630.49</v>
      </c>
      <c r="K463">
        <v>14</v>
      </c>
      <c r="L463" t="s">
        <v>24</v>
      </c>
      <c r="M463" t="s">
        <v>25</v>
      </c>
      <c r="N463" t="s">
        <v>26</v>
      </c>
      <c r="O463" t="s">
        <v>27</v>
      </c>
      <c r="P463" t="s">
        <v>38</v>
      </c>
      <c r="Q463">
        <v>14</v>
      </c>
      <c r="R463">
        <v>604.91</v>
      </c>
      <c r="S463" t="s">
        <v>29</v>
      </c>
    </row>
    <row r="464" spans="1:19" x14ac:dyDescent="0.3">
      <c r="A464" t="s">
        <v>534</v>
      </c>
      <c r="B464">
        <v>87</v>
      </c>
      <c r="C464" t="s">
        <v>31</v>
      </c>
      <c r="D464" t="s">
        <v>20</v>
      </c>
      <c r="E464" s="1">
        <v>44937</v>
      </c>
      <c r="F464" s="3">
        <v>44941</v>
      </c>
      <c r="G464" t="s">
        <v>74</v>
      </c>
      <c r="H464" t="s">
        <v>75</v>
      </c>
      <c r="I464" t="s">
        <v>91</v>
      </c>
      <c r="J464">
        <v>3667.24</v>
      </c>
      <c r="K464">
        <v>4</v>
      </c>
      <c r="L464" t="s">
        <v>36</v>
      </c>
      <c r="M464" t="s">
        <v>59</v>
      </c>
      <c r="N464" t="s">
        <v>55</v>
      </c>
      <c r="O464" t="s">
        <v>37</v>
      </c>
      <c r="P464" t="s">
        <v>28</v>
      </c>
      <c r="Q464">
        <v>3</v>
      </c>
      <c r="R464">
        <v>587.82000000000005</v>
      </c>
      <c r="S464" t="s">
        <v>29</v>
      </c>
    </row>
    <row r="465" spans="1:19" x14ac:dyDescent="0.3">
      <c r="A465" t="s">
        <v>535</v>
      </c>
      <c r="B465">
        <v>58</v>
      </c>
      <c r="C465" t="s">
        <v>19</v>
      </c>
      <c r="D465" t="s">
        <v>66</v>
      </c>
      <c r="E465" s="1">
        <v>45596</v>
      </c>
      <c r="F465" s="3">
        <v>45606</v>
      </c>
      <c r="G465" t="s">
        <v>41</v>
      </c>
      <c r="H465" t="s">
        <v>42</v>
      </c>
      <c r="I465" t="s">
        <v>43</v>
      </c>
      <c r="J465">
        <v>9080.19</v>
      </c>
      <c r="K465">
        <v>10</v>
      </c>
      <c r="L465" t="s">
        <v>36</v>
      </c>
      <c r="M465" t="s">
        <v>59</v>
      </c>
      <c r="N465" t="s">
        <v>55</v>
      </c>
      <c r="O465" t="s">
        <v>49</v>
      </c>
      <c r="P465" t="s">
        <v>28</v>
      </c>
      <c r="Q465">
        <v>3</v>
      </c>
      <c r="R465">
        <v>3470.35</v>
      </c>
      <c r="S465" t="s">
        <v>29</v>
      </c>
    </row>
    <row r="466" spans="1:19" x14ac:dyDescent="0.3">
      <c r="A466" t="s">
        <v>536</v>
      </c>
      <c r="B466">
        <v>23</v>
      </c>
      <c r="C466" t="s">
        <v>31</v>
      </c>
      <c r="D466" t="s">
        <v>89</v>
      </c>
      <c r="E466" s="1">
        <v>45222</v>
      </c>
      <c r="F466" s="3">
        <v>45235</v>
      </c>
      <c r="G466" t="s">
        <v>62</v>
      </c>
      <c r="H466" t="s">
        <v>63</v>
      </c>
      <c r="I466" t="s">
        <v>23</v>
      </c>
      <c r="J466">
        <v>6601.34</v>
      </c>
      <c r="K466">
        <v>13</v>
      </c>
      <c r="L466" t="s">
        <v>24</v>
      </c>
      <c r="M466" t="s">
        <v>25</v>
      </c>
      <c r="N466" t="s">
        <v>55</v>
      </c>
      <c r="O466" t="s">
        <v>56</v>
      </c>
      <c r="P466" t="s">
        <v>45</v>
      </c>
      <c r="Q466">
        <v>13</v>
      </c>
      <c r="R466">
        <v>1105.57</v>
      </c>
      <c r="S466" t="s">
        <v>29</v>
      </c>
    </row>
    <row r="467" spans="1:19" x14ac:dyDescent="0.3">
      <c r="A467" t="s">
        <v>537</v>
      </c>
      <c r="B467">
        <v>74</v>
      </c>
      <c r="C467" t="s">
        <v>31</v>
      </c>
      <c r="D467" t="s">
        <v>20</v>
      </c>
      <c r="E467" s="1">
        <v>45081</v>
      </c>
      <c r="F467" s="3">
        <v>45111</v>
      </c>
      <c r="G467" t="s">
        <v>52</v>
      </c>
      <c r="H467" t="s">
        <v>53</v>
      </c>
      <c r="I467" t="s">
        <v>91</v>
      </c>
      <c r="J467">
        <v>23305.01</v>
      </c>
      <c r="K467">
        <v>30</v>
      </c>
      <c r="L467" t="s">
        <v>36</v>
      </c>
      <c r="M467" t="s">
        <v>25</v>
      </c>
      <c r="N467" t="s">
        <v>26</v>
      </c>
      <c r="O467" t="s">
        <v>49</v>
      </c>
      <c r="P467" t="s">
        <v>28</v>
      </c>
      <c r="Q467">
        <v>4</v>
      </c>
      <c r="R467">
        <v>7287.62</v>
      </c>
      <c r="S467" t="s">
        <v>29</v>
      </c>
    </row>
    <row r="468" spans="1:19" x14ac:dyDescent="0.3">
      <c r="A468" t="s">
        <v>538</v>
      </c>
      <c r="B468">
        <v>77</v>
      </c>
      <c r="C468" t="s">
        <v>31</v>
      </c>
      <c r="D468" t="s">
        <v>61</v>
      </c>
      <c r="E468" s="1">
        <v>45259</v>
      </c>
      <c r="F468" s="3">
        <v>45267</v>
      </c>
      <c r="G468" t="s">
        <v>21</v>
      </c>
      <c r="H468" t="s">
        <v>22</v>
      </c>
      <c r="I468" t="s">
        <v>23</v>
      </c>
      <c r="J468">
        <v>5256.91</v>
      </c>
      <c r="K468">
        <v>8</v>
      </c>
      <c r="L468" t="s">
        <v>24</v>
      </c>
      <c r="M468" t="s">
        <v>25</v>
      </c>
      <c r="N468" t="s">
        <v>26</v>
      </c>
      <c r="O468" t="s">
        <v>56</v>
      </c>
      <c r="P468" t="s">
        <v>28</v>
      </c>
      <c r="Q468">
        <v>11</v>
      </c>
      <c r="R468">
        <v>1258.03</v>
      </c>
      <c r="S468" t="s">
        <v>29</v>
      </c>
    </row>
    <row r="469" spans="1:19" x14ac:dyDescent="0.3">
      <c r="A469" t="s">
        <v>539</v>
      </c>
      <c r="B469">
        <v>69</v>
      </c>
      <c r="C469" t="s">
        <v>19</v>
      </c>
      <c r="D469" t="s">
        <v>20</v>
      </c>
      <c r="E469" s="1">
        <v>45182</v>
      </c>
      <c r="F469" s="3">
        <v>45194</v>
      </c>
      <c r="G469" t="s">
        <v>48</v>
      </c>
      <c r="H469" t="s">
        <v>22</v>
      </c>
      <c r="I469" t="s">
        <v>81</v>
      </c>
      <c r="J469">
        <v>8887.5</v>
      </c>
      <c r="K469">
        <v>12</v>
      </c>
      <c r="L469" t="s">
        <v>36</v>
      </c>
      <c r="M469" t="s">
        <v>25</v>
      </c>
      <c r="N469" t="s">
        <v>55</v>
      </c>
      <c r="O469" t="s">
        <v>37</v>
      </c>
      <c r="P469" t="s">
        <v>28</v>
      </c>
      <c r="Q469">
        <v>14</v>
      </c>
      <c r="R469">
        <v>1643.53</v>
      </c>
      <c r="S469" t="s">
        <v>29</v>
      </c>
    </row>
    <row r="470" spans="1:19" x14ac:dyDescent="0.3">
      <c r="A470" t="s">
        <v>540</v>
      </c>
      <c r="B470">
        <v>43</v>
      </c>
      <c r="C470" t="s">
        <v>19</v>
      </c>
      <c r="D470" t="s">
        <v>66</v>
      </c>
      <c r="E470" s="1">
        <v>45589</v>
      </c>
      <c r="F470" s="3">
        <v>45604</v>
      </c>
      <c r="G470" t="s">
        <v>52</v>
      </c>
      <c r="H470" t="s">
        <v>53</v>
      </c>
      <c r="I470" t="s">
        <v>43</v>
      </c>
      <c r="J470">
        <v>6775.34</v>
      </c>
      <c r="K470">
        <v>15</v>
      </c>
      <c r="L470" t="s">
        <v>24</v>
      </c>
      <c r="M470" t="s">
        <v>25</v>
      </c>
      <c r="N470" t="s">
        <v>26</v>
      </c>
      <c r="O470" t="s">
        <v>27</v>
      </c>
      <c r="P470" t="s">
        <v>28</v>
      </c>
      <c r="Q470">
        <v>13</v>
      </c>
      <c r="R470">
        <v>1350.62</v>
      </c>
      <c r="S470" t="s">
        <v>29</v>
      </c>
    </row>
    <row r="471" spans="1:19" x14ac:dyDescent="0.3">
      <c r="A471" t="s">
        <v>541</v>
      </c>
      <c r="B471">
        <v>37</v>
      </c>
      <c r="C471" t="s">
        <v>19</v>
      </c>
      <c r="D471" t="s">
        <v>61</v>
      </c>
      <c r="E471" s="1">
        <v>45476</v>
      </c>
      <c r="F471" s="3">
        <v>45490</v>
      </c>
      <c r="G471" t="s">
        <v>41</v>
      </c>
      <c r="H471" t="s">
        <v>42</v>
      </c>
      <c r="I471" t="s">
        <v>81</v>
      </c>
      <c r="J471">
        <v>9929.89</v>
      </c>
      <c r="K471">
        <v>14</v>
      </c>
      <c r="L471" t="s">
        <v>24</v>
      </c>
      <c r="M471" t="s">
        <v>59</v>
      </c>
      <c r="N471" t="s">
        <v>44</v>
      </c>
      <c r="O471" t="s">
        <v>49</v>
      </c>
      <c r="P471" t="s">
        <v>50</v>
      </c>
      <c r="Q471">
        <v>8</v>
      </c>
      <c r="R471">
        <v>2804.28</v>
      </c>
      <c r="S471" t="s">
        <v>29</v>
      </c>
    </row>
    <row r="472" spans="1:19" x14ac:dyDescent="0.3">
      <c r="A472" t="s">
        <v>542</v>
      </c>
      <c r="B472">
        <v>76</v>
      </c>
      <c r="C472" t="s">
        <v>19</v>
      </c>
      <c r="D472" t="s">
        <v>47</v>
      </c>
      <c r="E472" s="1">
        <v>45357</v>
      </c>
      <c r="F472" s="3">
        <v>45369</v>
      </c>
      <c r="G472" t="s">
        <v>48</v>
      </c>
      <c r="H472" t="s">
        <v>22</v>
      </c>
      <c r="I472" t="s">
        <v>43</v>
      </c>
      <c r="J472">
        <v>9077.42</v>
      </c>
      <c r="K472">
        <v>12</v>
      </c>
      <c r="L472" t="s">
        <v>36</v>
      </c>
      <c r="M472" t="s">
        <v>25</v>
      </c>
      <c r="N472" t="s">
        <v>55</v>
      </c>
      <c r="O472" t="s">
        <v>56</v>
      </c>
      <c r="P472" t="s">
        <v>45</v>
      </c>
      <c r="Q472">
        <v>5</v>
      </c>
      <c r="R472">
        <v>2260.36</v>
      </c>
      <c r="S472" t="s">
        <v>39</v>
      </c>
    </row>
    <row r="473" spans="1:19" x14ac:dyDescent="0.3">
      <c r="A473" t="s">
        <v>543</v>
      </c>
      <c r="B473">
        <v>60</v>
      </c>
      <c r="C473" t="s">
        <v>19</v>
      </c>
      <c r="D473" t="s">
        <v>47</v>
      </c>
      <c r="E473" s="1">
        <v>45049</v>
      </c>
      <c r="F473" s="3">
        <v>45058</v>
      </c>
      <c r="G473" t="s">
        <v>74</v>
      </c>
      <c r="H473" t="s">
        <v>75</v>
      </c>
      <c r="I473" t="s">
        <v>91</v>
      </c>
      <c r="J473">
        <v>4374.1899999999996</v>
      </c>
      <c r="K473">
        <v>9</v>
      </c>
      <c r="L473" t="s">
        <v>36</v>
      </c>
      <c r="M473" t="s">
        <v>25</v>
      </c>
      <c r="N473" t="s">
        <v>55</v>
      </c>
      <c r="O473" t="s">
        <v>27</v>
      </c>
      <c r="P473" t="s">
        <v>28</v>
      </c>
      <c r="Q473">
        <v>2</v>
      </c>
      <c r="R473">
        <v>1228.54</v>
      </c>
      <c r="S473" t="s">
        <v>29</v>
      </c>
    </row>
    <row r="474" spans="1:19" x14ac:dyDescent="0.3">
      <c r="A474" t="s">
        <v>544</v>
      </c>
      <c r="B474">
        <v>90</v>
      </c>
      <c r="C474" t="s">
        <v>31</v>
      </c>
      <c r="D474" t="s">
        <v>61</v>
      </c>
      <c r="E474" s="1">
        <v>45432</v>
      </c>
      <c r="F474" s="3">
        <v>45462</v>
      </c>
      <c r="G474" t="s">
        <v>41</v>
      </c>
      <c r="H474" t="s">
        <v>42</v>
      </c>
      <c r="I474" t="s">
        <v>54</v>
      </c>
      <c r="J474">
        <v>19475.55</v>
      </c>
      <c r="K474">
        <v>30</v>
      </c>
      <c r="L474" t="s">
        <v>36</v>
      </c>
      <c r="M474" t="s">
        <v>25</v>
      </c>
      <c r="N474" t="s">
        <v>44</v>
      </c>
      <c r="O474" t="s">
        <v>49</v>
      </c>
      <c r="P474" t="s">
        <v>38</v>
      </c>
      <c r="Q474">
        <v>10</v>
      </c>
      <c r="R474">
        <v>5851.76</v>
      </c>
      <c r="S474" t="s">
        <v>29</v>
      </c>
    </row>
    <row r="475" spans="1:19" x14ac:dyDescent="0.3">
      <c r="A475" t="s">
        <v>545</v>
      </c>
      <c r="B475">
        <v>70</v>
      </c>
      <c r="C475" t="s">
        <v>19</v>
      </c>
      <c r="D475" t="s">
        <v>66</v>
      </c>
      <c r="E475" s="1">
        <v>44927</v>
      </c>
      <c r="F475" s="3">
        <v>44952</v>
      </c>
      <c r="G475" t="s">
        <v>52</v>
      </c>
      <c r="H475" t="s">
        <v>53</v>
      </c>
      <c r="I475" t="s">
        <v>43</v>
      </c>
      <c r="J475">
        <v>14920.58</v>
      </c>
      <c r="K475">
        <v>25</v>
      </c>
      <c r="L475" t="s">
        <v>36</v>
      </c>
      <c r="M475" t="s">
        <v>25</v>
      </c>
      <c r="N475" t="s">
        <v>55</v>
      </c>
      <c r="O475" t="s">
        <v>49</v>
      </c>
      <c r="P475" t="s">
        <v>28</v>
      </c>
      <c r="Q475">
        <v>8</v>
      </c>
      <c r="R475">
        <v>4576.12</v>
      </c>
      <c r="S475" t="s">
        <v>29</v>
      </c>
    </row>
    <row r="476" spans="1:19" x14ac:dyDescent="0.3">
      <c r="A476" t="s">
        <v>546</v>
      </c>
      <c r="B476">
        <v>52</v>
      </c>
      <c r="C476" t="s">
        <v>19</v>
      </c>
      <c r="D476" t="s">
        <v>89</v>
      </c>
      <c r="E476" s="1">
        <v>45737</v>
      </c>
      <c r="F476" s="3">
        <v>45741</v>
      </c>
      <c r="G476" t="s">
        <v>74</v>
      </c>
      <c r="H476" t="s">
        <v>75</v>
      </c>
      <c r="I476" t="s">
        <v>91</v>
      </c>
      <c r="J476">
        <v>2404.66</v>
      </c>
      <c r="K476">
        <v>4</v>
      </c>
      <c r="L476" t="s">
        <v>36</v>
      </c>
      <c r="M476" t="s">
        <v>25</v>
      </c>
      <c r="N476" t="s">
        <v>55</v>
      </c>
      <c r="O476" t="s">
        <v>27</v>
      </c>
      <c r="P476" t="s">
        <v>45</v>
      </c>
      <c r="Q476">
        <v>13</v>
      </c>
      <c r="R476">
        <v>626.15</v>
      </c>
      <c r="S476" t="s">
        <v>29</v>
      </c>
    </row>
    <row r="477" spans="1:19" x14ac:dyDescent="0.3">
      <c r="A477" t="s">
        <v>547</v>
      </c>
      <c r="B477">
        <v>49</v>
      </c>
      <c r="C477" t="s">
        <v>19</v>
      </c>
      <c r="D477" t="s">
        <v>79</v>
      </c>
      <c r="E477" s="1">
        <v>45675</v>
      </c>
      <c r="F477" s="3">
        <v>45705</v>
      </c>
      <c r="G477" t="s">
        <v>48</v>
      </c>
      <c r="H477" t="s">
        <v>22</v>
      </c>
      <c r="I477" t="s">
        <v>43</v>
      </c>
      <c r="J477">
        <v>12693.69</v>
      </c>
      <c r="K477">
        <v>30</v>
      </c>
      <c r="L477" t="s">
        <v>24</v>
      </c>
      <c r="M477" t="s">
        <v>25</v>
      </c>
      <c r="N477" t="s">
        <v>26</v>
      </c>
      <c r="O477" t="s">
        <v>49</v>
      </c>
      <c r="P477" t="s">
        <v>50</v>
      </c>
      <c r="Q477">
        <v>9</v>
      </c>
      <c r="R477">
        <v>4753.4399999999996</v>
      </c>
      <c r="S477" t="s">
        <v>29</v>
      </c>
    </row>
    <row r="478" spans="1:19" x14ac:dyDescent="0.3">
      <c r="A478" t="s">
        <v>548</v>
      </c>
      <c r="B478">
        <v>77</v>
      </c>
      <c r="C478" t="s">
        <v>19</v>
      </c>
      <c r="D478" t="s">
        <v>89</v>
      </c>
      <c r="E478" s="1">
        <v>45219</v>
      </c>
      <c r="F478" s="3">
        <v>45222</v>
      </c>
      <c r="G478" t="s">
        <v>52</v>
      </c>
      <c r="H478" t="s">
        <v>53</v>
      </c>
      <c r="I478" t="s">
        <v>91</v>
      </c>
      <c r="J478">
        <v>9089.5499999999993</v>
      </c>
      <c r="K478">
        <v>3</v>
      </c>
      <c r="L478" t="s">
        <v>36</v>
      </c>
      <c r="M478" t="s">
        <v>25</v>
      </c>
      <c r="N478" t="s">
        <v>26</v>
      </c>
      <c r="O478" t="s">
        <v>49</v>
      </c>
      <c r="P478" t="s">
        <v>38</v>
      </c>
      <c r="Q478">
        <v>6</v>
      </c>
      <c r="R478">
        <v>2958.62</v>
      </c>
      <c r="S478" t="s">
        <v>29</v>
      </c>
    </row>
    <row r="479" spans="1:19" x14ac:dyDescent="0.3">
      <c r="A479" t="s">
        <v>549</v>
      </c>
      <c r="B479">
        <v>51</v>
      </c>
      <c r="C479" t="s">
        <v>31</v>
      </c>
      <c r="D479" t="s">
        <v>47</v>
      </c>
      <c r="E479" s="1">
        <v>45505</v>
      </c>
      <c r="F479" s="3">
        <v>45520</v>
      </c>
      <c r="G479" t="s">
        <v>62</v>
      </c>
      <c r="H479" t="s">
        <v>63</v>
      </c>
      <c r="I479" t="s">
        <v>83</v>
      </c>
      <c r="J479">
        <v>12137.73</v>
      </c>
      <c r="K479">
        <v>15</v>
      </c>
      <c r="L479" t="s">
        <v>36</v>
      </c>
      <c r="M479" t="s">
        <v>101</v>
      </c>
      <c r="N479" t="s">
        <v>44</v>
      </c>
      <c r="O479" t="s">
        <v>27</v>
      </c>
      <c r="P479" t="s">
        <v>45</v>
      </c>
      <c r="Q479">
        <v>2</v>
      </c>
      <c r="R479">
        <v>3357.84</v>
      </c>
      <c r="S479" t="s">
        <v>39</v>
      </c>
    </row>
    <row r="480" spans="1:19" x14ac:dyDescent="0.3">
      <c r="A480" t="s">
        <v>550</v>
      </c>
      <c r="B480">
        <v>73</v>
      </c>
      <c r="C480" t="s">
        <v>31</v>
      </c>
      <c r="D480" t="s">
        <v>47</v>
      </c>
      <c r="E480" s="1">
        <v>45396</v>
      </c>
      <c r="F480" s="3">
        <v>45411</v>
      </c>
      <c r="G480" t="s">
        <v>48</v>
      </c>
      <c r="H480" t="s">
        <v>22</v>
      </c>
      <c r="I480" t="s">
        <v>83</v>
      </c>
      <c r="J480">
        <v>8888.01</v>
      </c>
      <c r="K480">
        <v>15</v>
      </c>
      <c r="L480" t="s">
        <v>24</v>
      </c>
      <c r="M480" t="s">
        <v>101</v>
      </c>
      <c r="N480" t="s">
        <v>55</v>
      </c>
      <c r="O480" t="s">
        <v>27</v>
      </c>
      <c r="P480" t="s">
        <v>50</v>
      </c>
      <c r="Q480">
        <v>7</v>
      </c>
      <c r="R480">
        <v>1516.82</v>
      </c>
      <c r="S480" t="s">
        <v>39</v>
      </c>
    </row>
    <row r="481" spans="1:19" x14ac:dyDescent="0.3">
      <c r="A481" t="s">
        <v>551</v>
      </c>
      <c r="B481">
        <v>26</v>
      </c>
      <c r="C481" t="s">
        <v>19</v>
      </c>
      <c r="D481" t="s">
        <v>79</v>
      </c>
      <c r="E481" s="1">
        <v>45517</v>
      </c>
      <c r="F481" s="3">
        <v>45526</v>
      </c>
      <c r="G481" t="s">
        <v>62</v>
      </c>
      <c r="H481" t="s">
        <v>63</v>
      </c>
      <c r="I481" t="s">
        <v>58</v>
      </c>
      <c r="J481">
        <v>6467.12</v>
      </c>
      <c r="K481">
        <v>9</v>
      </c>
      <c r="L481" t="s">
        <v>24</v>
      </c>
      <c r="M481" t="s">
        <v>101</v>
      </c>
      <c r="N481" t="s">
        <v>44</v>
      </c>
      <c r="O481" t="s">
        <v>56</v>
      </c>
      <c r="P481" t="s">
        <v>28</v>
      </c>
      <c r="Q481">
        <v>14</v>
      </c>
      <c r="R481">
        <v>2418.14</v>
      </c>
      <c r="S481" t="s">
        <v>29</v>
      </c>
    </row>
    <row r="482" spans="1:19" x14ac:dyDescent="0.3">
      <c r="A482" t="s">
        <v>552</v>
      </c>
      <c r="B482">
        <v>45</v>
      </c>
      <c r="C482" t="s">
        <v>19</v>
      </c>
      <c r="D482" t="s">
        <v>61</v>
      </c>
      <c r="E482" s="1">
        <v>45822</v>
      </c>
      <c r="F482" s="3">
        <v>45835</v>
      </c>
      <c r="G482" t="s">
        <v>21</v>
      </c>
      <c r="H482" t="s">
        <v>22</v>
      </c>
      <c r="I482" t="s">
        <v>81</v>
      </c>
      <c r="J482">
        <v>8866.43</v>
      </c>
      <c r="K482">
        <v>13</v>
      </c>
      <c r="L482" t="s">
        <v>36</v>
      </c>
      <c r="M482" t="s">
        <v>25</v>
      </c>
      <c r="N482" t="s">
        <v>44</v>
      </c>
      <c r="O482" t="s">
        <v>27</v>
      </c>
      <c r="P482" t="s">
        <v>50</v>
      </c>
      <c r="Q482">
        <v>4</v>
      </c>
      <c r="R482">
        <v>2263.73</v>
      </c>
      <c r="S482" t="s">
        <v>29</v>
      </c>
    </row>
    <row r="483" spans="1:19" x14ac:dyDescent="0.3">
      <c r="A483" t="s">
        <v>553</v>
      </c>
      <c r="B483">
        <v>21</v>
      </c>
      <c r="C483" t="s">
        <v>31</v>
      </c>
      <c r="D483" t="s">
        <v>79</v>
      </c>
      <c r="E483" s="1">
        <v>45791</v>
      </c>
      <c r="F483" s="3">
        <v>45810</v>
      </c>
      <c r="G483" t="s">
        <v>41</v>
      </c>
      <c r="H483" t="s">
        <v>42</v>
      </c>
      <c r="I483" t="s">
        <v>81</v>
      </c>
      <c r="J483">
        <v>14067.32</v>
      </c>
      <c r="K483">
        <v>19</v>
      </c>
      <c r="L483" t="s">
        <v>24</v>
      </c>
      <c r="M483" t="s">
        <v>25</v>
      </c>
      <c r="N483" t="s">
        <v>26</v>
      </c>
      <c r="O483" t="s">
        <v>56</v>
      </c>
      <c r="P483" t="s">
        <v>38</v>
      </c>
      <c r="Q483">
        <v>13</v>
      </c>
      <c r="R483">
        <v>4793.71</v>
      </c>
      <c r="S483" t="s">
        <v>39</v>
      </c>
    </row>
    <row r="484" spans="1:19" x14ac:dyDescent="0.3">
      <c r="A484" t="s">
        <v>554</v>
      </c>
      <c r="B484">
        <v>19</v>
      </c>
      <c r="C484" t="s">
        <v>19</v>
      </c>
      <c r="D484" t="s">
        <v>32</v>
      </c>
      <c r="E484" s="1">
        <v>45666</v>
      </c>
      <c r="F484" s="3">
        <v>45691</v>
      </c>
      <c r="G484" t="s">
        <v>74</v>
      </c>
      <c r="H484" t="s">
        <v>75</v>
      </c>
      <c r="I484" t="s">
        <v>54</v>
      </c>
      <c r="J484">
        <v>19799.97</v>
      </c>
      <c r="K484">
        <v>25</v>
      </c>
      <c r="L484" t="s">
        <v>24</v>
      </c>
      <c r="M484" t="s">
        <v>25</v>
      </c>
      <c r="N484" t="s">
        <v>44</v>
      </c>
      <c r="O484" t="s">
        <v>49</v>
      </c>
      <c r="P484" t="s">
        <v>50</v>
      </c>
      <c r="Q484">
        <v>7</v>
      </c>
      <c r="R484">
        <v>3316.6</v>
      </c>
      <c r="S484" t="s">
        <v>29</v>
      </c>
    </row>
    <row r="485" spans="1:19" x14ac:dyDescent="0.3">
      <c r="A485" t="s">
        <v>555</v>
      </c>
      <c r="B485">
        <v>73</v>
      </c>
      <c r="C485" t="s">
        <v>19</v>
      </c>
      <c r="D485" t="s">
        <v>47</v>
      </c>
      <c r="E485" s="1">
        <v>45429</v>
      </c>
      <c r="F485" s="3">
        <v>45435</v>
      </c>
      <c r="G485" t="s">
        <v>48</v>
      </c>
      <c r="H485" t="s">
        <v>22</v>
      </c>
      <c r="I485" t="s">
        <v>91</v>
      </c>
      <c r="J485">
        <v>3523.11</v>
      </c>
      <c r="K485">
        <v>6</v>
      </c>
      <c r="L485" t="s">
        <v>36</v>
      </c>
      <c r="M485" t="s">
        <v>101</v>
      </c>
      <c r="N485" t="s">
        <v>55</v>
      </c>
      <c r="O485" t="s">
        <v>37</v>
      </c>
      <c r="P485" t="s">
        <v>50</v>
      </c>
      <c r="Q485">
        <v>11</v>
      </c>
      <c r="R485">
        <v>888.5</v>
      </c>
      <c r="S485" t="s">
        <v>29</v>
      </c>
    </row>
    <row r="486" spans="1:19" x14ac:dyDescent="0.3">
      <c r="A486" t="s">
        <v>556</v>
      </c>
      <c r="B486">
        <v>74</v>
      </c>
      <c r="C486" t="s">
        <v>19</v>
      </c>
      <c r="D486" t="s">
        <v>79</v>
      </c>
      <c r="E486" s="1">
        <v>45233</v>
      </c>
      <c r="F486" s="3">
        <v>45237</v>
      </c>
      <c r="G486" t="s">
        <v>48</v>
      </c>
      <c r="H486" t="s">
        <v>22</v>
      </c>
      <c r="I486" t="s">
        <v>91</v>
      </c>
      <c r="J486">
        <v>3849.12</v>
      </c>
      <c r="K486">
        <v>4</v>
      </c>
      <c r="L486" t="s">
        <v>24</v>
      </c>
      <c r="M486" t="s">
        <v>59</v>
      </c>
      <c r="N486" t="s">
        <v>55</v>
      </c>
      <c r="O486" t="s">
        <v>56</v>
      </c>
      <c r="P486" t="s">
        <v>45</v>
      </c>
      <c r="Q486">
        <v>14</v>
      </c>
      <c r="R486">
        <v>1138.3800000000001</v>
      </c>
      <c r="S486" t="s">
        <v>29</v>
      </c>
    </row>
    <row r="487" spans="1:19" x14ac:dyDescent="0.3">
      <c r="A487" t="s">
        <v>557</v>
      </c>
      <c r="B487">
        <v>79</v>
      </c>
      <c r="C487" t="s">
        <v>31</v>
      </c>
      <c r="D487" t="s">
        <v>47</v>
      </c>
      <c r="E487" s="1">
        <v>45047</v>
      </c>
      <c r="F487" s="3">
        <v>45055</v>
      </c>
      <c r="G487" t="s">
        <v>41</v>
      </c>
      <c r="H487" t="s">
        <v>42</v>
      </c>
      <c r="I487" t="s">
        <v>91</v>
      </c>
      <c r="J487">
        <v>8012.39</v>
      </c>
      <c r="K487">
        <v>8</v>
      </c>
      <c r="L487" t="s">
        <v>24</v>
      </c>
      <c r="M487" t="s">
        <v>25</v>
      </c>
      <c r="N487" t="s">
        <v>26</v>
      </c>
      <c r="O487" t="s">
        <v>56</v>
      </c>
      <c r="P487" t="s">
        <v>38</v>
      </c>
      <c r="Q487">
        <v>13</v>
      </c>
      <c r="R487">
        <v>3041.97</v>
      </c>
      <c r="S487" t="s">
        <v>29</v>
      </c>
    </row>
    <row r="488" spans="1:19" x14ac:dyDescent="0.3">
      <c r="A488" t="s">
        <v>558</v>
      </c>
      <c r="B488">
        <v>26</v>
      </c>
      <c r="C488" t="s">
        <v>19</v>
      </c>
      <c r="D488" t="s">
        <v>66</v>
      </c>
      <c r="E488" s="1">
        <v>45887</v>
      </c>
      <c r="F488" s="3">
        <v>45903</v>
      </c>
      <c r="G488" t="s">
        <v>41</v>
      </c>
      <c r="H488" t="s">
        <v>42</v>
      </c>
      <c r="I488" t="s">
        <v>81</v>
      </c>
      <c r="J488">
        <v>4657.96</v>
      </c>
      <c r="K488">
        <v>16</v>
      </c>
      <c r="L488" t="s">
        <v>24</v>
      </c>
      <c r="M488" t="s">
        <v>25</v>
      </c>
      <c r="N488" t="s">
        <v>26</v>
      </c>
      <c r="O488" t="s">
        <v>27</v>
      </c>
      <c r="P488" t="s">
        <v>38</v>
      </c>
      <c r="Q488">
        <v>5</v>
      </c>
      <c r="R488">
        <v>1230.4100000000001</v>
      </c>
      <c r="S488" t="s">
        <v>29</v>
      </c>
    </row>
    <row r="489" spans="1:19" x14ac:dyDescent="0.3">
      <c r="A489" t="s">
        <v>559</v>
      </c>
      <c r="B489">
        <v>57</v>
      </c>
      <c r="C489" t="s">
        <v>31</v>
      </c>
      <c r="D489" t="s">
        <v>32</v>
      </c>
      <c r="E489" s="1">
        <v>44952</v>
      </c>
      <c r="F489" s="3">
        <v>44971</v>
      </c>
      <c r="G489" t="s">
        <v>74</v>
      </c>
      <c r="H489" t="s">
        <v>75</v>
      </c>
      <c r="I489" t="s">
        <v>43</v>
      </c>
      <c r="J489">
        <v>16662.87</v>
      </c>
      <c r="K489">
        <v>19</v>
      </c>
      <c r="L489" t="s">
        <v>36</v>
      </c>
      <c r="M489" t="s">
        <v>59</v>
      </c>
      <c r="N489" t="s">
        <v>44</v>
      </c>
      <c r="O489" t="s">
        <v>49</v>
      </c>
      <c r="P489" t="s">
        <v>45</v>
      </c>
      <c r="Q489">
        <v>5</v>
      </c>
      <c r="R489">
        <v>4487.3599999999997</v>
      </c>
      <c r="S489" t="s">
        <v>29</v>
      </c>
    </row>
    <row r="490" spans="1:19" x14ac:dyDescent="0.3">
      <c r="A490" t="s">
        <v>560</v>
      </c>
      <c r="B490">
        <v>50</v>
      </c>
      <c r="C490" t="s">
        <v>19</v>
      </c>
      <c r="D490" t="s">
        <v>66</v>
      </c>
      <c r="E490" s="1">
        <v>45537</v>
      </c>
      <c r="F490" s="3">
        <v>45539</v>
      </c>
      <c r="G490" t="s">
        <v>41</v>
      </c>
      <c r="H490" t="s">
        <v>42</v>
      </c>
      <c r="I490" t="s">
        <v>58</v>
      </c>
      <c r="J490">
        <v>2286.9499999999998</v>
      </c>
      <c r="K490">
        <v>2</v>
      </c>
      <c r="L490" t="s">
        <v>24</v>
      </c>
      <c r="M490" t="s">
        <v>25</v>
      </c>
      <c r="N490" t="s">
        <v>44</v>
      </c>
      <c r="O490" t="s">
        <v>27</v>
      </c>
      <c r="P490" t="s">
        <v>45</v>
      </c>
      <c r="Q490">
        <v>3</v>
      </c>
      <c r="R490">
        <v>765.33</v>
      </c>
      <c r="S490" t="s">
        <v>29</v>
      </c>
    </row>
    <row r="491" spans="1:19" x14ac:dyDescent="0.3">
      <c r="A491" t="s">
        <v>561</v>
      </c>
      <c r="B491">
        <v>71</v>
      </c>
      <c r="C491" t="s">
        <v>19</v>
      </c>
      <c r="D491" t="s">
        <v>47</v>
      </c>
      <c r="E491" s="1">
        <v>45261</v>
      </c>
      <c r="F491" s="3">
        <v>45270</v>
      </c>
      <c r="G491" t="s">
        <v>41</v>
      </c>
      <c r="H491" t="s">
        <v>42</v>
      </c>
      <c r="I491" t="s">
        <v>35</v>
      </c>
      <c r="J491">
        <v>11154.82</v>
      </c>
      <c r="K491">
        <v>9</v>
      </c>
      <c r="L491" t="s">
        <v>36</v>
      </c>
      <c r="M491" t="s">
        <v>25</v>
      </c>
      <c r="N491" t="s">
        <v>26</v>
      </c>
      <c r="O491" t="s">
        <v>49</v>
      </c>
      <c r="P491" t="s">
        <v>28</v>
      </c>
      <c r="Q491">
        <v>9</v>
      </c>
      <c r="R491">
        <v>3377.64</v>
      </c>
      <c r="S491" t="s">
        <v>29</v>
      </c>
    </row>
    <row r="492" spans="1:19" x14ac:dyDescent="0.3">
      <c r="A492" t="s">
        <v>562</v>
      </c>
      <c r="B492">
        <v>43</v>
      </c>
      <c r="C492" t="s">
        <v>31</v>
      </c>
      <c r="D492" t="s">
        <v>70</v>
      </c>
      <c r="E492" s="1">
        <v>45445</v>
      </c>
      <c r="F492" s="3">
        <v>45456</v>
      </c>
      <c r="G492" t="s">
        <v>21</v>
      </c>
      <c r="H492" t="s">
        <v>22</v>
      </c>
      <c r="I492" t="s">
        <v>81</v>
      </c>
      <c r="J492">
        <v>7148.5</v>
      </c>
      <c r="K492">
        <v>11</v>
      </c>
      <c r="L492" t="s">
        <v>24</v>
      </c>
      <c r="M492" t="s">
        <v>59</v>
      </c>
      <c r="N492" t="s">
        <v>44</v>
      </c>
      <c r="O492" t="s">
        <v>27</v>
      </c>
      <c r="P492" t="s">
        <v>45</v>
      </c>
      <c r="Q492">
        <v>6</v>
      </c>
      <c r="R492">
        <v>2471.75</v>
      </c>
      <c r="S492" t="s">
        <v>39</v>
      </c>
    </row>
    <row r="493" spans="1:19" x14ac:dyDescent="0.3">
      <c r="A493" t="s">
        <v>563</v>
      </c>
      <c r="B493">
        <v>18</v>
      </c>
      <c r="C493" t="s">
        <v>31</v>
      </c>
      <c r="D493" t="s">
        <v>61</v>
      </c>
      <c r="E493" s="1">
        <v>45547</v>
      </c>
      <c r="F493" s="3">
        <v>45558</v>
      </c>
      <c r="G493" t="s">
        <v>62</v>
      </c>
      <c r="H493" t="s">
        <v>63</v>
      </c>
      <c r="I493" t="s">
        <v>83</v>
      </c>
      <c r="J493">
        <v>7221.77</v>
      </c>
      <c r="K493">
        <v>11</v>
      </c>
      <c r="L493" t="s">
        <v>36</v>
      </c>
      <c r="M493" t="s">
        <v>25</v>
      </c>
      <c r="N493" t="s">
        <v>44</v>
      </c>
      <c r="O493" t="s">
        <v>56</v>
      </c>
      <c r="P493" t="s">
        <v>45</v>
      </c>
      <c r="Q493">
        <v>15</v>
      </c>
      <c r="R493">
        <v>2640.88</v>
      </c>
      <c r="S493" t="s">
        <v>29</v>
      </c>
    </row>
    <row r="494" spans="1:19" x14ac:dyDescent="0.3">
      <c r="A494" t="s">
        <v>564</v>
      </c>
      <c r="B494">
        <v>69</v>
      </c>
      <c r="C494" t="s">
        <v>31</v>
      </c>
      <c r="D494" t="s">
        <v>89</v>
      </c>
      <c r="E494" s="1">
        <v>45362</v>
      </c>
      <c r="F494" s="3">
        <v>45374</v>
      </c>
      <c r="G494" t="s">
        <v>62</v>
      </c>
      <c r="H494" t="s">
        <v>63</v>
      </c>
      <c r="I494" t="s">
        <v>83</v>
      </c>
      <c r="J494">
        <v>9919</v>
      </c>
      <c r="K494">
        <v>12</v>
      </c>
      <c r="L494" t="s">
        <v>24</v>
      </c>
      <c r="M494" t="s">
        <v>101</v>
      </c>
      <c r="N494" t="s">
        <v>55</v>
      </c>
      <c r="O494" t="s">
        <v>27</v>
      </c>
      <c r="P494" t="s">
        <v>45</v>
      </c>
      <c r="Q494">
        <v>3</v>
      </c>
      <c r="R494">
        <v>3867.73</v>
      </c>
      <c r="S494" t="s">
        <v>39</v>
      </c>
    </row>
    <row r="495" spans="1:19" x14ac:dyDescent="0.3">
      <c r="A495" t="s">
        <v>565</v>
      </c>
      <c r="B495">
        <v>34</v>
      </c>
      <c r="C495" t="s">
        <v>31</v>
      </c>
      <c r="D495" t="s">
        <v>61</v>
      </c>
      <c r="E495" s="1">
        <v>45766</v>
      </c>
      <c r="F495" s="3">
        <v>45796</v>
      </c>
      <c r="G495" t="s">
        <v>67</v>
      </c>
      <c r="H495" t="s">
        <v>42</v>
      </c>
      <c r="I495" t="s">
        <v>35</v>
      </c>
      <c r="J495">
        <v>14165.23</v>
      </c>
      <c r="K495">
        <v>30</v>
      </c>
      <c r="L495" t="s">
        <v>24</v>
      </c>
      <c r="M495" t="s">
        <v>25</v>
      </c>
      <c r="N495" t="s">
        <v>44</v>
      </c>
      <c r="O495" t="s">
        <v>49</v>
      </c>
      <c r="P495" t="s">
        <v>28</v>
      </c>
      <c r="Q495">
        <v>8</v>
      </c>
      <c r="R495">
        <v>4061.18</v>
      </c>
      <c r="S495" t="s">
        <v>29</v>
      </c>
    </row>
    <row r="496" spans="1:19" x14ac:dyDescent="0.3">
      <c r="A496" t="s">
        <v>566</v>
      </c>
      <c r="B496">
        <v>36</v>
      </c>
      <c r="C496" t="s">
        <v>19</v>
      </c>
      <c r="D496" t="s">
        <v>61</v>
      </c>
      <c r="E496" s="1">
        <v>45138</v>
      </c>
      <c r="F496" s="3">
        <v>45145</v>
      </c>
      <c r="G496" t="s">
        <v>71</v>
      </c>
      <c r="H496" t="s">
        <v>72</v>
      </c>
      <c r="I496" t="s">
        <v>91</v>
      </c>
      <c r="J496">
        <v>6288.89</v>
      </c>
      <c r="K496">
        <v>7</v>
      </c>
      <c r="L496" t="s">
        <v>36</v>
      </c>
      <c r="M496" t="s">
        <v>25</v>
      </c>
      <c r="N496" t="s">
        <v>44</v>
      </c>
      <c r="O496" t="s">
        <v>37</v>
      </c>
      <c r="P496" t="s">
        <v>50</v>
      </c>
      <c r="Q496">
        <v>3</v>
      </c>
      <c r="R496">
        <v>2166.7199999999998</v>
      </c>
      <c r="S496" t="s">
        <v>29</v>
      </c>
    </row>
    <row r="497" spans="1:19" x14ac:dyDescent="0.3">
      <c r="A497" t="s">
        <v>567</v>
      </c>
      <c r="B497">
        <v>77</v>
      </c>
      <c r="C497" t="s">
        <v>31</v>
      </c>
      <c r="D497" t="s">
        <v>66</v>
      </c>
      <c r="E497" s="1">
        <v>45622</v>
      </c>
      <c r="F497" s="3">
        <v>45652</v>
      </c>
      <c r="G497" t="s">
        <v>71</v>
      </c>
      <c r="H497" t="s">
        <v>72</v>
      </c>
      <c r="I497" t="s">
        <v>58</v>
      </c>
      <c r="J497">
        <v>23057</v>
      </c>
      <c r="K497">
        <v>30</v>
      </c>
      <c r="L497" t="s">
        <v>24</v>
      </c>
      <c r="M497" t="s">
        <v>25</v>
      </c>
      <c r="N497" t="s">
        <v>44</v>
      </c>
      <c r="O497" t="s">
        <v>49</v>
      </c>
      <c r="P497" t="s">
        <v>28</v>
      </c>
      <c r="Q497">
        <v>2</v>
      </c>
      <c r="R497">
        <v>3734.12</v>
      </c>
      <c r="S497" t="s">
        <v>29</v>
      </c>
    </row>
    <row r="498" spans="1:19" x14ac:dyDescent="0.3">
      <c r="A498" t="s">
        <v>568</v>
      </c>
      <c r="B498">
        <v>41</v>
      </c>
      <c r="C498" t="s">
        <v>31</v>
      </c>
      <c r="D498" t="s">
        <v>61</v>
      </c>
      <c r="E498" s="1">
        <v>45161</v>
      </c>
      <c r="F498" s="3">
        <v>45168</v>
      </c>
      <c r="G498" t="s">
        <v>48</v>
      </c>
      <c r="H498" t="s">
        <v>22</v>
      </c>
      <c r="I498" t="s">
        <v>91</v>
      </c>
      <c r="J498">
        <v>2217.96</v>
      </c>
      <c r="K498">
        <v>7</v>
      </c>
      <c r="L498" t="s">
        <v>36</v>
      </c>
      <c r="M498" t="s">
        <v>25</v>
      </c>
      <c r="N498" t="s">
        <v>26</v>
      </c>
      <c r="O498" t="s">
        <v>27</v>
      </c>
      <c r="P498" t="s">
        <v>50</v>
      </c>
      <c r="Q498">
        <v>1</v>
      </c>
      <c r="R498">
        <v>477.67</v>
      </c>
      <c r="S498" t="s">
        <v>29</v>
      </c>
    </row>
    <row r="499" spans="1:19" x14ac:dyDescent="0.3">
      <c r="A499" t="s">
        <v>569</v>
      </c>
      <c r="B499">
        <v>53</v>
      </c>
      <c r="C499" t="s">
        <v>31</v>
      </c>
      <c r="D499" t="s">
        <v>70</v>
      </c>
      <c r="E499" s="1">
        <v>45355</v>
      </c>
      <c r="F499" s="3">
        <v>45366</v>
      </c>
      <c r="G499" t="s">
        <v>67</v>
      </c>
      <c r="H499" t="s">
        <v>42</v>
      </c>
      <c r="I499" t="s">
        <v>43</v>
      </c>
      <c r="J499">
        <v>9603.24</v>
      </c>
      <c r="K499">
        <v>11</v>
      </c>
      <c r="L499" t="s">
        <v>24</v>
      </c>
      <c r="M499" t="s">
        <v>25</v>
      </c>
      <c r="N499" t="s">
        <v>44</v>
      </c>
      <c r="O499" t="s">
        <v>49</v>
      </c>
      <c r="P499" t="s">
        <v>45</v>
      </c>
      <c r="Q499">
        <v>15</v>
      </c>
      <c r="R499">
        <v>1760.01</v>
      </c>
      <c r="S499" t="s">
        <v>29</v>
      </c>
    </row>
    <row r="500" spans="1:19" x14ac:dyDescent="0.3">
      <c r="A500" t="s">
        <v>570</v>
      </c>
      <c r="B500">
        <v>88</v>
      </c>
      <c r="C500" t="s">
        <v>31</v>
      </c>
      <c r="D500" t="s">
        <v>70</v>
      </c>
      <c r="E500" s="1">
        <v>44929</v>
      </c>
      <c r="F500" s="3">
        <v>44936</v>
      </c>
      <c r="G500" t="s">
        <v>93</v>
      </c>
      <c r="H500" t="s">
        <v>72</v>
      </c>
      <c r="I500" t="s">
        <v>35</v>
      </c>
      <c r="J500">
        <v>7876.78</v>
      </c>
      <c r="K500">
        <v>7</v>
      </c>
      <c r="L500" t="s">
        <v>36</v>
      </c>
      <c r="M500" t="s">
        <v>25</v>
      </c>
      <c r="N500" t="s">
        <v>55</v>
      </c>
      <c r="O500" t="s">
        <v>49</v>
      </c>
      <c r="P500" t="s">
        <v>38</v>
      </c>
      <c r="Q500">
        <v>2</v>
      </c>
      <c r="R500">
        <v>1800.15</v>
      </c>
      <c r="S500" t="s">
        <v>29</v>
      </c>
    </row>
    <row r="501" spans="1:19" x14ac:dyDescent="0.3">
      <c r="A501" t="s">
        <v>571</v>
      </c>
      <c r="B501">
        <v>44</v>
      </c>
      <c r="C501" t="s">
        <v>31</v>
      </c>
      <c r="D501" t="s">
        <v>61</v>
      </c>
      <c r="E501" s="1">
        <v>45749</v>
      </c>
      <c r="F501" s="3">
        <v>45750</v>
      </c>
      <c r="G501" t="s">
        <v>74</v>
      </c>
      <c r="H501" t="s">
        <v>75</v>
      </c>
      <c r="I501" t="s">
        <v>54</v>
      </c>
      <c r="J501">
        <v>1186.24</v>
      </c>
      <c r="K501">
        <v>1</v>
      </c>
      <c r="L501" t="s">
        <v>36</v>
      </c>
      <c r="M501" t="s">
        <v>76</v>
      </c>
      <c r="N501" t="s">
        <v>55</v>
      </c>
      <c r="O501" t="s">
        <v>27</v>
      </c>
      <c r="P501" t="s">
        <v>45</v>
      </c>
      <c r="Q501">
        <v>8</v>
      </c>
      <c r="R501">
        <v>426.93</v>
      </c>
      <c r="S501" t="s">
        <v>29</v>
      </c>
    </row>
    <row r="502" spans="1:19" x14ac:dyDescent="0.3">
      <c r="A502" t="s">
        <v>572</v>
      </c>
      <c r="B502">
        <v>45</v>
      </c>
      <c r="C502" t="s">
        <v>31</v>
      </c>
      <c r="D502" t="s">
        <v>20</v>
      </c>
      <c r="E502" s="1">
        <v>45652</v>
      </c>
      <c r="F502" s="3">
        <v>45660</v>
      </c>
      <c r="G502" t="s">
        <v>67</v>
      </c>
      <c r="H502" t="s">
        <v>42</v>
      </c>
      <c r="I502" t="s">
        <v>83</v>
      </c>
      <c r="J502">
        <v>8069.17</v>
      </c>
      <c r="K502">
        <v>8</v>
      </c>
      <c r="L502" t="s">
        <v>36</v>
      </c>
      <c r="M502" t="s">
        <v>59</v>
      </c>
      <c r="N502" t="s">
        <v>55</v>
      </c>
      <c r="O502" t="s">
        <v>49</v>
      </c>
      <c r="P502" t="s">
        <v>28</v>
      </c>
      <c r="Q502">
        <v>11</v>
      </c>
      <c r="R502">
        <v>2929.05</v>
      </c>
      <c r="S502" t="s">
        <v>29</v>
      </c>
    </row>
    <row r="503" spans="1:19" x14ac:dyDescent="0.3">
      <c r="A503" t="s">
        <v>573</v>
      </c>
      <c r="B503">
        <v>79</v>
      </c>
      <c r="C503" t="s">
        <v>19</v>
      </c>
      <c r="D503" t="s">
        <v>47</v>
      </c>
      <c r="E503" s="1">
        <v>45754</v>
      </c>
      <c r="F503" s="3">
        <v>45774</v>
      </c>
      <c r="G503" t="s">
        <v>48</v>
      </c>
      <c r="H503" t="s">
        <v>22</v>
      </c>
      <c r="I503" t="s">
        <v>43</v>
      </c>
      <c r="J503">
        <v>15938.36</v>
      </c>
      <c r="K503">
        <v>20</v>
      </c>
      <c r="L503" t="s">
        <v>24</v>
      </c>
      <c r="M503" t="s">
        <v>25</v>
      </c>
      <c r="N503" t="s">
        <v>44</v>
      </c>
      <c r="O503" t="s">
        <v>49</v>
      </c>
      <c r="P503" t="s">
        <v>28</v>
      </c>
      <c r="Q503">
        <v>2</v>
      </c>
      <c r="R503">
        <v>5251.75</v>
      </c>
      <c r="S503" t="s">
        <v>29</v>
      </c>
    </row>
    <row r="504" spans="1:19" x14ac:dyDescent="0.3">
      <c r="A504" t="s">
        <v>574</v>
      </c>
      <c r="B504">
        <v>56</v>
      </c>
      <c r="C504" t="s">
        <v>19</v>
      </c>
      <c r="D504" t="s">
        <v>79</v>
      </c>
      <c r="E504" s="1">
        <v>45275</v>
      </c>
      <c r="F504" s="3">
        <v>45291</v>
      </c>
      <c r="G504" t="s">
        <v>93</v>
      </c>
      <c r="H504" t="s">
        <v>72</v>
      </c>
      <c r="I504" t="s">
        <v>83</v>
      </c>
      <c r="J504">
        <v>16883.7</v>
      </c>
      <c r="K504">
        <v>16</v>
      </c>
      <c r="L504" t="s">
        <v>24</v>
      </c>
      <c r="M504" t="s">
        <v>25</v>
      </c>
      <c r="N504" t="s">
        <v>55</v>
      </c>
      <c r="O504" t="s">
        <v>49</v>
      </c>
      <c r="P504" t="s">
        <v>28</v>
      </c>
      <c r="Q504">
        <v>1</v>
      </c>
      <c r="R504">
        <v>5203.8599999999997</v>
      </c>
      <c r="S504" t="s">
        <v>29</v>
      </c>
    </row>
    <row r="505" spans="1:19" x14ac:dyDescent="0.3">
      <c r="A505" t="s">
        <v>575</v>
      </c>
      <c r="B505">
        <v>53</v>
      </c>
      <c r="C505" t="s">
        <v>19</v>
      </c>
      <c r="D505" t="s">
        <v>47</v>
      </c>
      <c r="E505" s="1">
        <v>45837</v>
      </c>
      <c r="F505" s="3">
        <v>45842</v>
      </c>
      <c r="G505" t="s">
        <v>41</v>
      </c>
      <c r="H505" t="s">
        <v>42</v>
      </c>
      <c r="I505" t="s">
        <v>83</v>
      </c>
      <c r="J505">
        <v>4596.47</v>
      </c>
      <c r="K505">
        <v>5</v>
      </c>
      <c r="L505" t="s">
        <v>24</v>
      </c>
      <c r="M505" t="s">
        <v>25</v>
      </c>
      <c r="N505" t="s">
        <v>44</v>
      </c>
      <c r="O505" t="s">
        <v>37</v>
      </c>
      <c r="P505" t="s">
        <v>50</v>
      </c>
      <c r="Q505">
        <v>14</v>
      </c>
      <c r="R505">
        <v>1124.3599999999999</v>
      </c>
      <c r="S505" t="s">
        <v>29</v>
      </c>
    </row>
    <row r="506" spans="1:19" x14ac:dyDescent="0.3">
      <c r="A506" t="s">
        <v>576</v>
      </c>
      <c r="B506">
        <v>38</v>
      </c>
      <c r="C506" t="s">
        <v>31</v>
      </c>
      <c r="D506" t="s">
        <v>66</v>
      </c>
      <c r="E506" s="1">
        <v>45421</v>
      </c>
      <c r="F506" s="3">
        <v>45440</v>
      </c>
      <c r="G506" t="s">
        <v>93</v>
      </c>
      <c r="H506" t="s">
        <v>72</v>
      </c>
      <c r="I506" t="s">
        <v>91</v>
      </c>
      <c r="J506">
        <v>13816.18</v>
      </c>
      <c r="K506">
        <v>19</v>
      </c>
      <c r="L506" t="s">
        <v>24</v>
      </c>
      <c r="M506" t="s">
        <v>59</v>
      </c>
      <c r="N506" t="s">
        <v>55</v>
      </c>
      <c r="O506" t="s">
        <v>37</v>
      </c>
      <c r="P506" t="s">
        <v>28</v>
      </c>
      <c r="Q506">
        <v>8</v>
      </c>
      <c r="R506">
        <v>4818.79</v>
      </c>
      <c r="S506" t="s">
        <v>39</v>
      </c>
    </row>
    <row r="507" spans="1:19" x14ac:dyDescent="0.3">
      <c r="A507" t="s">
        <v>577</v>
      </c>
      <c r="B507">
        <v>37</v>
      </c>
      <c r="C507" t="s">
        <v>19</v>
      </c>
      <c r="D507" t="s">
        <v>20</v>
      </c>
      <c r="E507" s="1">
        <v>45009</v>
      </c>
      <c r="F507" s="3">
        <v>45032</v>
      </c>
      <c r="G507" t="s">
        <v>93</v>
      </c>
      <c r="H507" t="s">
        <v>72</v>
      </c>
      <c r="I507" t="s">
        <v>43</v>
      </c>
      <c r="J507">
        <v>13206.07</v>
      </c>
      <c r="K507">
        <v>23</v>
      </c>
      <c r="L507" t="s">
        <v>24</v>
      </c>
      <c r="M507" t="s">
        <v>76</v>
      </c>
      <c r="N507" t="s">
        <v>44</v>
      </c>
      <c r="O507" t="s">
        <v>49</v>
      </c>
      <c r="P507" t="s">
        <v>28</v>
      </c>
      <c r="Q507">
        <v>15</v>
      </c>
      <c r="R507">
        <v>4901.59</v>
      </c>
      <c r="S507" t="s">
        <v>29</v>
      </c>
    </row>
    <row r="508" spans="1:19" x14ac:dyDescent="0.3">
      <c r="A508" t="s">
        <v>578</v>
      </c>
      <c r="B508">
        <v>59</v>
      </c>
      <c r="C508" t="s">
        <v>31</v>
      </c>
      <c r="D508" t="s">
        <v>70</v>
      </c>
      <c r="E508" s="1">
        <v>45216</v>
      </c>
      <c r="F508" s="3">
        <v>45227</v>
      </c>
      <c r="G508" t="s">
        <v>21</v>
      </c>
      <c r="H508" t="s">
        <v>22</v>
      </c>
      <c r="I508" t="s">
        <v>83</v>
      </c>
      <c r="J508">
        <v>8331.75</v>
      </c>
      <c r="K508">
        <v>11</v>
      </c>
      <c r="L508" t="s">
        <v>36</v>
      </c>
      <c r="M508" t="s">
        <v>59</v>
      </c>
      <c r="N508" t="s">
        <v>55</v>
      </c>
      <c r="O508" t="s">
        <v>27</v>
      </c>
      <c r="P508" t="s">
        <v>50</v>
      </c>
      <c r="Q508">
        <v>9</v>
      </c>
      <c r="R508">
        <v>1421.24</v>
      </c>
      <c r="S508" t="s">
        <v>39</v>
      </c>
    </row>
    <row r="509" spans="1:19" x14ac:dyDescent="0.3">
      <c r="A509" t="s">
        <v>579</v>
      </c>
      <c r="B509">
        <v>87</v>
      </c>
      <c r="C509" t="s">
        <v>19</v>
      </c>
      <c r="D509" t="s">
        <v>79</v>
      </c>
      <c r="E509" s="1">
        <v>45229</v>
      </c>
      <c r="F509" s="3">
        <v>45236</v>
      </c>
      <c r="G509" t="s">
        <v>71</v>
      </c>
      <c r="H509" t="s">
        <v>72</v>
      </c>
      <c r="I509" t="s">
        <v>35</v>
      </c>
      <c r="J509">
        <v>4570.75</v>
      </c>
      <c r="K509">
        <v>7</v>
      </c>
      <c r="L509" t="s">
        <v>24</v>
      </c>
      <c r="M509" t="s">
        <v>25</v>
      </c>
      <c r="N509" t="s">
        <v>44</v>
      </c>
      <c r="O509" t="s">
        <v>37</v>
      </c>
      <c r="P509" t="s">
        <v>45</v>
      </c>
      <c r="Q509">
        <v>1</v>
      </c>
      <c r="R509">
        <v>1639.51</v>
      </c>
      <c r="S509" t="s">
        <v>29</v>
      </c>
    </row>
    <row r="510" spans="1:19" x14ac:dyDescent="0.3">
      <c r="A510" t="s">
        <v>580</v>
      </c>
      <c r="B510">
        <v>19</v>
      </c>
      <c r="C510" t="s">
        <v>31</v>
      </c>
      <c r="D510" t="s">
        <v>47</v>
      </c>
      <c r="E510" s="1">
        <v>44980</v>
      </c>
      <c r="F510" s="3">
        <v>44988</v>
      </c>
      <c r="G510" t="s">
        <v>71</v>
      </c>
      <c r="H510" t="s">
        <v>72</v>
      </c>
      <c r="I510" t="s">
        <v>54</v>
      </c>
      <c r="J510">
        <v>4502.5200000000004</v>
      </c>
      <c r="K510">
        <v>8</v>
      </c>
      <c r="L510" t="s">
        <v>36</v>
      </c>
      <c r="M510" t="s">
        <v>25</v>
      </c>
      <c r="N510" t="s">
        <v>26</v>
      </c>
      <c r="O510" t="s">
        <v>37</v>
      </c>
      <c r="P510" t="s">
        <v>38</v>
      </c>
      <c r="Q510">
        <v>1</v>
      </c>
      <c r="R510">
        <v>1706.57</v>
      </c>
      <c r="S510" t="s">
        <v>29</v>
      </c>
    </row>
    <row r="511" spans="1:19" x14ac:dyDescent="0.3">
      <c r="A511" t="s">
        <v>581</v>
      </c>
      <c r="B511">
        <v>87</v>
      </c>
      <c r="C511" t="s">
        <v>31</v>
      </c>
      <c r="D511" t="s">
        <v>20</v>
      </c>
      <c r="E511" s="1">
        <v>45259</v>
      </c>
      <c r="F511" s="3">
        <v>45262</v>
      </c>
      <c r="G511" t="s">
        <v>71</v>
      </c>
      <c r="H511" t="s">
        <v>72</v>
      </c>
      <c r="I511" t="s">
        <v>81</v>
      </c>
      <c r="J511">
        <v>2827.57</v>
      </c>
      <c r="K511">
        <v>3</v>
      </c>
      <c r="L511" t="s">
        <v>36</v>
      </c>
      <c r="M511" t="s">
        <v>25</v>
      </c>
      <c r="N511" t="s">
        <v>55</v>
      </c>
      <c r="O511" t="s">
        <v>27</v>
      </c>
      <c r="P511" t="s">
        <v>38</v>
      </c>
      <c r="Q511">
        <v>11</v>
      </c>
      <c r="R511">
        <v>1103.22</v>
      </c>
      <c r="S511" t="s">
        <v>29</v>
      </c>
    </row>
    <row r="512" spans="1:19" x14ac:dyDescent="0.3">
      <c r="A512" t="s">
        <v>582</v>
      </c>
      <c r="B512">
        <v>76</v>
      </c>
      <c r="C512" t="s">
        <v>19</v>
      </c>
      <c r="D512" t="s">
        <v>79</v>
      </c>
      <c r="E512" s="1">
        <v>45046</v>
      </c>
      <c r="F512" s="3">
        <v>45059</v>
      </c>
      <c r="G512" t="s">
        <v>33</v>
      </c>
      <c r="H512" t="s">
        <v>34</v>
      </c>
      <c r="I512" t="s">
        <v>54</v>
      </c>
      <c r="J512">
        <v>8735.39</v>
      </c>
      <c r="K512">
        <v>13</v>
      </c>
      <c r="L512" t="s">
        <v>24</v>
      </c>
      <c r="M512" t="s">
        <v>25</v>
      </c>
      <c r="N512" t="s">
        <v>26</v>
      </c>
      <c r="O512" t="s">
        <v>37</v>
      </c>
      <c r="P512" t="s">
        <v>45</v>
      </c>
      <c r="Q512">
        <v>8</v>
      </c>
      <c r="R512">
        <v>2372.0500000000002</v>
      </c>
      <c r="S512" t="s">
        <v>29</v>
      </c>
    </row>
    <row r="513" spans="1:19" x14ac:dyDescent="0.3">
      <c r="A513" t="s">
        <v>583</v>
      </c>
      <c r="B513">
        <v>78</v>
      </c>
      <c r="C513" t="s">
        <v>19</v>
      </c>
      <c r="D513" t="s">
        <v>89</v>
      </c>
      <c r="E513" s="1">
        <v>45001</v>
      </c>
      <c r="F513" s="3">
        <v>45017</v>
      </c>
      <c r="G513" t="s">
        <v>41</v>
      </c>
      <c r="H513" t="s">
        <v>42</v>
      </c>
      <c r="I513" t="s">
        <v>58</v>
      </c>
      <c r="J513">
        <v>9933.43</v>
      </c>
      <c r="K513">
        <v>16</v>
      </c>
      <c r="L513" t="s">
        <v>36</v>
      </c>
      <c r="M513" t="s">
        <v>25</v>
      </c>
      <c r="N513" t="s">
        <v>55</v>
      </c>
      <c r="O513" t="s">
        <v>37</v>
      </c>
      <c r="P513" t="s">
        <v>38</v>
      </c>
      <c r="Q513">
        <v>1</v>
      </c>
      <c r="R513">
        <v>3427.12</v>
      </c>
      <c r="S513" t="s">
        <v>29</v>
      </c>
    </row>
    <row r="514" spans="1:19" x14ac:dyDescent="0.3">
      <c r="A514" t="s">
        <v>584</v>
      </c>
      <c r="B514">
        <v>70</v>
      </c>
      <c r="C514" t="s">
        <v>19</v>
      </c>
      <c r="D514" t="s">
        <v>66</v>
      </c>
      <c r="E514" s="1">
        <v>45169</v>
      </c>
      <c r="F514" s="3">
        <v>45178</v>
      </c>
      <c r="G514" t="s">
        <v>33</v>
      </c>
      <c r="H514" t="s">
        <v>34</v>
      </c>
      <c r="I514" t="s">
        <v>91</v>
      </c>
      <c r="J514">
        <v>4437.8500000000004</v>
      </c>
      <c r="K514">
        <v>9</v>
      </c>
      <c r="L514" t="s">
        <v>36</v>
      </c>
      <c r="M514" t="s">
        <v>25</v>
      </c>
      <c r="N514" t="s">
        <v>26</v>
      </c>
      <c r="O514" t="s">
        <v>37</v>
      </c>
      <c r="P514" t="s">
        <v>45</v>
      </c>
      <c r="Q514">
        <v>15</v>
      </c>
      <c r="R514">
        <v>1272.08</v>
      </c>
      <c r="S514" t="s">
        <v>29</v>
      </c>
    </row>
    <row r="515" spans="1:19" x14ac:dyDescent="0.3">
      <c r="A515" t="s">
        <v>585</v>
      </c>
      <c r="B515">
        <v>76</v>
      </c>
      <c r="C515" t="s">
        <v>31</v>
      </c>
      <c r="D515" t="s">
        <v>20</v>
      </c>
      <c r="E515" s="1">
        <v>45290</v>
      </c>
      <c r="F515" s="3">
        <v>45312</v>
      </c>
      <c r="G515" t="s">
        <v>71</v>
      </c>
      <c r="H515" t="s">
        <v>72</v>
      </c>
      <c r="I515" t="s">
        <v>23</v>
      </c>
      <c r="J515">
        <v>9897.68</v>
      </c>
      <c r="K515">
        <v>22</v>
      </c>
      <c r="L515" t="s">
        <v>24</v>
      </c>
      <c r="M515" t="s">
        <v>25</v>
      </c>
      <c r="N515" t="s">
        <v>55</v>
      </c>
      <c r="O515" t="s">
        <v>49</v>
      </c>
      <c r="P515" t="s">
        <v>50</v>
      </c>
      <c r="Q515">
        <v>11</v>
      </c>
      <c r="R515">
        <v>3777.83</v>
      </c>
      <c r="S515" t="s">
        <v>29</v>
      </c>
    </row>
    <row r="516" spans="1:19" x14ac:dyDescent="0.3">
      <c r="A516" t="s">
        <v>586</v>
      </c>
      <c r="B516">
        <v>20</v>
      </c>
      <c r="C516" t="s">
        <v>31</v>
      </c>
      <c r="D516" t="s">
        <v>61</v>
      </c>
      <c r="E516" s="1">
        <v>45407</v>
      </c>
      <c r="F516" s="3">
        <v>45419</v>
      </c>
      <c r="G516" t="s">
        <v>52</v>
      </c>
      <c r="H516" t="s">
        <v>53</v>
      </c>
      <c r="I516" t="s">
        <v>91</v>
      </c>
      <c r="J516">
        <v>4533.43</v>
      </c>
      <c r="K516">
        <v>12</v>
      </c>
      <c r="L516" t="s">
        <v>24</v>
      </c>
      <c r="M516" t="s">
        <v>59</v>
      </c>
      <c r="N516" t="s">
        <v>55</v>
      </c>
      <c r="O516" t="s">
        <v>56</v>
      </c>
      <c r="P516" t="s">
        <v>28</v>
      </c>
      <c r="Q516">
        <v>12</v>
      </c>
      <c r="R516">
        <v>758.6</v>
      </c>
      <c r="S516" t="s">
        <v>29</v>
      </c>
    </row>
    <row r="517" spans="1:19" x14ac:dyDescent="0.3">
      <c r="A517" t="s">
        <v>587</v>
      </c>
      <c r="B517">
        <v>54</v>
      </c>
      <c r="C517" t="s">
        <v>31</v>
      </c>
      <c r="D517" t="s">
        <v>61</v>
      </c>
      <c r="E517" s="1">
        <v>45241</v>
      </c>
      <c r="F517" s="3">
        <v>45245</v>
      </c>
      <c r="G517" t="s">
        <v>33</v>
      </c>
      <c r="H517" t="s">
        <v>34</v>
      </c>
      <c r="I517" t="s">
        <v>81</v>
      </c>
      <c r="J517">
        <v>3385.56</v>
      </c>
      <c r="K517">
        <v>4</v>
      </c>
      <c r="L517" t="s">
        <v>24</v>
      </c>
      <c r="M517" t="s">
        <v>59</v>
      </c>
      <c r="N517" t="s">
        <v>44</v>
      </c>
      <c r="O517" t="s">
        <v>56</v>
      </c>
      <c r="P517" t="s">
        <v>45</v>
      </c>
      <c r="Q517">
        <v>3</v>
      </c>
      <c r="R517">
        <v>1344.11</v>
      </c>
      <c r="S517" t="s">
        <v>29</v>
      </c>
    </row>
    <row r="518" spans="1:19" x14ac:dyDescent="0.3">
      <c r="A518" t="s">
        <v>588</v>
      </c>
      <c r="B518">
        <v>45</v>
      </c>
      <c r="C518" t="s">
        <v>31</v>
      </c>
      <c r="D518" t="s">
        <v>89</v>
      </c>
      <c r="E518" s="1">
        <v>45290</v>
      </c>
      <c r="F518" s="3">
        <v>45301</v>
      </c>
      <c r="G518" t="s">
        <v>71</v>
      </c>
      <c r="H518" t="s">
        <v>72</v>
      </c>
      <c r="I518" t="s">
        <v>91</v>
      </c>
      <c r="J518">
        <v>11037.22</v>
      </c>
      <c r="K518">
        <v>11</v>
      </c>
      <c r="L518" t="s">
        <v>24</v>
      </c>
      <c r="M518" t="s">
        <v>59</v>
      </c>
      <c r="N518" t="s">
        <v>55</v>
      </c>
      <c r="O518" t="s">
        <v>49</v>
      </c>
      <c r="P518" t="s">
        <v>45</v>
      </c>
      <c r="Q518">
        <v>2</v>
      </c>
      <c r="R518">
        <v>3553.08</v>
      </c>
      <c r="S518" t="s">
        <v>29</v>
      </c>
    </row>
    <row r="519" spans="1:19" x14ac:dyDescent="0.3">
      <c r="A519" t="s">
        <v>589</v>
      </c>
      <c r="B519">
        <v>26</v>
      </c>
      <c r="C519" t="s">
        <v>31</v>
      </c>
      <c r="D519" t="s">
        <v>47</v>
      </c>
      <c r="E519" s="1">
        <v>45640</v>
      </c>
      <c r="F519" s="3">
        <v>45659</v>
      </c>
      <c r="G519" t="s">
        <v>67</v>
      </c>
      <c r="H519" t="s">
        <v>42</v>
      </c>
      <c r="I519" t="s">
        <v>58</v>
      </c>
      <c r="J519">
        <v>5798.92</v>
      </c>
      <c r="K519">
        <v>19</v>
      </c>
      <c r="L519" t="s">
        <v>36</v>
      </c>
      <c r="M519" t="s">
        <v>101</v>
      </c>
      <c r="N519" t="s">
        <v>44</v>
      </c>
      <c r="O519" t="s">
        <v>27</v>
      </c>
      <c r="P519" t="s">
        <v>50</v>
      </c>
      <c r="Q519">
        <v>4</v>
      </c>
      <c r="R519">
        <v>1160.49</v>
      </c>
      <c r="S519" t="s">
        <v>29</v>
      </c>
    </row>
    <row r="520" spans="1:19" x14ac:dyDescent="0.3">
      <c r="A520" t="s">
        <v>590</v>
      </c>
      <c r="B520">
        <v>86</v>
      </c>
      <c r="C520" t="s">
        <v>31</v>
      </c>
      <c r="D520" t="s">
        <v>66</v>
      </c>
      <c r="E520" s="1">
        <v>45646</v>
      </c>
      <c r="F520" s="3">
        <v>45652</v>
      </c>
      <c r="G520" t="s">
        <v>74</v>
      </c>
      <c r="H520" t="s">
        <v>75</v>
      </c>
      <c r="I520" t="s">
        <v>54</v>
      </c>
      <c r="J520">
        <v>9249.1299999999992</v>
      </c>
      <c r="K520">
        <v>6</v>
      </c>
      <c r="L520" t="s">
        <v>24</v>
      </c>
      <c r="M520" t="s">
        <v>25</v>
      </c>
      <c r="N520" t="s">
        <v>44</v>
      </c>
      <c r="O520" t="s">
        <v>49</v>
      </c>
      <c r="P520" t="s">
        <v>50</v>
      </c>
      <c r="Q520">
        <v>4</v>
      </c>
      <c r="R520">
        <v>3270.59</v>
      </c>
      <c r="S520" t="s">
        <v>29</v>
      </c>
    </row>
    <row r="521" spans="1:19" x14ac:dyDescent="0.3">
      <c r="A521" t="s">
        <v>591</v>
      </c>
      <c r="B521">
        <v>23</v>
      </c>
      <c r="C521" t="s">
        <v>31</v>
      </c>
      <c r="D521" t="s">
        <v>20</v>
      </c>
      <c r="E521" s="1">
        <v>45583</v>
      </c>
      <c r="F521" s="3">
        <v>45599</v>
      </c>
      <c r="G521" t="s">
        <v>71</v>
      </c>
      <c r="H521" t="s">
        <v>72</v>
      </c>
      <c r="I521" t="s">
        <v>83</v>
      </c>
      <c r="J521">
        <v>8477.59</v>
      </c>
      <c r="K521">
        <v>16</v>
      </c>
      <c r="L521" t="s">
        <v>24</v>
      </c>
      <c r="M521" t="s">
        <v>25</v>
      </c>
      <c r="N521" t="s">
        <v>55</v>
      </c>
      <c r="O521" t="s">
        <v>49</v>
      </c>
      <c r="P521" t="s">
        <v>28</v>
      </c>
      <c r="Q521">
        <v>11</v>
      </c>
      <c r="R521">
        <v>1611.79</v>
      </c>
      <c r="S521" t="s">
        <v>29</v>
      </c>
    </row>
    <row r="522" spans="1:19" x14ac:dyDescent="0.3">
      <c r="A522" t="s">
        <v>592</v>
      </c>
      <c r="B522">
        <v>84</v>
      </c>
      <c r="C522" t="s">
        <v>19</v>
      </c>
      <c r="D522" t="s">
        <v>79</v>
      </c>
      <c r="E522" s="1">
        <v>45615</v>
      </c>
      <c r="F522" s="3">
        <v>45618</v>
      </c>
      <c r="G522" t="s">
        <v>48</v>
      </c>
      <c r="H522" t="s">
        <v>22</v>
      </c>
      <c r="I522" t="s">
        <v>83</v>
      </c>
      <c r="J522">
        <v>1752.83</v>
      </c>
      <c r="K522">
        <v>3</v>
      </c>
      <c r="L522" t="s">
        <v>36</v>
      </c>
      <c r="M522" t="s">
        <v>25</v>
      </c>
      <c r="N522" t="s">
        <v>26</v>
      </c>
      <c r="O522" t="s">
        <v>56</v>
      </c>
      <c r="P522" t="s">
        <v>28</v>
      </c>
      <c r="Q522">
        <v>11</v>
      </c>
      <c r="R522">
        <v>282.74</v>
      </c>
      <c r="S522" t="s">
        <v>29</v>
      </c>
    </row>
    <row r="523" spans="1:19" x14ac:dyDescent="0.3">
      <c r="A523" t="s">
        <v>593</v>
      </c>
      <c r="B523">
        <v>51</v>
      </c>
      <c r="C523" t="s">
        <v>31</v>
      </c>
      <c r="D523" t="s">
        <v>79</v>
      </c>
      <c r="E523" s="1">
        <v>45813</v>
      </c>
      <c r="F523" s="3">
        <v>45820</v>
      </c>
      <c r="G523" t="s">
        <v>74</v>
      </c>
      <c r="H523" t="s">
        <v>75</v>
      </c>
      <c r="I523" t="s">
        <v>54</v>
      </c>
      <c r="J523">
        <v>1830.29</v>
      </c>
      <c r="K523">
        <v>7</v>
      </c>
      <c r="L523" t="s">
        <v>24</v>
      </c>
      <c r="M523" t="s">
        <v>25</v>
      </c>
      <c r="N523" t="s">
        <v>26</v>
      </c>
      <c r="O523" t="s">
        <v>37</v>
      </c>
      <c r="P523" t="s">
        <v>28</v>
      </c>
      <c r="Q523">
        <v>5</v>
      </c>
      <c r="R523">
        <v>661.1</v>
      </c>
      <c r="S523" t="s">
        <v>29</v>
      </c>
    </row>
    <row r="524" spans="1:19" x14ac:dyDescent="0.3">
      <c r="A524" t="s">
        <v>594</v>
      </c>
      <c r="B524">
        <v>89</v>
      </c>
      <c r="C524" t="s">
        <v>31</v>
      </c>
      <c r="D524" t="s">
        <v>79</v>
      </c>
      <c r="E524" s="1">
        <v>45618</v>
      </c>
      <c r="F524" s="3">
        <v>45620</v>
      </c>
      <c r="G524" t="s">
        <v>52</v>
      </c>
      <c r="H524" t="s">
        <v>53</v>
      </c>
      <c r="I524" t="s">
        <v>81</v>
      </c>
      <c r="J524">
        <v>3267.82</v>
      </c>
      <c r="K524">
        <v>2</v>
      </c>
      <c r="L524" t="s">
        <v>24</v>
      </c>
      <c r="M524" t="s">
        <v>25</v>
      </c>
      <c r="N524" t="s">
        <v>55</v>
      </c>
      <c r="O524" t="s">
        <v>56</v>
      </c>
      <c r="P524" t="s">
        <v>45</v>
      </c>
      <c r="Q524">
        <v>11</v>
      </c>
      <c r="R524">
        <v>1220.25</v>
      </c>
      <c r="S524" t="s">
        <v>29</v>
      </c>
    </row>
    <row r="525" spans="1:19" x14ac:dyDescent="0.3">
      <c r="A525" t="s">
        <v>595</v>
      </c>
      <c r="B525">
        <v>85</v>
      </c>
      <c r="C525" t="s">
        <v>19</v>
      </c>
      <c r="D525" t="s">
        <v>79</v>
      </c>
      <c r="E525" s="1">
        <v>45626</v>
      </c>
      <c r="F525" s="3">
        <v>45637</v>
      </c>
      <c r="G525" t="s">
        <v>71</v>
      </c>
      <c r="H525" t="s">
        <v>72</v>
      </c>
      <c r="I525" t="s">
        <v>58</v>
      </c>
      <c r="J525">
        <v>4782.51</v>
      </c>
      <c r="K525">
        <v>11</v>
      </c>
      <c r="L525" t="s">
        <v>36</v>
      </c>
      <c r="M525" t="s">
        <v>25</v>
      </c>
      <c r="N525" t="s">
        <v>26</v>
      </c>
      <c r="O525" t="s">
        <v>56</v>
      </c>
      <c r="P525" t="s">
        <v>38</v>
      </c>
      <c r="Q525">
        <v>7</v>
      </c>
      <c r="R525">
        <v>1197.68</v>
      </c>
      <c r="S525" t="s">
        <v>29</v>
      </c>
    </row>
    <row r="526" spans="1:19" x14ac:dyDescent="0.3">
      <c r="A526" t="s">
        <v>596</v>
      </c>
      <c r="B526">
        <v>76</v>
      </c>
      <c r="C526" t="s">
        <v>31</v>
      </c>
      <c r="D526" t="s">
        <v>79</v>
      </c>
      <c r="E526" s="1">
        <v>45442</v>
      </c>
      <c r="F526" s="3">
        <v>45458</v>
      </c>
      <c r="G526" t="s">
        <v>67</v>
      </c>
      <c r="H526" t="s">
        <v>42</v>
      </c>
      <c r="I526" t="s">
        <v>54</v>
      </c>
      <c r="J526">
        <v>6185.94</v>
      </c>
      <c r="K526">
        <v>16</v>
      </c>
      <c r="L526" t="s">
        <v>24</v>
      </c>
      <c r="M526" t="s">
        <v>25</v>
      </c>
      <c r="N526" t="s">
        <v>26</v>
      </c>
      <c r="O526" t="s">
        <v>56</v>
      </c>
      <c r="P526" t="s">
        <v>45</v>
      </c>
      <c r="Q526">
        <v>13</v>
      </c>
      <c r="R526">
        <v>2254.91</v>
      </c>
      <c r="S526" t="s">
        <v>29</v>
      </c>
    </row>
    <row r="527" spans="1:19" x14ac:dyDescent="0.3">
      <c r="A527" t="s">
        <v>597</v>
      </c>
      <c r="B527">
        <v>83</v>
      </c>
      <c r="C527" t="s">
        <v>19</v>
      </c>
      <c r="D527" t="s">
        <v>79</v>
      </c>
      <c r="E527" s="1">
        <v>45011</v>
      </c>
      <c r="F527" s="3">
        <v>45017</v>
      </c>
      <c r="G527" t="s">
        <v>93</v>
      </c>
      <c r="H527" t="s">
        <v>72</v>
      </c>
      <c r="I527" t="s">
        <v>54</v>
      </c>
      <c r="J527">
        <v>6213.96</v>
      </c>
      <c r="K527">
        <v>6</v>
      </c>
      <c r="L527" t="s">
        <v>24</v>
      </c>
      <c r="M527" t="s">
        <v>25</v>
      </c>
      <c r="N527" t="s">
        <v>44</v>
      </c>
      <c r="O527" t="s">
        <v>27</v>
      </c>
      <c r="P527" t="s">
        <v>28</v>
      </c>
      <c r="Q527">
        <v>11</v>
      </c>
      <c r="R527">
        <v>1370.78</v>
      </c>
      <c r="S527" t="s">
        <v>29</v>
      </c>
    </row>
    <row r="528" spans="1:19" x14ac:dyDescent="0.3">
      <c r="A528" t="s">
        <v>598</v>
      </c>
      <c r="B528">
        <v>55</v>
      </c>
      <c r="C528" t="s">
        <v>19</v>
      </c>
      <c r="D528" t="s">
        <v>61</v>
      </c>
      <c r="E528" s="1">
        <v>45567</v>
      </c>
      <c r="F528" s="3">
        <v>45577</v>
      </c>
      <c r="G528" t="s">
        <v>48</v>
      </c>
      <c r="H528" t="s">
        <v>22</v>
      </c>
      <c r="I528" t="s">
        <v>43</v>
      </c>
      <c r="J528">
        <v>4286.3</v>
      </c>
      <c r="K528">
        <v>10</v>
      </c>
      <c r="L528" t="s">
        <v>36</v>
      </c>
      <c r="M528" t="s">
        <v>101</v>
      </c>
      <c r="N528" t="s">
        <v>44</v>
      </c>
      <c r="O528" t="s">
        <v>27</v>
      </c>
      <c r="P528" t="s">
        <v>50</v>
      </c>
      <c r="Q528">
        <v>14</v>
      </c>
      <c r="R528">
        <v>844.55</v>
      </c>
      <c r="S528" t="s">
        <v>29</v>
      </c>
    </row>
    <row r="529" spans="1:19" x14ac:dyDescent="0.3">
      <c r="A529" t="s">
        <v>599</v>
      </c>
      <c r="B529">
        <v>76</v>
      </c>
      <c r="C529" t="s">
        <v>31</v>
      </c>
      <c r="D529" t="s">
        <v>61</v>
      </c>
      <c r="E529" s="1">
        <v>45206</v>
      </c>
      <c r="F529" s="3">
        <v>45233</v>
      </c>
      <c r="G529" t="s">
        <v>48</v>
      </c>
      <c r="H529" t="s">
        <v>22</v>
      </c>
      <c r="I529" t="s">
        <v>54</v>
      </c>
      <c r="J529">
        <v>22643.95</v>
      </c>
      <c r="K529">
        <v>27</v>
      </c>
      <c r="L529" t="s">
        <v>36</v>
      </c>
      <c r="M529" t="s">
        <v>25</v>
      </c>
      <c r="N529" t="s">
        <v>55</v>
      </c>
      <c r="O529" t="s">
        <v>49</v>
      </c>
      <c r="P529" t="s">
        <v>45</v>
      </c>
      <c r="Q529">
        <v>11</v>
      </c>
      <c r="R529">
        <v>6706.26</v>
      </c>
      <c r="S529" t="s">
        <v>29</v>
      </c>
    </row>
    <row r="530" spans="1:19" x14ac:dyDescent="0.3">
      <c r="A530" t="s">
        <v>600</v>
      </c>
      <c r="B530">
        <v>72</v>
      </c>
      <c r="C530" t="s">
        <v>31</v>
      </c>
      <c r="D530" t="s">
        <v>70</v>
      </c>
      <c r="E530" s="1">
        <v>45916</v>
      </c>
      <c r="F530" s="3">
        <v>45917</v>
      </c>
      <c r="G530" t="s">
        <v>74</v>
      </c>
      <c r="H530" t="s">
        <v>75</v>
      </c>
      <c r="I530" t="s">
        <v>58</v>
      </c>
      <c r="J530">
        <v>1564.24</v>
      </c>
      <c r="K530">
        <v>1</v>
      </c>
      <c r="L530" t="s">
        <v>24</v>
      </c>
      <c r="M530" t="s">
        <v>25</v>
      </c>
      <c r="N530" t="s">
        <v>26</v>
      </c>
      <c r="O530" t="s">
        <v>56</v>
      </c>
      <c r="P530" t="s">
        <v>28</v>
      </c>
      <c r="Q530">
        <v>11</v>
      </c>
      <c r="R530">
        <v>437.16</v>
      </c>
      <c r="S530" t="s">
        <v>29</v>
      </c>
    </row>
    <row r="531" spans="1:19" x14ac:dyDescent="0.3">
      <c r="A531" t="s">
        <v>601</v>
      </c>
      <c r="B531">
        <v>34</v>
      </c>
      <c r="C531" t="s">
        <v>19</v>
      </c>
      <c r="D531" t="s">
        <v>79</v>
      </c>
      <c r="E531" s="1">
        <v>45304</v>
      </c>
      <c r="F531" s="3">
        <v>45310</v>
      </c>
      <c r="G531" t="s">
        <v>48</v>
      </c>
      <c r="H531" t="s">
        <v>22</v>
      </c>
      <c r="I531" t="s">
        <v>54</v>
      </c>
      <c r="J531">
        <v>6408.69</v>
      </c>
      <c r="K531">
        <v>6</v>
      </c>
      <c r="L531" t="s">
        <v>24</v>
      </c>
      <c r="M531" t="s">
        <v>25</v>
      </c>
      <c r="N531" t="s">
        <v>44</v>
      </c>
      <c r="O531" t="s">
        <v>37</v>
      </c>
      <c r="P531" t="s">
        <v>38</v>
      </c>
      <c r="Q531">
        <v>3</v>
      </c>
      <c r="R531">
        <v>1907.16</v>
      </c>
      <c r="S531" t="s">
        <v>29</v>
      </c>
    </row>
    <row r="532" spans="1:19" x14ac:dyDescent="0.3">
      <c r="A532" t="s">
        <v>602</v>
      </c>
      <c r="B532">
        <v>60</v>
      </c>
      <c r="C532" t="s">
        <v>19</v>
      </c>
      <c r="D532" t="s">
        <v>66</v>
      </c>
      <c r="E532" s="1">
        <v>45353</v>
      </c>
      <c r="F532" s="3">
        <v>45366</v>
      </c>
      <c r="G532" t="s">
        <v>41</v>
      </c>
      <c r="H532" t="s">
        <v>42</v>
      </c>
      <c r="I532" t="s">
        <v>91</v>
      </c>
      <c r="J532">
        <v>5337.05</v>
      </c>
      <c r="K532">
        <v>13</v>
      </c>
      <c r="L532" t="s">
        <v>24</v>
      </c>
      <c r="M532" t="s">
        <v>25</v>
      </c>
      <c r="N532" t="s">
        <v>26</v>
      </c>
      <c r="O532" t="s">
        <v>56</v>
      </c>
      <c r="P532" t="s">
        <v>28</v>
      </c>
      <c r="Q532">
        <v>11</v>
      </c>
      <c r="R532">
        <v>2018.74</v>
      </c>
      <c r="S532" t="s">
        <v>39</v>
      </c>
    </row>
    <row r="533" spans="1:19" x14ac:dyDescent="0.3">
      <c r="A533" t="s">
        <v>603</v>
      </c>
      <c r="B533">
        <v>31</v>
      </c>
      <c r="C533" t="s">
        <v>31</v>
      </c>
      <c r="D533" t="s">
        <v>47</v>
      </c>
      <c r="E533" s="1">
        <v>45742</v>
      </c>
      <c r="F533" s="3">
        <v>45755</v>
      </c>
      <c r="G533" t="s">
        <v>21</v>
      </c>
      <c r="H533" t="s">
        <v>22</v>
      </c>
      <c r="I533" t="s">
        <v>83</v>
      </c>
      <c r="J533">
        <v>7248.78</v>
      </c>
      <c r="K533">
        <v>13</v>
      </c>
      <c r="L533" t="s">
        <v>36</v>
      </c>
      <c r="M533" t="s">
        <v>59</v>
      </c>
      <c r="N533" t="s">
        <v>26</v>
      </c>
      <c r="O533" t="s">
        <v>27</v>
      </c>
      <c r="P533" t="s">
        <v>28</v>
      </c>
      <c r="Q533">
        <v>6</v>
      </c>
      <c r="R533">
        <v>2724.51</v>
      </c>
      <c r="S533" t="s">
        <v>29</v>
      </c>
    </row>
    <row r="534" spans="1:19" x14ac:dyDescent="0.3">
      <c r="A534" t="s">
        <v>604</v>
      </c>
      <c r="B534">
        <v>74</v>
      </c>
      <c r="C534" t="s">
        <v>19</v>
      </c>
      <c r="D534" t="s">
        <v>70</v>
      </c>
      <c r="E534" s="1">
        <v>45650</v>
      </c>
      <c r="F534" s="3">
        <v>45667</v>
      </c>
      <c r="G534" t="s">
        <v>74</v>
      </c>
      <c r="H534" t="s">
        <v>75</v>
      </c>
      <c r="I534" t="s">
        <v>58</v>
      </c>
      <c r="J534">
        <v>11240.78</v>
      </c>
      <c r="K534">
        <v>17</v>
      </c>
      <c r="L534" t="s">
        <v>36</v>
      </c>
      <c r="M534" t="s">
        <v>25</v>
      </c>
      <c r="N534" t="s">
        <v>44</v>
      </c>
      <c r="O534" t="s">
        <v>49</v>
      </c>
      <c r="P534" t="s">
        <v>38</v>
      </c>
      <c r="Q534">
        <v>4</v>
      </c>
      <c r="R534">
        <v>4017.4</v>
      </c>
      <c r="S534" t="s">
        <v>29</v>
      </c>
    </row>
    <row r="535" spans="1:19" x14ac:dyDescent="0.3">
      <c r="A535" t="s">
        <v>605</v>
      </c>
      <c r="B535">
        <v>89</v>
      </c>
      <c r="C535" t="s">
        <v>19</v>
      </c>
      <c r="D535" t="s">
        <v>47</v>
      </c>
      <c r="E535" s="1">
        <v>45122</v>
      </c>
      <c r="F535" s="3">
        <v>45123</v>
      </c>
      <c r="G535" t="s">
        <v>67</v>
      </c>
      <c r="H535" t="s">
        <v>42</v>
      </c>
      <c r="I535" t="s">
        <v>83</v>
      </c>
      <c r="J535">
        <v>2227.66</v>
      </c>
      <c r="K535">
        <v>1</v>
      </c>
      <c r="L535" t="s">
        <v>36</v>
      </c>
      <c r="M535" t="s">
        <v>59</v>
      </c>
      <c r="N535" t="s">
        <v>44</v>
      </c>
      <c r="O535" t="s">
        <v>37</v>
      </c>
      <c r="P535" t="s">
        <v>50</v>
      </c>
      <c r="Q535">
        <v>7</v>
      </c>
      <c r="R535">
        <v>763.41</v>
      </c>
      <c r="S535" t="s">
        <v>29</v>
      </c>
    </row>
    <row r="536" spans="1:19" x14ac:dyDescent="0.3">
      <c r="A536" t="s">
        <v>606</v>
      </c>
      <c r="B536">
        <v>75</v>
      </c>
      <c r="C536" t="s">
        <v>31</v>
      </c>
      <c r="D536" t="s">
        <v>70</v>
      </c>
      <c r="E536" s="1">
        <v>45080</v>
      </c>
      <c r="F536" s="3">
        <v>45101</v>
      </c>
      <c r="G536" t="s">
        <v>74</v>
      </c>
      <c r="H536" t="s">
        <v>75</v>
      </c>
      <c r="I536" t="s">
        <v>91</v>
      </c>
      <c r="J536">
        <v>13486.53</v>
      </c>
      <c r="K536">
        <v>21</v>
      </c>
      <c r="L536" t="s">
        <v>24</v>
      </c>
      <c r="M536" t="s">
        <v>25</v>
      </c>
      <c r="N536" t="s">
        <v>55</v>
      </c>
      <c r="O536" t="s">
        <v>49</v>
      </c>
      <c r="P536" t="s">
        <v>28</v>
      </c>
      <c r="Q536">
        <v>14</v>
      </c>
      <c r="R536">
        <v>4555.97</v>
      </c>
      <c r="S536" t="s">
        <v>39</v>
      </c>
    </row>
    <row r="537" spans="1:19" x14ac:dyDescent="0.3">
      <c r="A537" t="s">
        <v>607</v>
      </c>
      <c r="B537">
        <v>71</v>
      </c>
      <c r="C537" t="s">
        <v>19</v>
      </c>
      <c r="D537" t="s">
        <v>32</v>
      </c>
      <c r="E537" s="1">
        <v>45548</v>
      </c>
      <c r="F537" s="3">
        <v>45567</v>
      </c>
      <c r="G537" t="s">
        <v>62</v>
      </c>
      <c r="H537" t="s">
        <v>63</v>
      </c>
      <c r="I537" t="s">
        <v>81</v>
      </c>
      <c r="J537">
        <v>6378.35</v>
      </c>
      <c r="K537">
        <v>19</v>
      </c>
      <c r="L537" t="s">
        <v>36</v>
      </c>
      <c r="M537" t="s">
        <v>25</v>
      </c>
      <c r="N537" t="s">
        <v>55</v>
      </c>
      <c r="O537" t="s">
        <v>37</v>
      </c>
      <c r="P537" t="s">
        <v>28</v>
      </c>
      <c r="Q537">
        <v>10</v>
      </c>
      <c r="R537">
        <v>1456.93</v>
      </c>
      <c r="S537" t="s">
        <v>29</v>
      </c>
    </row>
    <row r="538" spans="1:19" x14ac:dyDescent="0.3">
      <c r="A538" t="s">
        <v>608</v>
      </c>
      <c r="B538">
        <v>30</v>
      </c>
      <c r="C538" t="s">
        <v>19</v>
      </c>
      <c r="D538" t="s">
        <v>89</v>
      </c>
      <c r="E538" s="1">
        <v>44978</v>
      </c>
      <c r="F538" s="3">
        <v>44993</v>
      </c>
      <c r="G538" t="s">
        <v>33</v>
      </c>
      <c r="H538" t="s">
        <v>34</v>
      </c>
      <c r="I538" t="s">
        <v>43</v>
      </c>
      <c r="J538">
        <v>3320.67</v>
      </c>
      <c r="K538">
        <v>15</v>
      </c>
      <c r="L538" t="s">
        <v>24</v>
      </c>
      <c r="M538" t="s">
        <v>25</v>
      </c>
      <c r="N538" t="s">
        <v>55</v>
      </c>
      <c r="O538" t="s">
        <v>56</v>
      </c>
      <c r="P538" t="s">
        <v>28</v>
      </c>
      <c r="Q538">
        <v>15</v>
      </c>
      <c r="R538">
        <v>1316.38</v>
      </c>
      <c r="S538" t="s">
        <v>29</v>
      </c>
    </row>
    <row r="539" spans="1:19" x14ac:dyDescent="0.3">
      <c r="A539" t="s">
        <v>609</v>
      </c>
      <c r="B539">
        <v>79</v>
      </c>
      <c r="C539" t="s">
        <v>19</v>
      </c>
      <c r="D539" t="s">
        <v>20</v>
      </c>
      <c r="E539" s="1">
        <v>45367</v>
      </c>
      <c r="F539" s="3">
        <v>45377</v>
      </c>
      <c r="G539" t="s">
        <v>93</v>
      </c>
      <c r="H539" t="s">
        <v>72</v>
      </c>
      <c r="I539" t="s">
        <v>43</v>
      </c>
      <c r="J539">
        <v>5575</v>
      </c>
      <c r="K539">
        <v>10</v>
      </c>
      <c r="L539" t="s">
        <v>24</v>
      </c>
      <c r="M539" t="s">
        <v>25</v>
      </c>
      <c r="N539" t="s">
        <v>44</v>
      </c>
      <c r="O539" t="s">
        <v>56</v>
      </c>
      <c r="P539" t="s">
        <v>38</v>
      </c>
      <c r="Q539">
        <v>13</v>
      </c>
      <c r="R539">
        <v>1560.41</v>
      </c>
      <c r="S539" t="s">
        <v>29</v>
      </c>
    </row>
    <row r="540" spans="1:19" x14ac:dyDescent="0.3">
      <c r="A540" t="s">
        <v>610</v>
      </c>
      <c r="B540">
        <v>74</v>
      </c>
      <c r="C540" t="s">
        <v>19</v>
      </c>
      <c r="D540" t="s">
        <v>47</v>
      </c>
      <c r="E540" s="1">
        <v>45116</v>
      </c>
      <c r="F540" s="3">
        <v>45128</v>
      </c>
      <c r="G540" t="s">
        <v>41</v>
      </c>
      <c r="H540" t="s">
        <v>42</v>
      </c>
      <c r="I540" t="s">
        <v>23</v>
      </c>
      <c r="J540">
        <v>5083.96</v>
      </c>
      <c r="K540">
        <v>12</v>
      </c>
      <c r="L540" t="s">
        <v>36</v>
      </c>
      <c r="M540" t="s">
        <v>25</v>
      </c>
      <c r="N540" t="s">
        <v>44</v>
      </c>
      <c r="O540" t="s">
        <v>27</v>
      </c>
      <c r="P540" t="s">
        <v>38</v>
      </c>
      <c r="Q540">
        <v>4</v>
      </c>
      <c r="R540">
        <v>1270.17</v>
      </c>
      <c r="S540" t="s">
        <v>29</v>
      </c>
    </row>
    <row r="541" spans="1:19" x14ac:dyDescent="0.3">
      <c r="A541" t="s">
        <v>611</v>
      </c>
      <c r="B541">
        <v>35</v>
      </c>
      <c r="C541" t="s">
        <v>31</v>
      </c>
      <c r="D541" t="s">
        <v>20</v>
      </c>
      <c r="E541" s="1">
        <v>45062</v>
      </c>
      <c r="F541" s="3">
        <v>45065</v>
      </c>
      <c r="G541" t="s">
        <v>21</v>
      </c>
      <c r="H541" t="s">
        <v>22</v>
      </c>
      <c r="I541" t="s">
        <v>23</v>
      </c>
      <c r="J541">
        <v>3728.66</v>
      </c>
      <c r="K541">
        <v>3</v>
      </c>
      <c r="L541" t="s">
        <v>24</v>
      </c>
      <c r="M541" t="s">
        <v>25</v>
      </c>
      <c r="N541" t="s">
        <v>55</v>
      </c>
      <c r="O541" t="s">
        <v>27</v>
      </c>
      <c r="P541" t="s">
        <v>28</v>
      </c>
      <c r="Q541">
        <v>7</v>
      </c>
      <c r="R541">
        <v>851.84</v>
      </c>
      <c r="S541" t="s">
        <v>29</v>
      </c>
    </row>
    <row r="542" spans="1:19" x14ac:dyDescent="0.3">
      <c r="A542" t="s">
        <v>612</v>
      </c>
      <c r="B542">
        <v>35</v>
      </c>
      <c r="C542" t="s">
        <v>31</v>
      </c>
      <c r="D542" t="s">
        <v>20</v>
      </c>
      <c r="E542" s="1">
        <v>45696</v>
      </c>
      <c r="F542" s="3">
        <v>45701</v>
      </c>
      <c r="G542" t="s">
        <v>93</v>
      </c>
      <c r="H542" t="s">
        <v>72</v>
      </c>
      <c r="I542" t="s">
        <v>83</v>
      </c>
      <c r="J542">
        <v>3650.93</v>
      </c>
      <c r="K542">
        <v>5</v>
      </c>
      <c r="L542" t="s">
        <v>36</v>
      </c>
      <c r="M542" t="s">
        <v>25</v>
      </c>
      <c r="N542" t="s">
        <v>44</v>
      </c>
      <c r="O542" t="s">
        <v>56</v>
      </c>
      <c r="P542" t="s">
        <v>45</v>
      </c>
      <c r="Q542">
        <v>10</v>
      </c>
      <c r="R542">
        <v>1381.35</v>
      </c>
      <c r="S542" t="s">
        <v>29</v>
      </c>
    </row>
    <row r="543" spans="1:19" x14ac:dyDescent="0.3">
      <c r="A543" t="s">
        <v>613</v>
      </c>
      <c r="B543">
        <v>45</v>
      </c>
      <c r="C543" t="s">
        <v>19</v>
      </c>
      <c r="D543" t="s">
        <v>61</v>
      </c>
      <c r="E543" s="1">
        <v>45707</v>
      </c>
      <c r="F543" s="3">
        <v>45715</v>
      </c>
      <c r="G543" t="s">
        <v>67</v>
      </c>
      <c r="H543" t="s">
        <v>42</v>
      </c>
      <c r="I543" t="s">
        <v>81</v>
      </c>
      <c r="J543">
        <v>4540.6000000000004</v>
      </c>
      <c r="K543">
        <v>8</v>
      </c>
      <c r="L543" t="s">
        <v>36</v>
      </c>
      <c r="M543" t="s">
        <v>25</v>
      </c>
      <c r="N543" t="s">
        <v>44</v>
      </c>
      <c r="O543" t="s">
        <v>27</v>
      </c>
      <c r="P543" t="s">
        <v>28</v>
      </c>
      <c r="Q543">
        <v>6</v>
      </c>
      <c r="R543">
        <v>1711.94</v>
      </c>
      <c r="S543" t="s">
        <v>29</v>
      </c>
    </row>
    <row r="544" spans="1:19" x14ac:dyDescent="0.3">
      <c r="A544" t="s">
        <v>614</v>
      </c>
      <c r="B544">
        <v>31</v>
      </c>
      <c r="C544" t="s">
        <v>19</v>
      </c>
      <c r="D544" t="s">
        <v>32</v>
      </c>
      <c r="E544" s="1">
        <v>45122</v>
      </c>
      <c r="F544" s="3">
        <v>45128</v>
      </c>
      <c r="G544" t="s">
        <v>67</v>
      </c>
      <c r="H544" t="s">
        <v>42</v>
      </c>
      <c r="I544" t="s">
        <v>58</v>
      </c>
      <c r="J544">
        <v>4805.8999999999996</v>
      </c>
      <c r="K544">
        <v>6</v>
      </c>
      <c r="L544" t="s">
        <v>24</v>
      </c>
      <c r="M544" t="s">
        <v>76</v>
      </c>
      <c r="N544" t="s">
        <v>26</v>
      </c>
      <c r="O544" t="s">
        <v>27</v>
      </c>
      <c r="P544" t="s">
        <v>45</v>
      </c>
      <c r="Q544">
        <v>15</v>
      </c>
      <c r="R544">
        <v>1904.77</v>
      </c>
      <c r="S544" t="s">
        <v>29</v>
      </c>
    </row>
    <row r="545" spans="1:19" x14ac:dyDescent="0.3">
      <c r="A545" t="s">
        <v>615</v>
      </c>
      <c r="B545">
        <v>69</v>
      </c>
      <c r="C545" t="s">
        <v>31</v>
      </c>
      <c r="D545" t="s">
        <v>66</v>
      </c>
      <c r="E545" s="1">
        <v>45199</v>
      </c>
      <c r="F545" s="3">
        <v>45200</v>
      </c>
      <c r="G545" t="s">
        <v>48</v>
      </c>
      <c r="H545" t="s">
        <v>22</v>
      </c>
      <c r="I545" t="s">
        <v>35</v>
      </c>
      <c r="J545">
        <v>1282.29</v>
      </c>
      <c r="K545">
        <v>1</v>
      </c>
      <c r="L545" t="s">
        <v>36</v>
      </c>
      <c r="M545" t="s">
        <v>25</v>
      </c>
      <c r="N545" t="s">
        <v>26</v>
      </c>
      <c r="O545" t="s">
        <v>27</v>
      </c>
      <c r="P545" t="s">
        <v>50</v>
      </c>
      <c r="Q545">
        <v>14</v>
      </c>
      <c r="R545">
        <v>339.96</v>
      </c>
      <c r="S545" t="s">
        <v>29</v>
      </c>
    </row>
    <row r="546" spans="1:19" x14ac:dyDescent="0.3">
      <c r="A546" t="s">
        <v>616</v>
      </c>
      <c r="B546">
        <v>67</v>
      </c>
      <c r="C546" t="s">
        <v>19</v>
      </c>
      <c r="D546" t="s">
        <v>32</v>
      </c>
      <c r="E546" s="1">
        <v>45731</v>
      </c>
      <c r="F546" s="3">
        <v>45748</v>
      </c>
      <c r="G546" t="s">
        <v>33</v>
      </c>
      <c r="H546" t="s">
        <v>34</v>
      </c>
      <c r="I546" t="s">
        <v>23</v>
      </c>
      <c r="J546">
        <v>4105.8900000000003</v>
      </c>
      <c r="K546">
        <v>17</v>
      </c>
      <c r="L546" t="s">
        <v>36</v>
      </c>
      <c r="M546" t="s">
        <v>25</v>
      </c>
      <c r="N546" t="s">
        <v>26</v>
      </c>
      <c r="O546" t="s">
        <v>56</v>
      </c>
      <c r="P546" t="s">
        <v>50</v>
      </c>
      <c r="Q546">
        <v>3</v>
      </c>
      <c r="R546">
        <v>992</v>
      </c>
      <c r="S546" t="s">
        <v>29</v>
      </c>
    </row>
    <row r="547" spans="1:19" x14ac:dyDescent="0.3">
      <c r="A547" t="s">
        <v>617</v>
      </c>
      <c r="B547">
        <v>49</v>
      </c>
      <c r="C547" t="s">
        <v>31</v>
      </c>
      <c r="D547" t="s">
        <v>70</v>
      </c>
      <c r="E547" s="1">
        <v>45794</v>
      </c>
      <c r="F547" s="3">
        <v>45811</v>
      </c>
      <c r="G547" t="s">
        <v>93</v>
      </c>
      <c r="H547" t="s">
        <v>72</v>
      </c>
      <c r="I547" t="s">
        <v>54</v>
      </c>
      <c r="J547">
        <v>4665.7700000000004</v>
      </c>
      <c r="K547">
        <v>17</v>
      </c>
      <c r="L547" t="s">
        <v>24</v>
      </c>
      <c r="M547" t="s">
        <v>59</v>
      </c>
      <c r="N547" t="s">
        <v>55</v>
      </c>
      <c r="O547" t="s">
        <v>37</v>
      </c>
      <c r="P547" t="s">
        <v>50</v>
      </c>
      <c r="Q547">
        <v>3</v>
      </c>
      <c r="R547">
        <v>1179.56</v>
      </c>
      <c r="S547" t="s">
        <v>29</v>
      </c>
    </row>
    <row r="548" spans="1:19" x14ac:dyDescent="0.3">
      <c r="A548" t="s">
        <v>618</v>
      </c>
      <c r="B548">
        <v>86</v>
      </c>
      <c r="C548" t="s">
        <v>31</v>
      </c>
      <c r="D548" t="s">
        <v>89</v>
      </c>
      <c r="E548" s="1">
        <v>45763</v>
      </c>
      <c r="F548" s="3">
        <v>45765</v>
      </c>
      <c r="G548" t="s">
        <v>33</v>
      </c>
      <c r="H548" t="s">
        <v>34</v>
      </c>
      <c r="I548" t="s">
        <v>54</v>
      </c>
      <c r="J548">
        <v>2371.12</v>
      </c>
      <c r="K548">
        <v>2</v>
      </c>
      <c r="L548" t="s">
        <v>24</v>
      </c>
      <c r="M548" t="s">
        <v>25</v>
      </c>
      <c r="N548" t="s">
        <v>26</v>
      </c>
      <c r="O548" t="s">
        <v>27</v>
      </c>
      <c r="P548" t="s">
        <v>50</v>
      </c>
      <c r="Q548">
        <v>11</v>
      </c>
      <c r="R548">
        <v>531.57000000000005</v>
      </c>
      <c r="S548" t="s">
        <v>29</v>
      </c>
    </row>
    <row r="549" spans="1:19" x14ac:dyDescent="0.3">
      <c r="A549" t="s">
        <v>619</v>
      </c>
      <c r="B549">
        <v>26</v>
      </c>
      <c r="C549" t="s">
        <v>19</v>
      </c>
      <c r="D549" t="s">
        <v>47</v>
      </c>
      <c r="E549" s="1">
        <v>45906</v>
      </c>
      <c r="F549" s="3">
        <v>45908</v>
      </c>
      <c r="G549" t="s">
        <v>21</v>
      </c>
      <c r="H549" t="s">
        <v>22</v>
      </c>
      <c r="I549" t="s">
        <v>35</v>
      </c>
      <c r="J549">
        <v>3174.35</v>
      </c>
      <c r="K549">
        <v>2</v>
      </c>
      <c r="L549" t="s">
        <v>24</v>
      </c>
      <c r="M549" t="s">
        <v>25</v>
      </c>
      <c r="N549" t="s">
        <v>26</v>
      </c>
      <c r="O549" t="s">
        <v>37</v>
      </c>
      <c r="P549" t="s">
        <v>45</v>
      </c>
      <c r="Q549">
        <v>4</v>
      </c>
      <c r="R549">
        <v>581.17999999999995</v>
      </c>
      <c r="S549" t="s">
        <v>29</v>
      </c>
    </row>
    <row r="550" spans="1:19" x14ac:dyDescent="0.3">
      <c r="A550" t="s">
        <v>620</v>
      </c>
      <c r="B550">
        <v>52</v>
      </c>
      <c r="C550" t="s">
        <v>31</v>
      </c>
      <c r="D550" t="s">
        <v>66</v>
      </c>
      <c r="E550" s="1">
        <v>45691</v>
      </c>
      <c r="F550" s="3">
        <v>45697</v>
      </c>
      <c r="G550" t="s">
        <v>71</v>
      </c>
      <c r="H550" t="s">
        <v>72</v>
      </c>
      <c r="I550" t="s">
        <v>58</v>
      </c>
      <c r="J550">
        <v>3180.42</v>
      </c>
      <c r="K550">
        <v>6</v>
      </c>
      <c r="L550" t="s">
        <v>36</v>
      </c>
      <c r="M550" t="s">
        <v>59</v>
      </c>
      <c r="N550" t="s">
        <v>55</v>
      </c>
      <c r="O550" t="s">
        <v>27</v>
      </c>
      <c r="P550" t="s">
        <v>45</v>
      </c>
      <c r="Q550">
        <v>7</v>
      </c>
      <c r="R550">
        <v>504.99</v>
      </c>
      <c r="S550" t="s">
        <v>29</v>
      </c>
    </row>
    <row r="551" spans="1:19" x14ac:dyDescent="0.3">
      <c r="A551" t="s">
        <v>621</v>
      </c>
      <c r="B551">
        <v>34</v>
      </c>
      <c r="C551" t="s">
        <v>19</v>
      </c>
      <c r="D551" t="s">
        <v>66</v>
      </c>
      <c r="E551" s="1">
        <v>45870</v>
      </c>
      <c r="F551" s="3">
        <v>45874</v>
      </c>
      <c r="G551" t="s">
        <v>33</v>
      </c>
      <c r="H551" t="s">
        <v>34</v>
      </c>
      <c r="I551" t="s">
        <v>81</v>
      </c>
      <c r="J551">
        <v>8435</v>
      </c>
      <c r="K551">
        <v>4</v>
      </c>
      <c r="L551" t="s">
        <v>24</v>
      </c>
      <c r="M551" t="s">
        <v>25</v>
      </c>
      <c r="N551" t="s">
        <v>26</v>
      </c>
      <c r="O551" t="s">
        <v>49</v>
      </c>
      <c r="P551" t="s">
        <v>38</v>
      </c>
      <c r="Q551">
        <v>13</v>
      </c>
      <c r="R551">
        <v>1964.76</v>
      </c>
      <c r="S551" t="s">
        <v>29</v>
      </c>
    </row>
    <row r="552" spans="1:19" x14ac:dyDescent="0.3">
      <c r="A552" t="s">
        <v>622</v>
      </c>
      <c r="B552">
        <v>88</v>
      </c>
      <c r="C552" t="s">
        <v>19</v>
      </c>
      <c r="D552" t="s">
        <v>79</v>
      </c>
      <c r="E552" s="1">
        <v>45431</v>
      </c>
      <c r="F552" s="3">
        <v>45445</v>
      </c>
      <c r="G552" t="s">
        <v>67</v>
      </c>
      <c r="H552" t="s">
        <v>42</v>
      </c>
      <c r="I552" t="s">
        <v>35</v>
      </c>
      <c r="J552">
        <v>7137.27</v>
      </c>
      <c r="K552">
        <v>14</v>
      </c>
      <c r="L552" t="s">
        <v>24</v>
      </c>
      <c r="M552" t="s">
        <v>59</v>
      </c>
      <c r="N552" t="s">
        <v>26</v>
      </c>
      <c r="O552" t="s">
        <v>27</v>
      </c>
      <c r="P552" t="s">
        <v>45</v>
      </c>
      <c r="Q552">
        <v>4</v>
      </c>
      <c r="R552">
        <v>1762.21</v>
      </c>
      <c r="S552" t="s">
        <v>39</v>
      </c>
    </row>
    <row r="553" spans="1:19" x14ac:dyDescent="0.3">
      <c r="A553" t="s">
        <v>623</v>
      </c>
      <c r="B553">
        <v>79</v>
      </c>
      <c r="C553" t="s">
        <v>31</v>
      </c>
      <c r="D553" t="s">
        <v>70</v>
      </c>
      <c r="E553" s="1">
        <v>45783</v>
      </c>
      <c r="F553" s="3">
        <v>45795</v>
      </c>
      <c r="G553" t="s">
        <v>48</v>
      </c>
      <c r="H553" t="s">
        <v>22</v>
      </c>
      <c r="I553" t="s">
        <v>58</v>
      </c>
      <c r="J553">
        <v>7669.14</v>
      </c>
      <c r="K553">
        <v>12</v>
      </c>
      <c r="L553" t="s">
        <v>36</v>
      </c>
      <c r="M553" t="s">
        <v>25</v>
      </c>
      <c r="N553" t="s">
        <v>55</v>
      </c>
      <c r="O553" t="s">
        <v>27</v>
      </c>
      <c r="P553" t="s">
        <v>38</v>
      </c>
      <c r="Q553">
        <v>15</v>
      </c>
      <c r="R553">
        <v>3033.55</v>
      </c>
      <c r="S553" t="s">
        <v>29</v>
      </c>
    </row>
    <row r="554" spans="1:19" x14ac:dyDescent="0.3">
      <c r="A554" t="s">
        <v>624</v>
      </c>
      <c r="B554">
        <v>34</v>
      </c>
      <c r="C554" t="s">
        <v>19</v>
      </c>
      <c r="D554" t="s">
        <v>89</v>
      </c>
      <c r="E554" s="1">
        <v>45927</v>
      </c>
      <c r="F554" s="3">
        <v>45933</v>
      </c>
      <c r="G554" t="s">
        <v>71</v>
      </c>
      <c r="H554" t="s">
        <v>72</v>
      </c>
      <c r="I554" t="s">
        <v>35</v>
      </c>
      <c r="J554">
        <v>4528.7299999999996</v>
      </c>
      <c r="K554">
        <v>6</v>
      </c>
      <c r="L554" t="s">
        <v>36</v>
      </c>
      <c r="M554" t="s">
        <v>25</v>
      </c>
      <c r="N554" t="s">
        <v>44</v>
      </c>
      <c r="O554" t="s">
        <v>27</v>
      </c>
      <c r="P554" t="s">
        <v>28</v>
      </c>
      <c r="Q554">
        <v>8</v>
      </c>
      <c r="R554">
        <v>1505.74</v>
      </c>
      <c r="S554" t="s">
        <v>29</v>
      </c>
    </row>
    <row r="555" spans="1:19" x14ac:dyDescent="0.3">
      <c r="A555" t="s">
        <v>625</v>
      </c>
      <c r="B555">
        <v>44</v>
      </c>
      <c r="C555" t="s">
        <v>19</v>
      </c>
      <c r="D555" t="s">
        <v>70</v>
      </c>
      <c r="E555" s="1">
        <v>45532</v>
      </c>
      <c r="F555" s="3">
        <v>45550</v>
      </c>
      <c r="G555" t="s">
        <v>74</v>
      </c>
      <c r="H555" t="s">
        <v>75</v>
      </c>
      <c r="I555" t="s">
        <v>81</v>
      </c>
      <c r="J555">
        <v>13940.39</v>
      </c>
      <c r="K555">
        <v>18</v>
      </c>
      <c r="L555" t="s">
        <v>24</v>
      </c>
      <c r="M555" t="s">
        <v>25</v>
      </c>
      <c r="N555" t="s">
        <v>55</v>
      </c>
      <c r="O555" t="s">
        <v>27</v>
      </c>
      <c r="P555" t="s">
        <v>38</v>
      </c>
      <c r="Q555">
        <v>8</v>
      </c>
      <c r="R555">
        <v>4138.8500000000004</v>
      </c>
      <c r="S555" t="s">
        <v>29</v>
      </c>
    </row>
    <row r="556" spans="1:19" x14ac:dyDescent="0.3">
      <c r="A556" t="s">
        <v>626</v>
      </c>
      <c r="B556">
        <v>59</v>
      </c>
      <c r="C556" t="s">
        <v>31</v>
      </c>
      <c r="D556" t="s">
        <v>61</v>
      </c>
      <c r="E556" s="1">
        <v>45240</v>
      </c>
      <c r="F556" s="3">
        <v>45259</v>
      </c>
      <c r="G556" t="s">
        <v>48</v>
      </c>
      <c r="H556" t="s">
        <v>22</v>
      </c>
      <c r="I556" t="s">
        <v>54</v>
      </c>
      <c r="J556">
        <v>8648.11</v>
      </c>
      <c r="K556">
        <v>19</v>
      </c>
      <c r="L556" t="s">
        <v>36</v>
      </c>
      <c r="M556" t="s">
        <v>25</v>
      </c>
      <c r="N556" t="s">
        <v>44</v>
      </c>
      <c r="O556" t="s">
        <v>27</v>
      </c>
      <c r="P556" t="s">
        <v>38</v>
      </c>
      <c r="Q556">
        <v>12</v>
      </c>
      <c r="R556">
        <v>1744.03</v>
      </c>
      <c r="S556" t="s">
        <v>29</v>
      </c>
    </row>
    <row r="557" spans="1:19" x14ac:dyDescent="0.3">
      <c r="A557" t="s">
        <v>627</v>
      </c>
      <c r="B557">
        <v>32</v>
      </c>
      <c r="C557" t="s">
        <v>19</v>
      </c>
      <c r="D557" t="s">
        <v>32</v>
      </c>
      <c r="E557" s="1">
        <v>45547</v>
      </c>
      <c r="F557" s="3">
        <v>45565</v>
      </c>
      <c r="G557" t="s">
        <v>41</v>
      </c>
      <c r="H557" t="s">
        <v>42</v>
      </c>
      <c r="I557" t="s">
        <v>54</v>
      </c>
      <c r="J557">
        <v>18904.849999999999</v>
      </c>
      <c r="K557">
        <v>18</v>
      </c>
      <c r="L557" t="s">
        <v>36</v>
      </c>
      <c r="M557" t="s">
        <v>59</v>
      </c>
      <c r="N557" t="s">
        <v>44</v>
      </c>
      <c r="O557" t="s">
        <v>49</v>
      </c>
      <c r="P557" t="s">
        <v>50</v>
      </c>
      <c r="Q557">
        <v>7</v>
      </c>
      <c r="R557">
        <v>7060.88</v>
      </c>
      <c r="S557" t="s">
        <v>29</v>
      </c>
    </row>
    <row r="558" spans="1:19" x14ac:dyDescent="0.3">
      <c r="A558" t="s">
        <v>628</v>
      </c>
      <c r="B558">
        <v>23</v>
      </c>
      <c r="C558" t="s">
        <v>31</v>
      </c>
      <c r="D558" t="s">
        <v>79</v>
      </c>
      <c r="E558" s="1">
        <v>45809</v>
      </c>
      <c r="F558" s="3">
        <v>45822</v>
      </c>
      <c r="G558" t="s">
        <v>71</v>
      </c>
      <c r="H558" t="s">
        <v>72</v>
      </c>
      <c r="I558" t="s">
        <v>58</v>
      </c>
      <c r="J558">
        <v>5569.28</v>
      </c>
      <c r="K558">
        <v>13</v>
      </c>
      <c r="L558" t="s">
        <v>24</v>
      </c>
      <c r="M558" t="s">
        <v>25</v>
      </c>
      <c r="N558" t="s">
        <v>44</v>
      </c>
      <c r="O558" t="s">
        <v>56</v>
      </c>
      <c r="P558" t="s">
        <v>50</v>
      </c>
      <c r="Q558">
        <v>10</v>
      </c>
      <c r="R558">
        <v>1512.7</v>
      </c>
      <c r="S558" t="s">
        <v>29</v>
      </c>
    </row>
    <row r="559" spans="1:19" x14ac:dyDescent="0.3">
      <c r="A559" t="s">
        <v>629</v>
      </c>
      <c r="B559">
        <v>45</v>
      </c>
      <c r="C559" t="s">
        <v>19</v>
      </c>
      <c r="D559" t="s">
        <v>79</v>
      </c>
      <c r="E559" s="1">
        <v>45125</v>
      </c>
      <c r="F559" s="3">
        <v>45136</v>
      </c>
      <c r="G559" t="s">
        <v>21</v>
      </c>
      <c r="H559" t="s">
        <v>22</v>
      </c>
      <c r="I559" t="s">
        <v>83</v>
      </c>
      <c r="J559">
        <v>7054.28</v>
      </c>
      <c r="K559">
        <v>11</v>
      </c>
      <c r="L559" t="s">
        <v>36</v>
      </c>
      <c r="M559" t="s">
        <v>25</v>
      </c>
      <c r="N559" t="s">
        <v>26</v>
      </c>
      <c r="O559" t="s">
        <v>56</v>
      </c>
      <c r="P559" t="s">
        <v>50</v>
      </c>
      <c r="Q559">
        <v>5</v>
      </c>
      <c r="R559">
        <v>2090.5700000000002</v>
      </c>
      <c r="S559" t="s">
        <v>29</v>
      </c>
    </row>
    <row r="560" spans="1:19" x14ac:dyDescent="0.3">
      <c r="A560" t="s">
        <v>630</v>
      </c>
      <c r="B560">
        <v>25</v>
      </c>
      <c r="C560" t="s">
        <v>31</v>
      </c>
      <c r="D560" t="s">
        <v>79</v>
      </c>
      <c r="E560" s="1">
        <v>45014</v>
      </c>
      <c r="F560" s="3">
        <v>45029</v>
      </c>
      <c r="G560" t="s">
        <v>48</v>
      </c>
      <c r="H560" t="s">
        <v>22</v>
      </c>
      <c r="I560" t="s">
        <v>83</v>
      </c>
      <c r="J560">
        <v>13637.3</v>
      </c>
      <c r="K560">
        <v>15</v>
      </c>
      <c r="L560" t="s">
        <v>24</v>
      </c>
      <c r="M560" t="s">
        <v>25</v>
      </c>
      <c r="N560" t="s">
        <v>44</v>
      </c>
      <c r="O560" t="s">
        <v>49</v>
      </c>
      <c r="P560" t="s">
        <v>38</v>
      </c>
      <c r="Q560">
        <v>7</v>
      </c>
      <c r="R560">
        <v>2102.2399999999998</v>
      </c>
      <c r="S560" t="s">
        <v>29</v>
      </c>
    </row>
    <row r="561" spans="1:19" x14ac:dyDescent="0.3">
      <c r="A561" t="s">
        <v>631</v>
      </c>
      <c r="B561">
        <v>43</v>
      </c>
      <c r="C561" t="s">
        <v>19</v>
      </c>
      <c r="D561" t="s">
        <v>47</v>
      </c>
      <c r="E561" s="1">
        <v>44959</v>
      </c>
      <c r="F561" s="3">
        <v>44975</v>
      </c>
      <c r="G561" t="s">
        <v>48</v>
      </c>
      <c r="H561" t="s">
        <v>22</v>
      </c>
      <c r="I561" t="s">
        <v>35</v>
      </c>
      <c r="J561">
        <v>4978.32</v>
      </c>
      <c r="K561">
        <v>16</v>
      </c>
      <c r="L561" t="s">
        <v>24</v>
      </c>
      <c r="M561" t="s">
        <v>25</v>
      </c>
      <c r="N561" t="s">
        <v>26</v>
      </c>
      <c r="O561" t="s">
        <v>27</v>
      </c>
      <c r="P561" t="s">
        <v>45</v>
      </c>
      <c r="Q561">
        <v>5</v>
      </c>
      <c r="R561">
        <v>1804.15</v>
      </c>
      <c r="S561" t="s">
        <v>29</v>
      </c>
    </row>
    <row r="562" spans="1:19" x14ac:dyDescent="0.3">
      <c r="A562" t="s">
        <v>632</v>
      </c>
      <c r="B562">
        <v>26</v>
      </c>
      <c r="C562" t="s">
        <v>31</v>
      </c>
      <c r="D562" t="s">
        <v>20</v>
      </c>
      <c r="E562" s="1">
        <v>45059</v>
      </c>
      <c r="F562" s="3">
        <v>45063</v>
      </c>
      <c r="G562" t="s">
        <v>74</v>
      </c>
      <c r="H562" t="s">
        <v>75</v>
      </c>
      <c r="I562" t="s">
        <v>23</v>
      </c>
      <c r="J562">
        <v>4506.68</v>
      </c>
      <c r="K562">
        <v>4</v>
      </c>
      <c r="L562" t="s">
        <v>24</v>
      </c>
      <c r="M562" t="s">
        <v>101</v>
      </c>
      <c r="N562" t="s">
        <v>44</v>
      </c>
      <c r="O562" t="s">
        <v>37</v>
      </c>
      <c r="P562" t="s">
        <v>45</v>
      </c>
      <c r="Q562">
        <v>14</v>
      </c>
      <c r="R562">
        <v>1618.53</v>
      </c>
      <c r="S562" t="s">
        <v>39</v>
      </c>
    </row>
    <row r="563" spans="1:19" x14ac:dyDescent="0.3">
      <c r="A563" t="s">
        <v>633</v>
      </c>
      <c r="B563">
        <v>56</v>
      </c>
      <c r="C563" t="s">
        <v>19</v>
      </c>
      <c r="D563" t="s">
        <v>70</v>
      </c>
      <c r="E563" s="1">
        <v>45677</v>
      </c>
      <c r="F563" s="3">
        <v>45683</v>
      </c>
      <c r="G563" t="s">
        <v>52</v>
      </c>
      <c r="H563" t="s">
        <v>53</v>
      </c>
      <c r="I563" t="s">
        <v>81</v>
      </c>
      <c r="J563">
        <v>8554.26</v>
      </c>
      <c r="K563">
        <v>6</v>
      </c>
      <c r="L563" t="s">
        <v>36</v>
      </c>
      <c r="M563" t="s">
        <v>25</v>
      </c>
      <c r="N563" t="s">
        <v>44</v>
      </c>
      <c r="O563" t="s">
        <v>49</v>
      </c>
      <c r="P563" t="s">
        <v>38</v>
      </c>
      <c r="Q563">
        <v>4</v>
      </c>
      <c r="R563">
        <v>2299.52</v>
      </c>
      <c r="S563" t="s">
        <v>29</v>
      </c>
    </row>
    <row r="564" spans="1:19" x14ac:dyDescent="0.3">
      <c r="A564" t="s">
        <v>634</v>
      </c>
      <c r="B564">
        <v>82</v>
      </c>
      <c r="C564" t="s">
        <v>31</v>
      </c>
      <c r="D564" t="s">
        <v>70</v>
      </c>
      <c r="E564" s="1">
        <v>45723</v>
      </c>
      <c r="F564" s="3">
        <v>45732</v>
      </c>
      <c r="G564" t="s">
        <v>48</v>
      </c>
      <c r="H564" t="s">
        <v>22</v>
      </c>
      <c r="I564" t="s">
        <v>23</v>
      </c>
      <c r="J564">
        <v>10857.56</v>
      </c>
      <c r="K564">
        <v>9</v>
      </c>
      <c r="L564" t="s">
        <v>24</v>
      </c>
      <c r="M564" t="s">
        <v>59</v>
      </c>
      <c r="N564" t="s">
        <v>26</v>
      </c>
      <c r="O564" t="s">
        <v>49</v>
      </c>
      <c r="P564" t="s">
        <v>45</v>
      </c>
      <c r="Q564">
        <v>13</v>
      </c>
      <c r="R564">
        <v>3853.58</v>
      </c>
      <c r="S564" t="s">
        <v>29</v>
      </c>
    </row>
    <row r="565" spans="1:19" x14ac:dyDescent="0.3">
      <c r="A565" t="s">
        <v>635</v>
      </c>
      <c r="B565">
        <v>81</v>
      </c>
      <c r="C565" t="s">
        <v>19</v>
      </c>
      <c r="D565" t="s">
        <v>89</v>
      </c>
      <c r="E565" s="1">
        <v>45366</v>
      </c>
      <c r="F565" s="3">
        <v>45378</v>
      </c>
      <c r="G565" t="s">
        <v>71</v>
      </c>
      <c r="H565" t="s">
        <v>72</v>
      </c>
      <c r="I565" t="s">
        <v>83</v>
      </c>
      <c r="J565">
        <v>4588</v>
      </c>
      <c r="K565">
        <v>12</v>
      </c>
      <c r="L565" t="s">
        <v>36</v>
      </c>
      <c r="M565" t="s">
        <v>25</v>
      </c>
      <c r="N565" t="s">
        <v>44</v>
      </c>
      <c r="O565" t="s">
        <v>56</v>
      </c>
      <c r="P565" t="s">
        <v>50</v>
      </c>
      <c r="Q565">
        <v>5</v>
      </c>
      <c r="R565">
        <v>1563.01</v>
      </c>
      <c r="S565" t="s">
        <v>29</v>
      </c>
    </row>
    <row r="566" spans="1:19" x14ac:dyDescent="0.3">
      <c r="A566" t="s">
        <v>636</v>
      </c>
      <c r="B566">
        <v>28</v>
      </c>
      <c r="C566" t="s">
        <v>31</v>
      </c>
      <c r="D566" t="s">
        <v>61</v>
      </c>
      <c r="E566" s="1">
        <v>45905</v>
      </c>
      <c r="F566" s="3">
        <v>45915</v>
      </c>
      <c r="G566" t="s">
        <v>71</v>
      </c>
      <c r="H566" t="s">
        <v>72</v>
      </c>
      <c r="I566" t="s">
        <v>58</v>
      </c>
      <c r="J566">
        <v>3096.86</v>
      </c>
      <c r="K566">
        <v>10</v>
      </c>
      <c r="L566" t="s">
        <v>36</v>
      </c>
      <c r="M566" t="s">
        <v>25</v>
      </c>
      <c r="N566" t="s">
        <v>44</v>
      </c>
      <c r="O566" t="s">
        <v>56</v>
      </c>
      <c r="P566" t="s">
        <v>50</v>
      </c>
      <c r="Q566">
        <v>13</v>
      </c>
      <c r="R566">
        <v>720.74</v>
      </c>
      <c r="S566" t="s">
        <v>29</v>
      </c>
    </row>
    <row r="567" spans="1:19" x14ac:dyDescent="0.3">
      <c r="A567" t="s">
        <v>637</v>
      </c>
      <c r="B567">
        <v>87</v>
      </c>
      <c r="C567" t="s">
        <v>31</v>
      </c>
      <c r="D567" t="s">
        <v>70</v>
      </c>
      <c r="E567" s="1">
        <v>45295</v>
      </c>
      <c r="F567" s="3">
        <v>45304</v>
      </c>
      <c r="G567" t="s">
        <v>41</v>
      </c>
      <c r="H567" t="s">
        <v>42</v>
      </c>
      <c r="I567" t="s">
        <v>81</v>
      </c>
      <c r="J567">
        <v>4200.3500000000004</v>
      </c>
      <c r="K567">
        <v>9</v>
      </c>
      <c r="L567" t="s">
        <v>36</v>
      </c>
      <c r="M567" t="s">
        <v>25</v>
      </c>
      <c r="N567" t="s">
        <v>44</v>
      </c>
      <c r="O567" t="s">
        <v>27</v>
      </c>
      <c r="P567" t="s">
        <v>50</v>
      </c>
      <c r="Q567">
        <v>3</v>
      </c>
      <c r="R567">
        <v>1179.8</v>
      </c>
      <c r="S567" t="s">
        <v>29</v>
      </c>
    </row>
    <row r="568" spans="1:19" x14ac:dyDescent="0.3">
      <c r="A568" t="s">
        <v>638</v>
      </c>
      <c r="B568">
        <v>20</v>
      </c>
      <c r="C568" t="s">
        <v>31</v>
      </c>
      <c r="D568" t="s">
        <v>89</v>
      </c>
      <c r="E568" s="1">
        <v>45085</v>
      </c>
      <c r="F568" s="3">
        <v>45086</v>
      </c>
      <c r="G568" t="s">
        <v>71</v>
      </c>
      <c r="H568" t="s">
        <v>72</v>
      </c>
      <c r="I568" t="s">
        <v>23</v>
      </c>
      <c r="J568">
        <v>3212.43</v>
      </c>
      <c r="K568">
        <v>1</v>
      </c>
      <c r="L568" t="s">
        <v>36</v>
      </c>
      <c r="M568" t="s">
        <v>25</v>
      </c>
      <c r="N568" t="s">
        <v>44</v>
      </c>
      <c r="O568" t="s">
        <v>37</v>
      </c>
      <c r="P568" t="s">
        <v>50</v>
      </c>
      <c r="Q568">
        <v>4</v>
      </c>
      <c r="R568">
        <v>1236.8</v>
      </c>
      <c r="S568" t="s">
        <v>29</v>
      </c>
    </row>
    <row r="569" spans="1:19" x14ac:dyDescent="0.3">
      <c r="A569" t="s">
        <v>639</v>
      </c>
      <c r="B569">
        <v>88</v>
      </c>
      <c r="C569" t="s">
        <v>19</v>
      </c>
      <c r="D569" t="s">
        <v>89</v>
      </c>
      <c r="E569" s="1">
        <v>45041</v>
      </c>
      <c r="F569" s="3">
        <v>45051</v>
      </c>
      <c r="G569" t="s">
        <v>74</v>
      </c>
      <c r="H569" t="s">
        <v>75</v>
      </c>
      <c r="I569" t="s">
        <v>54</v>
      </c>
      <c r="J569">
        <v>6774.97</v>
      </c>
      <c r="K569">
        <v>10</v>
      </c>
      <c r="L569" t="s">
        <v>24</v>
      </c>
      <c r="M569" t="s">
        <v>59</v>
      </c>
      <c r="N569" t="s">
        <v>26</v>
      </c>
      <c r="O569" t="s">
        <v>37</v>
      </c>
      <c r="P569" t="s">
        <v>50</v>
      </c>
      <c r="Q569">
        <v>10</v>
      </c>
      <c r="R569">
        <v>2132.9699999999998</v>
      </c>
      <c r="S569" t="s">
        <v>29</v>
      </c>
    </row>
    <row r="570" spans="1:19" x14ac:dyDescent="0.3">
      <c r="A570" t="s">
        <v>640</v>
      </c>
      <c r="B570">
        <v>59</v>
      </c>
      <c r="C570" t="s">
        <v>31</v>
      </c>
      <c r="D570" t="s">
        <v>79</v>
      </c>
      <c r="E570" s="1">
        <v>45033</v>
      </c>
      <c r="F570" s="3">
        <v>45049</v>
      </c>
      <c r="G570" t="s">
        <v>67</v>
      </c>
      <c r="H570" t="s">
        <v>42</v>
      </c>
      <c r="I570" t="s">
        <v>43</v>
      </c>
      <c r="J570">
        <v>11291.1</v>
      </c>
      <c r="K570">
        <v>16</v>
      </c>
      <c r="L570" t="s">
        <v>24</v>
      </c>
      <c r="M570" t="s">
        <v>25</v>
      </c>
      <c r="N570" t="s">
        <v>44</v>
      </c>
      <c r="O570" t="s">
        <v>56</v>
      </c>
      <c r="P570" t="s">
        <v>38</v>
      </c>
      <c r="Q570">
        <v>9</v>
      </c>
      <c r="R570">
        <v>2625.19</v>
      </c>
      <c r="S570" t="s">
        <v>29</v>
      </c>
    </row>
    <row r="571" spans="1:19" x14ac:dyDescent="0.3">
      <c r="A571" t="s">
        <v>641</v>
      </c>
      <c r="B571">
        <v>52</v>
      </c>
      <c r="C571" t="s">
        <v>19</v>
      </c>
      <c r="D571" t="s">
        <v>66</v>
      </c>
      <c r="E571" s="1">
        <v>45391</v>
      </c>
      <c r="F571" s="3">
        <v>45405</v>
      </c>
      <c r="G571" t="s">
        <v>93</v>
      </c>
      <c r="H571" t="s">
        <v>72</v>
      </c>
      <c r="I571" t="s">
        <v>43</v>
      </c>
      <c r="J571">
        <v>4995.97</v>
      </c>
      <c r="K571">
        <v>14</v>
      </c>
      <c r="L571" t="s">
        <v>24</v>
      </c>
      <c r="M571" t="s">
        <v>25</v>
      </c>
      <c r="N571" t="s">
        <v>55</v>
      </c>
      <c r="O571" t="s">
        <v>56</v>
      </c>
      <c r="P571" t="s">
        <v>38</v>
      </c>
      <c r="Q571">
        <v>13</v>
      </c>
      <c r="R571">
        <v>1991.44</v>
      </c>
      <c r="S571" t="s">
        <v>29</v>
      </c>
    </row>
    <row r="572" spans="1:19" x14ac:dyDescent="0.3">
      <c r="A572" t="s">
        <v>642</v>
      </c>
      <c r="B572">
        <v>79</v>
      </c>
      <c r="C572" t="s">
        <v>19</v>
      </c>
      <c r="D572" t="s">
        <v>20</v>
      </c>
      <c r="E572" s="1">
        <v>45400</v>
      </c>
      <c r="F572" s="3">
        <v>45405</v>
      </c>
      <c r="G572" t="s">
        <v>48</v>
      </c>
      <c r="H572" t="s">
        <v>22</v>
      </c>
      <c r="I572" t="s">
        <v>91</v>
      </c>
      <c r="J572">
        <v>4569.2299999999996</v>
      </c>
      <c r="K572">
        <v>5</v>
      </c>
      <c r="L572" t="s">
        <v>24</v>
      </c>
      <c r="M572" t="s">
        <v>25</v>
      </c>
      <c r="N572" t="s">
        <v>44</v>
      </c>
      <c r="O572" t="s">
        <v>27</v>
      </c>
      <c r="P572" t="s">
        <v>38</v>
      </c>
      <c r="Q572">
        <v>9</v>
      </c>
      <c r="R572">
        <v>882.63</v>
      </c>
      <c r="S572" t="s">
        <v>29</v>
      </c>
    </row>
    <row r="573" spans="1:19" x14ac:dyDescent="0.3">
      <c r="A573" t="s">
        <v>643</v>
      </c>
      <c r="B573">
        <v>57</v>
      </c>
      <c r="C573" t="s">
        <v>31</v>
      </c>
      <c r="D573" t="s">
        <v>66</v>
      </c>
      <c r="E573" s="1">
        <v>45479</v>
      </c>
      <c r="F573" s="3">
        <v>45480</v>
      </c>
      <c r="G573" t="s">
        <v>48</v>
      </c>
      <c r="H573" t="s">
        <v>22</v>
      </c>
      <c r="I573" t="s">
        <v>81</v>
      </c>
      <c r="J573">
        <v>2019.34</v>
      </c>
      <c r="K573">
        <v>1</v>
      </c>
      <c r="L573" t="s">
        <v>24</v>
      </c>
      <c r="M573" t="s">
        <v>25</v>
      </c>
      <c r="N573" t="s">
        <v>44</v>
      </c>
      <c r="O573" t="s">
        <v>27</v>
      </c>
      <c r="P573" t="s">
        <v>45</v>
      </c>
      <c r="Q573">
        <v>14</v>
      </c>
      <c r="R573">
        <v>459.22</v>
      </c>
      <c r="S573" t="s">
        <v>29</v>
      </c>
    </row>
    <row r="574" spans="1:19" x14ac:dyDescent="0.3">
      <c r="A574" t="s">
        <v>644</v>
      </c>
      <c r="B574">
        <v>55</v>
      </c>
      <c r="C574" t="s">
        <v>19</v>
      </c>
      <c r="D574" t="s">
        <v>89</v>
      </c>
      <c r="E574" s="1">
        <v>45024</v>
      </c>
      <c r="F574" s="3">
        <v>45032</v>
      </c>
      <c r="G574" t="s">
        <v>71</v>
      </c>
      <c r="H574" t="s">
        <v>72</v>
      </c>
      <c r="I574" t="s">
        <v>54</v>
      </c>
      <c r="J574">
        <v>5796.05</v>
      </c>
      <c r="K574">
        <v>8</v>
      </c>
      <c r="L574" t="s">
        <v>24</v>
      </c>
      <c r="M574" t="s">
        <v>25</v>
      </c>
      <c r="N574" t="s">
        <v>26</v>
      </c>
      <c r="O574" t="s">
        <v>27</v>
      </c>
      <c r="P574" t="s">
        <v>28</v>
      </c>
      <c r="Q574">
        <v>11</v>
      </c>
      <c r="R574">
        <v>1862.98</v>
      </c>
      <c r="S574" t="s">
        <v>29</v>
      </c>
    </row>
    <row r="575" spans="1:19" x14ac:dyDescent="0.3">
      <c r="A575" t="s">
        <v>645</v>
      </c>
      <c r="B575">
        <v>35</v>
      </c>
      <c r="C575" t="s">
        <v>31</v>
      </c>
      <c r="D575" t="s">
        <v>89</v>
      </c>
      <c r="E575" s="1">
        <v>44964</v>
      </c>
      <c r="F575" s="3">
        <v>44970</v>
      </c>
      <c r="G575" t="s">
        <v>33</v>
      </c>
      <c r="H575" t="s">
        <v>34</v>
      </c>
      <c r="I575" t="s">
        <v>91</v>
      </c>
      <c r="J575">
        <v>6307.13</v>
      </c>
      <c r="K575">
        <v>6</v>
      </c>
      <c r="L575" t="s">
        <v>36</v>
      </c>
      <c r="M575" t="s">
        <v>25</v>
      </c>
      <c r="N575" t="s">
        <v>44</v>
      </c>
      <c r="O575" t="s">
        <v>56</v>
      </c>
      <c r="P575" t="s">
        <v>45</v>
      </c>
      <c r="Q575">
        <v>2</v>
      </c>
      <c r="R575">
        <v>1007.75</v>
      </c>
      <c r="S575" t="s">
        <v>29</v>
      </c>
    </row>
    <row r="576" spans="1:19" x14ac:dyDescent="0.3">
      <c r="A576" t="s">
        <v>646</v>
      </c>
      <c r="B576">
        <v>83</v>
      </c>
      <c r="C576" t="s">
        <v>19</v>
      </c>
      <c r="D576" t="s">
        <v>61</v>
      </c>
      <c r="E576" s="1">
        <v>45713</v>
      </c>
      <c r="F576" s="3">
        <v>45719</v>
      </c>
      <c r="G576" t="s">
        <v>67</v>
      </c>
      <c r="H576" t="s">
        <v>42</v>
      </c>
      <c r="I576" t="s">
        <v>83</v>
      </c>
      <c r="J576">
        <v>4950.9799999999996</v>
      </c>
      <c r="K576">
        <v>6</v>
      </c>
      <c r="L576" t="s">
        <v>36</v>
      </c>
      <c r="M576" t="s">
        <v>25</v>
      </c>
      <c r="N576" t="s">
        <v>55</v>
      </c>
      <c r="O576" t="s">
        <v>37</v>
      </c>
      <c r="P576" t="s">
        <v>45</v>
      </c>
      <c r="Q576">
        <v>5</v>
      </c>
      <c r="R576">
        <v>1380.54</v>
      </c>
      <c r="S576" t="s">
        <v>39</v>
      </c>
    </row>
    <row r="577" spans="1:19" x14ac:dyDescent="0.3">
      <c r="A577" t="s">
        <v>647</v>
      </c>
      <c r="B577">
        <v>40</v>
      </c>
      <c r="C577" t="s">
        <v>19</v>
      </c>
      <c r="D577" t="s">
        <v>89</v>
      </c>
      <c r="E577" s="1">
        <v>45027</v>
      </c>
      <c r="F577" s="3">
        <v>45039</v>
      </c>
      <c r="G577" t="s">
        <v>71</v>
      </c>
      <c r="H577" t="s">
        <v>72</v>
      </c>
      <c r="I577" t="s">
        <v>91</v>
      </c>
      <c r="J577">
        <v>3649.37</v>
      </c>
      <c r="K577">
        <v>12</v>
      </c>
      <c r="L577" t="s">
        <v>36</v>
      </c>
      <c r="M577" t="s">
        <v>59</v>
      </c>
      <c r="N577" t="s">
        <v>26</v>
      </c>
      <c r="O577" t="s">
        <v>56</v>
      </c>
      <c r="P577" t="s">
        <v>38</v>
      </c>
      <c r="Q577">
        <v>5</v>
      </c>
      <c r="R577">
        <v>945.97</v>
      </c>
      <c r="S577" t="s">
        <v>29</v>
      </c>
    </row>
    <row r="578" spans="1:19" x14ac:dyDescent="0.3">
      <c r="A578" t="s">
        <v>648</v>
      </c>
      <c r="B578">
        <v>64</v>
      </c>
      <c r="C578" t="s">
        <v>19</v>
      </c>
      <c r="D578" t="s">
        <v>70</v>
      </c>
      <c r="E578" s="1">
        <v>45477</v>
      </c>
      <c r="F578" s="3">
        <v>45491</v>
      </c>
      <c r="G578" t="s">
        <v>41</v>
      </c>
      <c r="H578" t="s">
        <v>42</v>
      </c>
      <c r="I578" t="s">
        <v>91</v>
      </c>
      <c r="J578">
        <v>7561.07</v>
      </c>
      <c r="K578">
        <v>14</v>
      </c>
      <c r="L578" t="s">
        <v>24</v>
      </c>
      <c r="M578" t="s">
        <v>25</v>
      </c>
      <c r="N578" t="s">
        <v>26</v>
      </c>
      <c r="O578" t="s">
        <v>56</v>
      </c>
      <c r="P578" t="s">
        <v>28</v>
      </c>
      <c r="Q578">
        <v>8</v>
      </c>
      <c r="R578">
        <v>1192.9000000000001</v>
      </c>
      <c r="S578" t="s">
        <v>29</v>
      </c>
    </row>
    <row r="579" spans="1:19" x14ac:dyDescent="0.3">
      <c r="A579" t="s">
        <v>649</v>
      </c>
      <c r="B579">
        <v>61</v>
      </c>
      <c r="C579" t="s">
        <v>31</v>
      </c>
      <c r="D579" t="s">
        <v>20</v>
      </c>
      <c r="E579" s="1">
        <v>45573</v>
      </c>
      <c r="F579" s="3">
        <v>45589</v>
      </c>
      <c r="G579" t="s">
        <v>62</v>
      </c>
      <c r="H579" t="s">
        <v>63</v>
      </c>
      <c r="I579" t="s">
        <v>83</v>
      </c>
      <c r="J579">
        <v>10542.54</v>
      </c>
      <c r="K579">
        <v>16</v>
      </c>
      <c r="L579" t="s">
        <v>36</v>
      </c>
      <c r="M579" t="s">
        <v>25</v>
      </c>
      <c r="N579" t="s">
        <v>26</v>
      </c>
      <c r="O579" t="s">
        <v>37</v>
      </c>
      <c r="P579" t="s">
        <v>50</v>
      </c>
      <c r="Q579">
        <v>8</v>
      </c>
      <c r="R579">
        <v>3815.21</v>
      </c>
      <c r="S579" t="s">
        <v>29</v>
      </c>
    </row>
    <row r="580" spans="1:19" x14ac:dyDescent="0.3">
      <c r="A580" t="s">
        <v>650</v>
      </c>
      <c r="B580">
        <v>31</v>
      </c>
      <c r="C580" t="s">
        <v>19</v>
      </c>
      <c r="D580" t="s">
        <v>61</v>
      </c>
      <c r="E580" s="1">
        <v>45415</v>
      </c>
      <c r="F580" s="3">
        <v>45432</v>
      </c>
      <c r="G580" t="s">
        <v>48</v>
      </c>
      <c r="H580" t="s">
        <v>22</v>
      </c>
      <c r="I580" t="s">
        <v>81</v>
      </c>
      <c r="J580">
        <v>6194.57</v>
      </c>
      <c r="K580">
        <v>17</v>
      </c>
      <c r="L580" t="s">
        <v>24</v>
      </c>
      <c r="M580" t="s">
        <v>76</v>
      </c>
      <c r="N580" t="s">
        <v>26</v>
      </c>
      <c r="O580" t="s">
        <v>56</v>
      </c>
      <c r="P580" t="s">
        <v>45</v>
      </c>
      <c r="Q580">
        <v>8</v>
      </c>
      <c r="R580">
        <v>2426.66</v>
      </c>
      <c r="S580" t="s">
        <v>29</v>
      </c>
    </row>
    <row r="581" spans="1:19" x14ac:dyDescent="0.3">
      <c r="A581" t="s">
        <v>651</v>
      </c>
      <c r="B581">
        <v>61</v>
      </c>
      <c r="C581" t="s">
        <v>31</v>
      </c>
      <c r="D581" t="s">
        <v>79</v>
      </c>
      <c r="E581" s="1">
        <v>45417</v>
      </c>
      <c r="F581" s="3">
        <v>45424</v>
      </c>
      <c r="G581" t="s">
        <v>71</v>
      </c>
      <c r="H581" t="s">
        <v>72</v>
      </c>
      <c r="I581" t="s">
        <v>35</v>
      </c>
      <c r="J581">
        <v>5224</v>
      </c>
      <c r="K581">
        <v>7</v>
      </c>
      <c r="L581" t="s">
        <v>36</v>
      </c>
      <c r="M581" t="s">
        <v>25</v>
      </c>
      <c r="N581" t="s">
        <v>44</v>
      </c>
      <c r="O581" t="s">
        <v>56</v>
      </c>
      <c r="P581" t="s">
        <v>50</v>
      </c>
      <c r="Q581">
        <v>15</v>
      </c>
      <c r="R581">
        <v>1812.88</v>
      </c>
      <c r="S581" t="s">
        <v>29</v>
      </c>
    </row>
    <row r="582" spans="1:19" x14ac:dyDescent="0.3">
      <c r="A582" t="s">
        <v>652</v>
      </c>
      <c r="B582">
        <v>79</v>
      </c>
      <c r="C582" t="s">
        <v>31</v>
      </c>
      <c r="D582" t="s">
        <v>79</v>
      </c>
      <c r="E582" s="1">
        <v>45682</v>
      </c>
      <c r="F582" s="3">
        <v>45689</v>
      </c>
      <c r="G582" t="s">
        <v>48</v>
      </c>
      <c r="H582" t="s">
        <v>22</v>
      </c>
      <c r="I582" t="s">
        <v>35</v>
      </c>
      <c r="J582">
        <v>2588.64</v>
      </c>
      <c r="K582">
        <v>7</v>
      </c>
      <c r="L582" t="s">
        <v>36</v>
      </c>
      <c r="M582" t="s">
        <v>25</v>
      </c>
      <c r="N582" t="s">
        <v>26</v>
      </c>
      <c r="O582" t="s">
        <v>37</v>
      </c>
      <c r="P582" t="s">
        <v>45</v>
      </c>
      <c r="Q582">
        <v>6</v>
      </c>
      <c r="R582">
        <v>504.08</v>
      </c>
      <c r="S582" t="s">
        <v>29</v>
      </c>
    </row>
    <row r="583" spans="1:19" x14ac:dyDescent="0.3">
      <c r="A583" t="s">
        <v>653</v>
      </c>
      <c r="B583">
        <v>35</v>
      </c>
      <c r="C583" t="s">
        <v>31</v>
      </c>
      <c r="D583" t="s">
        <v>47</v>
      </c>
      <c r="E583" s="1">
        <v>45444</v>
      </c>
      <c r="F583" s="3">
        <v>45452</v>
      </c>
      <c r="G583" t="s">
        <v>48</v>
      </c>
      <c r="H583" t="s">
        <v>22</v>
      </c>
      <c r="I583" t="s">
        <v>83</v>
      </c>
      <c r="J583">
        <v>2597.38</v>
      </c>
      <c r="K583">
        <v>8</v>
      </c>
      <c r="L583" t="s">
        <v>24</v>
      </c>
      <c r="M583" t="s">
        <v>59</v>
      </c>
      <c r="N583" t="s">
        <v>26</v>
      </c>
      <c r="O583" t="s">
        <v>56</v>
      </c>
      <c r="P583" t="s">
        <v>45</v>
      </c>
      <c r="Q583">
        <v>11</v>
      </c>
      <c r="R583">
        <v>892.35</v>
      </c>
      <c r="S583" t="s">
        <v>29</v>
      </c>
    </row>
    <row r="584" spans="1:19" x14ac:dyDescent="0.3">
      <c r="A584" t="s">
        <v>654</v>
      </c>
      <c r="B584">
        <v>35</v>
      </c>
      <c r="C584" t="s">
        <v>19</v>
      </c>
      <c r="D584" t="s">
        <v>89</v>
      </c>
      <c r="E584" s="1">
        <v>45153</v>
      </c>
      <c r="F584" s="3">
        <v>45161</v>
      </c>
      <c r="G584" t="s">
        <v>67</v>
      </c>
      <c r="H584" t="s">
        <v>42</v>
      </c>
      <c r="I584" t="s">
        <v>23</v>
      </c>
      <c r="J584">
        <v>6448.7</v>
      </c>
      <c r="K584">
        <v>8</v>
      </c>
      <c r="L584" t="s">
        <v>36</v>
      </c>
      <c r="M584" t="s">
        <v>25</v>
      </c>
      <c r="N584" t="s">
        <v>44</v>
      </c>
      <c r="O584" t="s">
        <v>37</v>
      </c>
      <c r="P584" t="s">
        <v>45</v>
      </c>
      <c r="Q584">
        <v>1</v>
      </c>
      <c r="R584">
        <v>2181.12</v>
      </c>
      <c r="S584" t="s">
        <v>39</v>
      </c>
    </row>
    <row r="585" spans="1:19" x14ac:dyDescent="0.3">
      <c r="A585" t="s">
        <v>655</v>
      </c>
      <c r="B585">
        <v>46</v>
      </c>
      <c r="C585" t="s">
        <v>19</v>
      </c>
      <c r="D585" t="s">
        <v>20</v>
      </c>
      <c r="E585" s="1">
        <v>45361</v>
      </c>
      <c r="F585" s="3">
        <v>45380</v>
      </c>
      <c r="G585" t="s">
        <v>48</v>
      </c>
      <c r="H585" t="s">
        <v>22</v>
      </c>
      <c r="I585" t="s">
        <v>83</v>
      </c>
      <c r="J585">
        <v>5339.86</v>
      </c>
      <c r="K585">
        <v>19</v>
      </c>
      <c r="L585" t="s">
        <v>36</v>
      </c>
      <c r="M585" t="s">
        <v>25</v>
      </c>
      <c r="N585" t="s">
        <v>44</v>
      </c>
      <c r="O585" t="s">
        <v>56</v>
      </c>
      <c r="P585" t="s">
        <v>45</v>
      </c>
      <c r="Q585">
        <v>9</v>
      </c>
      <c r="R585">
        <v>1927.81</v>
      </c>
      <c r="S585" t="s">
        <v>29</v>
      </c>
    </row>
    <row r="586" spans="1:19" x14ac:dyDescent="0.3">
      <c r="A586" t="s">
        <v>656</v>
      </c>
      <c r="B586">
        <v>64</v>
      </c>
      <c r="C586" t="s">
        <v>31</v>
      </c>
      <c r="D586" t="s">
        <v>47</v>
      </c>
      <c r="E586" s="1">
        <v>45633</v>
      </c>
      <c r="F586" s="3">
        <v>45654</v>
      </c>
      <c r="G586" t="s">
        <v>71</v>
      </c>
      <c r="H586" t="s">
        <v>72</v>
      </c>
      <c r="I586" t="s">
        <v>23</v>
      </c>
      <c r="J586">
        <v>10996.08</v>
      </c>
      <c r="K586">
        <v>21</v>
      </c>
      <c r="L586" t="s">
        <v>24</v>
      </c>
      <c r="M586" t="s">
        <v>25</v>
      </c>
      <c r="N586" t="s">
        <v>26</v>
      </c>
      <c r="O586" t="s">
        <v>49</v>
      </c>
      <c r="P586" t="s">
        <v>28</v>
      </c>
      <c r="Q586">
        <v>1</v>
      </c>
      <c r="R586">
        <v>4374.88</v>
      </c>
      <c r="S586" t="s">
        <v>29</v>
      </c>
    </row>
    <row r="587" spans="1:19" x14ac:dyDescent="0.3">
      <c r="A587" t="s">
        <v>657</v>
      </c>
      <c r="B587">
        <v>28</v>
      </c>
      <c r="C587" t="s">
        <v>19</v>
      </c>
      <c r="D587" t="s">
        <v>61</v>
      </c>
      <c r="E587" s="1">
        <v>45192</v>
      </c>
      <c r="F587" s="3">
        <v>45201</v>
      </c>
      <c r="G587" t="s">
        <v>52</v>
      </c>
      <c r="H587" t="s">
        <v>53</v>
      </c>
      <c r="I587" t="s">
        <v>81</v>
      </c>
      <c r="J587">
        <v>4877.0600000000004</v>
      </c>
      <c r="K587">
        <v>9</v>
      </c>
      <c r="L587" t="s">
        <v>24</v>
      </c>
      <c r="M587" t="s">
        <v>25</v>
      </c>
      <c r="N587" t="s">
        <v>55</v>
      </c>
      <c r="O587" t="s">
        <v>56</v>
      </c>
      <c r="P587" t="s">
        <v>38</v>
      </c>
      <c r="Q587">
        <v>10</v>
      </c>
      <c r="R587">
        <v>967.43</v>
      </c>
      <c r="S587" t="s">
        <v>29</v>
      </c>
    </row>
    <row r="588" spans="1:19" x14ac:dyDescent="0.3">
      <c r="A588" t="s">
        <v>658</v>
      </c>
      <c r="B588">
        <v>68</v>
      </c>
      <c r="C588" t="s">
        <v>31</v>
      </c>
      <c r="D588" t="s">
        <v>70</v>
      </c>
      <c r="E588" s="1">
        <v>45158</v>
      </c>
      <c r="F588" s="3">
        <v>45163</v>
      </c>
      <c r="G588" t="s">
        <v>74</v>
      </c>
      <c r="H588" t="s">
        <v>75</v>
      </c>
      <c r="I588" t="s">
        <v>58</v>
      </c>
      <c r="J588">
        <v>7689.78</v>
      </c>
      <c r="K588">
        <v>5</v>
      </c>
      <c r="L588" t="s">
        <v>24</v>
      </c>
      <c r="M588" t="s">
        <v>25</v>
      </c>
      <c r="N588" t="s">
        <v>44</v>
      </c>
      <c r="O588" t="s">
        <v>49</v>
      </c>
      <c r="P588" t="s">
        <v>28</v>
      </c>
      <c r="Q588">
        <v>11</v>
      </c>
      <c r="R588">
        <v>2735.74</v>
      </c>
      <c r="S588" t="s">
        <v>29</v>
      </c>
    </row>
    <row r="589" spans="1:19" x14ac:dyDescent="0.3">
      <c r="A589" t="s">
        <v>659</v>
      </c>
      <c r="B589">
        <v>25</v>
      </c>
      <c r="C589" t="s">
        <v>31</v>
      </c>
      <c r="D589" t="s">
        <v>66</v>
      </c>
      <c r="E589" s="1">
        <v>45492</v>
      </c>
      <c r="F589" s="3">
        <v>45509</v>
      </c>
      <c r="G589" t="s">
        <v>33</v>
      </c>
      <c r="H589" t="s">
        <v>34</v>
      </c>
      <c r="I589" t="s">
        <v>54</v>
      </c>
      <c r="J589">
        <v>8169.86</v>
      </c>
      <c r="K589">
        <v>17</v>
      </c>
      <c r="L589" t="s">
        <v>24</v>
      </c>
      <c r="M589" t="s">
        <v>25</v>
      </c>
      <c r="N589" t="s">
        <v>55</v>
      </c>
      <c r="O589" t="s">
        <v>27</v>
      </c>
      <c r="P589" t="s">
        <v>50</v>
      </c>
      <c r="Q589">
        <v>14</v>
      </c>
      <c r="R589">
        <v>1709.07</v>
      </c>
      <c r="S589" t="s">
        <v>29</v>
      </c>
    </row>
    <row r="590" spans="1:19" x14ac:dyDescent="0.3">
      <c r="A590" t="s">
        <v>660</v>
      </c>
      <c r="B590">
        <v>50</v>
      </c>
      <c r="C590" t="s">
        <v>19</v>
      </c>
      <c r="D590" t="s">
        <v>79</v>
      </c>
      <c r="E590" s="1">
        <v>45896</v>
      </c>
      <c r="F590" s="3">
        <v>45911</v>
      </c>
      <c r="G590" t="s">
        <v>74</v>
      </c>
      <c r="H590" t="s">
        <v>75</v>
      </c>
      <c r="I590" t="s">
        <v>81</v>
      </c>
      <c r="J590">
        <v>5922.05</v>
      </c>
      <c r="K590">
        <v>15</v>
      </c>
      <c r="L590" t="s">
        <v>24</v>
      </c>
      <c r="M590" t="s">
        <v>25</v>
      </c>
      <c r="N590" t="s">
        <v>44</v>
      </c>
      <c r="O590" t="s">
        <v>37</v>
      </c>
      <c r="P590" t="s">
        <v>50</v>
      </c>
      <c r="Q590">
        <v>3</v>
      </c>
      <c r="R590">
        <v>2214.29</v>
      </c>
      <c r="S590" t="s">
        <v>29</v>
      </c>
    </row>
    <row r="591" spans="1:19" x14ac:dyDescent="0.3">
      <c r="A591" t="s">
        <v>661</v>
      </c>
      <c r="B591">
        <v>83</v>
      </c>
      <c r="C591" t="s">
        <v>19</v>
      </c>
      <c r="D591" t="s">
        <v>47</v>
      </c>
      <c r="E591" s="1">
        <v>45030</v>
      </c>
      <c r="F591" s="3">
        <v>45041</v>
      </c>
      <c r="G591" t="s">
        <v>71</v>
      </c>
      <c r="H591" t="s">
        <v>72</v>
      </c>
      <c r="I591" t="s">
        <v>81</v>
      </c>
      <c r="J591">
        <v>8730.19</v>
      </c>
      <c r="K591">
        <v>11</v>
      </c>
      <c r="L591" t="s">
        <v>36</v>
      </c>
      <c r="M591" t="s">
        <v>25</v>
      </c>
      <c r="N591" t="s">
        <v>44</v>
      </c>
      <c r="O591" t="s">
        <v>56</v>
      </c>
      <c r="P591" t="s">
        <v>28</v>
      </c>
      <c r="Q591">
        <v>10</v>
      </c>
      <c r="R591">
        <v>3178.18</v>
      </c>
      <c r="S591" t="s">
        <v>29</v>
      </c>
    </row>
    <row r="592" spans="1:19" x14ac:dyDescent="0.3">
      <c r="A592" t="s">
        <v>662</v>
      </c>
      <c r="B592">
        <v>76</v>
      </c>
      <c r="C592" t="s">
        <v>31</v>
      </c>
      <c r="D592" t="s">
        <v>47</v>
      </c>
      <c r="E592" s="1">
        <v>44966</v>
      </c>
      <c r="F592" s="3">
        <v>44974</v>
      </c>
      <c r="G592" t="s">
        <v>52</v>
      </c>
      <c r="H592" t="s">
        <v>53</v>
      </c>
      <c r="I592" t="s">
        <v>83</v>
      </c>
      <c r="J592">
        <v>5668.53</v>
      </c>
      <c r="K592">
        <v>8</v>
      </c>
      <c r="L592" t="s">
        <v>24</v>
      </c>
      <c r="M592" t="s">
        <v>76</v>
      </c>
      <c r="N592" t="s">
        <v>55</v>
      </c>
      <c r="O592" t="s">
        <v>56</v>
      </c>
      <c r="P592" t="s">
        <v>28</v>
      </c>
      <c r="Q592">
        <v>10</v>
      </c>
      <c r="R592">
        <v>1424.28</v>
      </c>
      <c r="S592" t="s">
        <v>29</v>
      </c>
    </row>
    <row r="593" spans="1:19" x14ac:dyDescent="0.3">
      <c r="A593" t="s">
        <v>663</v>
      </c>
      <c r="B593">
        <v>80</v>
      </c>
      <c r="C593" t="s">
        <v>19</v>
      </c>
      <c r="D593" t="s">
        <v>66</v>
      </c>
      <c r="E593" s="1">
        <v>45375</v>
      </c>
      <c r="F593" s="3">
        <v>45388</v>
      </c>
      <c r="G593" t="s">
        <v>71</v>
      </c>
      <c r="H593" t="s">
        <v>72</v>
      </c>
      <c r="I593" t="s">
        <v>58</v>
      </c>
      <c r="J593">
        <v>10652.74</v>
      </c>
      <c r="K593">
        <v>13</v>
      </c>
      <c r="L593" t="s">
        <v>36</v>
      </c>
      <c r="M593" t="s">
        <v>25</v>
      </c>
      <c r="N593" t="s">
        <v>26</v>
      </c>
      <c r="O593" t="s">
        <v>37</v>
      </c>
      <c r="P593" t="s">
        <v>38</v>
      </c>
      <c r="Q593">
        <v>14</v>
      </c>
      <c r="R593">
        <v>3096.22</v>
      </c>
      <c r="S593" t="s">
        <v>29</v>
      </c>
    </row>
    <row r="594" spans="1:19" x14ac:dyDescent="0.3">
      <c r="A594" t="s">
        <v>664</v>
      </c>
      <c r="B594">
        <v>86</v>
      </c>
      <c r="C594" t="s">
        <v>31</v>
      </c>
      <c r="D594" t="s">
        <v>89</v>
      </c>
      <c r="E594" s="1">
        <v>45104</v>
      </c>
      <c r="F594" s="3">
        <v>45117</v>
      </c>
      <c r="G594" t="s">
        <v>21</v>
      </c>
      <c r="H594" t="s">
        <v>22</v>
      </c>
      <c r="I594" t="s">
        <v>91</v>
      </c>
      <c r="J594">
        <v>5285.7</v>
      </c>
      <c r="K594">
        <v>13</v>
      </c>
      <c r="L594" t="s">
        <v>24</v>
      </c>
      <c r="M594" t="s">
        <v>25</v>
      </c>
      <c r="N594" t="s">
        <v>26</v>
      </c>
      <c r="O594" t="s">
        <v>56</v>
      </c>
      <c r="P594" t="s">
        <v>38</v>
      </c>
      <c r="Q594">
        <v>10</v>
      </c>
      <c r="R594">
        <v>959.87</v>
      </c>
      <c r="S594" t="s">
        <v>29</v>
      </c>
    </row>
    <row r="595" spans="1:19" x14ac:dyDescent="0.3">
      <c r="A595" t="s">
        <v>665</v>
      </c>
      <c r="B595">
        <v>49</v>
      </c>
      <c r="C595" t="s">
        <v>19</v>
      </c>
      <c r="D595" t="s">
        <v>20</v>
      </c>
      <c r="E595" s="1">
        <v>45319</v>
      </c>
      <c r="F595" s="3">
        <v>45334</v>
      </c>
      <c r="G595" t="s">
        <v>93</v>
      </c>
      <c r="H595" t="s">
        <v>72</v>
      </c>
      <c r="I595" t="s">
        <v>81</v>
      </c>
      <c r="J595">
        <v>10309.39</v>
      </c>
      <c r="K595">
        <v>15</v>
      </c>
      <c r="L595" t="s">
        <v>36</v>
      </c>
      <c r="M595" t="s">
        <v>59</v>
      </c>
      <c r="N595" t="s">
        <v>44</v>
      </c>
      <c r="O595" t="s">
        <v>49</v>
      </c>
      <c r="P595" t="s">
        <v>45</v>
      </c>
      <c r="Q595">
        <v>11</v>
      </c>
      <c r="R595">
        <v>2871.52</v>
      </c>
      <c r="S595" t="s">
        <v>29</v>
      </c>
    </row>
    <row r="596" spans="1:19" x14ac:dyDescent="0.3">
      <c r="A596" t="s">
        <v>666</v>
      </c>
      <c r="B596">
        <v>66</v>
      </c>
      <c r="C596" t="s">
        <v>31</v>
      </c>
      <c r="D596" t="s">
        <v>61</v>
      </c>
      <c r="E596" s="1">
        <v>45888</v>
      </c>
      <c r="F596" s="3">
        <v>45899</v>
      </c>
      <c r="G596" t="s">
        <v>21</v>
      </c>
      <c r="H596" t="s">
        <v>22</v>
      </c>
      <c r="I596" t="s">
        <v>91</v>
      </c>
      <c r="J596">
        <v>3981.88</v>
      </c>
      <c r="K596">
        <v>11</v>
      </c>
      <c r="L596" t="s">
        <v>24</v>
      </c>
      <c r="M596" t="s">
        <v>25</v>
      </c>
      <c r="N596" t="s">
        <v>26</v>
      </c>
      <c r="O596" t="s">
        <v>27</v>
      </c>
      <c r="P596" t="s">
        <v>38</v>
      </c>
      <c r="Q596">
        <v>7</v>
      </c>
      <c r="R596">
        <v>1301.58</v>
      </c>
      <c r="S596" t="s">
        <v>39</v>
      </c>
    </row>
    <row r="597" spans="1:19" x14ac:dyDescent="0.3">
      <c r="A597" t="s">
        <v>667</v>
      </c>
      <c r="B597">
        <v>77</v>
      </c>
      <c r="C597" t="s">
        <v>31</v>
      </c>
      <c r="D597" t="s">
        <v>70</v>
      </c>
      <c r="E597" s="1">
        <v>45504</v>
      </c>
      <c r="F597" s="3">
        <v>45524</v>
      </c>
      <c r="G597" t="s">
        <v>71</v>
      </c>
      <c r="H597" t="s">
        <v>72</v>
      </c>
      <c r="I597" t="s">
        <v>83</v>
      </c>
      <c r="J597">
        <v>17222.900000000001</v>
      </c>
      <c r="K597">
        <v>20</v>
      </c>
      <c r="L597" t="s">
        <v>24</v>
      </c>
      <c r="M597" t="s">
        <v>25</v>
      </c>
      <c r="N597" t="s">
        <v>44</v>
      </c>
      <c r="O597" t="s">
        <v>49</v>
      </c>
      <c r="P597" t="s">
        <v>38</v>
      </c>
      <c r="Q597">
        <v>11</v>
      </c>
      <c r="R597">
        <v>4435.1400000000003</v>
      </c>
      <c r="S597" t="s">
        <v>29</v>
      </c>
    </row>
    <row r="598" spans="1:19" x14ac:dyDescent="0.3">
      <c r="A598" t="s">
        <v>668</v>
      </c>
      <c r="B598">
        <v>37</v>
      </c>
      <c r="C598" t="s">
        <v>31</v>
      </c>
      <c r="D598" t="s">
        <v>89</v>
      </c>
      <c r="E598" s="1">
        <v>45182</v>
      </c>
      <c r="F598" s="3">
        <v>45191</v>
      </c>
      <c r="G598" t="s">
        <v>74</v>
      </c>
      <c r="H598" t="s">
        <v>75</v>
      </c>
      <c r="I598" t="s">
        <v>23</v>
      </c>
      <c r="J598">
        <v>3699.97</v>
      </c>
      <c r="K598">
        <v>9</v>
      </c>
      <c r="L598" t="s">
        <v>24</v>
      </c>
      <c r="M598" t="s">
        <v>25</v>
      </c>
      <c r="N598" t="s">
        <v>26</v>
      </c>
      <c r="O598" t="s">
        <v>27</v>
      </c>
      <c r="P598" t="s">
        <v>38</v>
      </c>
      <c r="Q598">
        <v>7</v>
      </c>
      <c r="R598">
        <v>769.19</v>
      </c>
      <c r="S598" t="s">
        <v>29</v>
      </c>
    </row>
    <row r="599" spans="1:19" x14ac:dyDescent="0.3">
      <c r="A599" t="s">
        <v>669</v>
      </c>
      <c r="B599">
        <v>86</v>
      </c>
      <c r="C599" t="s">
        <v>31</v>
      </c>
      <c r="D599" t="s">
        <v>66</v>
      </c>
      <c r="E599" s="1">
        <v>45589</v>
      </c>
      <c r="F599" s="3">
        <v>45598</v>
      </c>
      <c r="G599" t="s">
        <v>41</v>
      </c>
      <c r="H599" t="s">
        <v>42</v>
      </c>
      <c r="I599" t="s">
        <v>54</v>
      </c>
      <c r="J599">
        <v>3716.48</v>
      </c>
      <c r="K599">
        <v>9</v>
      </c>
      <c r="L599" t="s">
        <v>24</v>
      </c>
      <c r="M599" t="s">
        <v>25</v>
      </c>
      <c r="N599" t="s">
        <v>44</v>
      </c>
      <c r="O599" t="s">
        <v>56</v>
      </c>
      <c r="P599" t="s">
        <v>28</v>
      </c>
      <c r="Q599">
        <v>6</v>
      </c>
      <c r="R599">
        <v>645.73</v>
      </c>
      <c r="S599" t="s">
        <v>29</v>
      </c>
    </row>
    <row r="600" spans="1:19" x14ac:dyDescent="0.3">
      <c r="A600" t="s">
        <v>670</v>
      </c>
      <c r="B600">
        <v>30</v>
      </c>
      <c r="C600" t="s">
        <v>19</v>
      </c>
      <c r="D600" t="s">
        <v>32</v>
      </c>
      <c r="E600" s="1">
        <v>45112</v>
      </c>
      <c r="F600" s="3">
        <v>45114</v>
      </c>
      <c r="G600" t="s">
        <v>48</v>
      </c>
      <c r="H600" t="s">
        <v>22</v>
      </c>
      <c r="I600" t="s">
        <v>35</v>
      </c>
      <c r="J600">
        <v>1596.97</v>
      </c>
      <c r="K600">
        <v>2</v>
      </c>
      <c r="L600" t="s">
        <v>36</v>
      </c>
      <c r="M600" t="s">
        <v>25</v>
      </c>
      <c r="N600" t="s">
        <v>55</v>
      </c>
      <c r="O600" t="s">
        <v>37</v>
      </c>
      <c r="P600" t="s">
        <v>50</v>
      </c>
      <c r="Q600">
        <v>11</v>
      </c>
      <c r="R600">
        <v>269.89999999999998</v>
      </c>
      <c r="S600" t="s">
        <v>29</v>
      </c>
    </row>
    <row r="601" spans="1:19" x14ac:dyDescent="0.3">
      <c r="A601" t="s">
        <v>671</v>
      </c>
      <c r="B601">
        <v>54</v>
      </c>
      <c r="C601" t="s">
        <v>31</v>
      </c>
      <c r="D601" t="s">
        <v>20</v>
      </c>
      <c r="E601" s="1">
        <v>45625</v>
      </c>
      <c r="F601" s="3">
        <v>45644</v>
      </c>
      <c r="G601" t="s">
        <v>48</v>
      </c>
      <c r="H601" t="s">
        <v>22</v>
      </c>
      <c r="I601" t="s">
        <v>91</v>
      </c>
      <c r="J601">
        <v>7203.97</v>
      </c>
      <c r="K601">
        <v>19</v>
      </c>
      <c r="L601" t="s">
        <v>24</v>
      </c>
      <c r="M601" t="s">
        <v>25</v>
      </c>
      <c r="N601" t="s">
        <v>26</v>
      </c>
      <c r="O601" t="s">
        <v>27</v>
      </c>
      <c r="P601" t="s">
        <v>38</v>
      </c>
      <c r="Q601">
        <v>4</v>
      </c>
      <c r="R601">
        <v>1294.24</v>
      </c>
      <c r="S601" t="s">
        <v>29</v>
      </c>
    </row>
    <row r="602" spans="1:19" x14ac:dyDescent="0.3">
      <c r="A602" t="s">
        <v>672</v>
      </c>
      <c r="B602">
        <v>68</v>
      </c>
      <c r="C602" t="s">
        <v>31</v>
      </c>
      <c r="D602" t="s">
        <v>32</v>
      </c>
      <c r="E602" s="1">
        <v>45907</v>
      </c>
      <c r="F602" s="3">
        <v>45913</v>
      </c>
      <c r="G602" t="s">
        <v>62</v>
      </c>
      <c r="H602" t="s">
        <v>63</v>
      </c>
      <c r="I602" t="s">
        <v>58</v>
      </c>
      <c r="J602">
        <v>5332.06</v>
      </c>
      <c r="K602">
        <v>6</v>
      </c>
      <c r="L602" t="s">
        <v>24</v>
      </c>
      <c r="M602" t="s">
        <v>25</v>
      </c>
      <c r="N602" t="s">
        <v>55</v>
      </c>
      <c r="O602" t="s">
        <v>27</v>
      </c>
      <c r="P602" t="s">
        <v>38</v>
      </c>
      <c r="Q602">
        <v>5</v>
      </c>
      <c r="R602">
        <v>1777.28</v>
      </c>
      <c r="S602" t="s">
        <v>29</v>
      </c>
    </row>
    <row r="603" spans="1:19" x14ac:dyDescent="0.3">
      <c r="A603" t="s">
        <v>673</v>
      </c>
      <c r="B603">
        <v>42</v>
      </c>
      <c r="C603" t="s">
        <v>19</v>
      </c>
      <c r="D603" t="s">
        <v>47</v>
      </c>
      <c r="E603" s="1">
        <v>45071</v>
      </c>
      <c r="F603" s="3">
        <v>45075</v>
      </c>
      <c r="G603" t="s">
        <v>74</v>
      </c>
      <c r="H603" t="s">
        <v>75</v>
      </c>
      <c r="I603" t="s">
        <v>54</v>
      </c>
      <c r="J603">
        <v>8262.18</v>
      </c>
      <c r="K603">
        <v>4</v>
      </c>
      <c r="L603" t="s">
        <v>24</v>
      </c>
      <c r="M603" t="s">
        <v>25</v>
      </c>
      <c r="N603" t="s">
        <v>44</v>
      </c>
      <c r="O603" t="s">
        <v>49</v>
      </c>
      <c r="P603" t="s">
        <v>38</v>
      </c>
      <c r="Q603">
        <v>7</v>
      </c>
      <c r="R603">
        <v>1598.14</v>
      </c>
      <c r="S603" t="s">
        <v>29</v>
      </c>
    </row>
    <row r="604" spans="1:19" x14ac:dyDescent="0.3">
      <c r="A604" t="s">
        <v>674</v>
      </c>
      <c r="B604">
        <v>65</v>
      </c>
      <c r="C604" t="s">
        <v>31</v>
      </c>
      <c r="D604" t="s">
        <v>61</v>
      </c>
      <c r="E604" s="1">
        <v>45865</v>
      </c>
      <c r="F604" s="3">
        <v>45873</v>
      </c>
      <c r="G604" t="s">
        <v>71</v>
      </c>
      <c r="H604" t="s">
        <v>72</v>
      </c>
      <c r="I604" t="s">
        <v>58</v>
      </c>
      <c r="J604">
        <v>6454.05</v>
      </c>
      <c r="K604">
        <v>8</v>
      </c>
      <c r="L604" t="s">
        <v>24</v>
      </c>
      <c r="M604" t="s">
        <v>25</v>
      </c>
      <c r="N604" t="s">
        <v>55</v>
      </c>
      <c r="O604" t="s">
        <v>27</v>
      </c>
      <c r="P604" t="s">
        <v>38</v>
      </c>
      <c r="Q604">
        <v>5</v>
      </c>
      <c r="R604">
        <v>2237.0500000000002</v>
      </c>
      <c r="S604" t="s">
        <v>29</v>
      </c>
    </row>
    <row r="605" spans="1:19" x14ac:dyDescent="0.3">
      <c r="A605" t="s">
        <v>675</v>
      </c>
      <c r="B605">
        <v>45</v>
      </c>
      <c r="C605" t="s">
        <v>19</v>
      </c>
      <c r="D605" t="s">
        <v>79</v>
      </c>
      <c r="E605" s="1">
        <v>45020</v>
      </c>
      <c r="F605" s="3">
        <v>45030</v>
      </c>
      <c r="G605" t="s">
        <v>93</v>
      </c>
      <c r="H605" t="s">
        <v>72</v>
      </c>
      <c r="I605" t="s">
        <v>58</v>
      </c>
      <c r="J605">
        <v>5061.45</v>
      </c>
      <c r="K605">
        <v>10</v>
      </c>
      <c r="L605" t="s">
        <v>24</v>
      </c>
      <c r="M605" t="s">
        <v>76</v>
      </c>
      <c r="N605" t="s">
        <v>26</v>
      </c>
      <c r="O605" t="s">
        <v>27</v>
      </c>
      <c r="P605" t="s">
        <v>28</v>
      </c>
      <c r="Q605">
        <v>10</v>
      </c>
      <c r="R605">
        <v>788.86</v>
      </c>
      <c r="S605" t="s">
        <v>29</v>
      </c>
    </row>
    <row r="606" spans="1:19" x14ac:dyDescent="0.3">
      <c r="A606" t="s">
        <v>676</v>
      </c>
      <c r="B606">
        <v>34</v>
      </c>
      <c r="C606" t="s">
        <v>19</v>
      </c>
      <c r="D606" t="s">
        <v>20</v>
      </c>
      <c r="E606" s="1">
        <v>45731</v>
      </c>
      <c r="F606" s="3">
        <v>45742</v>
      </c>
      <c r="G606" t="s">
        <v>41</v>
      </c>
      <c r="H606" t="s">
        <v>42</v>
      </c>
      <c r="I606" t="s">
        <v>81</v>
      </c>
      <c r="J606">
        <v>5301.62</v>
      </c>
      <c r="K606">
        <v>11</v>
      </c>
      <c r="L606" t="s">
        <v>24</v>
      </c>
      <c r="M606" t="s">
        <v>101</v>
      </c>
      <c r="N606" t="s">
        <v>44</v>
      </c>
      <c r="O606" t="s">
        <v>56</v>
      </c>
      <c r="P606" t="s">
        <v>38</v>
      </c>
      <c r="Q606">
        <v>10</v>
      </c>
      <c r="R606">
        <v>1868.65</v>
      </c>
      <c r="S606" t="s">
        <v>29</v>
      </c>
    </row>
    <row r="607" spans="1:19" x14ac:dyDescent="0.3">
      <c r="A607" t="s">
        <v>677</v>
      </c>
      <c r="B607">
        <v>67</v>
      </c>
      <c r="C607" t="s">
        <v>19</v>
      </c>
      <c r="D607" t="s">
        <v>20</v>
      </c>
      <c r="E607" s="1">
        <v>45604</v>
      </c>
      <c r="F607" s="3">
        <v>45619</v>
      </c>
      <c r="G607" t="s">
        <v>41</v>
      </c>
      <c r="H607" t="s">
        <v>42</v>
      </c>
      <c r="I607" t="s">
        <v>35</v>
      </c>
      <c r="J607">
        <v>9191.89</v>
      </c>
      <c r="K607">
        <v>15</v>
      </c>
      <c r="L607" t="s">
        <v>24</v>
      </c>
      <c r="M607" t="s">
        <v>25</v>
      </c>
      <c r="N607" t="s">
        <v>44</v>
      </c>
      <c r="O607" t="s">
        <v>49</v>
      </c>
      <c r="P607" t="s">
        <v>50</v>
      </c>
      <c r="Q607">
        <v>3</v>
      </c>
      <c r="R607">
        <v>3469.06</v>
      </c>
      <c r="S607" t="s">
        <v>29</v>
      </c>
    </row>
    <row r="608" spans="1:19" x14ac:dyDescent="0.3">
      <c r="A608" t="s">
        <v>678</v>
      </c>
      <c r="B608">
        <v>56</v>
      </c>
      <c r="C608" t="s">
        <v>19</v>
      </c>
      <c r="D608" t="s">
        <v>32</v>
      </c>
      <c r="E608" s="1">
        <v>45895</v>
      </c>
      <c r="F608" s="3">
        <v>45911</v>
      </c>
      <c r="G608" t="s">
        <v>52</v>
      </c>
      <c r="H608" t="s">
        <v>53</v>
      </c>
      <c r="I608" t="s">
        <v>81</v>
      </c>
      <c r="J608">
        <v>10911.85</v>
      </c>
      <c r="K608">
        <v>16</v>
      </c>
      <c r="L608" t="s">
        <v>24</v>
      </c>
      <c r="M608" t="s">
        <v>25</v>
      </c>
      <c r="N608" t="s">
        <v>44</v>
      </c>
      <c r="O608" t="s">
        <v>56</v>
      </c>
      <c r="P608" t="s">
        <v>45</v>
      </c>
      <c r="Q608">
        <v>5</v>
      </c>
      <c r="R608">
        <v>3256.32</v>
      </c>
      <c r="S608" t="s">
        <v>29</v>
      </c>
    </row>
    <row r="609" spans="1:19" x14ac:dyDescent="0.3">
      <c r="A609" t="s">
        <v>679</v>
      </c>
      <c r="B609">
        <v>85</v>
      </c>
      <c r="C609" t="s">
        <v>31</v>
      </c>
      <c r="D609" t="s">
        <v>66</v>
      </c>
      <c r="E609" s="1">
        <v>45574</v>
      </c>
      <c r="F609" s="3">
        <v>45580</v>
      </c>
      <c r="G609" t="s">
        <v>93</v>
      </c>
      <c r="H609" t="s">
        <v>72</v>
      </c>
      <c r="I609" t="s">
        <v>83</v>
      </c>
      <c r="J609">
        <v>9362.57</v>
      </c>
      <c r="K609">
        <v>6</v>
      </c>
      <c r="L609" t="s">
        <v>36</v>
      </c>
      <c r="M609" t="s">
        <v>59</v>
      </c>
      <c r="N609" t="s">
        <v>44</v>
      </c>
      <c r="O609" t="s">
        <v>49</v>
      </c>
      <c r="P609" t="s">
        <v>38</v>
      </c>
      <c r="Q609">
        <v>11</v>
      </c>
      <c r="R609">
        <v>3656.82</v>
      </c>
      <c r="S609" t="s">
        <v>29</v>
      </c>
    </row>
    <row r="610" spans="1:19" x14ac:dyDescent="0.3">
      <c r="A610" t="s">
        <v>680</v>
      </c>
      <c r="B610">
        <v>75</v>
      </c>
      <c r="C610" t="s">
        <v>19</v>
      </c>
      <c r="D610" t="s">
        <v>61</v>
      </c>
      <c r="E610" s="1">
        <v>45840</v>
      </c>
      <c r="F610" s="3">
        <v>45859</v>
      </c>
      <c r="G610" t="s">
        <v>74</v>
      </c>
      <c r="H610" t="s">
        <v>75</v>
      </c>
      <c r="I610" t="s">
        <v>81</v>
      </c>
      <c r="J610">
        <v>9501.4</v>
      </c>
      <c r="K610">
        <v>19</v>
      </c>
      <c r="L610" t="s">
        <v>36</v>
      </c>
      <c r="M610" t="s">
        <v>59</v>
      </c>
      <c r="N610" t="s">
        <v>44</v>
      </c>
      <c r="O610" t="s">
        <v>37</v>
      </c>
      <c r="P610" t="s">
        <v>28</v>
      </c>
      <c r="Q610">
        <v>12</v>
      </c>
      <c r="R610">
        <v>2459.71</v>
      </c>
      <c r="S610" t="s">
        <v>29</v>
      </c>
    </row>
    <row r="611" spans="1:19" x14ac:dyDescent="0.3">
      <c r="A611" t="s">
        <v>681</v>
      </c>
      <c r="B611">
        <v>86</v>
      </c>
      <c r="C611" t="s">
        <v>19</v>
      </c>
      <c r="D611" t="s">
        <v>79</v>
      </c>
      <c r="E611" s="1">
        <v>45503</v>
      </c>
      <c r="F611" s="3">
        <v>45517</v>
      </c>
      <c r="G611" t="s">
        <v>71</v>
      </c>
      <c r="H611" t="s">
        <v>72</v>
      </c>
      <c r="I611" t="s">
        <v>81</v>
      </c>
      <c r="J611">
        <v>11552.26</v>
      </c>
      <c r="K611">
        <v>14</v>
      </c>
      <c r="L611" t="s">
        <v>36</v>
      </c>
      <c r="M611" t="s">
        <v>25</v>
      </c>
      <c r="N611" t="s">
        <v>44</v>
      </c>
      <c r="O611" t="s">
        <v>37</v>
      </c>
      <c r="P611" t="s">
        <v>50</v>
      </c>
      <c r="Q611">
        <v>2</v>
      </c>
      <c r="R611">
        <v>2531.1999999999998</v>
      </c>
      <c r="S611" t="s">
        <v>29</v>
      </c>
    </row>
    <row r="612" spans="1:19" x14ac:dyDescent="0.3">
      <c r="A612" t="s">
        <v>682</v>
      </c>
      <c r="B612">
        <v>26</v>
      </c>
      <c r="C612" t="s">
        <v>19</v>
      </c>
      <c r="D612" t="s">
        <v>47</v>
      </c>
      <c r="E612" s="1">
        <v>45338</v>
      </c>
      <c r="F612" s="3">
        <v>45345</v>
      </c>
      <c r="G612" t="s">
        <v>48</v>
      </c>
      <c r="H612" t="s">
        <v>22</v>
      </c>
      <c r="I612" t="s">
        <v>35</v>
      </c>
      <c r="J612">
        <v>4832.2700000000004</v>
      </c>
      <c r="K612">
        <v>7</v>
      </c>
      <c r="L612" t="s">
        <v>36</v>
      </c>
      <c r="M612" t="s">
        <v>25</v>
      </c>
      <c r="N612" t="s">
        <v>55</v>
      </c>
      <c r="O612" t="s">
        <v>37</v>
      </c>
      <c r="P612" t="s">
        <v>50</v>
      </c>
      <c r="Q612">
        <v>9</v>
      </c>
      <c r="R612">
        <v>1310.54</v>
      </c>
      <c r="S612" t="s">
        <v>29</v>
      </c>
    </row>
    <row r="613" spans="1:19" x14ac:dyDescent="0.3">
      <c r="A613" t="s">
        <v>683</v>
      </c>
      <c r="B613">
        <v>43</v>
      </c>
      <c r="C613" t="s">
        <v>19</v>
      </c>
      <c r="D613" t="s">
        <v>47</v>
      </c>
      <c r="E613" s="1">
        <v>45853</v>
      </c>
      <c r="F613" s="3">
        <v>45869</v>
      </c>
      <c r="G613" t="s">
        <v>93</v>
      </c>
      <c r="H613" t="s">
        <v>72</v>
      </c>
      <c r="I613" t="s">
        <v>83</v>
      </c>
      <c r="J613">
        <v>9480.0499999999993</v>
      </c>
      <c r="K613">
        <v>16</v>
      </c>
      <c r="L613" t="s">
        <v>24</v>
      </c>
      <c r="M613" t="s">
        <v>25</v>
      </c>
      <c r="N613" t="s">
        <v>44</v>
      </c>
      <c r="O613" t="s">
        <v>27</v>
      </c>
      <c r="P613" t="s">
        <v>45</v>
      </c>
      <c r="Q613">
        <v>15</v>
      </c>
      <c r="R613">
        <v>2015.68</v>
      </c>
      <c r="S613" t="s">
        <v>29</v>
      </c>
    </row>
    <row r="614" spans="1:19" x14ac:dyDescent="0.3">
      <c r="A614" t="s">
        <v>684</v>
      </c>
      <c r="B614">
        <v>54</v>
      </c>
      <c r="C614" t="s">
        <v>31</v>
      </c>
      <c r="D614" t="s">
        <v>47</v>
      </c>
      <c r="E614" s="1">
        <v>45788</v>
      </c>
      <c r="F614" s="3">
        <v>45798</v>
      </c>
      <c r="G614" t="s">
        <v>33</v>
      </c>
      <c r="H614" t="s">
        <v>34</v>
      </c>
      <c r="I614" t="s">
        <v>43</v>
      </c>
      <c r="J614">
        <v>3516.16</v>
      </c>
      <c r="K614">
        <v>10</v>
      </c>
      <c r="L614" t="s">
        <v>36</v>
      </c>
      <c r="M614" t="s">
        <v>25</v>
      </c>
      <c r="N614" t="s">
        <v>26</v>
      </c>
      <c r="O614" t="s">
        <v>56</v>
      </c>
      <c r="P614" t="s">
        <v>50</v>
      </c>
      <c r="Q614">
        <v>11</v>
      </c>
      <c r="R614">
        <v>1310.5999999999999</v>
      </c>
      <c r="S614" t="s">
        <v>39</v>
      </c>
    </row>
    <row r="615" spans="1:19" x14ac:dyDescent="0.3">
      <c r="A615" t="s">
        <v>685</v>
      </c>
      <c r="B615">
        <v>74</v>
      </c>
      <c r="C615" t="s">
        <v>19</v>
      </c>
      <c r="D615" t="s">
        <v>66</v>
      </c>
      <c r="E615" s="1">
        <v>45836</v>
      </c>
      <c r="F615" s="3">
        <v>45847</v>
      </c>
      <c r="G615" t="s">
        <v>48</v>
      </c>
      <c r="H615" t="s">
        <v>22</v>
      </c>
      <c r="I615" t="s">
        <v>58</v>
      </c>
      <c r="J615">
        <v>6073.96</v>
      </c>
      <c r="K615">
        <v>11</v>
      </c>
      <c r="L615" t="s">
        <v>24</v>
      </c>
      <c r="M615" t="s">
        <v>25</v>
      </c>
      <c r="N615" t="s">
        <v>26</v>
      </c>
      <c r="O615" t="s">
        <v>56</v>
      </c>
      <c r="P615" t="s">
        <v>45</v>
      </c>
      <c r="Q615">
        <v>8</v>
      </c>
      <c r="R615">
        <v>1537.57</v>
      </c>
      <c r="S615" t="s">
        <v>29</v>
      </c>
    </row>
    <row r="616" spans="1:19" x14ac:dyDescent="0.3">
      <c r="A616" t="s">
        <v>686</v>
      </c>
      <c r="B616">
        <v>50</v>
      </c>
      <c r="C616" t="s">
        <v>19</v>
      </c>
      <c r="D616" t="s">
        <v>20</v>
      </c>
      <c r="E616" s="1">
        <v>45360</v>
      </c>
      <c r="F616" s="3">
        <v>45376</v>
      </c>
      <c r="G616" t="s">
        <v>33</v>
      </c>
      <c r="H616" t="s">
        <v>34</v>
      </c>
      <c r="I616" t="s">
        <v>54</v>
      </c>
      <c r="J616">
        <v>12568.56</v>
      </c>
      <c r="K616">
        <v>16</v>
      </c>
      <c r="L616" t="s">
        <v>36</v>
      </c>
      <c r="M616" t="s">
        <v>25</v>
      </c>
      <c r="N616" t="s">
        <v>55</v>
      </c>
      <c r="O616" t="s">
        <v>37</v>
      </c>
      <c r="P616" t="s">
        <v>28</v>
      </c>
      <c r="Q616">
        <v>2</v>
      </c>
      <c r="R616">
        <v>3476.65</v>
      </c>
      <c r="S616" t="s">
        <v>29</v>
      </c>
    </row>
    <row r="617" spans="1:19" x14ac:dyDescent="0.3">
      <c r="A617" t="s">
        <v>687</v>
      </c>
      <c r="B617">
        <v>83</v>
      </c>
      <c r="C617" t="s">
        <v>31</v>
      </c>
      <c r="D617" t="s">
        <v>47</v>
      </c>
      <c r="E617" s="1">
        <v>45655</v>
      </c>
      <c r="F617" s="3">
        <v>45660</v>
      </c>
      <c r="G617" t="s">
        <v>62</v>
      </c>
      <c r="H617" t="s">
        <v>63</v>
      </c>
      <c r="I617" t="s">
        <v>81</v>
      </c>
      <c r="J617">
        <v>2640.55</v>
      </c>
      <c r="K617">
        <v>5</v>
      </c>
      <c r="L617" t="s">
        <v>24</v>
      </c>
      <c r="M617" t="s">
        <v>59</v>
      </c>
      <c r="N617" t="s">
        <v>44</v>
      </c>
      <c r="O617" t="s">
        <v>27</v>
      </c>
      <c r="P617" t="s">
        <v>38</v>
      </c>
      <c r="Q617">
        <v>13</v>
      </c>
      <c r="R617">
        <v>396.19</v>
      </c>
      <c r="S617" t="s">
        <v>29</v>
      </c>
    </row>
    <row r="618" spans="1:19" x14ac:dyDescent="0.3">
      <c r="A618" t="s">
        <v>688</v>
      </c>
      <c r="B618">
        <v>83</v>
      </c>
      <c r="C618" t="s">
        <v>19</v>
      </c>
      <c r="D618" t="s">
        <v>32</v>
      </c>
      <c r="E618" s="1">
        <v>45845</v>
      </c>
      <c r="F618" s="3">
        <v>45868</v>
      </c>
      <c r="G618" t="s">
        <v>93</v>
      </c>
      <c r="H618" t="s">
        <v>72</v>
      </c>
      <c r="I618" t="s">
        <v>35</v>
      </c>
      <c r="J618">
        <v>10075.31</v>
      </c>
      <c r="K618">
        <v>23</v>
      </c>
      <c r="L618" t="s">
        <v>24</v>
      </c>
      <c r="M618" t="s">
        <v>25</v>
      </c>
      <c r="N618" t="s">
        <v>55</v>
      </c>
      <c r="O618" t="s">
        <v>49</v>
      </c>
      <c r="P618" t="s">
        <v>45</v>
      </c>
      <c r="Q618">
        <v>15</v>
      </c>
      <c r="R618">
        <v>4022.62</v>
      </c>
      <c r="S618" t="s">
        <v>29</v>
      </c>
    </row>
    <row r="619" spans="1:19" x14ac:dyDescent="0.3">
      <c r="A619" t="s">
        <v>689</v>
      </c>
      <c r="B619">
        <v>24</v>
      </c>
      <c r="C619" t="s">
        <v>19</v>
      </c>
      <c r="D619" t="s">
        <v>32</v>
      </c>
      <c r="E619" s="1">
        <v>45846</v>
      </c>
      <c r="F619" s="3">
        <v>45856</v>
      </c>
      <c r="G619" t="s">
        <v>41</v>
      </c>
      <c r="H619" t="s">
        <v>42</v>
      </c>
      <c r="I619" t="s">
        <v>91</v>
      </c>
      <c r="J619">
        <v>4327.8</v>
      </c>
      <c r="K619">
        <v>10</v>
      </c>
      <c r="L619" t="s">
        <v>24</v>
      </c>
      <c r="M619" t="s">
        <v>101</v>
      </c>
      <c r="N619" t="s">
        <v>55</v>
      </c>
      <c r="O619" t="s">
        <v>37</v>
      </c>
      <c r="P619" t="s">
        <v>50</v>
      </c>
      <c r="Q619">
        <v>7</v>
      </c>
      <c r="R619">
        <v>1341.52</v>
      </c>
      <c r="S619" t="s">
        <v>39</v>
      </c>
    </row>
    <row r="620" spans="1:19" x14ac:dyDescent="0.3">
      <c r="A620" t="s">
        <v>690</v>
      </c>
      <c r="B620">
        <v>73</v>
      </c>
      <c r="C620" t="s">
        <v>19</v>
      </c>
      <c r="D620" t="s">
        <v>79</v>
      </c>
      <c r="E620" s="1">
        <v>45258</v>
      </c>
      <c r="F620" s="3">
        <v>45272</v>
      </c>
      <c r="G620" t="s">
        <v>21</v>
      </c>
      <c r="H620" t="s">
        <v>22</v>
      </c>
      <c r="I620" t="s">
        <v>81</v>
      </c>
      <c r="J620">
        <v>6583.88</v>
      </c>
      <c r="K620">
        <v>14</v>
      </c>
      <c r="L620" t="s">
        <v>24</v>
      </c>
      <c r="M620" t="s">
        <v>76</v>
      </c>
      <c r="N620" t="s">
        <v>44</v>
      </c>
      <c r="O620" t="s">
        <v>27</v>
      </c>
      <c r="P620" t="s">
        <v>45</v>
      </c>
      <c r="Q620">
        <v>3</v>
      </c>
      <c r="R620">
        <v>2092.3000000000002</v>
      </c>
      <c r="S620" t="s">
        <v>29</v>
      </c>
    </row>
    <row r="621" spans="1:19" x14ac:dyDescent="0.3">
      <c r="A621" t="s">
        <v>691</v>
      </c>
      <c r="B621">
        <v>23</v>
      </c>
      <c r="C621" t="s">
        <v>31</v>
      </c>
      <c r="D621" t="s">
        <v>70</v>
      </c>
      <c r="E621" s="1">
        <v>45375</v>
      </c>
      <c r="F621" s="3">
        <v>45388</v>
      </c>
      <c r="G621" t="s">
        <v>93</v>
      </c>
      <c r="H621" t="s">
        <v>72</v>
      </c>
      <c r="I621" t="s">
        <v>58</v>
      </c>
      <c r="J621">
        <v>11453.55</v>
      </c>
      <c r="K621">
        <v>13</v>
      </c>
      <c r="L621" t="s">
        <v>24</v>
      </c>
      <c r="M621" t="s">
        <v>25</v>
      </c>
      <c r="N621" t="s">
        <v>26</v>
      </c>
      <c r="O621" t="s">
        <v>49</v>
      </c>
      <c r="P621" t="s">
        <v>45</v>
      </c>
      <c r="Q621">
        <v>6</v>
      </c>
      <c r="R621">
        <v>2900.05</v>
      </c>
      <c r="S621" t="s">
        <v>29</v>
      </c>
    </row>
    <row r="622" spans="1:19" x14ac:dyDescent="0.3">
      <c r="A622" t="s">
        <v>692</v>
      </c>
      <c r="B622">
        <v>66</v>
      </c>
      <c r="C622" t="s">
        <v>19</v>
      </c>
      <c r="D622" t="s">
        <v>20</v>
      </c>
      <c r="E622" s="1">
        <v>44973</v>
      </c>
      <c r="F622" s="3">
        <v>44983</v>
      </c>
      <c r="G622" t="s">
        <v>67</v>
      </c>
      <c r="H622" t="s">
        <v>42</v>
      </c>
      <c r="I622" t="s">
        <v>81</v>
      </c>
      <c r="J622">
        <v>7257.89</v>
      </c>
      <c r="K622">
        <v>10</v>
      </c>
      <c r="L622" t="s">
        <v>36</v>
      </c>
      <c r="M622" t="s">
        <v>59</v>
      </c>
      <c r="N622" t="s">
        <v>26</v>
      </c>
      <c r="O622" t="s">
        <v>37</v>
      </c>
      <c r="P622" t="s">
        <v>28</v>
      </c>
      <c r="Q622">
        <v>10</v>
      </c>
      <c r="R622">
        <v>1314.79</v>
      </c>
      <c r="S622" t="s">
        <v>29</v>
      </c>
    </row>
    <row r="623" spans="1:19" x14ac:dyDescent="0.3">
      <c r="A623" t="s">
        <v>693</v>
      </c>
      <c r="B623">
        <v>77</v>
      </c>
      <c r="C623" t="s">
        <v>19</v>
      </c>
      <c r="D623" t="s">
        <v>20</v>
      </c>
      <c r="E623" s="1">
        <v>44973</v>
      </c>
      <c r="F623" s="3">
        <v>44991</v>
      </c>
      <c r="G623" t="s">
        <v>71</v>
      </c>
      <c r="H623" t="s">
        <v>72</v>
      </c>
      <c r="I623" t="s">
        <v>43</v>
      </c>
      <c r="J623">
        <v>4085.34</v>
      </c>
      <c r="K623">
        <v>18</v>
      </c>
      <c r="L623" t="s">
        <v>36</v>
      </c>
      <c r="M623" t="s">
        <v>25</v>
      </c>
      <c r="N623" t="s">
        <v>44</v>
      </c>
      <c r="O623" t="s">
        <v>37</v>
      </c>
      <c r="P623" t="s">
        <v>28</v>
      </c>
      <c r="Q623">
        <v>13</v>
      </c>
      <c r="R623">
        <v>1512.6</v>
      </c>
      <c r="S623" t="s">
        <v>29</v>
      </c>
    </row>
    <row r="624" spans="1:19" x14ac:dyDescent="0.3">
      <c r="A624" t="s">
        <v>694</v>
      </c>
      <c r="B624">
        <v>64</v>
      </c>
      <c r="C624" t="s">
        <v>19</v>
      </c>
      <c r="D624" t="s">
        <v>32</v>
      </c>
      <c r="E624" s="1">
        <v>45456</v>
      </c>
      <c r="F624" s="3">
        <v>45468</v>
      </c>
      <c r="G624" t="s">
        <v>71</v>
      </c>
      <c r="H624" t="s">
        <v>72</v>
      </c>
      <c r="I624" t="s">
        <v>58</v>
      </c>
      <c r="J624">
        <v>4969.33</v>
      </c>
      <c r="K624">
        <v>12</v>
      </c>
      <c r="L624" t="s">
        <v>24</v>
      </c>
      <c r="M624" t="s">
        <v>25</v>
      </c>
      <c r="N624" t="s">
        <v>44</v>
      </c>
      <c r="O624" t="s">
        <v>27</v>
      </c>
      <c r="P624" t="s">
        <v>38</v>
      </c>
      <c r="Q624">
        <v>8</v>
      </c>
      <c r="R624">
        <v>1192.3599999999999</v>
      </c>
      <c r="S624" t="s">
        <v>29</v>
      </c>
    </row>
    <row r="625" spans="1:19" x14ac:dyDescent="0.3">
      <c r="A625" t="s">
        <v>695</v>
      </c>
      <c r="B625">
        <v>77</v>
      </c>
      <c r="C625" t="s">
        <v>31</v>
      </c>
      <c r="D625" t="s">
        <v>89</v>
      </c>
      <c r="E625" s="1">
        <v>45606</v>
      </c>
      <c r="F625" s="3">
        <v>45614</v>
      </c>
      <c r="G625" t="s">
        <v>71</v>
      </c>
      <c r="H625" t="s">
        <v>72</v>
      </c>
      <c r="I625" t="s">
        <v>35</v>
      </c>
      <c r="J625">
        <v>5544.28</v>
      </c>
      <c r="K625">
        <v>8</v>
      </c>
      <c r="L625" t="s">
        <v>24</v>
      </c>
      <c r="M625" t="s">
        <v>25</v>
      </c>
      <c r="N625" t="s">
        <v>26</v>
      </c>
      <c r="O625" t="s">
        <v>37</v>
      </c>
      <c r="P625" t="s">
        <v>50</v>
      </c>
      <c r="Q625">
        <v>2</v>
      </c>
      <c r="R625">
        <v>1958.38</v>
      </c>
      <c r="S625" t="s">
        <v>39</v>
      </c>
    </row>
    <row r="626" spans="1:19" x14ac:dyDescent="0.3">
      <c r="A626" t="s">
        <v>696</v>
      </c>
      <c r="B626">
        <v>38</v>
      </c>
      <c r="C626" t="s">
        <v>19</v>
      </c>
      <c r="D626" t="s">
        <v>89</v>
      </c>
      <c r="E626" s="1">
        <v>45356</v>
      </c>
      <c r="F626" s="3">
        <v>45366</v>
      </c>
      <c r="G626" t="s">
        <v>62</v>
      </c>
      <c r="H626" t="s">
        <v>63</v>
      </c>
      <c r="I626" t="s">
        <v>81</v>
      </c>
      <c r="J626">
        <v>11398.65</v>
      </c>
      <c r="K626">
        <v>10</v>
      </c>
      <c r="L626" t="s">
        <v>24</v>
      </c>
      <c r="M626" t="s">
        <v>25</v>
      </c>
      <c r="N626" t="s">
        <v>55</v>
      </c>
      <c r="O626" t="s">
        <v>49</v>
      </c>
      <c r="P626" t="s">
        <v>45</v>
      </c>
      <c r="Q626">
        <v>10</v>
      </c>
      <c r="R626">
        <v>2281.15</v>
      </c>
      <c r="S626" t="s">
        <v>29</v>
      </c>
    </row>
    <row r="627" spans="1:19" x14ac:dyDescent="0.3">
      <c r="A627" t="s">
        <v>697</v>
      </c>
      <c r="B627">
        <v>25</v>
      </c>
      <c r="C627" t="s">
        <v>19</v>
      </c>
      <c r="D627" t="s">
        <v>70</v>
      </c>
      <c r="E627" s="1">
        <v>44994</v>
      </c>
      <c r="F627" s="3">
        <v>45000</v>
      </c>
      <c r="G627" t="s">
        <v>62</v>
      </c>
      <c r="H627" t="s">
        <v>63</v>
      </c>
      <c r="I627" t="s">
        <v>83</v>
      </c>
      <c r="J627">
        <v>5981.58</v>
      </c>
      <c r="K627">
        <v>6</v>
      </c>
      <c r="L627" t="s">
        <v>24</v>
      </c>
      <c r="M627" t="s">
        <v>25</v>
      </c>
      <c r="N627" t="s">
        <v>44</v>
      </c>
      <c r="O627" t="s">
        <v>56</v>
      </c>
      <c r="P627" t="s">
        <v>38</v>
      </c>
      <c r="Q627">
        <v>15</v>
      </c>
      <c r="R627">
        <v>1698.49</v>
      </c>
      <c r="S627" t="s">
        <v>29</v>
      </c>
    </row>
    <row r="628" spans="1:19" x14ac:dyDescent="0.3">
      <c r="A628" t="s">
        <v>698</v>
      </c>
      <c r="B628">
        <v>61</v>
      </c>
      <c r="C628" t="s">
        <v>19</v>
      </c>
      <c r="D628" t="s">
        <v>79</v>
      </c>
      <c r="E628" s="1">
        <v>45858</v>
      </c>
      <c r="F628" s="3">
        <v>45879</v>
      </c>
      <c r="G628" t="s">
        <v>48</v>
      </c>
      <c r="H628" t="s">
        <v>22</v>
      </c>
      <c r="I628" t="s">
        <v>91</v>
      </c>
      <c r="J628">
        <v>10609.55</v>
      </c>
      <c r="K628">
        <v>21</v>
      </c>
      <c r="L628" t="s">
        <v>24</v>
      </c>
      <c r="M628" t="s">
        <v>25</v>
      </c>
      <c r="N628" t="s">
        <v>26</v>
      </c>
      <c r="O628" t="s">
        <v>49</v>
      </c>
      <c r="P628" t="s">
        <v>28</v>
      </c>
      <c r="Q628">
        <v>1</v>
      </c>
      <c r="R628">
        <v>3694.94</v>
      </c>
      <c r="S628" t="s">
        <v>29</v>
      </c>
    </row>
    <row r="629" spans="1:19" x14ac:dyDescent="0.3">
      <c r="A629" t="s">
        <v>699</v>
      </c>
      <c r="B629">
        <v>28</v>
      </c>
      <c r="C629" t="s">
        <v>31</v>
      </c>
      <c r="D629" t="s">
        <v>47</v>
      </c>
      <c r="E629" s="1">
        <v>45413</v>
      </c>
      <c r="F629" s="3">
        <v>45422</v>
      </c>
      <c r="G629" t="s">
        <v>48</v>
      </c>
      <c r="H629" t="s">
        <v>22</v>
      </c>
      <c r="I629" t="s">
        <v>54</v>
      </c>
      <c r="J629">
        <v>7531.6</v>
      </c>
      <c r="K629">
        <v>9</v>
      </c>
      <c r="L629" t="s">
        <v>24</v>
      </c>
      <c r="M629" t="s">
        <v>25</v>
      </c>
      <c r="N629" t="s">
        <v>55</v>
      </c>
      <c r="O629" t="s">
        <v>49</v>
      </c>
      <c r="P629" t="s">
        <v>28</v>
      </c>
      <c r="Q629">
        <v>1</v>
      </c>
      <c r="R629">
        <v>1196.1300000000001</v>
      </c>
      <c r="S629" t="s">
        <v>29</v>
      </c>
    </row>
    <row r="630" spans="1:19" x14ac:dyDescent="0.3">
      <c r="A630" t="s">
        <v>700</v>
      </c>
      <c r="B630">
        <v>19</v>
      </c>
      <c r="C630" t="s">
        <v>31</v>
      </c>
      <c r="D630" t="s">
        <v>61</v>
      </c>
      <c r="E630" s="1">
        <v>45568</v>
      </c>
      <c r="F630" s="3">
        <v>45581</v>
      </c>
      <c r="G630" t="s">
        <v>74</v>
      </c>
      <c r="H630" t="s">
        <v>75</v>
      </c>
      <c r="I630" t="s">
        <v>54</v>
      </c>
      <c r="J630">
        <v>7981.57</v>
      </c>
      <c r="K630">
        <v>13</v>
      </c>
      <c r="L630" t="s">
        <v>24</v>
      </c>
      <c r="M630" t="s">
        <v>25</v>
      </c>
      <c r="N630" t="s">
        <v>44</v>
      </c>
      <c r="O630" t="s">
        <v>37</v>
      </c>
      <c r="P630" t="s">
        <v>50</v>
      </c>
      <c r="Q630">
        <v>7</v>
      </c>
      <c r="R630">
        <v>3061.51</v>
      </c>
      <c r="S630" t="s">
        <v>29</v>
      </c>
    </row>
    <row r="631" spans="1:19" x14ac:dyDescent="0.3">
      <c r="A631" t="s">
        <v>701</v>
      </c>
      <c r="B631">
        <v>30</v>
      </c>
      <c r="C631" t="s">
        <v>31</v>
      </c>
      <c r="D631" t="s">
        <v>47</v>
      </c>
      <c r="E631" s="1">
        <v>45278</v>
      </c>
      <c r="F631" s="3">
        <v>45298</v>
      </c>
      <c r="G631" t="s">
        <v>33</v>
      </c>
      <c r="H631" t="s">
        <v>34</v>
      </c>
      <c r="I631" t="s">
        <v>43</v>
      </c>
      <c r="J631">
        <v>4547.6499999999996</v>
      </c>
      <c r="K631">
        <v>20</v>
      </c>
      <c r="L631" t="s">
        <v>24</v>
      </c>
      <c r="M631" t="s">
        <v>25</v>
      </c>
      <c r="N631" t="s">
        <v>55</v>
      </c>
      <c r="O631" t="s">
        <v>37</v>
      </c>
      <c r="P631" t="s">
        <v>45</v>
      </c>
      <c r="Q631">
        <v>13</v>
      </c>
      <c r="R631">
        <v>1313.27</v>
      </c>
      <c r="S631" t="s">
        <v>39</v>
      </c>
    </row>
    <row r="632" spans="1:19" x14ac:dyDescent="0.3">
      <c r="A632" t="s">
        <v>702</v>
      </c>
      <c r="B632">
        <v>55</v>
      </c>
      <c r="C632" t="s">
        <v>19</v>
      </c>
      <c r="D632" t="s">
        <v>66</v>
      </c>
      <c r="E632" s="1">
        <v>45281</v>
      </c>
      <c r="F632" s="3">
        <v>45296</v>
      </c>
      <c r="G632" t="s">
        <v>33</v>
      </c>
      <c r="H632" t="s">
        <v>34</v>
      </c>
      <c r="I632" t="s">
        <v>54</v>
      </c>
      <c r="J632">
        <v>9172.4500000000007</v>
      </c>
      <c r="K632">
        <v>15</v>
      </c>
      <c r="L632" t="s">
        <v>36</v>
      </c>
      <c r="M632" t="s">
        <v>25</v>
      </c>
      <c r="N632" t="s">
        <v>55</v>
      </c>
      <c r="O632" t="s">
        <v>37</v>
      </c>
      <c r="P632" t="s">
        <v>50</v>
      </c>
      <c r="Q632">
        <v>9</v>
      </c>
      <c r="R632">
        <v>1378.74</v>
      </c>
      <c r="S632" t="s">
        <v>29</v>
      </c>
    </row>
    <row r="633" spans="1:19" x14ac:dyDescent="0.3">
      <c r="A633" t="s">
        <v>703</v>
      </c>
      <c r="B633">
        <v>79</v>
      </c>
      <c r="C633" t="s">
        <v>31</v>
      </c>
      <c r="D633" t="s">
        <v>70</v>
      </c>
      <c r="E633" s="1">
        <v>45883</v>
      </c>
      <c r="F633" s="3">
        <v>45900</v>
      </c>
      <c r="G633" t="s">
        <v>33</v>
      </c>
      <c r="H633" t="s">
        <v>34</v>
      </c>
      <c r="I633" t="s">
        <v>58</v>
      </c>
      <c r="J633">
        <v>9297.81</v>
      </c>
      <c r="K633">
        <v>17</v>
      </c>
      <c r="L633" t="s">
        <v>24</v>
      </c>
      <c r="M633" t="s">
        <v>25</v>
      </c>
      <c r="N633" t="s">
        <v>26</v>
      </c>
      <c r="O633" t="s">
        <v>49</v>
      </c>
      <c r="P633" t="s">
        <v>38</v>
      </c>
      <c r="Q633">
        <v>6</v>
      </c>
      <c r="R633">
        <v>3525.74</v>
      </c>
      <c r="S633" t="s">
        <v>29</v>
      </c>
    </row>
    <row r="634" spans="1:19" x14ac:dyDescent="0.3">
      <c r="A634" t="s">
        <v>704</v>
      </c>
      <c r="B634">
        <v>38</v>
      </c>
      <c r="C634" t="s">
        <v>19</v>
      </c>
      <c r="D634" t="s">
        <v>79</v>
      </c>
      <c r="E634" s="1">
        <v>45240</v>
      </c>
      <c r="F634" s="3">
        <v>45254</v>
      </c>
      <c r="G634" t="s">
        <v>67</v>
      </c>
      <c r="H634" t="s">
        <v>42</v>
      </c>
      <c r="I634" t="s">
        <v>43</v>
      </c>
      <c r="J634">
        <v>9696.02</v>
      </c>
      <c r="K634">
        <v>14</v>
      </c>
      <c r="L634" t="s">
        <v>36</v>
      </c>
      <c r="M634" t="s">
        <v>25</v>
      </c>
      <c r="N634" t="s">
        <v>44</v>
      </c>
      <c r="O634" t="s">
        <v>56</v>
      </c>
      <c r="P634" t="s">
        <v>50</v>
      </c>
      <c r="Q634">
        <v>15</v>
      </c>
      <c r="R634">
        <v>3247.8</v>
      </c>
      <c r="S634" t="s">
        <v>29</v>
      </c>
    </row>
    <row r="635" spans="1:19" x14ac:dyDescent="0.3">
      <c r="A635" t="s">
        <v>705</v>
      </c>
      <c r="B635">
        <v>69</v>
      </c>
      <c r="C635" t="s">
        <v>19</v>
      </c>
      <c r="D635" t="s">
        <v>61</v>
      </c>
      <c r="E635" s="1">
        <v>45927</v>
      </c>
      <c r="F635" s="3">
        <v>45931</v>
      </c>
      <c r="G635" t="s">
        <v>62</v>
      </c>
      <c r="H635" t="s">
        <v>63</v>
      </c>
      <c r="I635" t="s">
        <v>83</v>
      </c>
      <c r="J635">
        <v>1611</v>
      </c>
      <c r="K635">
        <v>4</v>
      </c>
      <c r="L635" t="s">
        <v>24</v>
      </c>
      <c r="M635" t="s">
        <v>101</v>
      </c>
      <c r="N635" t="s">
        <v>26</v>
      </c>
      <c r="O635" t="s">
        <v>56</v>
      </c>
      <c r="P635" t="s">
        <v>50</v>
      </c>
      <c r="Q635">
        <v>6</v>
      </c>
      <c r="R635">
        <v>640.23</v>
      </c>
      <c r="S635" t="s">
        <v>39</v>
      </c>
    </row>
    <row r="636" spans="1:19" x14ac:dyDescent="0.3">
      <c r="A636" t="s">
        <v>706</v>
      </c>
      <c r="B636">
        <v>38</v>
      </c>
      <c r="C636" t="s">
        <v>31</v>
      </c>
      <c r="D636" t="s">
        <v>89</v>
      </c>
      <c r="E636" s="1">
        <v>45414</v>
      </c>
      <c r="F636" s="3">
        <v>45417</v>
      </c>
      <c r="G636" t="s">
        <v>48</v>
      </c>
      <c r="H636" t="s">
        <v>22</v>
      </c>
      <c r="I636" t="s">
        <v>43</v>
      </c>
      <c r="J636">
        <v>3333.52</v>
      </c>
      <c r="K636">
        <v>3</v>
      </c>
      <c r="L636" t="s">
        <v>36</v>
      </c>
      <c r="M636" t="s">
        <v>25</v>
      </c>
      <c r="N636" t="s">
        <v>44</v>
      </c>
      <c r="O636" t="s">
        <v>37</v>
      </c>
      <c r="P636" t="s">
        <v>28</v>
      </c>
      <c r="Q636">
        <v>7</v>
      </c>
      <c r="R636">
        <v>660.41</v>
      </c>
      <c r="S636" t="s">
        <v>29</v>
      </c>
    </row>
    <row r="637" spans="1:19" x14ac:dyDescent="0.3">
      <c r="A637" t="s">
        <v>707</v>
      </c>
      <c r="B637">
        <v>76</v>
      </c>
      <c r="C637" t="s">
        <v>19</v>
      </c>
      <c r="D637" t="s">
        <v>79</v>
      </c>
      <c r="E637" s="1">
        <v>45152</v>
      </c>
      <c r="F637" s="3">
        <v>45160</v>
      </c>
      <c r="G637" t="s">
        <v>71</v>
      </c>
      <c r="H637" t="s">
        <v>72</v>
      </c>
      <c r="I637" t="s">
        <v>83</v>
      </c>
      <c r="J637">
        <v>4580.6099999999997</v>
      </c>
      <c r="K637">
        <v>8</v>
      </c>
      <c r="L637" t="s">
        <v>36</v>
      </c>
      <c r="M637" t="s">
        <v>25</v>
      </c>
      <c r="N637" t="s">
        <v>44</v>
      </c>
      <c r="O637" t="s">
        <v>37</v>
      </c>
      <c r="P637" t="s">
        <v>28</v>
      </c>
      <c r="Q637">
        <v>6</v>
      </c>
      <c r="R637">
        <v>1283.0899999999999</v>
      </c>
      <c r="S637" t="s">
        <v>29</v>
      </c>
    </row>
    <row r="638" spans="1:19" x14ac:dyDescent="0.3">
      <c r="A638" t="s">
        <v>708</v>
      </c>
      <c r="B638">
        <v>63</v>
      </c>
      <c r="C638" t="s">
        <v>31</v>
      </c>
      <c r="D638" t="s">
        <v>70</v>
      </c>
      <c r="E638" s="1">
        <v>45065</v>
      </c>
      <c r="F638" s="3">
        <v>45074</v>
      </c>
      <c r="G638" t="s">
        <v>21</v>
      </c>
      <c r="H638" t="s">
        <v>22</v>
      </c>
      <c r="I638" t="s">
        <v>91</v>
      </c>
      <c r="J638">
        <v>4157.01</v>
      </c>
      <c r="K638">
        <v>9</v>
      </c>
      <c r="L638" t="s">
        <v>24</v>
      </c>
      <c r="M638" t="s">
        <v>25</v>
      </c>
      <c r="N638" t="s">
        <v>44</v>
      </c>
      <c r="O638" t="s">
        <v>37</v>
      </c>
      <c r="P638" t="s">
        <v>45</v>
      </c>
      <c r="Q638">
        <v>8</v>
      </c>
      <c r="R638">
        <v>759.26</v>
      </c>
      <c r="S638" t="s">
        <v>29</v>
      </c>
    </row>
    <row r="639" spans="1:19" x14ac:dyDescent="0.3">
      <c r="A639" t="s">
        <v>709</v>
      </c>
      <c r="B639">
        <v>79</v>
      </c>
      <c r="C639" t="s">
        <v>19</v>
      </c>
      <c r="D639" t="s">
        <v>66</v>
      </c>
      <c r="E639" s="1">
        <v>45454</v>
      </c>
      <c r="F639" s="3">
        <v>45459</v>
      </c>
      <c r="G639" t="s">
        <v>48</v>
      </c>
      <c r="H639" t="s">
        <v>22</v>
      </c>
      <c r="I639" t="s">
        <v>43</v>
      </c>
      <c r="J639">
        <v>5191.6000000000004</v>
      </c>
      <c r="K639">
        <v>5</v>
      </c>
      <c r="L639" t="s">
        <v>24</v>
      </c>
      <c r="M639" t="s">
        <v>101</v>
      </c>
      <c r="N639" t="s">
        <v>26</v>
      </c>
      <c r="O639" t="s">
        <v>27</v>
      </c>
      <c r="P639" t="s">
        <v>28</v>
      </c>
      <c r="Q639">
        <v>13</v>
      </c>
      <c r="R639">
        <v>976.35</v>
      </c>
      <c r="S639" t="s">
        <v>39</v>
      </c>
    </row>
    <row r="640" spans="1:19" x14ac:dyDescent="0.3">
      <c r="A640" t="s">
        <v>710</v>
      </c>
      <c r="B640">
        <v>72</v>
      </c>
      <c r="C640" t="s">
        <v>31</v>
      </c>
      <c r="D640" t="s">
        <v>47</v>
      </c>
      <c r="E640" s="1">
        <v>45662</v>
      </c>
      <c r="F640" s="3">
        <v>45667</v>
      </c>
      <c r="G640" t="s">
        <v>67</v>
      </c>
      <c r="H640" t="s">
        <v>42</v>
      </c>
      <c r="I640" t="s">
        <v>54</v>
      </c>
      <c r="J640">
        <v>3509.9</v>
      </c>
      <c r="K640">
        <v>5</v>
      </c>
      <c r="L640" t="s">
        <v>24</v>
      </c>
      <c r="M640" t="s">
        <v>25</v>
      </c>
      <c r="N640" t="s">
        <v>44</v>
      </c>
      <c r="O640" t="s">
        <v>37</v>
      </c>
      <c r="P640" t="s">
        <v>38</v>
      </c>
      <c r="Q640">
        <v>12</v>
      </c>
      <c r="R640">
        <v>914.69</v>
      </c>
      <c r="S640" t="s">
        <v>29</v>
      </c>
    </row>
    <row r="641" spans="1:19" x14ac:dyDescent="0.3">
      <c r="A641" t="s">
        <v>711</v>
      </c>
      <c r="B641">
        <v>47</v>
      </c>
      <c r="C641" t="s">
        <v>19</v>
      </c>
      <c r="D641" t="s">
        <v>32</v>
      </c>
      <c r="E641" s="1">
        <v>44958</v>
      </c>
      <c r="F641" s="3">
        <v>44962</v>
      </c>
      <c r="G641" t="s">
        <v>21</v>
      </c>
      <c r="H641" t="s">
        <v>22</v>
      </c>
      <c r="I641" t="s">
        <v>81</v>
      </c>
      <c r="J641">
        <v>4229.37</v>
      </c>
      <c r="K641">
        <v>4</v>
      </c>
      <c r="L641" t="s">
        <v>36</v>
      </c>
      <c r="M641" t="s">
        <v>25</v>
      </c>
      <c r="N641" t="s">
        <v>44</v>
      </c>
      <c r="O641" t="s">
        <v>27</v>
      </c>
      <c r="P641" t="s">
        <v>38</v>
      </c>
      <c r="Q641">
        <v>6</v>
      </c>
      <c r="R641">
        <v>1643.3</v>
      </c>
      <c r="S641" t="s">
        <v>29</v>
      </c>
    </row>
    <row r="642" spans="1:19" x14ac:dyDescent="0.3">
      <c r="A642" t="s">
        <v>712</v>
      </c>
      <c r="B642">
        <v>45</v>
      </c>
      <c r="C642" t="s">
        <v>19</v>
      </c>
      <c r="D642" t="s">
        <v>47</v>
      </c>
      <c r="E642" s="1">
        <v>45388</v>
      </c>
      <c r="F642" s="3">
        <v>45391</v>
      </c>
      <c r="G642" t="s">
        <v>62</v>
      </c>
      <c r="H642" t="s">
        <v>63</v>
      </c>
      <c r="I642" t="s">
        <v>83</v>
      </c>
      <c r="J642">
        <v>2894.27</v>
      </c>
      <c r="K642">
        <v>3</v>
      </c>
      <c r="L642" t="s">
        <v>36</v>
      </c>
      <c r="M642" t="s">
        <v>25</v>
      </c>
      <c r="N642" t="s">
        <v>44</v>
      </c>
      <c r="O642" t="s">
        <v>37</v>
      </c>
      <c r="P642" t="s">
        <v>45</v>
      </c>
      <c r="Q642">
        <v>4</v>
      </c>
      <c r="R642">
        <v>586.30999999999995</v>
      </c>
      <c r="S642" t="s">
        <v>29</v>
      </c>
    </row>
    <row r="643" spans="1:19" x14ac:dyDescent="0.3">
      <c r="A643" t="s">
        <v>713</v>
      </c>
      <c r="B643">
        <v>36</v>
      </c>
      <c r="C643" t="s">
        <v>19</v>
      </c>
      <c r="D643" t="s">
        <v>70</v>
      </c>
      <c r="E643" s="1">
        <v>45265</v>
      </c>
      <c r="F643" s="3">
        <v>45279</v>
      </c>
      <c r="G643" t="s">
        <v>21</v>
      </c>
      <c r="H643" t="s">
        <v>22</v>
      </c>
      <c r="I643" t="s">
        <v>58</v>
      </c>
      <c r="J643">
        <v>5900.15</v>
      </c>
      <c r="K643">
        <v>14</v>
      </c>
      <c r="L643" t="s">
        <v>24</v>
      </c>
      <c r="M643" t="s">
        <v>25</v>
      </c>
      <c r="N643" t="s">
        <v>44</v>
      </c>
      <c r="O643" t="s">
        <v>56</v>
      </c>
      <c r="P643" t="s">
        <v>38</v>
      </c>
      <c r="Q643">
        <v>1</v>
      </c>
      <c r="R643">
        <v>1495.44</v>
      </c>
      <c r="S643" t="s">
        <v>29</v>
      </c>
    </row>
    <row r="644" spans="1:19" x14ac:dyDescent="0.3">
      <c r="A644" t="s">
        <v>714</v>
      </c>
      <c r="B644">
        <v>40</v>
      </c>
      <c r="C644" t="s">
        <v>31</v>
      </c>
      <c r="D644" t="s">
        <v>79</v>
      </c>
      <c r="E644" s="1">
        <v>45149</v>
      </c>
      <c r="F644" s="3">
        <v>45163</v>
      </c>
      <c r="G644" t="s">
        <v>93</v>
      </c>
      <c r="H644" t="s">
        <v>72</v>
      </c>
      <c r="I644" t="s">
        <v>54</v>
      </c>
      <c r="J644">
        <v>7725.99</v>
      </c>
      <c r="K644">
        <v>14</v>
      </c>
      <c r="L644" t="s">
        <v>24</v>
      </c>
      <c r="M644" t="s">
        <v>101</v>
      </c>
      <c r="N644" t="s">
        <v>26</v>
      </c>
      <c r="O644" t="s">
        <v>56</v>
      </c>
      <c r="P644" t="s">
        <v>28</v>
      </c>
      <c r="Q644">
        <v>6</v>
      </c>
      <c r="R644">
        <v>2392.75</v>
      </c>
      <c r="S644" t="s">
        <v>29</v>
      </c>
    </row>
    <row r="645" spans="1:19" x14ac:dyDescent="0.3">
      <c r="A645" t="s">
        <v>715</v>
      </c>
      <c r="B645">
        <v>56</v>
      </c>
      <c r="C645" t="s">
        <v>19</v>
      </c>
      <c r="D645" t="s">
        <v>47</v>
      </c>
      <c r="E645" s="1">
        <v>45483</v>
      </c>
      <c r="F645" s="3">
        <v>45485</v>
      </c>
      <c r="G645" t="s">
        <v>93</v>
      </c>
      <c r="H645" t="s">
        <v>72</v>
      </c>
      <c r="I645" t="s">
        <v>35</v>
      </c>
      <c r="J645">
        <v>1432.11</v>
      </c>
      <c r="K645">
        <v>2</v>
      </c>
      <c r="L645" t="s">
        <v>36</v>
      </c>
      <c r="M645" t="s">
        <v>25</v>
      </c>
      <c r="N645" t="s">
        <v>26</v>
      </c>
      <c r="O645" t="s">
        <v>56</v>
      </c>
      <c r="P645" t="s">
        <v>50</v>
      </c>
      <c r="Q645">
        <v>1</v>
      </c>
      <c r="R645">
        <v>486.57</v>
      </c>
      <c r="S645" t="s">
        <v>29</v>
      </c>
    </row>
    <row r="646" spans="1:19" x14ac:dyDescent="0.3">
      <c r="A646" t="s">
        <v>716</v>
      </c>
      <c r="B646">
        <v>23</v>
      </c>
      <c r="C646" t="s">
        <v>19</v>
      </c>
      <c r="D646" t="s">
        <v>32</v>
      </c>
      <c r="E646" s="1">
        <v>45643</v>
      </c>
      <c r="F646" s="3">
        <v>45655</v>
      </c>
      <c r="G646" t="s">
        <v>48</v>
      </c>
      <c r="H646" t="s">
        <v>22</v>
      </c>
      <c r="I646" t="s">
        <v>83</v>
      </c>
      <c r="J646">
        <v>6123.45</v>
      </c>
      <c r="K646">
        <v>12</v>
      </c>
      <c r="L646" t="s">
        <v>36</v>
      </c>
      <c r="M646" t="s">
        <v>25</v>
      </c>
      <c r="N646" t="s">
        <v>26</v>
      </c>
      <c r="O646" t="s">
        <v>27</v>
      </c>
      <c r="P646" t="s">
        <v>50</v>
      </c>
      <c r="Q646">
        <v>5</v>
      </c>
      <c r="R646">
        <v>2397.06</v>
      </c>
      <c r="S646" t="s">
        <v>29</v>
      </c>
    </row>
    <row r="647" spans="1:19" x14ac:dyDescent="0.3">
      <c r="A647" t="s">
        <v>717</v>
      </c>
      <c r="B647">
        <v>32</v>
      </c>
      <c r="C647" t="s">
        <v>31</v>
      </c>
      <c r="D647" t="s">
        <v>20</v>
      </c>
      <c r="E647" s="1">
        <v>45883</v>
      </c>
      <c r="F647" s="3">
        <v>45898</v>
      </c>
      <c r="G647" t="s">
        <v>74</v>
      </c>
      <c r="H647" t="s">
        <v>75</v>
      </c>
      <c r="I647" t="s">
        <v>43</v>
      </c>
      <c r="J647">
        <v>4639.38</v>
      </c>
      <c r="K647">
        <v>15</v>
      </c>
      <c r="L647" t="s">
        <v>24</v>
      </c>
      <c r="M647" t="s">
        <v>25</v>
      </c>
      <c r="N647" t="s">
        <v>44</v>
      </c>
      <c r="O647" t="s">
        <v>56</v>
      </c>
      <c r="P647" t="s">
        <v>28</v>
      </c>
      <c r="Q647">
        <v>9</v>
      </c>
      <c r="R647">
        <v>720.89</v>
      </c>
      <c r="S647" t="s">
        <v>29</v>
      </c>
    </row>
    <row r="648" spans="1:19" x14ac:dyDescent="0.3">
      <c r="A648" t="s">
        <v>718</v>
      </c>
      <c r="B648">
        <v>74</v>
      </c>
      <c r="C648" t="s">
        <v>19</v>
      </c>
      <c r="D648" t="s">
        <v>70</v>
      </c>
      <c r="E648" s="1">
        <v>45252</v>
      </c>
      <c r="F648" s="3">
        <v>45264</v>
      </c>
      <c r="G648" t="s">
        <v>93</v>
      </c>
      <c r="H648" t="s">
        <v>72</v>
      </c>
      <c r="I648" t="s">
        <v>43</v>
      </c>
      <c r="J648">
        <v>6362.21</v>
      </c>
      <c r="K648">
        <v>12</v>
      </c>
      <c r="L648" t="s">
        <v>24</v>
      </c>
      <c r="M648" t="s">
        <v>59</v>
      </c>
      <c r="N648" t="s">
        <v>44</v>
      </c>
      <c r="O648" t="s">
        <v>37</v>
      </c>
      <c r="P648" t="s">
        <v>45</v>
      </c>
      <c r="Q648">
        <v>14</v>
      </c>
      <c r="R648">
        <v>2270.27</v>
      </c>
      <c r="S648" t="s">
        <v>29</v>
      </c>
    </row>
    <row r="649" spans="1:19" x14ac:dyDescent="0.3">
      <c r="A649" t="s">
        <v>719</v>
      </c>
      <c r="B649">
        <v>86</v>
      </c>
      <c r="C649" t="s">
        <v>19</v>
      </c>
      <c r="D649" t="s">
        <v>70</v>
      </c>
      <c r="E649" s="1">
        <v>44930</v>
      </c>
      <c r="F649" s="3">
        <v>44938</v>
      </c>
      <c r="G649" t="s">
        <v>62</v>
      </c>
      <c r="H649" t="s">
        <v>63</v>
      </c>
      <c r="I649" t="s">
        <v>58</v>
      </c>
      <c r="J649">
        <v>6090.73</v>
      </c>
      <c r="K649">
        <v>8</v>
      </c>
      <c r="L649" t="s">
        <v>36</v>
      </c>
      <c r="M649" t="s">
        <v>101</v>
      </c>
      <c r="N649" t="s">
        <v>55</v>
      </c>
      <c r="O649" t="s">
        <v>37</v>
      </c>
      <c r="P649" t="s">
        <v>38</v>
      </c>
      <c r="Q649">
        <v>6</v>
      </c>
      <c r="R649">
        <v>1255.48</v>
      </c>
      <c r="S649" t="s">
        <v>29</v>
      </c>
    </row>
    <row r="650" spans="1:19" x14ac:dyDescent="0.3">
      <c r="A650" t="s">
        <v>720</v>
      </c>
      <c r="B650">
        <v>53</v>
      </c>
      <c r="C650" t="s">
        <v>31</v>
      </c>
      <c r="D650" t="s">
        <v>79</v>
      </c>
      <c r="E650" s="1">
        <v>45046</v>
      </c>
      <c r="F650" s="3">
        <v>45049</v>
      </c>
      <c r="G650" t="s">
        <v>33</v>
      </c>
      <c r="H650" t="s">
        <v>34</v>
      </c>
      <c r="I650" t="s">
        <v>23</v>
      </c>
      <c r="J650">
        <v>7161.62</v>
      </c>
      <c r="K650">
        <v>3</v>
      </c>
      <c r="L650" t="s">
        <v>24</v>
      </c>
      <c r="M650" t="s">
        <v>101</v>
      </c>
      <c r="N650" t="s">
        <v>55</v>
      </c>
      <c r="O650" t="s">
        <v>49</v>
      </c>
      <c r="P650" t="s">
        <v>28</v>
      </c>
      <c r="Q650">
        <v>2</v>
      </c>
      <c r="R650">
        <v>1425.77</v>
      </c>
      <c r="S650" t="s">
        <v>29</v>
      </c>
    </row>
    <row r="651" spans="1:19" x14ac:dyDescent="0.3">
      <c r="A651" t="s">
        <v>721</v>
      </c>
      <c r="B651">
        <v>77</v>
      </c>
      <c r="C651" t="s">
        <v>19</v>
      </c>
      <c r="D651" t="s">
        <v>61</v>
      </c>
      <c r="E651" s="1">
        <v>45286</v>
      </c>
      <c r="F651" s="3">
        <v>45311</v>
      </c>
      <c r="G651" t="s">
        <v>41</v>
      </c>
      <c r="H651" t="s">
        <v>42</v>
      </c>
      <c r="I651" t="s">
        <v>81</v>
      </c>
      <c r="J651">
        <v>21214.45</v>
      </c>
      <c r="K651">
        <v>25</v>
      </c>
      <c r="L651" t="s">
        <v>36</v>
      </c>
      <c r="M651" t="s">
        <v>25</v>
      </c>
      <c r="N651" t="s">
        <v>55</v>
      </c>
      <c r="O651" t="s">
        <v>49</v>
      </c>
      <c r="P651" t="s">
        <v>45</v>
      </c>
      <c r="Q651">
        <v>10</v>
      </c>
      <c r="R651">
        <v>4125.41</v>
      </c>
      <c r="S651" t="s">
        <v>29</v>
      </c>
    </row>
    <row r="652" spans="1:19" x14ac:dyDescent="0.3">
      <c r="A652" t="s">
        <v>722</v>
      </c>
      <c r="B652">
        <v>61</v>
      </c>
      <c r="C652" t="s">
        <v>31</v>
      </c>
      <c r="D652" t="s">
        <v>32</v>
      </c>
      <c r="E652" s="1">
        <v>45916</v>
      </c>
      <c r="F652" s="3">
        <v>45922</v>
      </c>
      <c r="G652" t="s">
        <v>52</v>
      </c>
      <c r="H652" t="s">
        <v>53</v>
      </c>
      <c r="I652" t="s">
        <v>54</v>
      </c>
      <c r="J652">
        <v>6214.96</v>
      </c>
      <c r="K652">
        <v>6</v>
      </c>
      <c r="L652" t="s">
        <v>24</v>
      </c>
      <c r="M652" t="s">
        <v>25</v>
      </c>
      <c r="N652" t="s">
        <v>26</v>
      </c>
      <c r="O652" t="s">
        <v>56</v>
      </c>
      <c r="P652" t="s">
        <v>50</v>
      </c>
      <c r="Q652">
        <v>8</v>
      </c>
      <c r="R652">
        <v>1626.85</v>
      </c>
      <c r="S652" t="s">
        <v>29</v>
      </c>
    </row>
    <row r="653" spans="1:19" x14ac:dyDescent="0.3">
      <c r="A653" t="s">
        <v>723</v>
      </c>
      <c r="B653">
        <v>22</v>
      </c>
      <c r="C653" t="s">
        <v>19</v>
      </c>
      <c r="D653" t="s">
        <v>79</v>
      </c>
      <c r="E653" s="1">
        <v>45532</v>
      </c>
      <c r="F653" s="3">
        <v>45539</v>
      </c>
      <c r="G653" t="s">
        <v>41</v>
      </c>
      <c r="H653" t="s">
        <v>42</v>
      </c>
      <c r="I653" t="s">
        <v>83</v>
      </c>
      <c r="J653">
        <v>1762.31</v>
      </c>
      <c r="K653">
        <v>7</v>
      </c>
      <c r="L653" t="s">
        <v>24</v>
      </c>
      <c r="M653" t="s">
        <v>25</v>
      </c>
      <c r="N653" t="s">
        <v>55</v>
      </c>
      <c r="O653" t="s">
        <v>27</v>
      </c>
      <c r="P653" t="s">
        <v>45</v>
      </c>
      <c r="Q653">
        <v>13</v>
      </c>
      <c r="R653">
        <v>677</v>
      </c>
      <c r="S653" t="s">
        <v>29</v>
      </c>
    </row>
    <row r="654" spans="1:19" x14ac:dyDescent="0.3">
      <c r="A654" t="s">
        <v>724</v>
      </c>
      <c r="B654">
        <v>36</v>
      </c>
      <c r="C654" t="s">
        <v>19</v>
      </c>
      <c r="D654" t="s">
        <v>66</v>
      </c>
      <c r="E654" s="1">
        <v>45885</v>
      </c>
      <c r="F654" s="3">
        <v>45894</v>
      </c>
      <c r="G654" t="s">
        <v>48</v>
      </c>
      <c r="H654" t="s">
        <v>22</v>
      </c>
      <c r="I654" t="s">
        <v>81</v>
      </c>
      <c r="J654">
        <v>12614.71</v>
      </c>
      <c r="K654">
        <v>9</v>
      </c>
      <c r="L654" t="s">
        <v>24</v>
      </c>
      <c r="M654" t="s">
        <v>25</v>
      </c>
      <c r="N654" t="s">
        <v>26</v>
      </c>
      <c r="O654" t="s">
        <v>49</v>
      </c>
      <c r="P654" t="s">
        <v>50</v>
      </c>
      <c r="Q654">
        <v>12</v>
      </c>
      <c r="R654">
        <v>4143.29</v>
      </c>
      <c r="S654" t="s">
        <v>29</v>
      </c>
    </row>
    <row r="655" spans="1:19" x14ac:dyDescent="0.3">
      <c r="A655" t="s">
        <v>725</v>
      </c>
      <c r="B655">
        <v>69</v>
      </c>
      <c r="C655" t="s">
        <v>31</v>
      </c>
      <c r="D655" t="s">
        <v>79</v>
      </c>
      <c r="E655" s="1">
        <v>45768</v>
      </c>
      <c r="F655" s="3">
        <v>45785</v>
      </c>
      <c r="G655" t="s">
        <v>41</v>
      </c>
      <c r="H655" t="s">
        <v>42</v>
      </c>
      <c r="I655" t="s">
        <v>58</v>
      </c>
      <c r="J655">
        <v>10990.66</v>
      </c>
      <c r="K655">
        <v>17</v>
      </c>
      <c r="L655" t="s">
        <v>36</v>
      </c>
      <c r="M655" t="s">
        <v>25</v>
      </c>
      <c r="N655" t="s">
        <v>55</v>
      </c>
      <c r="O655" t="s">
        <v>37</v>
      </c>
      <c r="P655" t="s">
        <v>28</v>
      </c>
      <c r="Q655">
        <v>8</v>
      </c>
      <c r="R655">
        <v>3472</v>
      </c>
      <c r="S655" t="s">
        <v>29</v>
      </c>
    </row>
    <row r="656" spans="1:19" x14ac:dyDescent="0.3">
      <c r="A656" t="s">
        <v>726</v>
      </c>
      <c r="B656">
        <v>45</v>
      </c>
      <c r="C656" t="s">
        <v>19</v>
      </c>
      <c r="D656" t="s">
        <v>61</v>
      </c>
      <c r="E656" s="1">
        <v>45224</v>
      </c>
      <c r="F656" s="3">
        <v>45227</v>
      </c>
      <c r="G656" t="s">
        <v>21</v>
      </c>
      <c r="H656" t="s">
        <v>22</v>
      </c>
      <c r="I656" t="s">
        <v>91</v>
      </c>
      <c r="J656">
        <v>4160.42</v>
      </c>
      <c r="K656">
        <v>3</v>
      </c>
      <c r="L656" t="s">
        <v>36</v>
      </c>
      <c r="M656" t="s">
        <v>101</v>
      </c>
      <c r="N656" t="s">
        <v>55</v>
      </c>
      <c r="O656" t="s">
        <v>56</v>
      </c>
      <c r="P656" t="s">
        <v>28</v>
      </c>
      <c r="Q656">
        <v>1</v>
      </c>
      <c r="R656">
        <v>887.58</v>
      </c>
      <c r="S656" t="s">
        <v>29</v>
      </c>
    </row>
    <row r="657" spans="1:19" x14ac:dyDescent="0.3">
      <c r="A657" t="s">
        <v>727</v>
      </c>
      <c r="B657">
        <v>59</v>
      </c>
      <c r="C657" t="s">
        <v>19</v>
      </c>
      <c r="D657" t="s">
        <v>20</v>
      </c>
      <c r="E657" s="1">
        <v>45120</v>
      </c>
      <c r="F657" s="3">
        <v>45128</v>
      </c>
      <c r="G657" t="s">
        <v>33</v>
      </c>
      <c r="H657" t="s">
        <v>34</v>
      </c>
      <c r="I657" t="s">
        <v>91</v>
      </c>
      <c r="J657">
        <v>5047.41</v>
      </c>
      <c r="K657">
        <v>8</v>
      </c>
      <c r="L657" t="s">
        <v>24</v>
      </c>
      <c r="M657" t="s">
        <v>25</v>
      </c>
      <c r="N657" t="s">
        <v>26</v>
      </c>
      <c r="O657" t="s">
        <v>27</v>
      </c>
      <c r="P657" t="s">
        <v>50</v>
      </c>
      <c r="Q657">
        <v>12</v>
      </c>
      <c r="R657">
        <v>802.21</v>
      </c>
      <c r="S657" t="s">
        <v>29</v>
      </c>
    </row>
    <row r="658" spans="1:19" x14ac:dyDescent="0.3">
      <c r="A658" t="s">
        <v>728</v>
      </c>
      <c r="B658">
        <v>60</v>
      </c>
      <c r="C658" t="s">
        <v>19</v>
      </c>
      <c r="D658" t="s">
        <v>79</v>
      </c>
      <c r="E658" s="1">
        <v>45010</v>
      </c>
      <c r="F658" s="3">
        <v>45017</v>
      </c>
      <c r="G658" t="s">
        <v>93</v>
      </c>
      <c r="H658" t="s">
        <v>72</v>
      </c>
      <c r="I658" t="s">
        <v>58</v>
      </c>
      <c r="J658">
        <v>4727.1400000000003</v>
      </c>
      <c r="K658">
        <v>7</v>
      </c>
      <c r="L658" t="s">
        <v>24</v>
      </c>
      <c r="M658" t="s">
        <v>25</v>
      </c>
      <c r="N658" t="s">
        <v>44</v>
      </c>
      <c r="O658" t="s">
        <v>37</v>
      </c>
      <c r="P658" t="s">
        <v>38</v>
      </c>
      <c r="Q658">
        <v>15</v>
      </c>
      <c r="R658">
        <v>1538.04</v>
      </c>
      <c r="S658" t="s">
        <v>39</v>
      </c>
    </row>
    <row r="659" spans="1:19" x14ac:dyDescent="0.3">
      <c r="A659" t="s">
        <v>729</v>
      </c>
      <c r="B659">
        <v>87</v>
      </c>
      <c r="C659" t="s">
        <v>31</v>
      </c>
      <c r="D659" t="s">
        <v>47</v>
      </c>
      <c r="E659" s="1">
        <v>45600</v>
      </c>
      <c r="F659" s="3">
        <v>45613</v>
      </c>
      <c r="G659" t="s">
        <v>21</v>
      </c>
      <c r="H659" t="s">
        <v>22</v>
      </c>
      <c r="I659" t="s">
        <v>54</v>
      </c>
      <c r="J659">
        <v>9168.5</v>
      </c>
      <c r="K659">
        <v>13</v>
      </c>
      <c r="L659" t="s">
        <v>36</v>
      </c>
      <c r="M659" t="s">
        <v>25</v>
      </c>
      <c r="N659" t="s">
        <v>26</v>
      </c>
      <c r="O659" t="s">
        <v>27</v>
      </c>
      <c r="P659" t="s">
        <v>38</v>
      </c>
      <c r="Q659">
        <v>13</v>
      </c>
      <c r="R659">
        <v>1393.46</v>
      </c>
      <c r="S659" t="s">
        <v>29</v>
      </c>
    </row>
    <row r="660" spans="1:19" x14ac:dyDescent="0.3">
      <c r="A660" t="s">
        <v>730</v>
      </c>
      <c r="B660">
        <v>61</v>
      </c>
      <c r="C660" t="s">
        <v>19</v>
      </c>
      <c r="D660" t="s">
        <v>20</v>
      </c>
      <c r="E660" s="1">
        <v>45723</v>
      </c>
      <c r="F660" s="3">
        <v>45740</v>
      </c>
      <c r="G660" t="s">
        <v>33</v>
      </c>
      <c r="H660" t="s">
        <v>34</v>
      </c>
      <c r="I660" t="s">
        <v>58</v>
      </c>
      <c r="J660">
        <v>9758.5</v>
      </c>
      <c r="K660">
        <v>17</v>
      </c>
      <c r="L660" t="s">
        <v>24</v>
      </c>
      <c r="M660" t="s">
        <v>25</v>
      </c>
      <c r="N660" t="s">
        <v>44</v>
      </c>
      <c r="O660" t="s">
        <v>56</v>
      </c>
      <c r="P660" t="s">
        <v>45</v>
      </c>
      <c r="Q660">
        <v>7</v>
      </c>
      <c r="R660">
        <v>2215.7600000000002</v>
      </c>
      <c r="S660" t="s">
        <v>29</v>
      </c>
    </row>
    <row r="661" spans="1:19" x14ac:dyDescent="0.3">
      <c r="A661" t="s">
        <v>731</v>
      </c>
      <c r="B661">
        <v>33</v>
      </c>
      <c r="C661" t="s">
        <v>31</v>
      </c>
      <c r="D661" t="s">
        <v>89</v>
      </c>
      <c r="E661" s="1">
        <v>45863</v>
      </c>
      <c r="F661" s="3">
        <v>45873</v>
      </c>
      <c r="G661" t="s">
        <v>52</v>
      </c>
      <c r="H661" t="s">
        <v>53</v>
      </c>
      <c r="I661" t="s">
        <v>35</v>
      </c>
      <c r="J661">
        <v>10682.02</v>
      </c>
      <c r="K661">
        <v>10</v>
      </c>
      <c r="L661" t="s">
        <v>24</v>
      </c>
      <c r="M661" t="s">
        <v>25</v>
      </c>
      <c r="N661" t="s">
        <v>44</v>
      </c>
      <c r="O661" t="s">
        <v>49</v>
      </c>
      <c r="P661" t="s">
        <v>45</v>
      </c>
      <c r="Q661">
        <v>11</v>
      </c>
      <c r="R661">
        <v>3622.95</v>
      </c>
      <c r="S661" t="s">
        <v>29</v>
      </c>
    </row>
    <row r="662" spans="1:19" x14ac:dyDescent="0.3">
      <c r="A662" t="s">
        <v>732</v>
      </c>
      <c r="B662">
        <v>43</v>
      </c>
      <c r="C662" t="s">
        <v>31</v>
      </c>
      <c r="D662" t="s">
        <v>79</v>
      </c>
      <c r="E662" s="1">
        <v>45388</v>
      </c>
      <c r="F662" s="3">
        <v>45393</v>
      </c>
      <c r="G662" t="s">
        <v>93</v>
      </c>
      <c r="H662" t="s">
        <v>72</v>
      </c>
      <c r="I662" t="s">
        <v>23</v>
      </c>
      <c r="J662">
        <v>8336.19</v>
      </c>
      <c r="K662">
        <v>5</v>
      </c>
      <c r="L662" t="s">
        <v>36</v>
      </c>
      <c r="M662" t="s">
        <v>25</v>
      </c>
      <c r="N662" t="s">
        <v>55</v>
      </c>
      <c r="O662" t="s">
        <v>49</v>
      </c>
      <c r="P662" t="s">
        <v>38</v>
      </c>
      <c r="Q662">
        <v>12</v>
      </c>
      <c r="R662">
        <v>2487.33</v>
      </c>
      <c r="S662" t="s">
        <v>29</v>
      </c>
    </row>
    <row r="663" spans="1:19" x14ac:dyDescent="0.3">
      <c r="A663" t="s">
        <v>733</v>
      </c>
      <c r="B663">
        <v>34</v>
      </c>
      <c r="C663" t="s">
        <v>31</v>
      </c>
      <c r="D663" t="s">
        <v>89</v>
      </c>
      <c r="E663" s="1">
        <v>45820</v>
      </c>
      <c r="F663" s="3">
        <v>45829</v>
      </c>
      <c r="G663" t="s">
        <v>71</v>
      </c>
      <c r="H663" t="s">
        <v>72</v>
      </c>
      <c r="I663" t="s">
        <v>43</v>
      </c>
      <c r="J663">
        <v>5614.83</v>
      </c>
      <c r="K663">
        <v>9</v>
      </c>
      <c r="L663" t="s">
        <v>24</v>
      </c>
      <c r="M663" t="s">
        <v>25</v>
      </c>
      <c r="N663" t="s">
        <v>44</v>
      </c>
      <c r="O663" t="s">
        <v>27</v>
      </c>
      <c r="P663" t="s">
        <v>50</v>
      </c>
      <c r="Q663">
        <v>2</v>
      </c>
      <c r="R663">
        <v>1440.07</v>
      </c>
      <c r="S663" t="s">
        <v>29</v>
      </c>
    </row>
    <row r="664" spans="1:19" x14ac:dyDescent="0.3">
      <c r="A664" t="s">
        <v>734</v>
      </c>
      <c r="B664">
        <v>45</v>
      </c>
      <c r="C664" t="s">
        <v>31</v>
      </c>
      <c r="D664" t="s">
        <v>47</v>
      </c>
      <c r="E664" s="1">
        <v>45563</v>
      </c>
      <c r="F664" s="3">
        <v>45573</v>
      </c>
      <c r="G664" t="s">
        <v>52</v>
      </c>
      <c r="H664" t="s">
        <v>53</v>
      </c>
      <c r="I664" t="s">
        <v>35</v>
      </c>
      <c r="J664">
        <v>7266.49</v>
      </c>
      <c r="K664">
        <v>10</v>
      </c>
      <c r="L664" t="s">
        <v>36</v>
      </c>
      <c r="M664" t="s">
        <v>59</v>
      </c>
      <c r="N664" t="s">
        <v>26</v>
      </c>
      <c r="O664" t="s">
        <v>27</v>
      </c>
      <c r="P664" t="s">
        <v>50</v>
      </c>
      <c r="Q664">
        <v>7</v>
      </c>
      <c r="R664">
        <v>2360.0700000000002</v>
      </c>
      <c r="S664" t="s">
        <v>29</v>
      </c>
    </row>
    <row r="665" spans="1:19" x14ac:dyDescent="0.3">
      <c r="A665" t="s">
        <v>735</v>
      </c>
      <c r="B665">
        <v>28</v>
      </c>
      <c r="C665" t="s">
        <v>19</v>
      </c>
      <c r="D665" t="s">
        <v>20</v>
      </c>
      <c r="E665" s="1">
        <v>44986</v>
      </c>
      <c r="F665" s="3">
        <v>44987</v>
      </c>
      <c r="G665" t="s">
        <v>48</v>
      </c>
      <c r="H665" t="s">
        <v>22</v>
      </c>
      <c r="I665" t="s">
        <v>23</v>
      </c>
      <c r="J665">
        <v>3033.87</v>
      </c>
      <c r="K665">
        <v>1</v>
      </c>
      <c r="L665" t="s">
        <v>24</v>
      </c>
      <c r="M665" t="s">
        <v>25</v>
      </c>
      <c r="N665" t="s">
        <v>55</v>
      </c>
      <c r="O665" t="s">
        <v>56</v>
      </c>
      <c r="P665" t="s">
        <v>50</v>
      </c>
      <c r="Q665">
        <v>11</v>
      </c>
      <c r="R665">
        <v>1150.49</v>
      </c>
      <c r="S665" t="s">
        <v>29</v>
      </c>
    </row>
    <row r="666" spans="1:19" x14ac:dyDescent="0.3">
      <c r="A666" t="s">
        <v>736</v>
      </c>
      <c r="B666">
        <v>68</v>
      </c>
      <c r="C666" t="s">
        <v>19</v>
      </c>
      <c r="D666" t="s">
        <v>66</v>
      </c>
      <c r="E666" s="1">
        <v>45737</v>
      </c>
      <c r="F666" s="3">
        <v>45748</v>
      </c>
      <c r="G666" t="s">
        <v>41</v>
      </c>
      <c r="H666" t="s">
        <v>42</v>
      </c>
      <c r="I666" t="s">
        <v>81</v>
      </c>
      <c r="J666">
        <v>9294.11</v>
      </c>
      <c r="K666">
        <v>11</v>
      </c>
      <c r="L666" t="s">
        <v>36</v>
      </c>
      <c r="M666" t="s">
        <v>101</v>
      </c>
      <c r="N666" t="s">
        <v>26</v>
      </c>
      <c r="O666" t="s">
        <v>27</v>
      </c>
      <c r="P666" t="s">
        <v>50</v>
      </c>
      <c r="Q666">
        <v>1</v>
      </c>
      <c r="R666">
        <v>2567.61</v>
      </c>
      <c r="S666" t="s">
        <v>29</v>
      </c>
    </row>
    <row r="667" spans="1:19" x14ac:dyDescent="0.3">
      <c r="A667" t="s">
        <v>737</v>
      </c>
      <c r="B667">
        <v>47</v>
      </c>
      <c r="C667" t="s">
        <v>31</v>
      </c>
      <c r="D667" t="s">
        <v>32</v>
      </c>
      <c r="E667" s="1">
        <v>45286</v>
      </c>
      <c r="F667" s="3">
        <v>45304</v>
      </c>
      <c r="G667" t="s">
        <v>48</v>
      </c>
      <c r="H667" t="s">
        <v>22</v>
      </c>
      <c r="I667" t="s">
        <v>54</v>
      </c>
      <c r="J667">
        <v>9242.74</v>
      </c>
      <c r="K667">
        <v>18</v>
      </c>
      <c r="L667" t="s">
        <v>36</v>
      </c>
      <c r="M667" t="s">
        <v>25</v>
      </c>
      <c r="N667" t="s">
        <v>55</v>
      </c>
      <c r="O667" t="s">
        <v>27</v>
      </c>
      <c r="P667" t="s">
        <v>28</v>
      </c>
      <c r="Q667">
        <v>9</v>
      </c>
      <c r="R667">
        <v>3658.16</v>
      </c>
      <c r="S667" t="s">
        <v>29</v>
      </c>
    </row>
    <row r="668" spans="1:19" x14ac:dyDescent="0.3">
      <c r="A668" t="s">
        <v>738</v>
      </c>
      <c r="B668">
        <v>36</v>
      </c>
      <c r="C668" t="s">
        <v>19</v>
      </c>
      <c r="D668" t="s">
        <v>89</v>
      </c>
      <c r="E668" s="1">
        <v>45370</v>
      </c>
      <c r="F668" s="3">
        <v>45380</v>
      </c>
      <c r="G668" t="s">
        <v>67</v>
      </c>
      <c r="H668" t="s">
        <v>42</v>
      </c>
      <c r="I668" t="s">
        <v>43</v>
      </c>
      <c r="J668">
        <v>6854.42</v>
      </c>
      <c r="K668">
        <v>10</v>
      </c>
      <c r="L668" t="s">
        <v>36</v>
      </c>
      <c r="M668" t="s">
        <v>25</v>
      </c>
      <c r="N668" t="s">
        <v>55</v>
      </c>
      <c r="O668" t="s">
        <v>37</v>
      </c>
      <c r="P668" t="s">
        <v>28</v>
      </c>
      <c r="Q668">
        <v>4</v>
      </c>
      <c r="R668">
        <v>2316.23</v>
      </c>
      <c r="S668" t="s">
        <v>29</v>
      </c>
    </row>
    <row r="669" spans="1:19" x14ac:dyDescent="0.3">
      <c r="A669" t="s">
        <v>739</v>
      </c>
      <c r="B669">
        <v>31</v>
      </c>
      <c r="C669" t="s">
        <v>31</v>
      </c>
      <c r="D669" t="s">
        <v>61</v>
      </c>
      <c r="E669" s="1">
        <v>45536</v>
      </c>
      <c r="F669" s="3">
        <v>45548</v>
      </c>
      <c r="G669" t="s">
        <v>52</v>
      </c>
      <c r="H669" t="s">
        <v>53</v>
      </c>
      <c r="I669" t="s">
        <v>91</v>
      </c>
      <c r="J669">
        <v>9422.17</v>
      </c>
      <c r="K669">
        <v>12</v>
      </c>
      <c r="L669" t="s">
        <v>24</v>
      </c>
      <c r="M669" t="s">
        <v>25</v>
      </c>
      <c r="N669" t="s">
        <v>55</v>
      </c>
      <c r="O669" t="s">
        <v>27</v>
      </c>
      <c r="P669" t="s">
        <v>28</v>
      </c>
      <c r="Q669">
        <v>12</v>
      </c>
      <c r="R669">
        <v>2285.19</v>
      </c>
      <c r="S669" t="s">
        <v>29</v>
      </c>
    </row>
    <row r="670" spans="1:19" x14ac:dyDescent="0.3">
      <c r="A670" t="s">
        <v>740</v>
      </c>
      <c r="B670">
        <v>74</v>
      </c>
      <c r="C670" t="s">
        <v>19</v>
      </c>
      <c r="D670" t="s">
        <v>66</v>
      </c>
      <c r="E670" s="1">
        <v>45038</v>
      </c>
      <c r="F670" s="3">
        <v>45043</v>
      </c>
      <c r="G670" t="s">
        <v>74</v>
      </c>
      <c r="H670" t="s">
        <v>75</v>
      </c>
      <c r="I670" t="s">
        <v>58</v>
      </c>
      <c r="J670">
        <v>2599</v>
      </c>
      <c r="K670">
        <v>5</v>
      </c>
      <c r="L670" t="s">
        <v>24</v>
      </c>
      <c r="M670" t="s">
        <v>25</v>
      </c>
      <c r="N670" t="s">
        <v>55</v>
      </c>
      <c r="O670" t="s">
        <v>56</v>
      </c>
      <c r="P670" t="s">
        <v>50</v>
      </c>
      <c r="Q670">
        <v>9</v>
      </c>
      <c r="R670">
        <v>771.1</v>
      </c>
      <c r="S670" t="s">
        <v>29</v>
      </c>
    </row>
    <row r="671" spans="1:19" x14ac:dyDescent="0.3">
      <c r="A671" t="s">
        <v>741</v>
      </c>
      <c r="B671">
        <v>60</v>
      </c>
      <c r="C671" t="s">
        <v>19</v>
      </c>
      <c r="D671" t="s">
        <v>47</v>
      </c>
      <c r="E671" s="1">
        <v>45275</v>
      </c>
      <c r="F671" s="3">
        <v>45285</v>
      </c>
      <c r="G671" t="s">
        <v>52</v>
      </c>
      <c r="H671" t="s">
        <v>53</v>
      </c>
      <c r="I671" t="s">
        <v>91</v>
      </c>
      <c r="J671">
        <v>5641.53</v>
      </c>
      <c r="K671">
        <v>10</v>
      </c>
      <c r="L671" t="s">
        <v>24</v>
      </c>
      <c r="M671" t="s">
        <v>25</v>
      </c>
      <c r="N671" t="s">
        <v>55</v>
      </c>
      <c r="O671" t="s">
        <v>37</v>
      </c>
      <c r="P671" t="s">
        <v>28</v>
      </c>
      <c r="Q671">
        <v>1</v>
      </c>
      <c r="R671">
        <v>1683.69</v>
      </c>
      <c r="S671" t="s">
        <v>29</v>
      </c>
    </row>
    <row r="672" spans="1:19" x14ac:dyDescent="0.3">
      <c r="A672" t="s">
        <v>742</v>
      </c>
      <c r="B672">
        <v>67</v>
      </c>
      <c r="C672" t="s">
        <v>19</v>
      </c>
      <c r="D672" t="s">
        <v>32</v>
      </c>
      <c r="E672" s="1">
        <v>45096</v>
      </c>
      <c r="F672" s="3">
        <v>45114</v>
      </c>
      <c r="G672" t="s">
        <v>62</v>
      </c>
      <c r="H672" t="s">
        <v>63</v>
      </c>
      <c r="I672" t="s">
        <v>54</v>
      </c>
      <c r="J672">
        <v>14630.96</v>
      </c>
      <c r="K672">
        <v>18</v>
      </c>
      <c r="L672" t="s">
        <v>24</v>
      </c>
      <c r="M672" t="s">
        <v>25</v>
      </c>
      <c r="N672" t="s">
        <v>55</v>
      </c>
      <c r="O672" t="s">
        <v>49</v>
      </c>
      <c r="P672" t="s">
        <v>28</v>
      </c>
      <c r="Q672">
        <v>10</v>
      </c>
      <c r="R672">
        <v>4397.3599999999997</v>
      </c>
      <c r="S672" t="s">
        <v>29</v>
      </c>
    </row>
    <row r="673" spans="1:19" x14ac:dyDescent="0.3">
      <c r="A673" t="s">
        <v>743</v>
      </c>
      <c r="B673">
        <v>64</v>
      </c>
      <c r="C673" t="s">
        <v>19</v>
      </c>
      <c r="D673" t="s">
        <v>61</v>
      </c>
      <c r="E673" s="1">
        <v>45184</v>
      </c>
      <c r="F673" s="3">
        <v>45191</v>
      </c>
      <c r="G673" t="s">
        <v>93</v>
      </c>
      <c r="H673" t="s">
        <v>72</v>
      </c>
      <c r="I673" t="s">
        <v>81</v>
      </c>
      <c r="J673">
        <v>4559.09</v>
      </c>
      <c r="K673">
        <v>7</v>
      </c>
      <c r="L673" t="s">
        <v>36</v>
      </c>
      <c r="M673" t="s">
        <v>25</v>
      </c>
      <c r="N673" t="s">
        <v>26</v>
      </c>
      <c r="O673" t="s">
        <v>56</v>
      </c>
      <c r="P673" t="s">
        <v>45</v>
      </c>
      <c r="Q673">
        <v>13</v>
      </c>
      <c r="R673">
        <v>1120.99</v>
      </c>
      <c r="S673" t="s">
        <v>29</v>
      </c>
    </row>
    <row r="674" spans="1:19" x14ac:dyDescent="0.3">
      <c r="A674" t="s">
        <v>744</v>
      </c>
      <c r="B674">
        <v>21</v>
      </c>
      <c r="C674" t="s">
        <v>31</v>
      </c>
      <c r="D674" t="s">
        <v>89</v>
      </c>
      <c r="E674" s="1">
        <v>45816</v>
      </c>
      <c r="F674" s="3">
        <v>45830</v>
      </c>
      <c r="G674" t="s">
        <v>71</v>
      </c>
      <c r="H674" t="s">
        <v>72</v>
      </c>
      <c r="I674" t="s">
        <v>58</v>
      </c>
      <c r="J674">
        <v>8800.4500000000007</v>
      </c>
      <c r="K674">
        <v>14</v>
      </c>
      <c r="L674" t="s">
        <v>24</v>
      </c>
      <c r="M674" t="s">
        <v>25</v>
      </c>
      <c r="N674" t="s">
        <v>26</v>
      </c>
      <c r="O674" t="s">
        <v>37</v>
      </c>
      <c r="P674" t="s">
        <v>50</v>
      </c>
      <c r="Q674">
        <v>1</v>
      </c>
      <c r="R674">
        <v>2907.25</v>
      </c>
      <c r="S674" t="s">
        <v>29</v>
      </c>
    </row>
    <row r="675" spans="1:19" x14ac:dyDescent="0.3">
      <c r="A675" t="s">
        <v>745</v>
      </c>
      <c r="B675">
        <v>35</v>
      </c>
      <c r="C675" t="s">
        <v>19</v>
      </c>
      <c r="D675" t="s">
        <v>89</v>
      </c>
      <c r="E675" s="1">
        <v>45210</v>
      </c>
      <c r="F675" s="3">
        <v>45238</v>
      </c>
      <c r="G675" t="s">
        <v>62</v>
      </c>
      <c r="H675" t="s">
        <v>63</v>
      </c>
      <c r="I675" t="s">
        <v>43</v>
      </c>
      <c r="J675">
        <v>10101.799999999999</v>
      </c>
      <c r="K675">
        <v>28</v>
      </c>
      <c r="L675" t="s">
        <v>36</v>
      </c>
      <c r="M675" t="s">
        <v>59</v>
      </c>
      <c r="N675" t="s">
        <v>26</v>
      </c>
      <c r="O675" t="s">
        <v>49</v>
      </c>
      <c r="P675" t="s">
        <v>28</v>
      </c>
      <c r="Q675">
        <v>4</v>
      </c>
      <c r="R675">
        <v>1545.19</v>
      </c>
      <c r="S675" t="s">
        <v>29</v>
      </c>
    </row>
    <row r="676" spans="1:19" x14ac:dyDescent="0.3">
      <c r="A676" t="s">
        <v>746</v>
      </c>
      <c r="B676">
        <v>64</v>
      </c>
      <c r="C676" t="s">
        <v>19</v>
      </c>
      <c r="D676" t="s">
        <v>47</v>
      </c>
      <c r="E676" s="1">
        <v>45915</v>
      </c>
      <c r="F676" s="3">
        <v>45933</v>
      </c>
      <c r="G676" t="s">
        <v>62</v>
      </c>
      <c r="H676" t="s">
        <v>63</v>
      </c>
      <c r="I676" t="s">
        <v>43</v>
      </c>
      <c r="J676">
        <v>4423.34</v>
      </c>
      <c r="K676">
        <v>18</v>
      </c>
      <c r="L676" t="s">
        <v>36</v>
      </c>
      <c r="M676" t="s">
        <v>25</v>
      </c>
      <c r="N676" t="s">
        <v>55</v>
      </c>
      <c r="O676" t="s">
        <v>56</v>
      </c>
      <c r="P676" t="s">
        <v>50</v>
      </c>
      <c r="Q676">
        <v>14</v>
      </c>
      <c r="R676">
        <v>905.29</v>
      </c>
      <c r="S676" t="s">
        <v>29</v>
      </c>
    </row>
    <row r="677" spans="1:19" x14ac:dyDescent="0.3">
      <c r="A677" t="s">
        <v>747</v>
      </c>
      <c r="B677">
        <v>35</v>
      </c>
      <c r="C677" t="s">
        <v>19</v>
      </c>
      <c r="D677" t="s">
        <v>61</v>
      </c>
      <c r="E677" s="1">
        <v>45132</v>
      </c>
      <c r="F677" s="3">
        <v>45138</v>
      </c>
      <c r="G677" t="s">
        <v>33</v>
      </c>
      <c r="H677" t="s">
        <v>34</v>
      </c>
      <c r="I677" t="s">
        <v>35</v>
      </c>
      <c r="J677">
        <v>4923.41</v>
      </c>
      <c r="K677">
        <v>6</v>
      </c>
      <c r="L677" t="s">
        <v>24</v>
      </c>
      <c r="M677" t="s">
        <v>25</v>
      </c>
      <c r="N677" t="s">
        <v>44</v>
      </c>
      <c r="O677" t="s">
        <v>27</v>
      </c>
      <c r="P677" t="s">
        <v>38</v>
      </c>
      <c r="Q677">
        <v>3</v>
      </c>
      <c r="R677">
        <v>1266.6400000000001</v>
      </c>
      <c r="S677" t="s">
        <v>29</v>
      </c>
    </row>
    <row r="678" spans="1:19" x14ac:dyDescent="0.3">
      <c r="A678" t="s">
        <v>748</v>
      </c>
      <c r="B678">
        <v>59</v>
      </c>
      <c r="C678" t="s">
        <v>31</v>
      </c>
      <c r="D678" t="s">
        <v>79</v>
      </c>
      <c r="E678" s="1">
        <v>45693</v>
      </c>
      <c r="F678" s="3">
        <v>45699</v>
      </c>
      <c r="G678" t="s">
        <v>93</v>
      </c>
      <c r="H678" t="s">
        <v>72</v>
      </c>
      <c r="I678" t="s">
        <v>43</v>
      </c>
      <c r="J678">
        <v>3965.33</v>
      </c>
      <c r="K678">
        <v>6</v>
      </c>
      <c r="L678" t="s">
        <v>24</v>
      </c>
      <c r="M678" t="s">
        <v>25</v>
      </c>
      <c r="N678" t="s">
        <v>55</v>
      </c>
      <c r="O678" t="s">
        <v>56</v>
      </c>
      <c r="P678" t="s">
        <v>45</v>
      </c>
      <c r="Q678">
        <v>10</v>
      </c>
      <c r="R678">
        <v>1367.04</v>
      </c>
      <c r="S678" t="s">
        <v>39</v>
      </c>
    </row>
    <row r="679" spans="1:19" x14ac:dyDescent="0.3">
      <c r="A679" t="s">
        <v>749</v>
      </c>
      <c r="B679">
        <v>87</v>
      </c>
      <c r="C679" t="s">
        <v>19</v>
      </c>
      <c r="D679" t="s">
        <v>89</v>
      </c>
      <c r="E679" s="1">
        <v>45530</v>
      </c>
      <c r="F679" s="3">
        <v>45532</v>
      </c>
      <c r="G679" t="s">
        <v>33</v>
      </c>
      <c r="H679" t="s">
        <v>34</v>
      </c>
      <c r="I679" t="s">
        <v>83</v>
      </c>
      <c r="J679">
        <v>2703.81</v>
      </c>
      <c r="K679">
        <v>2</v>
      </c>
      <c r="L679" t="s">
        <v>36</v>
      </c>
      <c r="M679" t="s">
        <v>25</v>
      </c>
      <c r="N679" t="s">
        <v>26</v>
      </c>
      <c r="O679" t="s">
        <v>56</v>
      </c>
      <c r="P679" t="s">
        <v>45</v>
      </c>
      <c r="Q679">
        <v>6</v>
      </c>
      <c r="R679">
        <v>640.91999999999996</v>
      </c>
      <c r="S679" t="s">
        <v>29</v>
      </c>
    </row>
    <row r="680" spans="1:19" x14ac:dyDescent="0.3">
      <c r="A680" t="s">
        <v>750</v>
      </c>
      <c r="B680">
        <v>33</v>
      </c>
      <c r="C680" t="s">
        <v>19</v>
      </c>
      <c r="D680" t="s">
        <v>70</v>
      </c>
      <c r="E680" s="1">
        <v>45594</v>
      </c>
      <c r="F680" s="3">
        <v>45612</v>
      </c>
      <c r="G680" t="s">
        <v>62</v>
      </c>
      <c r="H680" t="s">
        <v>63</v>
      </c>
      <c r="I680" t="s">
        <v>23</v>
      </c>
      <c r="J680">
        <v>11719.23</v>
      </c>
      <c r="K680">
        <v>18</v>
      </c>
      <c r="L680" t="s">
        <v>36</v>
      </c>
      <c r="M680" t="s">
        <v>25</v>
      </c>
      <c r="N680" t="s">
        <v>26</v>
      </c>
      <c r="O680" t="s">
        <v>27</v>
      </c>
      <c r="P680" t="s">
        <v>45</v>
      </c>
      <c r="Q680">
        <v>9</v>
      </c>
      <c r="R680">
        <v>3643.47</v>
      </c>
      <c r="S680" t="s">
        <v>29</v>
      </c>
    </row>
    <row r="681" spans="1:19" x14ac:dyDescent="0.3">
      <c r="A681" t="s">
        <v>751</v>
      </c>
      <c r="B681">
        <v>42</v>
      </c>
      <c r="C681" t="s">
        <v>19</v>
      </c>
      <c r="D681" t="s">
        <v>32</v>
      </c>
      <c r="E681" s="1">
        <v>45588</v>
      </c>
      <c r="F681" s="3">
        <v>45590</v>
      </c>
      <c r="G681" t="s">
        <v>93</v>
      </c>
      <c r="H681" t="s">
        <v>72</v>
      </c>
      <c r="I681" t="s">
        <v>81</v>
      </c>
      <c r="J681">
        <v>2482.83</v>
      </c>
      <c r="K681">
        <v>2</v>
      </c>
      <c r="L681" t="s">
        <v>36</v>
      </c>
      <c r="M681" t="s">
        <v>59</v>
      </c>
      <c r="N681" t="s">
        <v>55</v>
      </c>
      <c r="O681" t="s">
        <v>37</v>
      </c>
      <c r="P681" t="s">
        <v>45</v>
      </c>
      <c r="Q681">
        <v>5</v>
      </c>
      <c r="R681">
        <v>663</v>
      </c>
      <c r="S681" t="s">
        <v>29</v>
      </c>
    </row>
    <row r="682" spans="1:19" x14ac:dyDescent="0.3">
      <c r="A682" t="s">
        <v>752</v>
      </c>
      <c r="B682">
        <v>26</v>
      </c>
      <c r="C682" t="s">
        <v>31</v>
      </c>
      <c r="D682" t="s">
        <v>70</v>
      </c>
      <c r="E682" s="1">
        <v>45356</v>
      </c>
      <c r="F682" s="3">
        <v>45358</v>
      </c>
      <c r="G682" t="s">
        <v>41</v>
      </c>
      <c r="H682" t="s">
        <v>42</v>
      </c>
      <c r="I682" t="s">
        <v>91</v>
      </c>
      <c r="J682">
        <v>1772.39</v>
      </c>
      <c r="K682">
        <v>2</v>
      </c>
      <c r="L682" t="s">
        <v>24</v>
      </c>
      <c r="M682" t="s">
        <v>25</v>
      </c>
      <c r="N682" t="s">
        <v>26</v>
      </c>
      <c r="O682" t="s">
        <v>37</v>
      </c>
      <c r="P682" t="s">
        <v>50</v>
      </c>
      <c r="Q682">
        <v>5</v>
      </c>
      <c r="R682">
        <v>360.19</v>
      </c>
      <c r="S682" t="s">
        <v>29</v>
      </c>
    </row>
    <row r="683" spans="1:19" x14ac:dyDescent="0.3">
      <c r="A683" t="s">
        <v>753</v>
      </c>
      <c r="B683">
        <v>53</v>
      </c>
      <c r="C683" t="s">
        <v>31</v>
      </c>
      <c r="D683" t="s">
        <v>47</v>
      </c>
      <c r="E683" s="1">
        <v>45461</v>
      </c>
      <c r="F683" s="3">
        <v>45489</v>
      </c>
      <c r="G683" t="s">
        <v>62</v>
      </c>
      <c r="H683" t="s">
        <v>63</v>
      </c>
      <c r="I683" t="s">
        <v>43</v>
      </c>
      <c r="J683">
        <v>18232.14</v>
      </c>
      <c r="K683">
        <v>28</v>
      </c>
      <c r="L683" t="s">
        <v>36</v>
      </c>
      <c r="M683" t="s">
        <v>25</v>
      </c>
      <c r="N683" t="s">
        <v>44</v>
      </c>
      <c r="O683" t="s">
        <v>49</v>
      </c>
      <c r="P683" t="s">
        <v>28</v>
      </c>
      <c r="Q683">
        <v>1</v>
      </c>
      <c r="R683">
        <v>6460.62</v>
      </c>
      <c r="S683" t="s">
        <v>29</v>
      </c>
    </row>
    <row r="684" spans="1:19" x14ac:dyDescent="0.3">
      <c r="A684" t="s">
        <v>754</v>
      </c>
      <c r="B684">
        <v>53</v>
      </c>
      <c r="C684" t="s">
        <v>19</v>
      </c>
      <c r="D684" t="s">
        <v>79</v>
      </c>
      <c r="E684" s="1">
        <v>45459</v>
      </c>
      <c r="F684" s="3">
        <v>45466</v>
      </c>
      <c r="G684" t="s">
        <v>67</v>
      </c>
      <c r="H684" t="s">
        <v>42</v>
      </c>
      <c r="I684" t="s">
        <v>43</v>
      </c>
      <c r="J684">
        <v>11732.14</v>
      </c>
      <c r="K684">
        <v>7</v>
      </c>
      <c r="L684" t="s">
        <v>24</v>
      </c>
      <c r="M684" t="s">
        <v>25</v>
      </c>
      <c r="N684" t="s">
        <v>44</v>
      </c>
      <c r="O684" t="s">
        <v>49</v>
      </c>
      <c r="P684" t="s">
        <v>50</v>
      </c>
      <c r="Q684">
        <v>4</v>
      </c>
      <c r="R684">
        <v>2807.97</v>
      </c>
      <c r="S684" t="s">
        <v>29</v>
      </c>
    </row>
    <row r="685" spans="1:19" x14ac:dyDescent="0.3">
      <c r="A685" t="s">
        <v>755</v>
      </c>
      <c r="B685">
        <v>54</v>
      </c>
      <c r="C685" t="s">
        <v>19</v>
      </c>
      <c r="D685" t="s">
        <v>79</v>
      </c>
      <c r="E685" s="1">
        <v>45704</v>
      </c>
      <c r="F685" s="3">
        <v>45714</v>
      </c>
      <c r="G685" t="s">
        <v>74</v>
      </c>
      <c r="H685" t="s">
        <v>75</v>
      </c>
      <c r="I685" t="s">
        <v>91</v>
      </c>
      <c r="J685">
        <v>7526.83</v>
      </c>
      <c r="K685">
        <v>10</v>
      </c>
      <c r="L685" t="s">
        <v>24</v>
      </c>
      <c r="M685" t="s">
        <v>25</v>
      </c>
      <c r="N685" t="s">
        <v>26</v>
      </c>
      <c r="O685" t="s">
        <v>27</v>
      </c>
      <c r="P685" t="s">
        <v>50</v>
      </c>
      <c r="Q685">
        <v>7</v>
      </c>
      <c r="R685">
        <v>1794.58</v>
      </c>
      <c r="S685" t="s">
        <v>29</v>
      </c>
    </row>
    <row r="686" spans="1:19" x14ac:dyDescent="0.3">
      <c r="A686" t="s">
        <v>756</v>
      </c>
      <c r="B686">
        <v>31</v>
      </c>
      <c r="C686" t="s">
        <v>19</v>
      </c>
      <c r="D686" t="s">
        <v>79</v>
      </c>
      <c r="E686" s="1">
        <v>45113</v>
      </c>
      <c r="F686" s="3">
        <v>45117</v>
      </c>
      <c r="G686" t="s">
        <v>71</v>
      </c>
      <c r="H686" t="s">
        <v>72</v>
      </c>
      <c r="I686" t="s">
        <v>35</v>
      </c>
      <c r="J686">
        <v>2721.87</v>
      </c>
      <c r="K686">
        <v>4</v>
      </c>
      <c r="L686" t="s">
        <v>36</v>
      </c>
      <c r="M686" t="s">
        <v>101</v>
      </c>
      <c r="N686" t="s">
        <v>44</v>
      </c>
      <c r="O686" t="s">
        <v>37</v>
      </c>
      <c r="P686" t="s">
        <v>45</v>
      </c>
      <c r="Q686">
        <v>11</v>
      </c>
      <c r="R686">
        <v>890.12</v>
      </c>
      <c r="S686" t="s">
        <v>29</v>
      </c>
    </row>
    <row r="687" spans="1:19" x14ac:dyDescent="0.3">
      <c r="A687" t="s">
        <v>757</v>
      </c>
      <c r="B687">
        <v>32</v>
      </c>
      <c r="C687" t="s">
        <v>19</v>
      </c>
      <c r="D687" t="s">
        <v>20</v>
      </c>
      <c r="E687" s="1">
        <v>45871</v>
      </c>
      <c r="F687" s="3">
        <v>45884</v>
      </c>
      <c r="G687" t="s">
        <v>74</v>
      </c>
      <c r="H687" t="s">
        <v>75</v>
      </c>
      <c r="I687" t="s">
        <v>54</v>
      </c>
      <c r="J687">
        <v>8042.07</v>
      </c>
      <c r="K687">
        <v>13</v>
      </c>
      <c r="L687" t="s">
        <v>36</v>
      </c>
      <c r="M687" t="s">
        <v>25</v>
      </c>
      <c r="N687" t="s">
        <v>26</v>
      </c>
      <c r="O687" t="s">
        <v>49</v>
      </c>
      <c r="P687" t="s">
        <v>50</v>
      </c>
      <c r="Q687">
        <v>1</v>
      </c>
      <c r="R687">
        <v>1974.59</v>
      </c>
      <c r="S687" t="s">
        <v>29</v>
      </c>
    </row>
    <row r="688" spans="1:19" x14ac:dyDescent="0.3">
      <c r="A688" t="s">
        <v>758</v>
      </c>
      <c r="B688">
        <v>44</v>
      </c>
      <c r="C688" t="s">
        <v>19</v>
      </c>
      <c r="D688" t="s">
        <v>89</v>
      </c>
      <c r="E688" s="1">
        <v>45532</v>
      </c>
      <c r="F688" s="3">
        <v>45558</v>
      </c>
      <c r="G688" t="s">
        <v>48</v>
      </c>
      <c r="H688" t="s">
        <v>22</v>
      </c>
      <c r="I688" t="s">
        <v>54</v>
      </c>
      <c r="J688">
        <v>16339.38</v>
      </c>
      <c r="K688">
        <v>26</v>
      </c>
      <c r="L688" t="s">
        <v>36</v>
      </c>
      <c r="M688" t="s">
        <v>25</v>
      </c>
      <c r="N688" t="s">
        <v>44</v>
      </c>
      <c r="O688" t="s">
        <v>49</v>
      </c>
      <c r="P688" t="s">
        <v>50</v>
      </c>
      <c r="Q688">
        <v>4</v>
      </c>
      <c r="R688">
        <v>4029.26</v>
      </c>
      <c r="S688" t="s">
        <v>39</v>
      </c>
    </row>
    <row r="689" spans="1:19" x14ac:dyDescent="0.3">
      <c r="A689" t="s">
        <v>759</v>
      </c>
      <c r="B689">
        <v>19</v>
      </c>
      <c r="C689" t="s">
        <v>19</v>
      </c>
      <c r="D689" t="s">
        <v>47</v>
      </c>
      <c r="E689" s="1">
        <v>44943</v>
      </c>
      <c r="F689" s="3">
        <v>44946</v>
      </c>
      <c r="G689" t="s">
        <v>41</v>
      </c>
      <c r="H689" t="s">
        <v>42</v>
      </c>
      <c r="I689" t="s">
        <v>58</v>
      </c>
      <c r="J689">
        <v>2825.6</v>
      </c>
      <c r="K689">
        <v>3</v>
      </c>
      <c r="L689" t="s">
        <v>36</v>
      </c>
      <c r="M689" t="s">
        <v>25</v>
      </c>
      <c r="N689" t="s">
        <v>26</v>
      </c>
      <c r="O689" t="s">
        <v>37</v>
      </c>
      <c r="P689" t="s">
        <v>50</v>
      </c>
      <c r="Q689">
        <v>9</v>
      </c>
      <c r="R689">
        <v>1067.52</v>
      </c>
      <c r="S689" t="s">
        <v>29</v>
      </c>
    </row>
    <row r="690" spans="1:19" x14ac:dyDescent="0.3">
      <c r="A690" t="s">
        <v>760</v>
      </c>
      <c r="B690">
        <v>85</v>
      </c>
      <c r="C690" t="s">
        <v>19</v>
      </c>
      <c r="D690" t="s">
        <v>89</v>
      </c>
      <c r="E690" s="1">
        <v>45738</v>
      </c>
      <c r="F690" s="3">
        <v>45741</v>
      </c>
      <c r="G690" t="s">
        <v>52</v>
      </c>
      <c r="H690" t="s">
        <v>53</v>
      </c>
      <c r="I690" t="s">
        <v>54</v>
      </c>
      <c r="J690">
        <v>7767.59</v>
      </c>
      <c r="K690">
        <v>3</v>
      </c>
      <c r="L690" t="s">
        <v>24</v>
      </c>
      <c r="M690" t="s">
        <v>59</v>
      </c>
      <c r="N690" t="s">
        <v>55</v>
      </c>
      <c r="O690" t="s">
        <v>49</v>
      </c>
      <c r="P690" t="s">
        <v>38</v>
      </c>
      <c r="Q690">
        <v>6</v>
      </c>
      <c r="R690">
        <v>2596.3200000000002</v>
      </c>
      <c r="S690" t="s">
        <v>29</v>
      </c>
    </row>
    <row r="691" spans="1:19" x14ac:dyDescent="0.3">
      <c r="A691" t="s">
        <v>761</v>
      </c>
      <c r="B691">
        <v>62</v>
      </c>
      <c r="C691" t="s">
        <v>19</v>
      </c>
      <c r="D691" t="s">
        <v>79</v>
      </c>
      <c r="E691" s="1">
        <v>45213</v>
      </c>
      <c r="F691" s="3">
        <v>45226</v>
      </c>
      <c r="G691" t="s">
        <v>52</v>
      </c>
      <c r="H691" t="s">
        <v>53</v>
      </c>
      <c r="I691" t="s">
        <v>23</v>
      </c>
      <c r="J691">
        <v>7002.5</v>
      </c>
      <c r="K691">
        <v>13</v>
      </c>
      <c r="L691" t="s">
        <v>24</v>
      </c>
      <c r="M691" t="s">
        <v>25</v>
      </c>
      <c r="N691" t="s">
        <v>44</v>
      </c>
      <c r="O691" t="s">
        <v>37</v>
      </c>
      <c r="P691" t="s">
        <v>50</v>
      </c>
      <c r="Q691">
        <v>4</v>
      </c>
      <c r="R691">
        <v>1342.97</v>
      </c>
      <c r="S691" t="s">
        <v>29</v>
      </c>
    </row>
    <row r="692" spans="1:19" x14ac:dyDescent="0.3">
      <c r="A692" t="s">
        <v>762</v>
      </c>
      <c r="B692">
        <v>81</v>
      </c>
      <c r="C692" t="s">
        <v>31</v>
      </c>
      <c r="D692" t="s">
        <v>79</v>
      </c>
      <c r="E692" s="1">
        <v>44965</v>
      </c>
      <c r="F692" s="3">
        <v>44985</v>
      </c>
      <c r="G692" t="s">
        <v>74</v>
      </c>
      <c r="H692" t="s">
        <v>75</v>
      </c>
      <c r="I692" t="s">
        <v>83</v>
      </c>
      <c r="J692">
        <v>15503.06</v>
      </c>
      <c r="K692">
        <v>20</v>
      </c>
      <c r="L692" t="s">
        <v>36</v>
      </c>
      <c r="M692" t="s">
        <v>25</v>
      </c>
      <c r="N692" t="s">
        <v>55</v>
      </c>
      <c r="O692" t="s">
        <v>27</v>
      </c>
      <c r="P692" t="s">
        <v>28</v>
      </c>
      <c r="Q692">
        <v>13</v>
      </c>
      <c r="R692">
        <v>5909.4</v>
      </c>
      <c r="S692" t="s">
        <v>29</v>
      </c>
    </row>
    <row r="693" spans="1:19" x14ac:dyDescent="0.3">
      <c r="A693" t="s">
        <v>763</v>
      </c>
      <c r="B693">
        <v>23</v>
      </c>
      <c r="C693" t="s">
        <v>19</v>
      </c>
      <c r="D693" t="s">
        <v>61</v>
      </c>
      <c r="E693" s="1">
        <v>45567</v>
      </c>
      <c r="F693" s="3">
        <v>45569</v>
      </c>
      <c r="G693" t="s">
        <v>74</v>
      </c>
      <c r="H693" t="s">
        <v>75</v>
      </c>
      <c r="I693" t="s">
        <v>54</v>
      </c>
      <c r="J693">
        <v>2770.28</v>
      </c>
      <c r="K693">
        <v>2</v>
      </c>
      <c r="L693" t="s">
        <v>36</v>
      </c>
      <c r="M693" t="s">
        <v>101</v>
      </c>
      <c r="N693" t="s">
        <v>44</v>
      </c>
      <c r="O693" t="s">
        <v>27</v>
      </c>
      <c r="P693" t="s">
        <v>28</v>
      </c>
      <c r="Q693">
        <v>3</v>
      </c>
      <c r="R693">
        <v>1000.49</v>
      </c>
      <c r="S693" t="s">
        <v>29</v>
      </c>
    </row>
    <row r="694" spans="1:19" x14ac:dyDescent="0.3">
      <c r="A694" t="s">
        <v>764</v>
      </c>
      <c r="B694">
        <v>33</v>
      </c>
      <c r="C694" t="s">
        <v>19</v>
      </c>
      <c r="D694" t="s">
        <v>79</v>
      </c>
      <c r="E694" s="1">
        <v>45000</v>
      </c>
      <c r="F694" s="3">
        <v>45009</v>
      </c>
      <c r="G694" t="s">
        <v>74</v>
      </c>
      <c r="H694" t="s">
        <v>75</v>
      </c>
      <c r="I694" t="s">
        <v>23</v>
      </c>
      <c r="J694">
        <v>4222.42</v>
      </c>
      <c r="K694">
        <v>9</v>
      </c>
      <c r="L694" t="s">
        <v>24</v>
      </c>
      <c r="M694" t="s">
        <v>25</v>
      </c>
      <c r="N694" t="s">
        <v>44</v>
      </c>
      <c r="O694" t="s">
        <v>27</v>
      </c>
      <c r="P694" t="s">
        <v>38</v>
      </c>
      <c r="Q694">
        <v>14</v>
      </c>
      <c r="R694">
        <v>1257.8</v>
      </c>
      <c r="S694" t="s">
        <v>29</v>
      </c>
    </row>
    <row r="695" spans="1:19" x14ac:dyDescent="0.3">
      <c r="A695" t="s">
        <v>765</v>
      </c>
      <c r="B695">
        <v>79</v>
      </c>
      <c r="C695" t="s">
        <v>19</v>
      </c>
      <c r="D695" t="s">
        <v>61</v>
      </c>
      <c r="E695" s="1">
        <v>44960</v>
      </c>
      <c r="F695" s="3">
        <v>44989</v>
      </c>
      <c r="G695" t="s">
        <v>33</v>
      </c>
      <c r="H695" t="s">
        <v>34</v>
      </c>
      <c r="I695" t="s">
        <v>54</v>
      </c>
      <c r="J695">
        <v>27714.03</v>
      </c>
      <c r="K695">
        <v>29</v>
      </c>
      <c r="L695" t="s">
        <v>24</v>
      </c>
      <c r="M695" t="s">
        <v>25</v>
      </c>
      <c r="N695" t="s">
        <v>26</v>
      </c>
      <c r="O695" t="s">
        <v>49</v>
      </c>
      <c r="P695" t="s">
        <v>38</v>
      </c>
      <c r="Q695">
        <v>15</v>
      </c>
      <c r="R695">
        <v>6320.1</v>
      </c>
      <c r="S695" t="s">
        <v>29</v>
      </c>
    </row>
    <row r="696" spans="1:19" x14ac:dyDescent="0.3">
      <c r="A696" t="s">
        <v>766</v>
      </c>
      <c r="B696">
        <v>29</v>
      </c>
      <c r="C696" t="s">
        <v>19</v>
      </c>
      <c r="D696" t="s">
        <v>89</v>
      </c>
      <c r="E696" s="1">
        <v>45699</v>
      </c>
      <c r="F696" s="3">
        <v>45700</v>
      </c>
      <c r="G696" t="s">
        <v>21</v>
      </c>
      <c r="H696" t="s">
        <v>22</v>
      </c>
      <c r="I696" t="s">
        <v>58</v>
      </c>
      <c r="J696">
        <v>1061.25</v>
      </c>
      <c r="K696">
        <v>1</v>
      </c>
      <c r="L696" t="s">
        <v>36</v>
      </c>
      <c r="M696" t="s">
        <v>25</v>
      </c>
      <c r="N696" t="s">
        <v>26</v>
      </c>
      <c r="O696" t="s">
        <v>37</v>
      </c>
      <c r="P696" t="s">
        <v>38</v>
      </c>
      <c r="Q696">
        <v>1</v>
      </c>
      <c r="R696">
        <v>390.15</v>
      </c>
      <c r="S696" t="s">
        <v>29</v>
      </c>
    </row>
    <row r="697" spans="1:19" x14ac:dyDescent="0.3">
      <c r="A697" t="s">
        <v>767</v>
      </c>
      <c r="B697">
        <v>26</v>
      </c>
      <c r="C697" t="s">
        <v>31</v>
      </c>
      <c r="D697" t="s">
        <v>47</v>
      </c>
      <c r="E697" s="1">
        <v>45775</v>
      </c>
      <c r="F697" s="3">
        <v>45783</v>
      </c>
      <c r="G697" t="s">
        <v>93</v>
      </c>
      <c r="H697" t="s">
        <v>72</v>
      </c>
      <c r="I697" t="s">
        <v>23</v>
      </c>
      <c r="J697">
        <v>5405.42</v>
      </c>
      <c r="K697">
        <v>8</v>
      </c>
      <c r="L697" t="s">
        <v>24</v>
      </c>
      <c r="M697" t="s">
        <v>25</v>
      </c>
      <c r="N697" t="s">
        <v>26</v>
      </c>
      <c r="O697" t="s">
        <v>37</v>
      </c>
      <c r="P697" t="s">
        <v>28</v>
      </c>
      <c r="Q697">
        <v>6</v>
      </c>
      <c r="R697">
        <v>1739.45</v>
      </c>
      <c r="S697" t="s">
        <v>29</v>
      </c>
    </row>
    <row r="698" spans="1:19" x14ac:dyDescent="0.3">
      <c r="A698" t="s">
        <v>768</v>
      </c>
      <c r="B698">
        <v>58</v>
      </c>
      <c r="C698" t="s">
        <v>31</v>
      </c>
      <c r="D698" t="s">
        <v>89</v>
      </c>
      <c r="E698" s="1">
        <v>45399</v>
      </c>
      <c r="F698" s="3">
        <v>45406</v>
      </c>
      <c r="G698" t="s">
        <v>41</v>
      </c>
      <c r="H698" t="s">
        <v>42</v>
      </c>
      <c r="I698" t="s">
        <v>43</v>
      </c>
      <c r="J698">
        <v>5631.16</v>
      </c>
      <c r="K698">
        <v>7</v>
      </c>
      <c r="L698" t="s">
        <v>24</v>
      </c>
      <c r="M698" t="s">
        <v>59</v>
      </c>
      <c r="N698" t="s">
        <v>44</v>
      </c>
      <c r="O698" t="s">
        <v>27</v>
      </c>
      <c r="P698" t="s">
        <v>45</v>
      </c>
      <c r="Q698">
        <v>1</v>
      </c>
      <c r="R698">
        <v>1345.94</v>
      </c>
      <c r="S698" t="s">
        <v>29</v>
      </c>
    </row>
    <row r="699" spans="1:19" x14ac:dyDescent="0.3">
      <c r="A699" t="s">
        <v>769</v>
      </c>
      <c r="B699">
        <v>27</v>
      </c>
      <c r="C699" t="s">
        <v>31</v>
      </c>
      <c r="D699" t="s">
        <v>32</v>
      </c>
      <c r="E699" s="1">
        <v>45559</v>
      </c>
      <c r="F699" s="3">
        <v>45573</v>
      </c>
      <c r="G699" t="s">
        <v>67</v>
      </c>
      <c r="H699" t="s">
        <v>42</v>
      </c>
      <c r="I699" t="s">
        <v>43</v>
      </c>
      <c r="J699">
        <v>5483.11</v>
      </c>
      <c r="K699">
        <v>14</v>
      </c>
      <c r="L699" t="s">
        <v>36</v>
      </c>
      <c r="M699" t="s">
        <v>25</v>
      </c>
      <c r="N699" t="s">
        <v>44</v>
      </c>
      <c r="O699" t="s">
        <v>27</v>
      </c>
      <c r="P699" t="s">
        <v>28</v>
      </c>
      <c r="Q699">
        <v>5</v>
      </c>
      <c r="R699">
        <v>1275.95</v>
      </c>
      <c r="S699" t="s">
        <v>29</v>
      </c>
    </row>
    <row r="700" spans="1:19" x14ac:dyDescent="0.3">
      <c r="A700" t="s">
        <v>770</v>
      </c>
      <c r="B700">
        <v>84</v>
      </c>
      <c r="C700" t="s">
        <v>31</v>
      </c>
      <c r="D700" t="s">
        <v>32</v>
      </c>
      <c r="E700" s="1">
        <v>45756</v>
      </c>
      <c r="F700" s="3">
        <v>45772</v>
      </c>
      <c r="G700" t="s">
        <v>48</v>
      </c>
      <c r="H700" t="s">
        <v>22</v>
      </c>
      <c r="I700" t="s">
        <v>58</v>
      </c>
      <c r="J700">
        <v>11967.2</v>
      </c>
      <c r="K700">
        <v>16</v>
      </c>
      <c r="L700" t="s">
        <v>36</v>
      </c>
      <c r="M700" t="s">
        <v>25</v>
      </c>
      <c r="N700" t="s">
        <v>44</v>
      </c>
      <c r="O700" t="s">
        <v>27</v>
      </c>
      <c r="P700" t="s">
        <v>45</v>
      </c>
      <c r="Q700">
        <v>13</v>
      </c>
      <c r="R700">
        <v>2868.1</v>
      </c>
      <c r="S700" t="s">
        <v>39</v>
      </c>
    </row>
    <row r="701" spans="1:19" x14ac:dyDescent="0.3">
      <c r="A701" t="s">
        <v>771</v>
      </c>
      <c r="B701">
        <v>69</v>
      </c>
      <c r="C701" t="s">
        <v>31</v>
      </c>
      <c r="D701" t="s">
        <v>20</v>
      </c>
      <c r="E701" s="1">
        <v>45704</v>
      </c>
      <c r="F701" s="3">
        <v>45724</v>
      </c>
      <c r="G701" t="s">
        <v>74</v>
      </c>
      <c r="H701" t="s">
        <v>75</v>
      </c>
      <c r="I701" t="s">
        <v>81</v>
      </c>
      <c r="J701">
        <v>10385.35</v>
      </c>
      <c r="K701">
        <v>20</v>
      </c>
      <c r="L701" t="s">
        <v>24</v>
      </c>
      <c r="M701" t="s">
        <v>59</v>
      </c>
      <c r="N701" t="s">
        <v>55</v>
      </c>
      <c r="O701" t="s">
        <v>37</v>
      </c>
      <c r="P701" t="s">
        <v>28</v>
      </c>
      <c r="Q701">
        <v>3</v>
      </c>
      <c r="R701">
        <v>2869.92</v>
      </c>
      <c r="S701" t="s">
        <v>39</v>
      </c>
    </row>
    <row r="702" spans="1:19" x14ac:dyDescent="0.3">
      <c r="A702" t="s">
        <v>772</v>
      </c>
      <c r="B702">
        <v>28</v>
      </c>
      <c r="C702" t="s">
        <v>19</v>
      </c>
      <c r="D702" t="s">
        <v>61</v>
      </c>
      <c r="E702" s="1">
        <v>44955</v>
      </c>
      <c r="F702" s="3">
        <v>44968</v>
      </c>
      <c r="G702" t="s">
        <v>41</v>
      </c>
      <c r="H702" t="s">
        <v>42</v>
      </c>
      <c r="I702" t="s">
        <v>81</v>
      </c>
      <c r="J702">
        <v>8752.9</v>
      </c>
      <c r="K702">
        <v>13</v>
      </c>
      <c r="L702" t="s">
        <v>36</v>
      </c>
      <c r="M702" t="s">
        <v>25</v>
      </c>
      <c r="N702" t="s">
        <v>26</v>
      </c>
      <c r="O702" t="s">
        <v>56</v>
      </c>
      <c r="P702" t="s">
        <v>28</v>
      </c>
      <c r="Q702">
        <v>15</v>
      </c>
      <c r="R702">
        <v>2398.08</v>
      </c>
      <c r="S702" t="s">
        <v>29</v>
      </c>
    </row>
    <row r="703" spans="1:19" x14ac:dyDescent="0.3">
      <c r="A703" t="s">
        <v>773</v>
      </c>
      <c r="B703">
        <v>70</v>
      </c>
      <c r="C703" t="s">
        <v>31</v>
      </c>
      <c r="D703" t="s">
        <v>79</v>
      </c>
      <c r="E703" s="1">
        <v>45864</v>
      </c>
      <c r="F703" s="3">
        <v>45868</v>
      </c>
      <c r="G703" t="s">
        <v>21</v>
      </c>
      <c r="H703" t="s">
        <v>22</v>
      </c>
      <c r="I703" t="s">
        <v>23</v>
      </c>
      <c r="J703">
        <v>2847.46</v>
      </c>
      <c r="K703">
        <v>4</v>
      </c>
      <c r="L703" t="s">
        <v>36</v>
      </c>
      <c r="M703" t="s">
        <v>25</v>
      </c>
      <c r="N703" t="s">
        <v>26</v>
      </c>
      <c r="O703" t="s">
        <v>56</v>
      </c>
      <c r="P703" t="s">
        <v>28</v>
      </c>
      <c r="Q703">
        <v>13</v>
      </c>
      <c r="R703">
        <v>1031.68</v>
      </c>
      <c r="S703" t="s">
        <v>29</v>
      </c>
    </row>
    <row r="704" spans="1:19" x14ac:dyDescent="0.3">
      <c r="A704" t="s">
        <v>774</v>
      </c>
      <c r="B704">
        <v>47</v>
      </c>
      <c r="C704" t="s">
        <v>19</v>
      </c>
      <c r="D704" t="s">
        <v>70</v>
      </c>
      <c r="E704" s="1">
        <v>45436</v>
      </c>
      <c r="F704" s="3">
        <v>45447</v>
      </c>
      <c r="G704" t="s">
        <v>33</v>
      </c>
      <c r="H704" t="s">
        <v>34</v>
      </c>
      <c r="I704" t="s">
        <v>91</v>
      </c>
      <c r="J704">
        <v>3520.47</v>
      </c>
      <c r="K704">
        <v>11</v>
      </c>
      <c r="L704" t="s">
        <v>36</v>
      </c>
      <c r="M704" t="s">
        <v>25</v>
      </c>
      <c r="N704" t="s">
        <v>26</v>
      </c>
      <c r="O704" t="s">
        <v>37</v>
      </c>
      <c r="P704" t="s">
        <v>28</v>
      </c>
      <c r="Q704">
        <v>4</v>
      </c>
      <c r="R704">
        <v>702.62</v>
      </c>
      <c r="S704" t="s">
        <v>29</v>
      </c>
    </row>
    <row r="705" spans="1:19" x14ac:dyDescent="0.3">
      <c r="A705" t="s">
        <v>775</v>
      </c>
      <c r="B705">
        <v>74</v>
      </c>
      <c r="C705" t="s">
        <v>31</v>
      </c>
      <c r="D705" t="s">
        <v>20</v>
      </c>
      <c r="E705" s="1">
        <v>45558</v>
      </c>
      <c r="F705" s="3">
        <v>45570</v>
      </c>
      <c r="G705" t="s">
        <v>62</v>
      </c>
      <c r="H705" t="s">
        <v>63</v>
      </c>
      <c r="I705" t="s">
        <v>81</v>
      </c>
      <c r="J705">
        <v>8416.7999999999993</v>
      </c>
      <c r="K705">
        <v>12</v>
      </c>
      <c r="L705" t="s">
        <v>24</v>
      </c>
      <c r="M705" t="s">
        <v>25</v>
      </c>
      <c r="N705" t="s">
        <v>44</v>
      </c>
      <c r="O705" t="s">
        <v>49</v>
      </c>
      <c r="P705" t="s">
        <v>28</v>
      </c>
      <c r="Q705">
        <v>2</v>
      </c>
      <c r="R705">
        <v>1548.06</v>
      </c>
      <c r="S705" t="s">
        <v>29</v>
      </c>
    </row>
    <row r="706" spans="1:19" x14ac:dyDescent="0.3">
      <c r="A706" t="s">
        <v>776</v>
      </c>
      <c r="B706">
        <v>75</v>
      </c>
      <c r="C706" t="s">
        <v>19</v>
      </c>
      <c r="D706" t="s">
        <v>79</v>
      </c>
      <c r="E706" s="1">
        <v>45636</v>
      </c>
      <c r="F706" s="3">
        <v>45639</v>
      </c>
      <c r="G706" t="s">
        <v>41</v>
      </c>
      <c r="H706" t="s">
        <v>42</v>
      </c>
      <c r="I706" t="s">
        <v>81</v>
      </c>
      <c r="J706">
        <v>4379.58</v>
      </c>
      <c r="K706">
        <v>3</v>
      </c>
      <c r="L706" t="s">
        <v>36</v>
      </c>
      <c r="M706" t="s">
        <v>25</v>
      </c>
      <c r="N706" t="s">
        <v>26</v>
      </c>
      <c r="O706" t="s">
        <v>37</v>
      </c>
      <c r="P706" t="s">
        <v>28</v>
      </c>
      <c r="Q706">
        <v>12</v>
      </c>
      <c r="R706">
        <v>1336.15</v>
      </c>
      <c r="S706" t="s">
        <v>29</v>
      </c>
    </row>
    <row r="707" spans="1:19" x14ac:dyDescent="0.3">
      <c r="A707" t="s">
        <v>777</v>
      </c>
      <c r="B707">
        <v>47</v>
      </c>
      <c r="C707" t="s">
        <v>31</v>
      </c>
      <c r="D707" t="s">
        <v>79</v>
      </c>
      <c r="E707" s="1">
        <v>45091</v>
      </c>
      <c r="F707" s="3">
        <v>45118</v>
      </c>
      <c r="G707" t="s">
        <v>33</v>
      </c>
      <c r="H707" t="s">
        <v>34</v>
      </c>
      <c r="I707" t="s">
        <v>83</v>
      </c>
      <c r="J707">
        <v>20462.22</v>
      </c>
      <c r="K707">
        <v>27</v>
      </c>
      <c r="L707" t="s">
        <v>24</v>
      </c>
      <c r="M707" t="s">
        <v>59</v>
      </c>
      <c r="N707" t="s">
        <v>26</v>
      </c>
      <c r="O707" t="s">
        <v>49</v>
      </c>
      <c r="P707" t="s">
        <v>28</v>
      </c>
      <c r="Q707">
        <v>10</v>
      </c>
      <c r="R707">
        <v>6871.73</v>
      </c>
      <c r="S707" t="s">
        <v>39</v>
      </c>
    </row>
    <row r="708" spans="1:19" x14ac:dyDescent="0.3">
      <c r="A708" t="s">
        <v>778</v>
      </c>
      <c r="B708">
        <v>79</v>
      </c>
      <c r="C708" t="s">
        <v>31</v>
      </c>
      <c r="D708" t="s">
        <v>66</v>
      </c>
      <c r="E708" s="1">
        <v>45511</v>
      </c>
      <c r="F708" s="3">
        <v>45524</v>
      </c>
      <c r="G708" t="s">
        <v>74</v>
      </c>
      <c r="H708" t="s">
        <v>75</v>
      </c>
      <c r="I708" t="s">
        <v>23</v>
      </c>
      <c r="J708">
        <v>8707.09</v>
      </c>
      <c r="K708">
        <v>13</v>
      </c>
      <c r="L708" t="s">
        <v>24</v>
      </c>
      <c r="M708" t="s">
        <v>25</v>
      </c>
      <c r="N708" t="s">
        <v>26</v>
      </c>
      <c r="O708" t="s">
        <v>56</v>
      </c>
      <c r="P708" t="s">
        <v>28</v>
      </c>
      <c r="Q708">
        <v>13</v>
      </c>
      <c r="R708">
        <v>2482.5300000000002</v>
      </c>
      <c r="S708" t="s">
        <v>29</v>
      </c>
    </row>
    <row r="709" spans="1:19" x14ac:dyDescent="0.3">
      <c r="A709" t="s">
        <v>779</v>
      </c>
      <c r="B709">
        <v>86</v>
      </c>
      <c r="C709" t="s">
        <v>31</v>
      </c>
      <c r="D709" t="s">
        <v>70</v>
      </c>
      <c r="E709" s="1">
        <v>45689</v>
      </c>
      <c r="F709" s="3">
        <v>45695</v>
      </c>
      <c r="G709" t="s">
        <v>52</v>
      </c>
      <c r="H709" t="s">
        <v>53</v>
      </c>
      <c r="I709" t="s">
        <v>43</v>
      </c>
      <c r="J709">
        <v>5578.88</v>
      </c>
      <c r="K709">
        <v>6</v>
      </c>
      <c r="L709" t="s">
        <v>24</v>
      </c>
      <c r="M709" t="s">
        <v>25</v>
      </c>
      <c r="N709" t="s">
        <v>26</v>
      </c>
      <c r="O709" t="s">
        <v>27</v>
      </c>
      <c r="P709" t="s">
        <v>38</v>
      </c>
      <c r="Q709">
        <v>14</v>
      </c>
      <c r="R709">
        <v>1748.36</v>
      </c>
      <c r="S709" t="s">
        <v>29</v>
      </c>
    </row>
    <row r="710" spans="1:19" x14ac:dyDescent="0.3">
      <c r="A710" t="s">
        <v>780</v>
      </c>
      <c r="B710">
        <v>89</v>
      </c>
      <c r="C710" t="s">
        <v>31</v>
      </c>
      <c r="D710" t="s">
        <v>32</v>
      </c>
      <c r="E710" s="1">
        <v>45390</v>
      </c>
      <c r="F710" s="3">
        <v>45392</v>
      </c>
      <c r="G710" t="s">
        <v>93</v>
      </c>
      <c r="H710" t="s">
        <v>72</v>
      </c>
      <c r="I710" t="s">
        <v>91</v>
      </c>
      <c r="J710">
        <v>1126.1400000000001</v>
      </c>
      <c r="K710">
        <v>2</v>
      </c>
      <c r="L710" t="s">
        <v>24</v>
      </c>
      <c r="M710" t="s">
        <v>59</v>
      </c>
      <c r="N710" t="s">
        <v>26</v>
      </c>
      <c r="O710" t="s">
        <v>37</v>
      </c>
      <c r="P710" t="s">
        <v>38</v>
      </c>
      <c r="Q710">
        <v>1</v>
      </c>
      <c r="R710">
        <v>351.92</v>
      </c>
      <c r="S710" t="s">
        <v>29</v>
      </c>
    </row>
    <row r="711" spans="1:19" x14ac:dyDescent="0.3">
      <c r="A711" t="s">
        <v>781</v>
      </c>
      <c r="B711">
        <v>90</v>
      </c>
      <c r="C711" t="s">
        <v>19</v>
      </c>
      <c r="D711" t="s">
        <v>20</v>
      </c>
      <c r="E711" s="1">
        <v>45463</v>
      </c>
      <c r="F711" s="3">
        <v>45481</v>
      </c>
      <c r="G711" t="s">
        <v>74</v>
      </c>
      <c r="H711" t="s">
        <v>75</v>
      </c>
      <c r="I711" t="s">
        <v>23</v>
      </c>
      <c r="J711">
        <v>4604.3599999999997</v>
      </c>
      <c r="K711">
        <v>18</v>
      </c>
      <c r="L711" t="s">
        <v>36</v>
      </c>
      <c r="M711" t="s">
        <v>25</v>
      </c>
      <c r="N711" t="s">
        <v>55</v>
      </c>
      <c r="O711" t="s">
        <v>56</v>
      </c>
      <c r="P711" t="s">
        <v>38</v>
      </c>
      <c r="Q711">
        <v>9</v>
      </c>
      <c r="R711">
        <v>1334.65</v>
      </c>
      <c r="S711" t="s">
        <v>29</v>
      </c>
    </row>
    <row r="712" spans="1:19" x14ac:dyDescent="0.3">
      <c r="A712" t="s">
        <v>782</v>
      </c>
      <c r="B712">
        <v>48</v>
      </c>
      <c r="C712" t="s">
        <v>31</v>
      </c>
      <c r="D712" t="s">
        <v>47</v>
      </c>
      <c r="E712" s="1">
        <v>45806</v>
      </c>
      <c r="F712" s="3">
        <v>45836</v>
      </c>
      <c r="G712" t="s">
        <v>71</v>
      </c>
      <c r="H712" t="s">
        <v>72</v>
      </c>
      <c r="I712" t="s">
        <v>23</v>
      </c>
      <c r="J712">
        <v>15303.71</v>
      </c>
      <c r="K712">
        <v>30</v>
      </c>
      <c r="L712" t="s">
        <v>24</v>
      </c>
      <c r="M712" t="s">
        <v>25</v>
      </c>
      <c r="N712" t="s">
        <v>44</v>
      </c>
      <c r="O712" t="s">
        <v>49</v>
      </c>
      <c r="P712" t="s">
        <v>50</v>
      </c>
      <c r="Q712">
        <v>6</v>
      </c>
      <c r="R712">
        <v>3309.18</v>
      </c>
      <c r="S712" t="s">
        <v>29</v>
      </c>
    </row>
    <row r="713" spans="1:19" x14ac:dyDescent="0.3">
      <c r="A713" t="s">
        <v>783</v>
      </c>
      <c r="B713">
        <v>78</v>
      </c>
      <c r="C713" t="s">
        <v>31</v>
      </c>
      <c r="D713" t="s">
        <v>70</v>
      </c>
      <c r="E713" s="1">
        <v>45406</v>
      </c>
      <c r="F713" s="3">
        <v>45423</v>
      </c>
      <c r="G713" t="s">
        <v>71</v>
      </c>
      <c r="H713" t="s">
        <v>72</v>
      </c>
      <c r="I713" t="s">
        <v>81</v>
      </c>
      <c r="J713">
        <v>10067.35</v>
      </c>
      <c r="K713">
        <v>17</v>
      </c>
      <c r="L713" t="s">
        <v>36</v>
      </c>
      <c r="M713" t="s">
        <v>25</v>
      </c>
      <c r="N713" t="s">
        <v>26</v>
      </c>
      <c r="O713" t="s">
        <v>49</v>
      </c>
      <c r="P713" t="s">
        <v>50</v>
      </c>
      <c r="Q713">
        <v>5</v>
      </c>
      <c r="R713">
        <v>1931.01</v>
      </c>
      <c r="S713" t="s">
        <v>29</v>
      </c>
    </row>
    <row r="714" spans="1:19" x14ac:dyDescent="0.3">
      <c r="A714" t="s">
        <v>784</v>
      </c>
      <c r="B714">
        <v>57</v>
      </c>
      <c r="C714" t="s">
        <v>31</v>
      </c>
      <c r="D714" t="s">
        <v>61</v>
      </c>
      <c r="E714" s="1">
        <v>45020</v>
      </c>
      <c r="F714" s="3">
        <v>45028</v>
      </c>
      <c r="G714" t="s">
        <v>71</v>
      </c>
      <c r="H714" t="s">
        <v>72</v>
      </c>
      <c r="I714" t="s">
        <v>83</v>
      </c>
      <c r="J714">
        <v>5938.11</v>
      </c>
      <c r="K714">
        <v>8</v>
      </c>
      <c r="L714" t="s">
        <v>24</v>
      </c>
      <c r="M714" t="s">
        <v>25</v>
      </c>
      <c r="N714" t="s">
        <v>44</v>
      </c>
      <c r="O714" t="s">
        <v>37</v>
      </c>
      <c r="P714" t="s">
        <v>45</v>
      </c>
      <c r="Q714">
        <v>15</v>
      </c>
      <c r="R714">
        <v>1268.72</v>
      </c>
      <c r="S714" t="s">
        <v>29</v>
      </c>
    </row>
    <row r="715" spans="1:19" x14ac:dyDescent="0.3">
      <c r="A715" t="s">
        <v>785</v>
      </c>
      <c r="B715">
        <v>53</v>
      </c>
      <c r="C715" t="s">
        <v>19</v>
      </c>
      <c r="D715" t="s">
        <v>47</v>
      </c>
      <c r="E715" s="1">
        <v>45775</v>
      </c>
      <c r="F715" s="3">
        <v>45796</v>
      </c>
      <c r="G715" t="s">
        <v>41</v>
      </c>
      <c r="H715" t="s">
        <v>42</v>
      </c>
      <c r="I715" t="s">
        <v>35</v>
      </c>
      <c r="J715">
        <v>16772.82</v>
      </c>
      <c r="K715">
        <v>21</v>
      </c>
      <c r="L715" t="s">
        <v>24</v>
      </c>
      <c r="M715" t="s">
        <v>25</v>
      </c>
      <c r="N715" t="s">
        <v>44</v>
      </c>
      <c r="O715" t="s">
        <v>49</v>
      </c>
      <c r="P715" t="s">
        <v>45</v>
      </c>
      <c r="Q715">
        <v>3</v>
      </c>
      <c r="R715">
        <v>2641.88</v>
      </c>
      <c r="S715" t="s">
        <v>29</v>
      </c>
    </row>
    <row r="716" spans="1:19" x14ac:dyDescent="0.3">
      <c r="A716" t="s">
        <v>786</v>
      </c>
      <c r="B716">
        <v>64</v>
      </c>
      <c r="C716" t="s">
        <v>19</v>
      </c>
      <c r="D716" t="s">
        <v>61</v>
      </c>
      <c r="E716" s="1">
        <v>45409</v>
      </c>
      <c r="F716" s="3">
        <v>45410</v>
      </c>
      <c r="G716" t="s">
        <v>67</v>
      </c>
      <c r="H716" t="s">
        <v>42</v>
      </c>
      <c r="I716" t="s">
        <v>83</v>
      </c>
      <c r="J716">
        <v>2778.27</v>
      </c>
      <c r="K716">
        <v>1</v>
      </c>
      <c r="L716" t="s">
        <v>24</v>
      </c>
      <c r="M716" t="s">
        <v>76</v>
      </c>
      <c r="N716" t="s">
        <v>26</v>
      </c>
      <c r="O716" t="s">
        <v>56</v>
      </c>
      <c r="P716" t="s">
        <v>38</v>
      </c>
      <c r="Q716">
        <v>15</v>
      </c>
      <c r="R716">
        <v>600.47</v>
      </c>
      <c r="S716" t="s">
        <v>29</v>
      </c>
    </row>
    <row r="717" spans="1:19" x14ac:dyDescent="0.3">
      <c r="A717" t="s">
        <v>787</v>
      </c>
      <c r="B717">
        <v>80</v>
      </c>
      <c r="C717" t="s">
        <v>31</v>
      </c>
      <c r="D717" t="s">
        <v>61</v>
      </c>
      <c r="E717" s="1">
        <v>45746</v>
      </c>
      <c r="F717" s="3">
        <v>45759</v>
      </c>
      <c r="G717" t="s">
        <v>48</v>
      </c>
      <c r="H717" t="s">
        <v>22</v>
      </c>
      <c r="I717" t="s">
        <v>58</v>
      </c>
      <c r="J717">
        <v>8248.67</v>
      </c>
      <c r="K717">
        <v>13</v>
      </c>
      <c r="L717" t="s">
        <v>24</v>
      </c>
      <c r="M717" t="s">
        <v>76</v>
      </c>
      <c r="N717" t="s">
        <v>44</v>
      </c>
      <c r="O717" t="s">
        <v>56</v>
      </c>
      <c r="P717" t="s">
        <v>45</v>
      </c>
      <c r="Q717">
        <v>14</v>
      </c>
      <c r="R717">
        <v>2458.42</v>
      </c>
      <c r="S717" t="s">
        <v>29</v>
      </c>
    </row>
    <row r="718" spans="1:19" x14ac:dyDescent="0.3">
      <c r="A718" t="s">
        <v>788</v>
      </c>
      <c r="B718">
        <v>31</v>
      </c>
      <c r="C718" t="s">
        <v>31</v>
      </c>
      <c r="D718" t="s">
        <v>66</v>
      </c>
      <c r="E718" s="1">
        <v>45355</v>
      </c>
      <c r="F718" s="3">
        <v>45361</v>
      </c>
      <c r="G718" t="s">
        <v>67</v>
      </c>
      <c r="H718" t="s">
        <v>42</v>
      </c>
      <c r="I718" t="s">
        <v>43</v>
      </c>
      <c r="J718">
        <v>5235.5200000000004</v>
      </c>
      <c r="K718">
        <v>6</v>
      </c>
      <c r="L718" t="s">
        <v>36</v>
      </c>
      <c r="M718" t="s">
        <v>25</v>
      </c>
      <c r="N718" t="s">
        <v>55</v>
      </c>
      <c r="O718" t="s">
        <v>27</v>
      </c>
      <c r="P718" t="s">
        <v>28</v>
      </c>
      <c r="Q718">
        <v>7</v>
      </c>
      <c r="R718">
        <v>2061.1999999999998</v>
      </c>
      <c r="S718" t="s">
        <v>29</v>
      </c>
    </row>
    <row r="719" spans="1:19" x14ac:dyDescent="0.3">
      <c r="A719" t="s">
        <v>789</v>
      </c>
      <c r="B719">
        <v>77</v>
      </c>
      <c r="C719" t="s">
        <v>19</v>
      </c>
      <c r="D719" t="s">
        <v>47</v>
      </c>
      <c r="E719" s="1">
        <v>45258</v>
      </c>
      <c r="F719" s="3">
        <v>45276</v>
      </c>
      <c r="G719" t="s">
        <v>62</v>
      </c>
      <c r="H719" t="s">
        <v>63</v>
      </c>
      <c r="I719" t="s">
        <v>54</v>
      </c>
      <c r="J719">
        <v>15181.12</v>
      </c>
      <c r="K719">
        <v>18</v>
      </c>
      <c r="L719" t="s">
        <v>24</v>
      </c>
      <c r="M719" t="s">
        <v>25</v>
      </c>
      <c r="N719" t="s">
        <v>44</v>
      </c>
      <c r="O719" t="s">
        <v>49</v>
      </c>
      <c r="P719" t="s">
        <v>28</v>
      </c>
      <c r="Q719">
        <v>12</v>
      </c>
      <c r="R719">
        <v>6049.22</v>
      </c>
      <c r="S719" t="s">
        <v>29</v>
      </c>
    </row>
    <row r="720" spans="1:19" x14ac:dyDescent="0.3">
      <c r="A720" t="s">
        <v>790</v>
      </c>
      <c r="B720">
        <v>64</v>
      </c>
      <c r="C720" t="s">
        <v>31</v>
      </c>
      <c r="D720" t="s">
        <v>32</v>
      </c>
      <c r="E720" s="1">
        <v>45777</v>
      </c>
      <c r="F720" s="3">
        <v>45797</v>
      </c>
      <c r="G720" t="s">
        <v>62</v>
      </c>
      <c r="H720" t="s">
        <v>63</v>
      </c>
      <c r="I720" t="s">
        <v>91</v>
      </c>
      <c r="J720">
        <v>12767.94</v>
      </c>
      <c r="K720">
        <v>20</v>
      </c>
      <c r="L720" t="s">
        <v>24</v>
      </c>
      <c r="M720" t="s">
        <v>59</v>
      </c>
      <c r="N720" t="s">
        <v>26</v>
      </c>
      <c r="O720" t="s">
        <v>37</v>
      </c>
      <c r="P720" t="s">
        <v>45</v>
      </c>
      <c r="Q720">
        <v>4</v>
      </c>
      <c r="R720">
        <v>4078.99</v>
      </c>
      <c r="S720" t="s">
        <v>29</v>
      </c>
    </row>
    <row r="721" spans="1:19" x14ac:dyDescent="0.3">
      <c r="A721" t="s">
        <v>791</v>
      </c>
      <c r="B721">
        <v>77</v>
      </c>
      <c r="C721" t="s">
        <v>19</v>
      </c>
      <c r="D721" t="s">
        <v>79</v>
      </c>
      <c r="E721" s="1">
        <v>45259</v>
      </c>
      <c r="F721" s="3">
        <v>45279</v>
      </c>
      <c r="G721" t="s">
        <v>93</v>
      </c>
      <c r="H721" t="s">
        <v>72</v>
      </c>
      <c r="I721" t="s">
        <v>23</v>
      </c>
      <c r="J721">
        <v>14207.81</v>
      </c>
      <c r="K721">
        <v>20</v>
      </c>
      <c r="L721" t="s">
        <v>24</v>
      </c>
      <c r="M721" t="s">
        <v>25</v>
      </c>
      <c r="N721" t="s">
        <v>26</v>
      </c>
      <c r="O721" t="s">
        <v>37</v>
      </c>
      <c r="P721" t="s">
        <v>38</v>
      </c>
      <c r="Q721">
        <v>4</v>
      </c>
      <c r="R721">
        <v>5116.59</v>
      </c>
      <c r="S721" t="s">
        <v>29</v>
      </c>
    </row>
    <row r="722" spans="1:19" x14ac:dyDescent="0.3">
      <c r="A722" t="s">
        <v>792</v>
      </c>
      <c r="B722">
        <v>83</v>
      </c>
      <c r="C722" t="s">
        <v>31</v>
      </c>
      <c r="D722" t="s">
        <v>79</v>
      </c>
      <c r="E722" s="1">
        <v>45266</v>
      </c>
      <c r="F722" s="3">
        <v>45276</v>
      </c>
      <c r="G722" t="s">
        <v>71</v>
      </c>
      <c r="H722" t="s">
        <v>72</v>
      </c>
      <c r="I722" t="s">
        <v>43</v>
      </c>
      <c r="J722">
        <v>8777.76</v>
      </c>
      <c r="K722">
        <v>10</v>
      </c>
      <c r="L722" t="s">
        <v>36</v>
      </c>
      <c r="M722" t="s">
        <v>59</v>
      </c>
      <c r="N722" t="s">
        <v>44</v>
      </c>
      <c r="O722" t="s">
        <v>56</v>
      </c>
      <c r="P722" t="s">
        <v>45</v>
      </c>
      <c r="Q722">
        <v>5</v>
      </c>
      <c r="R722">
        <v>3155.78</v>
      </c>
      <c r="S722" t="s">
        <v>29</v>
      </c>
    </row>
    <row r="723" spans="1:19" x14ac:dyDescent="0.3">
      <c r="A723" t="s">
        <v>793</v>
      </c>
      <c r="B723">
        <v>87</v>
      </c>
      <c r="C723" t="s">
        <v>19</v>
      </c>
      <c r="D723" t="s">
        <v>89</v>
      </c>
      <c r="E723" s="1">
        <v>45369</v>
      </c>
      <c r="F723" s="3">
        <v>45375</v>
      </c>
      <c r="G723" t="s">
        <v>62</v>
      </c>
      <c r="H723" t="s">
        <v>63</v>
      </c>
      <c r="I723" t="s">
        <v>54</v>
      </c>
      <c r="J723">
        <v>5272.96</v>
      </c>
      <c r="K723">
        <v>6</v>
      </c>
      <c r="L723" t="s">
        <v>24</v>
      </c>
      <c r="M723" t="s">
        <v>25</v>
      </c>
      <c r="N723" t="s">
        <v>55</v>
      </c>
      <c r="O723" t="s">
        <v>37</v>
      </c>
      <c r="P723" t="s">
        <v>38</v>
      </c>
      <c r="Q723">
        <v>13</v>
      </c>
      <c r="R723">
        <v>1237.19</v>
      </c>
      <c r="S723" t="s">
        <v>29</v>
      </c>
    </row>
    <row r="724" spans="1:19" x14ac:dyDescent="0.3">
      <c r="A724" t="s">
        <v>794</v>
      </c>
      <c r="B724">
        <v>37</v>
      </c>
      <c r="C724" t="s">
        <v>19</v>
      </c>
      <c r="D724" t="s">
        <v>70</v>
      </c>
      <c r="E724" s="1">
        <v>45557</v>
      </c>
      <c r="F724" s="3">
        <v>45564</v>
      </c>
      <c r="G724" t="s">
        <v>33</v>
      </c>
      <c r="H724" t="s">
        <v>34</v>
      </c>
      <c r="I724" t="s">
        <v>91</v>
      </c>
      <c r="J724">
        <v>4971.8999999999996</v>
      </c>
      <c r="K724">
        <v>7</v>
      </c>
      <c r="L724" t="s">
        <v>24</v>
      </c>
      <c r="M724" t="s">
        <v>25</v>
      </c>
      <c r="N724" t="s">
        <v>26</v>
      </c>
      <c r="O724" t="s">
        <v>56</v>
      </c>
      <c r="P724" t="s">
        <v>45</v>
      </c>
      <c r="Q724">
        <v>1</v>
      </c>
      <c r="R724">
        <v>1284.5999999999999</v>
      </c>
      <c r="S724" t="s">
        <v>39</v>
      </c>
    </row>
    <row r="725" spans="1:19" x14ac:dyDescent="0.3">
      <c r="A725" t="s">
        <v>795</v>
      </c>
      <c r="B725">
        <v>33</v>
      </c>
      <c r="C725" t="s">
        <v>31</v>
      </c>
      <c r="D725" t="s">
        <v>20</v>
      </c>
      <c r="E725" s="1">
        <v>45749</v>
      </c>
      <c r="F725" s="3">
        <v>45758</v>
      </c>
      <c r="G725" t="s">
        <v>52</v>
      </c>
      <c r="H725" t="s">
        <v>53</v>
      </c>
      <c r="I725" t="s">
        <v>58</v>
      </c>
      <c r="J725">
        <v>4060.33</v>
      </c>
      <c r="K725">
        <v>9</v>
      </c>
      <c r="L725" t="s">
        <v>24</v>
      </c>
      <c r="M725" t="s">
        <v>25</v>
      </c>
      <c r="N725" t="s">
        <v>44</v>
      </c>
      <c r="O725" t="s">
        <v>56</v>
      </c>
      <c r="P725" t="s">
        <v>45</v>
      </c>
      <c r="Q725">
        <v>12</v>
      </c>
      <c r="R725">
        <v>844.25</v>
      </c>
      <c r="S725" t="s">
        <v>29</v>
      </c>
    </row>
    <row r="726" spans="1:19" x14ac:dyDescent="0.3">
      <c r="A726" t="s">
        <v>796</v>
      </c>
      <c r="B726">
        <v>32</v>
      </c>
      <c r="C726" t="s">
        <v>19</v>
      </c>
      <c r="D726" t="s">
        <v>89</v>
      </c>
      <c r="E726" s="1">
        <v>45435</v>
      </c>
      <c r="F726" s="3">
        <v>45436</v>
      </c>
      <c r="G726" t="s">
        <v>74</v>
      </c>
      <c r="H726" t="s">
        <v>75</v>
      </c>
      <c r="I726" t="s">
        <v>23</v>
      </c>
      <c r="J726">
        <v>853.28</v>
      </c>
      <c r="K726">
        <v>1</v>
      </c>
      <c r="L726" t="s">
        <v>24</v>
      </c>
      <c r="M726" t="s">
        <v>25</v>
      </c>
      <c r="N726" t="s">
        <v>26</v>
      </c>
      <c r="O726" t="s">
        <v>37</v>
      </c>
      <c r="P726" t="s">
        <v>45</v>
      </c>
      <c r="Q726">
        <v>7</v>
      </c>
      <c r="R726">
        <v>190.2</v>
      </c>
      <c r="S726" t="s">
        <v>29</v>
      </c>
    </row>
    <row r="727" spans="1:19" x14ac:dyDescent="0.3">
      <c r="A727" t="s">
        <v>797</v>
      </c>
      <c r="B727">
        <v>50</v>
      </c>
      <c r="C727" t="s">
        <v>31</v>
      </c>
      <c r="D727" t="s">
        <v>89</v>
      </c>
      <c r="E727" s="1">
        <v>45587</v>
      </c>
      <c r="F727" s="3">
        <v>45590</v>
      </c>
      <c r="G727" t="s">
        <v>33</v>
      </c>
      <c r="H727" t="s">
        <v>34</v>
      </c>
      <c r="I727" t="s">
        <v>58</v>
      </c>
      <c r="J727">
        <v>3176.71</v>
      </c>
      <c r="K727">
        <v>3</v>
      </c>
      <c r="L727" t="s">
        <v>24</v>
      </c>
      <c r="M727" t="s">
        <v>25</v>
      </c>
      <c r="N727" t="s">
        <v>55</v>
      </c>
      <c r="O727" t="s">
        <v>37</v>
      </c>
      <c r="P727" t="s">
        <v>50</v>
      </c>
      <c r="Q727">
        <v>4</v>
      </c>
      <c r="R727">
        <v>915.86</v>
      </c>
      <c r="S727" t="s">
        <v>29</v>
      </c>
    </row>
    <row r="728" spans="1:19" x14ac:dyDescent="0.3">
      <c r="A728" t="s">
        <v>798</v>
      </c>
      <c r="B728">
        <v>39</v>
      </c>
      <c r="C728" t="s">
        <v>19</v>
      </c>
      <c r="D728" t="s">
        <v>47</v>
      </c>
      <c r="E728" s="1">
        <v>45406</v>
      </c>
      <c r="F728" s="3">
        <v>45408</v>
      </c>
      <c r="G728" t="s">
        <v>48</v>
      </c>
      <c r="H728" t="s">
        <v>22</v>
      </c>
      <c r="I728" t="s">
        <v>81</v>
      </c>
      <c r="J728">
        <v>1688.27</v>
      </c>
      <c r="K728">
        <v>2</v>
      </c>
      <c r="L728" t="s">
        <v>24</v>
      </c>
      <c r="M728" t="s">
        <v>25</v>
      </c>
      <c r="N728" t="s">
        <v>55</v>
      </c>
      <c r="O728" t="s">
        <v>37</v>
      </c>
      <c r="P728" t="s">
        <v>38</v>
      </c>
      <c r="Q728">
        <v>15</v>
      </c>
      <c r="R728">
        <v>572.48</v>
      </c>
      <c r="S728" t="s">
        <v>29</v>
      </c>
    </row>
    <row r="729" spans="1:19" x14ac:dyDescent="0.3">
      <c r="A729" t="s">
        <v>799</v>
      </c>
      <c r="B729">
        <v>40</v>
      </c>
      <c r="C729" t="s">
        <v>19</v>
      </c>
      <c r="D729" t="s">
        <v>61</v>
      </c>
      <c r="E729" s="1">
        <v>44938</v>
      </c>
      <c r="F729" s="3">
        <v>44946</v>
      </c>
      <c r="G729" t="s">
        <v>21</v>
      </c>
      <c r="H729" t="s">
        <v>22</v>
      </c>
      <c r="I729" t="s">
        <v>91</v>
      </c>
      <c r="J729">
        <v>5860.21</v>
      </c>
      <c r="K729">
        <v>8</v>
      </c>
      <c r="L729" t="s">
        <v>36</v>
      </c>
      <c r="M729" t="s">
        <v>25</v>
      </c>
      <c r="N729" t="s">
        <v>26</v>
      </c>
      <c r="O729" t="s">
        <v>37</v>
      </c>
      <c r="P729" t="s">
        <v>45</v>
      </c>
      <c r="Q729">
        <v>3</v>
      </c>
      <c r="R729">
        <v>1860.43</v>
      </c>
      <c r="S729" t="s">
        <v>29</v>
      </c>
    </row>
    <row r="730" spans="1:19" x14ac:dyDescent="0.3">
      <c r="A730" t="s">
        <v>800</v>
      </c>
      <c r="B730">
        <v>74</v>
      </c>
      <c r="C730" t="s">
        <v>31</v>
      </c>
      <c r="D730" t="s">
        <v>20</v>
      </c>
      <c r="E730" s="1">
        <v>45426</v>
      </c>
      <c r="F730" s="3">
        <v>45443</v>
      </c>
      <c r="G730" t="s">
        <v>21</v>
      </c>
      <c r="H730" t="s">
        <v>22</v>
      </c>
      <c r="I730" t="s">
        <v>81</v>
      </c>
      <c r="J730">
        <v>4874.72</v>
      </c>
      <c r="K730">
        <v>17</v>
      </c>
      <c r="L730" t="s">
        <v>24</v>
      </c>
      <c r="M730" t="s">
        <v>25</v>
      </c>
      <c r="N730" t="s">
        <v>55</v>
      </c>
      <c r="O730" t="s">
        <v>27</v>
      </c>
      <c r="P730" t="s">
        <v>45</v>
      </c>
      <c r="Q730">
        <v>2</v>
      </c>
      <c r="R730">
        <v>948.06</v>
      </c>
      <c r="S730" t="s">
        <v>29</v>
      </c>
    </row>
    <row r="731" spans="1:19" x14ac:dyDescent="0.3">
      <c r="A731" t="s">
        <v>801</v>
      </c>
      <c r="B731">
        <v>33</v>
      </c>
      <c r="C731" t="s">
        <v>19</v>
      </c>
      <c r="D731" t="s">
        <v>66</v>
      </c>
      <c r="E731" s="1">
        <v>45144</v>
      </c>
      <c r="F731" s="3">
        <v>45158</v>
      </c>
      <c r="G731" t="s">
        <v>41</v>
      </c>
      <c r="H731" t="s">
        <v>42</v>
      </c>
      <c r="I731" t="s">
        <v>81</v>
      </c>
      <c r="J731">
        <v>6724.02</v>
      </c>
      <c r="K731">
        <v>14</v>
      </c>
      <c r="L731" t="s">
        <v>36</v>
      </c>
      <c r="M731" t="s">
        <v>25</v>
      </c>
      <c r="N731" t="s">
        <v>55</v>
      </c>
      <c r="O731" t="s">
        <v>56</v>
      </c>
      <c r="P731" t="s">
        <v>45</v>
      </c>
      <c r="Q731">
        <v>13</v>
      </c>
      <c r="R731">
        <v>1781.07</v>
      </c>
      <c r="S731" t="s">
        <v>29</v>
      </c>
    </row>
    <row r="732" spans="1:19" x14ac:dyDescent="0.3">
      <c r="A732" t="s">
        <v>802</v>
      </c>
      <c r="B732">
        <v>32</v>
      </c>
      <c r="C732" t="s">
        <v>19</v>
      </c>
      <c r="D732" t="s">
        <v>66</v>
      </c>
      <c r="E732" s="1">
        <v>45609</v>
      </c>
      <c r="F732" s="3">
        <v>45614</v>
      </c>
      <c r="G732" t="s">
        <v>33</v>
      </c>
      <c r="H732" t="s">
        <v>34</v>
      </c>
      <c r="I732" t="s">
        <v>54</v>
      </c>
      <c r="J732">
        <v>4388.24</v>
      </c>
      <c r="K732">
        <v>5</v>
      </c>
      <c r="L732" t="s">
        <v>24</v>
      </c>
      <c r="M732" t="s">
        <v>25</v>
      </c>
      <c r="N732" t="s">
        <v>44</v>
      </c>
      <c r="O732" t="s">
        <v>56</v>
      </c>
      <c r="P732" t="s">
        <v>38</v>
      </c>
      <c r="Q732">
        <v>2</v>
      </c>
      <c r="R732">
        <v>1641.87</v>
      </c>
      <c r="S732" t="s">
        <v>29</v>
      </c>
    </row>
    <row r="733" spans="1:19" x14ac:dyDescent="0.3">
      <c r="A733" t="s">
        <v>803</v>
      </c>
      <c r="B733">
        <v>27</v>
      </c>
      <c r="C733" t="s">
        <v>19</v>
      </c>
      <c r="D733" t="s">
        <v>79</v>
      </c>
      <c r="E733" s="1">
        <v>45072</v>
      </c>
      <c r="F733" s="3">
        <v>45086</v>
      </c>
      <c r="G733" t="s">
        <v>93</v>
      </c>
      <c r="H733" t="s">
        <v>72</v>
      </c>
      <c r="I733" t="s">
        <v>58</v>
      </c>
      <c r="J733">
        <v>11682.54</v>
      </c>
      <c r="K733">
        <v>14</v>
      </c>
      <c r="L733" t="s">
        <v>36</v>
      </c>
      <c r="M733" t="s">
        <v>25</v>
      </c>
      <c r="N733" t="s">
        <v>55</v>
      </c>
      <c r="O733" t="s">
        <v>49</v>
      </c>
      <c r="P733" t="s">
        <v>28</v>
      </c>
      <c r="Q733">
        <v>6</v>
      </c>
      <c r="R733">
        <v>3163.71</v>
      </c>
      <c r="S733" t="s">
        <v>29</v>
      </c>
    </row>
    <row r="734" spans="1:19" x14ac:dyDescent="0.3">
      <c r="A734" t="s">
        <v>804</v>
      </c>
      <c r="B734">
        <v>85</v>
      </c>
      <c r="C734" t="s">
        <v>31</v>
      </c>
      <c r="D734" t="s">
        <v>47</v>
      </c>
      <c r="E734" s="1">
        <v>44931</v>
      </c>
      <c r="F734" s="3">
        <v>44943</v>
      </c>
      <c r="G734" t="s">
        <v>41</v>
      </c>
      <c r="H734" t="s">
        <v>42</v>
      </c>
      <c r="I734" t="s">
        <v>83</v>
      </c>
      <c r="J734">
        <v>4950.1499999999996</v>
      </c>
      <c r="K734">
        <v>12</v>
      </c>
      <c r="L734" t="s">
        <v>36</v>
      </c>
      <c r="M734" t="s">
        <v>25</v>
      </c>
      <c r="N734" t="s">
        <v>26</v>
      </c>
      <c r="O734" t="s">
        <v>27</v>
      </c>
      <c r="P734" t="s">
        <v>45</v>
      </c>
      <c r="Q734">
        <v>15</v>
      </c>
      <c r="R734">
        <v>1047.4000000000001</v>
      </c>
      <c r="S734" t="s">
        <v>29</v>
      </c>
    </row>
    <row r="735" spans="1:19" x14ac:dyDescent="0.3">
      <c r="A735" t="s">
        <v>805</v>
      </c>
      <c r="B735">
        <v>57</v>
      </c>
      <c r="C735" t="s">
        <v>31</v>
      </c>
      <c r="D735" t="s">
        <v>66</v>
      </c>
      <c r="E735" s="1">
        <v>45717</v>
      </c>
      <c r="F735" s="3">
        <v>45732</v>
      </c>
      <c r="G735" t="s">
        <v>74</v>
      </c>
      <c r="H735" t="s">
        <v>75</v>
      </c>
      <c r="I735" t="s">
        <v>35</v>
      </c>
      <c r="J735">
        <v>5949.91</v>
      </c>
      <c r="K735">
        <v>15</v>
      </c>
      <c r="L735" t="s">
        <v>36</v>
      </c>
      <c r="M735" t="s">
        <v>25</v>
      </c>
      <c r="N735" t="s">
        <v>55</v>
      </c>
      <c r="O735" t="s">
        <v>27</v>
      </c>
      <c r="P735" t="s">
        <v>45</v>
      </c>
      <c r="Q735">
        <v>10</v>
      </c>
      <c r="R735">
        <v>1662.27</v>
      </c>
      <c r="S735" t="s">
        <v>29</v>
      </c>
    </row>
    <row r="736" spans="1:19" x14ac:dyDescent="0.3">
      <c r="A736" t="s">
        <v>806</v>
      </c>
      <c r="B736">
        <v>60</v>
      </c>
      <c r="C736" t="s">
        <v>31</v>
      </c>
      <c r="D736" t="s">
        <v>66</v>
      </c>
      <c r="E736" s="1">
        <v>45155</v>
      </c>
      <c r="F736" s="3">
        <v>45163</v>
      </c>
      <c r="G736" t="s">
        <v>48</v>
      </c>
      <c r="H736" t="s">
        <v>22</v>
      </c>
      <c r="I736" t="s">
        <v>83</v>
      </c>
      <c r="J736">
        <v>4010.39</v>
      </c>
      <c r="K736">
        <v>8</v>
      </c>
      <c r="L736" t="s">
        <v>36</v>
      </c>
      <c r="M736" t="s">
        <v>25</v>
      </c>
      <c r="N736" t="s">
        <v>26</v>
      </c>
      <c r="O736" t="s">
        <v>37</v>
      </c>
      <c r="P736" t="s">
        <v>45</v>
      </c>
      <c r="Q736">
        <v>4</v>
      </c>
      <c r="R736">
        <v>1517.17</v>
      </c>
      <c r="S736" t="s">
        <v>29</v>
      </c>
    </row>
    <row r="737" spans="1:19" x14ac:dyDescent="0.3">
      <c r="A737" t="s">
        <v>807</v>
      </c>
      <c r="B737">
        <v>90</v>
      </c>
      <c r="C737" t="s">
        <v>19</v>
      </c>
      <c r="D737" t="s">
        <v>89</v>
      </c>
      <c r="E737" s="1">
        <v>45647</v>
      </c>
      <c r="F737" s="3">
        <v>45648</v>
      </c>
      <c r="G737" t="s">
        <v>21</v>
      </c>
      <c r="H737" t="s">
        <v>22</v>
      </c>
      <c r="I737" t="s">
        <v>83</v>
      </c>
      <c r="J737">
        <v>3114.19</v>
      </c>
      <c r="K737">
        <v>1</v>
      </c>
      <c r="L737" t="s">
        <v>36</v>
      </c>
      <c r="M737" t="s">
        <v>25</v>
      </c>
      <c r="N737" t="s">
        <v>26</v>
      </c>
      <c r="O737" t="s">
        <v>27</v>
      </c>
      <c r="P737" t="s">
        <v>50</v>
      </c>
      <c r="Q737">
        <v>4</v>
      </c>
      <c r="R737">
        <v>864.77</v>
      </c>
      <c r="S737" t="s">
        <v>29</v>
      </c>
    </row>
    <row r="738" spans="1:19" x14ac:dyDescent="0.3">
      <c r="A738" t="s">
        <v>808</v>
      </c>
      <c r="B738">
        <v>20</v>
      </c>
      <c r="C738" t="s">
        <v>19</v>
      </c>
      <c r="D738" t="s">
        <v>32</v>
      </c>
      <c r="E738" s="1">
        <v>45885</v>
      </c>
      <c r="F738" s="3">
        <v>45912</v>
      </c>
      <c r="G738" t="s">
        <v>93</v>
      </c>
      <c r="H738" t="s">
        <v>72</v>
      </c>
      <c r="I738" t="s">
        <v>23</v>
      </c>
      <c r="J738">
        <v>24403.45</v>
      </c>
      <c r="K738">
        <v>27</v>
      </c>
      <c r="L738" t="s">
        <v>24</v>
      </c>
      <c r="M738" t="s">
        <v>101</v>
      </c>
      <c r="N738" t="s">
        <v>55</v>
      </c>
      <c r="O738" t="s">
        <v>49</v>
      </c>
      <c r="P738" t="s">
        <v>50</v>
      </c>
      <c r="Q738">
        <v>7</v>
      </c>
      <c r="R738">
        <v>7825.53</v>
      </c>
      <c r="S738" t="s">
        <v>29</v>
      </c>
    </row>
    <row r="739" spans="1:19" x14ac:dyDescent="0.3">
      <c r="A739" t="s">
        <v>809</v>
      </c>
      <c r="B739">
        <v>62</v>
      </c>
      <c r="C739" t="s">
        <v>31</v>
      </c>
      <c r="D739" t="s">
        <v>66</v>
      </c>
      <c r="E739" s="1">
        <v>45516</v>
      </c>
      <c r="F739" s="3">
        <v>45529</v>
      </c>
      <c r="G739" t="s">
        <v>48</v>
      </c>
      <c r="H739" t="s">
        <v>22</v>
      </c>
      <c r="I739" t="s">
        <v>83</v>
      </c>
      <c r="J739">
        <v>7030.78</v>
      </c>
      <c r="K739">
        <v>13</v>
      </c>
      <c r="L739" t="s">
        <v>24</v>
      </c>
      <c r="M739" t="s">
        <v>25</v>
      </c>
      <c r="N739" t="s">
        <v>55</v>
      </c>
      <c r="O739" t="s">
        <v>56</v>
      </c>
      <c r="P739" t="s">
        <v>28</v>
      </c>
      <c r="Q739">
        <v>4</v>
      </c>
      <c r="R739">
        <v>2438.16</v>
      </c>
      <c r="S739" t="s">
        <v>29</v>
      </c>
    </row>
    <row r="740" spans="1:19" x14ac:dyDescent="0.3">
      <c r="A740" t="s">
        <v>810</v>
      </c>
      <c r="B740">
        <v>65</v>
      </c>
      <c r="C740" t="s">
        <v>19</v>
      </c>
      <c r="D740" t="s">
        <v>79</v>
      </c>
      <c r="E740" s="1">
        <v>45907</v>
      </c>
      <c r="F740" s="3">
        <v>45918</v>
      </c>
      <c r="G740" t="s">
        <v>67</v>
      </c>
      <c r="H740" t="s">
        <v>42</v>
      </c>
      <c r="I740" t="s">
        <v>43</v>
      </c>
      <c r="J740">
        <v>5595.74</v>
      </c>
      <c r="K740">
        <v>11</v>
      </c>
      <c r="L740" t="s">
        <v>24</v>
      </c>
      <c r="M740" t="s">
        <v>59</v>
      </c>
      <c r="N740" t="s">
        <v>26</v>
      </c>
      <c r="O740" t="s">
        <v>37</v>
      </c>
      <c r="P740" t="s">
        <v>45</v>
      </c>
      <c r="Q740">
        <v>7</v>
      </c>
      <c r="R740">
        <v>1599.21</v>
      </c>
      <c r="S740" t="s">
        <v>29</v>
      </c>
    </row>
    <row r="741" spans="1:19" x14ac:dyDescent="0.3">
      <c r="A741" t="s">
        <v>811</v>
      </c>
      <c r="B741">
        <v>47</v>
      </c>
      <c r="C741" t="s">
        <v>19</v>
      </c>
      <c r="D741" t="s">
        <v>47</v>
      </c>
      <c r="E741" s="1">
        <v>45359</v>
      </c>
      <c r="F741" s="3">
        <v>45368</v>
      </c>
      <c r="G741" t="s">
        <v>93</v>
      </c>
      <c r="H741" t="s">
        <v>72</v>
      </c>
      <c r="I741" t="s">
        <v>81</v>
      </c>
      <c r="J741">
        <v>5674.85</v>
      </c>
      <c r="K741">
        <v>9</v>
      </c>
      <c r="L741" t="s">
        <v>36</v>
      </c>
      <c r="M741" t="s">
        <v>101</v>
      </c>
      <c r="N741" t="s">
        <v>55</v>
      </c>
      <c r="O741" t="s">
        <v>56</v>
      </c>
      <c r="P741" t="s">
        <v>28</v>
      </c>
      <c r="Q741">
        <v>13</v>
      </c>
      <c r="R741">
        <v>1269.25</v>
      </c>
      <c r="S741" t="s">
        <v>29</v>
      </c>
    </row>
    <row r="742" spans="1:19" x14ac:dyDescent="0.3">
      <c r="A742" t="s">
        <v>812</v>
      </c>
      <c r="B742">
        <v>25</v>
      </c>
      <c r="C742" t="s">
        <v>31</v>
      </c>
      <c r="D742" t="s">
        <v>79</v>
      </c>
      <c r="E742" s="1">
        <v>45834</v>
      </c>
      <c r="F742" s="3">
        <v>45848</v>
      </c>
      <c r="G742" t="s">
        <v>41</v>
      </c>
      <c r="H742" t="s">
        <v>42</v>
      </c>
      <c r="I742" t="s">
        <v>23</v>
      </c>
      <c r="J742">
        <v>6279.06</v>
      </c>
      <c r="K742">
        <v>14</v>
      </c>
      <c r="L742" t="s">
        <v>36</v>
      </c>
      <c r="M742" t="s">
        <v>25</v>
      </c>
      <c r="N742" t="s">
        <v>44</v>
      </c>
      <c r="O742" t="s">
        <v>37</v>
      </c>
      <c r="P742" t="s">
        <v>38</v>
      </c>
      <c r="Q742">
        <v>14</v>
      </c>
      <c r="R742">
        <v>2464.63</v>
      </c>
      <c r="S742" t="s">
        <v>39</v>
      </c>
    </row>
    <row r="743" spans="1:19" x14ac:dyDescent="0.3">
      <c r="A743" t="s">
        <v>813</v>
      </c>
      <c r="B743">
        <v>87</v>
      </c>
      <c r="C743" t="s">
        <v>19</v>
      </c>
      <c r="D743" t="s">
        <v>32</v>
      </c>
      <c r="E743" s="1">
        <v>45223</v>
      </c>
      <c r="F743" s="3">
        <v>45229</v>
      </c>
      <c r="G743" t="s">
        <v>52</v>
      </c>
      <c r="H743" t="s">
        <v>53</v>
      </c>
      <c r="I743" t="s">
        <v>35</v>
      </c>
      <c r="J743">
        <v>4411.4799999999996</v>
      </c>
      <c r="K743">
        <v>6</v>
      </c>
      <c r="L743" t="s">
        <v>24</v>
      </c>
      <c r="M743" t="s">
        <v>25</v>
      </c>
      <c r="N743" t="s">
        <v>44</v>
      </c>
      <c r="O743" t="s">
        <v>37</v>
      </c>
      <c r="P743" t="s">
        <v>50</v>
      </c>
      <c r="Q743">
        <v>6</v>
      </c>
      <c r="R743">
        <v>1009.57</v>
      </c>
      <c r="S743" t="s">
        <v>29</v>
      </c>
    </row>
    <row r="744" spans="1:19" x14ac:dyDescent="0.3">
      <c r="A744" t="s">
        <v>814</v>
      </c>
      <c r="B744">
        <v>79</v>
      </c>
      <c r="C744" t="s">
        <v>31</v>
      </c>
      <c r="D744" t="s">
        <v>47</v>
      </c>
      <c r="E744" s="1">
        <v>45133</v>
      </c>
      <c r="F744" s="3">
        <v>45134</v>
      </c>
      <c r="G744" t="s">
        <v>71</v>
      </c>
      <c r="H744" t="s">
        <v>72</v>
      </c>
      <c r="I744" t="s">
        <v>35</v>
      </c>
      <c r="J744">
        <v>1778.51</v>
      </c>
      <c r="K744">
        <v>1</v>
      </c>
      <c r="L744" t="s">
        <v>24</v>
      </c>
      <c r="M744" t="s">
        <v>25</v>
      </c>
      <c r="N744" t="s">
        <v>55</v>
      </c>
      <c r="O744" t="s">
        <v>56</v>
      </c>
      <c r="P744" t="s">
        <v>45</v>
      </c>
      <c r="Q744">
        <v>11</v>
      </c>
      <c r="R744">
        <v>703.2</v>
      </c>
      <c r="S744" t="s">
        <v>39</v>
      </c>
    </row>
    <row r="745" spans="1:19" x14ac:dyDescent="0.3">
      <c r="A745" t="s">
        <v>815</v>
      </c>
      <c r="B745">
        <v>72</v>
      </c>
      <c r="C745" t="s">
        <v>19</v>
      </c>
      <c r="D745" t="s">
        <v>61</v>
      </c>
      <c r="E745" s="1">
        <v>45810</v>
      </c>
      <c r="F745" s="3">
        <v>45827</v>
      </c>
      <c r="G745" t="s">
        <v>52</v>
      </c>
      <c r="H745" t="s">
        <v>53</v>
      </c>
      <c r="I745" t="s">
        <v>35</v>
      </c>
      <c r="J745">
        <v>11549.02</v>
      </c>
      <c r="K745">
        <v>17</v>
      </c>
      <c r="L745" t="s">
        <v>24</v>
      </c>
      <c r="M745" t="s">
        <v>25</v>
      </c>
      <c r="N745" t="s">
        <v>26</v>
      </c>
      <c r="O745" t="s">
        <v>49</v>
      </c>
      <c r="P745" t="s">
        <v>38</v>
      </c>
      <c r="Q745">
        <v>1</v>
      </c>
      <c r="R745">
        <v>4050.62</v>
      </c>
      <c r="S745" t="s">
        <v>29</v>
      </c>
    </row>
    <row r="746" spans="1:19" x14ac:dyDescent="0.3">
      <c r="A746" t="s">
        <v>816</v>
      </c>
      <c r="B746">
        <v>21</v>
      </c>
      <c r="C746" t="s">
        <v>31</v>
      </c>
      <c r="D746" t="s">
        <v>66</v>
      </c>
      <c r="E746" s="1">
        <v>45120</v>
      </c>
      <c r="F746" s="3">
        <v>45140</v>
      </c>
      <c r="G746" t="s">
        <v>71</v>
      </c>
      <c r="H746" t="s">
        <v>72</v>
      </c>
      <c r="I746" t="s">
        <v>35</v>
      </c>
      <c r="J746">
        <v>6038.78</v>
      </c>
      <c r="K746">
        <v>20</v>
      </c>
      <c r="L746" t="s">
        <v>36</v>
      </c>
      <c r="M746" t="s">
        <v>76</v>
      </c>
      <c r="N746" t="s">
        <v>44</v>
      </c>
      <c r="O746" t="s">
        <v>37</v>
      </c>
      <c r="P746" t="s">
        <v>45</v>
      </c>
      <c r="Q746">
        <v>2</v>
      </c>
      <c r="R746">
        <v>1533.74</v>
      </c>
      <c r="S746" t="s">
        <v>29</v>
      </c>
    </row>
    <row r="747" spans="1:19" x14ac:dyDescent="0.3">
      <c r="A747" t="s">
        <v>817</v>
      </c>
      <c r="B747">
        <v>85</v>
      </c>
      <c r="C747" t="s">
        <v>19</v>
      </c>
      <c r="D747" t="s">
        <v>61</v>
      </c>
      <c r="E747" s="1">
        <v>45841</v>
      </c>
      <c r="F747" s="3">
        <v>45857</v>
      </c>
      <c r="G747" t="s">
        <v>33</v>
      </c>
      <c r="H747" t="s">
        <v>34</v>
      </c>
      <c r="I747" t="s">
        <v>58</v>
      </c>
      <c r="J747">
        <v>8840.8799999999992</v>
      </c>
      <c r="K747">
        <v>16</v>
      </c>
      <c r="L747" t="s">
        <v>24</v>
      </c>
      <c r="M747" t="s">
        <v>25</v>
      </c>
      <c r="N747" t="s">
        <v>44</v>
      </c>
      <c r="O747" t="s">
        <v>49</v>
      </c>
      <c r="P747" t="s">
        <v>45</v>
      </c>
      <c r="Q747">
        <v>10</v>
      </c>
      <c r="R747">
        <v>1341.92</v>
      </c>
      <c r="S747" t="s">
        <v>29</v>
      </c>
    </row>
    <row r="748" spans="1:19" x14ac:dyDescent="0.3">
      <c r="A748" t="s">
        <v>818</v>
      </c>
      <c r="B748">
        <v>81</v>
      </c>
      <c r="C748" t="s">
        <v>19</v>
      </c>
      <c r="D748" t="s">
        <v>61</v>
      </c>
      <c r="E748" s="1">
        <v>45115</v>
      </c>
      <c r="F748" s="3">
        <v>45122</v>
      </c>
      <c r="G748" t="s">
        <v>21</v>
      </c>
      <c r="H748" t="s">
        <v>22</v>
      </c>
      <c r="I748" t="s">
        <v>91</v>
      </c>
      <c r="J748">
        <v>6509.05</v>
      </c>
      <c r="K748">
        <v>7</v>
      </c>
      <c r="L748" t="s">
        <v>24</v>
      </c>
      <c r="M748" t="s">
        <v>59</v>
      </c>
      <c r="N748" t="s">
        <v>55</v>
      </c>
      <c r="O748" t="s">
        <v>49</v>
      </c>
      <c r="P748" t="s">
        <v>50</v>
      </c>
      <c r="Q748">
        <v>2</v>
      </c>
      <c r="R748">
        <v>1502.36</v>
      </c>
      <c r="S748" t="s">
        <v>29</v>
      </c>
    </row>
    <row r="749" spans="1:19" x14ac:dyDescent="0.3">
      <c r="A749" t="s">
        <v>819</v>
      </c>
      <c r="B749">
        <v>46</v>
      </c>
      <c r="C749" t="s">
        <v>19</v>
      </c>
      <c r="D749" t="s">
        <v>32</v>
      </c>
      <c r="E749" s="1">
        <v>45790</v>
      </c>
      <c r="F749" s="3">
        <v>45810</v>
      </c>
      <c r="G749" t="s">
        <v>52</v>
      </c>
      <c r="H749" t="s">
        <v>53</v>
      </c>
      <c r="I749" t="s">
        <v>81</v>
      </c>
      <c r="J749">
        <v>14617.84</v>
      </c>
      <c r="K749">
        <v>20</v>
      </c>
      <c r="L749" t="s">
        <v>24</v>
      </c>
      <c r="M749" t="s">
        <v>25</v>
      </c>
      <c r="N749" t="s">
        <v>26</v>
      </c>
      <c r="O749" t="s">
        <v>27</v>
      </c>
      <c r="P749" t="s">
        <v>38</v>
      </c>
      <c r="Q749">
        <v>1</v>
      </c>
      <c r="R749">
        <v>5636.52</v>
      </c>
      <c r="S749" t="s">
        <v>29</v>
      </c>
    </row>
    <row r="750" spans="1:19" x14ac:dyDescent="0.3">
      <c r="A750" t="s">
        <v>820</v>
      </c>
      <c r="B750">
        <v>64</v>
      </c>
      <c r="C750" t="s">
        <v>19</v>
      </c>
      <c r="D750" t="s">
        <v>20</v>
      </c>
      <c r="E750" s="1">
        <v>44942</v>
      </c>
      <c r="F750" s="3">
        <v>44954</v>
      </c>
      <c r="G750" t="s">
        <v>93</v>
      </c>
      <c r="H750" t="s">
        <v>72</v>
      </c>
      <c r="I750" t="s">
        <v>23</v>
      </c>
      <c r="J750">
        <v>7956.01</v>
      </c>
      <c r="K750">
        <v>12</v>
      </c>
      <c r="L750" t="s">
        <v>36</v>
      </c>
      <c r="M750" t="s">
        <v>25</v>
      </c>
      <c r="N750" t="s">
        <v>44</v>
      </c>
      <c r="O750" t="s">
        <v>37</v>
      </c>
      <c r="P750" t="s">
        <v>45</v>
      </c>
      <c r="Q750">
        <v>9</v>
      </c>
      <c r="R750">
        <v>3086.55</v>
      </c>
      <c r="S750" t="s">
        <v>29</v>
      </c>
    </row>
    <row r="751" spans="1:19" x14ac:dyDescent="0.3">
      <c r="A751" t="s">
        <v>821</v>
      </c>
      <c r="B751">
        <v>26</v>
      </c>
      <c r="C751" t="s">
        <v>19</v>
      </c>
      <c r="D751" t="s">
        <v>66</v>
      </c>
      <c r="E751" s="1">
        <v>45383</v>
      </c>
      <c r="F751" s="3">
        <v>45384</v>
      </c>
      <c r="G751" t="s">
        <v>48</v>
      </c>
      <c r="H751" t="s">
        <v>22</v>
      </c>
      <c r="I751" t="s">
        <v>23</v>
      </c>
      <c r="J751">
        <v>3415.99</v>
      </c>
      <c r="K751">
        <v>1</v>
      </c>
      <c r="L751" t="s">
        <v>36</v>
      </c>
      <c r="M751" t="s">
        <v>25</v>
      </c>
      <c r="N751" t="s">
        <v>55</v>
      </c>
      <c r="O751" t="s">
        <v>37</v>
      </c>
      <c r="P751" t="s">
        <v>38</v>
      </c>
      <c r="Q751">
        <v>2</v>
      </c>
      <c r="R751">
        <v>599.62</v>
      </c>
      <c r="S751" t="s">
        <v>29</v>
      </c>
    </row>
    <row r="752" spans="1:19" x14ac:dyDescent="0.3">
      <c r="A752" t="s">
        <v>822</v>
      </c>
      <c r="B752">
        <v>57</v>
      </c>
      <c r="C752" t="s">
        <v>19</v>
      </c>
      <c r="D752" t="s">
        <v>70</v>
      </c>
      <c r="E752" s="1">
        <v>45074</v>
      </c>
      <c r="F752" s="3">
        <v>45084</v>
      </c>
      <c r="G752" t="s">
        <v>93</v>
      </c>
      <c r="H752" t="s">
        <v>72</v>
      </c>
      <c r="I752" t="s">
        <v>81</v>
      </c>
      <c r="J752">
        <v>3951.34</v>
      </c>
      <c r="K752">
        <v>10</v>
      </c>
      <c r="L752" t="s">
        <v>36</v>
      </c>
      <c r="M752" t="s">
        <v>59</v>
      </c>
      <c r="N752" t="s">
        <v>55</v>
      </c>
      <c r="O752" t="s">
        <v>56</v>
      </c>
      <c r="P752" t="s">
        <v>38</v>
      </c>
      <c r="Q752">
        <v>2</v>
      </c>
      <c r="R752">
        <v>1308.07</v>
      </c>
      <c r="S752" t="s">
        <v>29</v>
      </c>
    </row>
    <row r="753" spans="1:19" x14ac:dyDescent="0.3">
      <c r="A753" t="s">
        <v>823</v>
      </c>
      <c r="B753">
        <v>18</v>
      </c>
      <c r="C753" t="s">
        <v>31</v>
      </c>
      <c r="D753" t="s">
        <v>20</v>
      </c>
      <c r="E753" s="1">
        <v>45022</v>
      </c>
      <c r="F753" s="3">
        <v>45038</v>
      </c>
      <c r="G753" t="s">
        <v>52</v>
      </c>
      <c r="H753" t="s">
        <v>53</v>
      </c>
      <c r="I753" t="s">
        <v>23</v>
      </c>
      <c r="J753">
        <v>8638.18</v>
      </c>
      <c r="K753">
        <v>16</v>
      </c>
      <c r="L753" t="s">
        <v>24</v>
      </c>
      <c r="M753" t="s">
        <v>25</v>
      </c>
      <c r="N753" t="s">
        <v>44</v>
      </c>
      <c r="O753" t="s">
        <v>37</v>
      </c>
      <c r="P753" t="s">
        <v>28</v>
      </c>
      <c r="Q753">
        <v>1</v>
      </c>
      <c r="R753">
        <v>3188.69</v>
      </c>
      <c r="S753" t="s">
        <v>29</v>
      </c>
    </row>
    <row r="754" spans="1:19" x14ac:dyDescent="0.3">
      <c r="A754" t="s">
        <v>824</v>
      </c>
      <c r="B754">
        <v>49</v>
      </c>
      <c r="C754" t="s">
        <v>19</v>
      </c>
      <c r="D754" t="s">
        <v>20</v>
      </c>
      <c r="E754" s="1">
        <v>44997</v>
      </c>
      <c r="F754" s="3">
        <v>45007</v>
      </c>
      <c r="G754" t="s">
        <v>48</v>
      </c>
      <c r="H754" t="s">
        <v>22</v>
      </c>
      <c r="I754" t="s">
        <v>35</v>
      </c>
      <c r="J754">
        <v>5950.2</v>
      </c>
      <c r="K754">
        <v>10</v>
      </c>
      <c r="L754" t="s">
        <v>24</v>
      </c>
      <c r="M754" t="s">
        <v>25</v>
      </c>
      <c r="N754" t="s">
        <v>26</v>
      </c>
      <c r="O754" t="s">
        <v>56</v>
      </c>
      <c r="P754" t="s">
        <v>28</v>
      </c>
      <c r="Q754">
        <v>3</v>
      </c>
      <c r="R754">
        <v>2068.7399999999998</v>
      </c>
      <c r="S754" t="s">
        <v>29</v>
      </c>
    </row>
    <row r="755" spans="1:19" x14ac:dyDescent="0.3">
      <c r="A755" t="s">
        <v>825</v>
      </c>
      <c r="B755">
        <v>69</v>
      </c>
      <c r="C755" t="s">
        <v>19</v>
      </c>
      <c r="D755" t="s">
        <v>32</v>
      </c>
      <c r="E755" s="1">
        <v>45739</v>
      </c>
      <c r="F755" s="3">
        <v>45767</v>
      </c>
      <c r="G755" t="s">
        <v>33</v>
      </c>
      <c r="H755" t="s">
        <v>34</v>
      </c>
      <c r="I755" t="s">
        <v>58</v>
      </c>
      <c r="J755">
        <v>23466.91</v>
      </c>
      <c r="K755">
        <v>28</v>
      </c>
      <c r="L755" t="s">
        <v>24</v>
      </c>
      <c r="M755" t="s">
        <v>25</v>
      </c>
      <c r="N755" t="s">
        <v>44</v>
      </c>
      <c r="O755" t="s">
        <v>49</v>
      </c>
      <c r="P755" t="s">
        <v>45</v>
      </c>
      <c r="Q755">
        <v>10</v>
      </c>
      <c r="R755">
        <v>8021.31</v>
      </c>
      <c r="S755" t="s">
        <v>29</v>
      </c>
    </row>
    <row r="756" spans="1:19" x14ac:dyDescent="0.3">
      <c r="A756" t="s">
        <v>826</v>
      </c>
      <c r="B756">
        <v>78</v>
      </c>
      <c r="C756" t="s">
        <v>31</v>
      </c>
      <c r="D756" t="s">
        <v>20</v>
      </c>
      <c r="E756" s="1">
        <v>45516</v>
      </c>
      <c r="F756" s="3">
        <v>45540</v>
      </c>
      <c r="G756" t="s">
        <v>71</v>
      </c>
      <c r="H756" t="s">
        <v>72</v>
      </c>
      <c r="I756" t="s">
        <v>23</v>
      </c>
      <c r="J756">
        <v>12503.91</v>
      </c>
      <c r="K756">
        <v>24</v>
      </c>
      <c r="L756" t="s">
        <v>24</v>
      </c>
      <c r="M756" t="s">
        <v>25</v>
      </c>
      <c r="N756" t="s">
        <v>26</v>
      </c>
      <c r="O756" t="s">
        <v>49</v>
      </c>
      <c r="P756" t="s">
        <v>50</v>
      </c>
      <c r="Q756">
        <v>6</v>
      </c>
      <c r="R756">
        <v>4322.28</v>
      </c>
      <c r="S756" t="s">
        <v>29</v>
      </c>
    </row>
    <row r="757" spans="1:19" x14ac:dyDescent="0.3">
      <c r="A757" t="s">
        <v>827</v>
      </c>
      <c r="B757">
        <v>61</v>
      </c>
      <c r="C757" t="s">
        <v>19</v>
      </c>
      <c r="D757" t="s">
        <v>32</v>
      </c>
      <c r="E757" s="1">
        <v>45202</v>
      </c>
      <c r="F757" s="3">
        <v>45221</v>
      </c>
      <c r="G757" t="s">
        <v>62</v>
      </c>
      <c r="H757" t="s">
        <v>63</v>
      </c>
      <c r="I757" t="s">
        <v>91</v>
      </c>
      <c r="J757">
        <v>7276.84</v>
      </c>
      <c r="K757">
        <v>19</v>
      </c>
      <c r="L757" t="s">
        <v>36</v>
      </c>
      <c r="M757" t="s">
        <v>59</v>
      </c>
      <c r="N757" t="s">
        <v>44</v>
      </c>
      <c r="O757" t="s">
        <v>27</v>
      </c>
      <c r="P757" t="s">
        <v>28</v>
      </c>
      <c r="Q757">
        <v>11</v>
      </c>
      <c r="R757">
        <v>1340.95</v>
      </c>
      <c r="S757" t="s">
        <v>29</v>
      </c>
    </row>
    <row r="758" spans="1:19" x14ac:dyDescent="0.3">
      <c r="A758" t="s">
        <v>828</v>
      </c>
      <c r="B758">
        <v>82</v>
      </c>
      <c r="C758" t="s">
        <v>31</v>
      </c>
      <c r="D758" t="s">
        <v>32</v>
      </c>
      <c r="E758" s="1">
        <v>45498</v>
      </c>
      <c r="F758" s="3">
        <v>45509</v>
      </c>
      <c r="G758" t="s">
        <v>62</v>
      </c>
      <c r="H758" t="s">
        <v>63</v>
      </c>
      <c r="I758" t="s">
        <v>91</v>
      </c>
      <c r="J758">
        <v>6891.88</v>
      </c>
      <c r="K758">
        <v>11</v>
      </c>
      <c r="L758" t="s">
        <v>36</v>
      </c>
      <c r="M758" t="s">
        <v>25</v>
      </c>
      <c r="N758" t="s">
        <v>26</v>
      </c>
      <c r="O758" t="s">
        <v>27</v>
      </c>
      <c r="P758" t="s">
        <v>28</v>
      </c>
      <c r="Q758">
        <v>1</v>
      </c>
      <c r="R758">
        <v>2137.34</v>
      </c>
      <c r="S758" t="s">
        <v>39</v>
      </c>
    </row>
    <row r="759" spans="1:19" x14ac:dyDescent="0.3">
      <c r="A759" t="s">
        <v>829</v>
      </c>
      <c r="B759">
        <v>30</v>
      </c>
      <c r="C759" t="s">
        <v>31</v>
      </c>
      <c r="D759" t="s">
        <v>61</v>
      </c>
      <c r="E759" s="1">
        <v>45632</v>
      </c>
      <c r="F759" s="3">
        <v>45639</v>
      </c>
      <c r="G759" t="s">
        <v>41</v>
      </c>
      <c r="H759" t="s">
        <v>42</v>
      </c>
      <c r="I759" t="s">
        <v>83</v>
      </c>
      <c r="J759">
        <v>5065.32</v>
      </c>
      <c r="K759">
        <v>7</v>
      </c>
      <c r="L759" t="s">
        <v>24</v>
      </c>
      <c r="M759" t="s">
        <v>25</v>
      </c>
      <c r="N759" t="s">
        <v>55</v>
      </c>
      <c r="O759" t="s">
        <v>56</v>
      </c>
      <c r="P759" t="s">
        <v>38</v>
      </c>
      <c r="Q759">
        <v>7</v>
      </c>
      <c r="R759">
        <v>1889.53</v>
      </c>
      <c r="S759" t="s">
        <v>29</v>
      </c>
    </row>
    <row r="760" spans="1:19" x14ac:dyDescent="0.3">
      <c r="A760" t="s">
        <v>830</v>
      </c>
      <c r="B760">
        <v>39</v>
      </c>
      <c r="C760" t="s">
        <v>31</v>
      </c>
      <c r="D760" t="s">
        <v>47</v>
      </c>
      <c r="E760" s="1">
        <v>45083</v>
      </c>
      <c r="F760" s="3">
        <v>45084</v>
      </c>
      <c r="G760" t="s">
        <v>62</v>
      </c>
      <c r="H760" t="s">
        <v>63</v>
      </c>
      <c r="I760" t="s">
        <v>43</v>
      </c>
      <c r="J760">
        <v>1318.29</v>
      </c>
      <c r="K760">
        <v>1</v>
      </c>
      <c r="L760" t="s">
        <v>36</v>
      </c>
      <c r="M760" t="s">
        <v>25</v>
      </c>
      <c r="N760" t="s">
        <v>26</v>
      </c>
      <c r="O760" t="s">
        <v>37</v>
      </c>
      <c r="P760" t="s">
        <v>28</v>
      </c>
      <c r="Q760">
        <v>5</v>
      </c>
      <c r="R760">
        <v>366.85</v>
      </c>
      <c r="S760" t="s">
        <v>29</v>
      </c>
    </row>
    <row r="761" spans="1:19" x14ac:dyDescent="0.3">
      <c r="A761" t="s">
        <v>831</v>
      </c>
      <c r="B761">
        <v>59</v>
      </c>
      <c r="C761" t="s">
        <v>19</v>
      </c>
      <c r="D761" t="s">
        <v>47</v>
      </c>
      <c r="E761" s="1">
        <v>45252</v>
      </c>
      <c r="F761" s="3">
        <v>45258</v>
      </c>
      <c r="G761" t="s">
        <v>33</v>
      </c>
      <c r="H761" t="s">
        <v>34</v>
      </c>
      <c r="I761" t="s">
        <v>43</v>
      </c>
      <c r="J761">
        <v>4943.6899999999996</v>
      </c>
      <c r="K761">
        <v>6</v>
      </c>
      <c r="L761" t="s">
        <v>24</v>
      </c>
      <c r="M761" t="s">
        <v>25</v>
      </c>
      <c r="N761" t="s">
        <v>26</v>
      </c>
      <c r="O761" t="s">
        <v>37</v>
      </c>
      <c r="P761" t="s">
        <v>45</v>
      </c>
      <c r="Q761">
        <v>5</v>
      </c>
      <c r="R761">
        <v>1584.22</v>
      </c>
      <c r="S761" t="s">
        <v>29</v>
      </c>
    </row>
    <row r="762" spans="1:19" x14ac:dyDescent="0.3">
      <c r="A762" t="s">
        <v>832</v>
      </c>
      <c r="B762">
        <v>81</v>
      </c>
      <c r="C762" t="s">
        <v>31</v>
      </c>
      <c r="D762" t="s">
        <v>89</v>
      </c>
      <c r="E762" s="1">
        <v>45061</v>
      </c>
      <c r="F762" s="3">
        <v>45078</v>
      </c>
      <c r="G762" t="s">
        <v>74</v>
      </c>
      <c r="H762" t="s">
        <v>75</v>
      </c>
      <c r="I762" t="s">
        <v>54</v>
      </c>
      <c r="J762">
        <v>10426.68</v>
      </c>
      <c r="K762">
        <v>17</v>
      </c>
      <c r="L762" t="s">
        <v>24</v>
      </c>
      <c r="M762" t="s">
        <v>25</v>
      </c>
      <c r="N762" t="s">
        <v>55</v>
      </c>
      <c r="O762" t="s">
        <v>37</v>
      </c>
      <c r="P762" t="s">
        <v>50</v>
      </c>
      <c r="Q762">
        <v>3</v>
      </c>
      <c r="R762">
        <v>2038.3</v>
      </c>
      <c r="S762" t="s">
        <v>29</v>
      </c>
    </row>
    <row r="763" spans="1:19" x14ac:dyDescent="0.3">
      <c r="A763" t="s">
        <v>833</v>
      </c>
      <c r="B763">
        <v>24</v>
      </c>
      <c r="C763" t="s">
        <v>19</v>
      </c>
      <c r="D763" t="s">
        <v>79</v>
      </c>
      <c r="E763" s="1">
        <v>45718</v>
      </c>
      <c r="F763" s="3">
        <v>45722</v>
      </c>
      <c r="G763" t="s">
        <v>48</v>
      </c>
      <c r="H763" t="s">
        <v>22</v>
      </c>
      <c r="I763" t="s">
        <v>83</v>
      </c>
      <c r="J763">
        <v>3368.18</v>
      </c>
      <c r="K763">
        <v>4</v>
      </c>
      <c r="L763" t="s">
        <v>24</v>
      </c>
      <c r="M763" t="s">
        <v>25</v>
      </c>
      <c r="N763" t="s">
        <v>44</v>
      </c>
      <c r="O763" t="s">
        <v>27</v>
      </c>
      <c r="P763" t="s">
        <v>45</v>
      </c>
      <c r="Q763">
        <v>5</v>
      </c>
      <c r="R763">
        <v>548.53</v>
      </c>
      <c r="S763" t="s">
        <v>29</v>
      </c>
    </row>
    <row r="764" spans="1:19" x14ac:dyDescent="0.3">
      <c r="A764" t="s">
        <v>834</v>
      </c>
      <c r="B764">
        <v>31</v>
      </c>
      <c r="C764" t="s">
        <v>31</v>
      </c>
      <c r="D764" t="s">
        <v>70</v>
      </c>
      <c r="E764" s="1">
        <v>45639</v>
      </c>
      <c r="F764" s="3">
        <v>45662</v>
      </c>
      <c r="G764" t="s">
        <v>21</v>
      </c>
      <c r="H764" t="s">
        <v>22</v>
      </c>
      <c r="I764" t="s">
        <v>91</v>
      </c>
      <c r="J764">
        <v>18455.02</v>
      </c>
      <c r="K764">
        <v>23</v>
      </c>
      <c r="L764" t="s">
        <v>24</v>
      </c>
      <c r="M764" t="s">
        <v>25</v>
      </c>
      <c r="N764" t="s">
        <v>44</v>
      </c>
      <c r="O764" t="s">
        <v>49</v>
      </c>
      <c r="P764" t="s">
        <v>38</v>
      </c>
      <c r="Q764">
        <v>5</v>
      </c>
      <c r="R764">
        <v>4535.95</v>
      </c>
      <c r="S764" t="s">
        <v>29</v>
      </c>
    </row>
    <row r="765" spans="1:19" x14ac:dyDescent="0.3">
      <c r="A765" t="s">
        <v>835</v>
      </c>
      <c r="B765">
        <v>58</v>
      </c>
      <c r="C765" t="s">
        <v>19</v>
      </c>
      <c r="D765" t="s">
        <v>47</v>
      </c>
      <c r="E765" s="1">
        <v>45513</v>
      </c>
      <c r="F765" s="3">
        <v>45516</v>
      </c>
      <c r="G765" t="s">
        <v>21</v>
      </c>
      <c r="H765" t="s">
        <v>22</v>
      </c>
      <c r="I765" t="s">
        <v>35</v>
      </c>
      <c r="J765">
        <v>2965.43</v>
      </c>
      <c r="K765">
        <v>3</v>
      </c>
      <c r="L765" t="s">
        <v>24</v>
      </c>
      <c r="M765" t="s">
        <v>25</v>
      </c>
      <c r="N765" t="s">
        <v>44</v>
      </c>
      <c r="O765" t="s">
        <v>27</v>
      </c>
      <c r="P765" t="s">
        <v>45</v>
      </c>
      <c r="Q765">
        <v>4</v>
      </c>
      <c r="R765">
        <v>753.44</v>
      </c>
      <c r="S765" t="s">
        <v>29</v>
      </c>
    </row>
    <row r="766" spans="1:19" x14ac:dyDescent="0.3">
      <c r="A766" t="s">
        <v>836</v>
      </c>
      <c r="B766">
        <v>26</v>
      </c>
      <c r="C766" t="s">
        <v>31</v>
      </c>
      <c r="D766" t="s">
        <v>70</v>
      </c>
      <c r="E766" s="1">
        <v>45893</v>
      </c>
      <c r="F766" s="3">
        <v>45915</v>
      </c>
      <c r="G766" t="s">
        <v>74</v>
      </c>
      <c r="H766" t="s">
        <v>75</v>
      </c>
      <c r="I766" t="s">
        <v>91</v>
      </c>
      <c r="J766">
        <v>14180.95</v>
      </c>
      <c r="K766">
        <v>22</v>
      </c>
      <c r="L766" t="s">
        <v>36</v>
      </c>
      <c r="M766" t="s">
        <v>25</v>
      </c>
      <c r="N766" t="s">
        <v>44</v>
      </c>
      <c r="O766" t="s">
        <v>49</v>
      </c>
      <c r="P766" t="s">
        <v>45</v>
      </c>
      <c r="Q766">
        <v>1</v>
      </c>
      <c r="R766">
        <v>4669.3900000000003</v>
      </c>
      <c r="S766" t="s">
        <v>29</v>
      </c>
    </row>
    <row r="767" spans="1:19" x14ac:dyDescent="0.3">
      <c r="A767" t="s">
        <v>837</v>
      </c>
      <c r="B767">
        <v>62</v>
      </c>
      <c r="C767" t="s">
        <v>31</v>
      </c>
      <c r="D767" t="s">
        <v>66</v>
      </c>
      <c r="E767" s="1">
        <v>45363</v>
      </c>
      <c r="F767" s="3">
        <v>45383</v>
      </c>
      <c r="G767" t="s">
        <v>62</v>
      </c>
      <c r="H767" t="s">
        <v>63</v>
      </c>
      <c r="I767" t="s">
        <v>54</v>
      </c>
      <c r="J767">
        <v>11332.81</v>
      </c>
      <c r="K767">
        <v>20</v>
      </c>
      <c r="L767" t="s">
        <v>24</v>
      </c>
      <c r="M767" t="s">
        <v>25</v>
      </c>
      <c r="N767" t="s">
        <v>55</v>
      </c>
      <c r="O767" t="s">
        <v>49</v>
      </c>
      <c r="P767" t="s">
        <v>38</v>
      </c>
      <c r="Q767">
        <v>7</v>
      </c>
      <c r="R767">
        <v>4223.12</v>
      </c>
      <c r="S767" t="s">
        <v>29</v>
      </c>
    </row>
    <row r="768" spans="1:19" x14ac:dyDescent="0.3">
      <c r="A768" t="s">
        <v>838</v>
      </c>
      <c r="B768">
        <v>85</v>
      </c>
      <c r="C768" t="s">
        <v>19</v>
      </c>
      <c r="D768" t="s">
        <v>47</v>
      </c>
      <c r="E768" s="1">
        <v>45666</v>
      </c>
      <c r="F768" s="3">
        <v>45686</v>
      </c>
      <c r="G768" t="s">
        <v>71</v>
      </c>
      <c r="H768" t="s">
        <v>72</v>
      </c>
      <c r="I768" t="s">
        <v>43</v>
      </c>
      <c r="J768">
        <v>14471.03</v>
      </c>
      <c r="K768">
        <v>20</v>
      </c>
      <c r="L768" t="s">
        <v>36</v>
      </c>
      <c r="M768" t="s">
        <v>25</v>
      </c>
      <c r="N768" t="s">
        <v>44</v>
      </c>
      <c r="O768" t="s">
        <v>37</v>
      </c>
      <c r="P768" t="s">
        <v>50</v>
      </c>
      <c r="Q768">
        <v>13</v>
      </c>
      <c r="R768">
        <v>5429.59</v>
      </c>
      <c r="S768" t="s">
        <v>29</v>
      </c>
    </row>
    <row r="769" spans="1:19" x14ac:dyDescent="0.3">
      <c r="A769" t="s">
        <v>839</v>
      </c>
      <c r="B769">
        <v>56</v>
      </c>
      <c r="C769" t="s">
        <v>19</v>
      </c>
      <c r="D769" t="s">
        <v>32</v>
      </c>
      <c r="E769" s="1">
        <v>45898</v>
      </c>
      <c r="F769" s="3">
        <v>45924</v>
      </c>
      <c r="G769" t="s">
        <v>52</v>
      </c>
      <c r="H769" t="s">
        <v>53</v>
      </c>
      <c r="I769" t="s">
        <v>35</v>
      </c>
      <c r="J769">
        <v>19189.27</v>
      </c>
      <c r="K769">
        <v>26</v>
      </c>
      <c r="L769" t="s">
        <v>24</v>
      </c>
      <c r="M769" t="s">
        <v>25</v>
      </c>
      <c r="N769" t="s">
        <v>44</v>
      </c>
      <c r="O769" t="s">
        <v>49</v>
      </c>
      <c r="P769" t="s">
        <v>50</v>
      </c>
      <c r="Q769">
        <v>11</v>
      </c>
      <c r="R769">
        <v>3183.74</v>
      </c>
      <c r="S769" t="s">
        <v>39</v>
      </c>
    </row>
    <row r="770" spans="1:19" x14ac:dyDescent="0.3">
      <c r="A770" t="s">
        <v>840</v>
      </c>
      <c r="B770">
        <v>55</v>
      </c>
      <c r="C770" t="s">
        <v>19</v>
      </c>
      <c r="D770" t="s">
        <v>89</v>
      </c>
      <c r="E770" s="1">
        <v>44931</v>
      </c>
      <c r="F770" s="3">
        <v>44932</v>
      </c>
      <c r="G770" t="s">
        <v>74</v>
      </c>
      <c r="H770" t="s">
        <v>75</v>
      </c>
      <c r="I770" t="s">
        <v>91</v>
      </c>
      <c r="J770">
        <v>1401.99</v>
      </c>
      <c r="K770">
        <v>1</v>
      </c>
      <c r="L770" t="s">
        <v>36</v>
      </c>
      <c r="M770" t="s">
        <v>25</v>
      </c>
      <c r="N770" t="s">
        <v>55</v>
      </c>
      <c r="O770" t="s">
        <v>27</v>
      </c>
      <c r="P770" t="s">
        <v>50</v>
      </c>
      <c r="Q770">
        <v>15</v>
      </c>
      <c r="R770">
        <v>369.77</v>
      </c>
      <c r="S770" t="s">
        <v>29</v>
      </c>
    </row>
    <row r="771" spans="1:19" x14ac:dyDescent="0.3">
      <c r="A771" t="s">
        <v>841</v>
      </c>
      <c r="B771">
        <v>74</v>
      </c>
      <c r="C771" t="s">
        <v>19</v>
      </c>
      <c r="D771" t="s">
        <v>47</v>
      </c>
      <c r="E771" s="1">
        <v>45287</v>
      </c>
      <c r="F771" s="3">
        <v>45299</v>
      </c>
      <c r="G771" t="s">
        <v>62</v>
      </c>
      <c r="H771" t="s">
        <v>63</v>
      </c>
      <c r="I771" t="s">
        <v>43</v>
      </c>
      <c r="J771">
        <v>5960.25</v>
      </c>
      <c r="K771">
        <v>12</v>
      </c>
      <c r="L771" t="s">
        <v>36</v>
      </c>
      <c r="M771" t="s">
        <v>25</v>
      </c>
      <c r="N771" t="s">
        <v>55</v>
      </c>
      <c r="O771" t="s">
        <v>27</v>
      </c>
      <c r="P771" t="s">
        <v>45</v>
      </c>
      <c r="Q771">
        <v>14</v>
      </c>
      <c r="R771">
        <v>1896.67</v>
      </c>
      <c r="S771" t="s">
        <v>39</v>
      </c>
    </row>
    <row r="772" spans="1:19" x14ac:dyDescent="0.3">
      <c r="A772" t="s">
        <v>842</v>
      </c>
      <c r="B772">
        <v>43</v>
      </c>
      <c r="C772" t="s">
        <v>19</v>
      </c>
      <c r="D772" t="s">
        <v>20</v>
      </c>
      <c r="E772" s="1">
        <v>45299</v>
      </c>
      <c r="F772" s="3">
        <v>45310</v>
      </c>
      <c r="G772" t="s">
        <v>71</v>
      </c>
      <c r="H772" t="s">
        <v>72</v>
      </c>
      <c r="I772" t="s">
        <v>23</v>
      </c>
      <c r="J772">
        <v>2461.52</v>
      </c>
      <c r="K772">
        <v>11</v>
      </c>
      <c r="L772" t="s">
        <v>36</v>
      </c>
      <c r="M772" t="s">
        <v>25</v>
      </c>
      <c r="N772" t="s">
        <v>55</v>
      </c>
      <c r="O772" t="s">
        <v>37</v>
      </c>
      <c r="P772" t="s">
        <v>50</v>
      </c>
      <c r="Q772">
        <v>11</v>
      </c>
      <c r="R772">
        <v>956.03</v>
      </c>
      <c r="S772" t="s">
        <v>39</v>
      </c>
    </row>
    <row r="773" spans="1:19" x14ac:dyDescent="0.3">
      <c r="A773" t="s">
        <v>843</v>
      </c>
      <c r="B773">
        <v>83</v>
      </c>
      <c r="C773" t="s">
        <v>31</v>
      </c>
      <c r="D773" t="s">
        <v>66</v>
      </c>
      <c r="E773" s="1">
        <v>45073</v>
      </c>
      <c r="F773" s="3">
        <v>45074</v>
      </c>
      <c r="G773" t="s">
        <v>71</v>
      </c>
      <c r="H773" t="s">
        <v>72</v>
      </c>
      <c r="I773" t="s">
        <v>58</v>
      </c>
      <c r="J773">
        <v>2656.76</v>
      </c>
      <c r="K773">
        <v>1</v>
      </c>
      <c r="L773" t="s">
        <v>36</v>
      </c>
      <c r="M773" t="s">
        <v>101</v>
      </c>
      <c r="N773" t="s">
        <v>26</v>
      </c>
      <c r="O773" t="s">
        <v>56</v>
      </c>
      <c r="P773" t="s">
        <v>50</v>
      </c>
      <c r="Q773">
        <v>2</v>
      </c>
      <c r="R773">
        <v>813.41</v>
      </c>
      <c r="S773" t="s">
        <v>29</v>
      </c>
    </row>
    <row r="774" spans="1:19" x14ac:dyDescent="0.3">
      <c r="A774" t="s">
        <v>844</v>
      </c>
      <c r="B774">
        <v>78</v>
      </c>
      <c r="C774" t="s">
        <v>31</v>
      </c>
      <c r="D774" t="s">
        <v>66</v>
      </c>
      <c r="E774" s="1">
        <v>45158</v>
      </c>
      <c r="F774" s="3">
        <v>45174</v>
      </c>
      <c r="G774" t="s">
        <v>48</v>
      </c>
      <c r="H774" t="s">
        <v>22</v>
      </c>
      <c r="I774" t="s">
        <v>81</v>
      </c>
      <c r="J774">
        <v>8420.14</v>
      </c>
      <c r="K774">
        <v>16</v>
      </c>
      <c r="L774" t="s">
        <v>24</v>
      </c>
      <c r="M774" t="s">
        <v>25</v>
      </c>
      <c r="N774" t="s">
        <v>55</v>
      </c>
      <c r="O774" t="s">
        <v>56</v>
      </c>
      <c r="P774" t="s">
        <v>38</v>
      </c>
      <c r="Q774">
        <v>2</v>
      </c>
      <c r="R774">
        <v>3294.34</v>
      </c>
      <c r="S774" t="s">
        <v>29</v>
      </c>
    </row>
    <row r="775" spans="1:19" x14ac:dyDescent="0.3">
      <c r="A775" t="s">
        <v>845</v>
      </c>
      <c r="B775">
        <v>68</v>
      </c>
      <c r="C775" t="s">
        <v>31</v>
      </c>
      <c r="D775" t="s">
        <v>20</v>
      </c>
      <c r="E775" s="1">
        <v>45908</v>
      </c>
      <c r="F775" s="3">
        <v>45913</v>
      </c>
      <c r="G775" t="s">
        <v>48</v>
      </c>
      <c r="H775" t="s">
        <v>22</v>
      </c>
      <c r="I775" t="s">
        <v>23</v>
      </c>
      <c r="J775">
        <v>8066.85</v>
      </c>
      <c r="K775">
        <v>5</v>
      </c>
      <c r="L775" t="s">
        <v>36</v>
      </c>
      <c r="M775" t="s">
        <v>25</v>
      </c>
      <c r="N775" t="s">
        <v>44</v>
      </c>
      <c r="O775" t="s">
        <v>49</v>
      </c>
      <c r="P775" t="s">
        <v>50</v>
      </c>
      <c r="Q775">
        <v>7</v>
      </c>
      <c r="R775">
        <v>1467.79</v>
      </c>
      <c r="S775" t="s">
        <v>29</v>
      </c>
    </row>
    <row r="776" spans="1:19" x14ac:dyDescent="0.3">
      <c r="A776" t="s">
        <v>846</v>
      </c>
      <c r="B776">
        <v>21</v>
      </c>
      <c r="C776" t="s">
        <v>19</v>
      </c>
      <c r="D776" t="s">
        <v>61</v>
      </c>
      <c r="E776" s="1">
        <v>45193</v>
      </c>
      <c r="F776" s="3">
        <v>45206</v>
      </c>
      <c r="G776" t="s">
        <v>52</v>
      </c>
      <c r="H776" t="s">
        <v>53</v>
      </c>
      <c r="I776" t="s">
        <v>23</v>
      </c>
      <c r="J776">
        <v>15553.42</v>
      </c>
      <c r="K776">
        <v>13</v>
      </c>
      <c r="L776" t="s">
        <v>36</v>
      </c>
      <c r="M776" t="s">
        <v>25</v>
      </c>
      <c r="N776" t="s">
        <v>55</v>
      </c>
      <c r="O776" t="s">
        <v>49</v>
      </c>
      <c r="P776" t="s">
        <v>38</v>
      </c>
      <c r="Q776">
        <v>4</v>
      </c>
      <c r="R776">
        <v>4697.7299999999996</v>
      </c>
      <c r="S776" t="s">
        <v>29</v>
      </c>
    </row>
    <row r="777" spans="1:19" x14ac:dyDescent="0.3">
      <c r="A777" t="s">
        <v>847</v>
      </c>
      <c r="B777">
        <v>84</v>
      </c>
      <c r="C777" t="s">
        <v>31</v>
      </c>
      <c r="D777" t="s">
        <v>61</v>
      </c>
      <c r="E777" s="1">
        <v>45521</v>
      </c>
      <c r="F777" s="3">
        <v>45535</v>
      </c>
      <c r="G777" t="s">
        <v>71</v>
      </c>
      <c r="H777" t="s">
        <v>72</v>
      </c>
      <c r="I777" t="s">
        <v>91</v>
      </c>
      <c r="J777">
        <v>9551.5300000000007</v>
      </c>
      <c r="K777">
        <v>14</v>
      </c>
      <c r="L777" t="s">
        <v>36</v>
      </c>
      <c r="M777" t="s">
        <v>25</v>
      </c>
      <c r="N777" t="s">
        <v>26</v>
      </c>
      <c r="O777" t="s">
        <v>49</v>
      </c>
      <c r="P777" t="s">
        <v>50</v>
      </c>
      <c r="Q777">
        <v>1</v>
      </c>
      <c r="R777">
        <v>2716.77</v>
      </c>
      <c r="S777" t="s">
        <v>29</v>
      </c>
    </row>
    <row r="778" spans="1:19" x14ac:dyDescent="0.3">
      <c r="A778" t="s">
        <v>848</v>
      </c>
      <c r="B778">
        <v>70</v>
      </c>
      <c r="C778" t="s">
        <v>31</v>
      </c>
      <c r="D778" t="s">
        <v>47</v>
      </c>
      <c r="E778" s="1">
        <v>45436</v>
      </c>
      <c r="F778" s="3">
        <v>45455</v>
      </c>
      <c r="G778" t="s">
        <v>48</v>
      </c>
      <c r="H778" t="s">
        <v>22</v>
      </c>
      <c r="I778" t="s">
        <v>43</v>
      </c>
      <c r="J778">
        <v>7122.52</v>
      </c>
      <c r="K778">
        <v>19</v>
      </c>
      <c r="L778" t="s">
        <v>24</v>
      </c>
      <c r="M778" t="s">
        <v>59</v>
      </c>
      <c r="N778" t="s">
        <v>55</v>
      </c>
      <c r="O778" t="s">
        <v>56</v>
      </c>
      <c r="P778" t="s">
        <v>50</v>
      </c>
      <c r="Q778">
        <v>11</v>
      </c>
      <c r="R778">
        <v>1535.28</v>
      </c>
      <c r="S778" t="s">
        <v>29</v>
      </c>
    </row>
    <row r="779" spans="1:19" x14ac:dyDescent="0.3">
      <c r="A779" t="s">
        <v>849</v>
      </c>
      <c r="B779">
        <v>31</v>
      </c>
      <c r="C779" t="s">
        <v>19</v>
      </c>
      <c r="D779" t="s">
        <v>89</v>
      </c>
      <c r="E779" s="1">
        <v>45484</v>
      </c>
      <c r="F779" s="3">
        <v>45493</v>
      </c>
      <c r="G779" t="s">
        <v>93</v>
      </c>
      <c r="H779" t="s">
        <v>72</v>
      </c>
      <c r="I779" t="s">
        <v>43</v>
      </c>
      <c r="J779">
        <v>7108.22</v>
      </c>
      <c r="K779">
        <v>9</v>
      </c>
      <c r="L779" t="s">
        <v>24</v>
      </c>
      <c r="M779" t="s">
        <v>25</v>
      </c>
      <c r="N779" t="s">
        <v>55</v>
      </c>
      <c r="O779" t="s">
        <v>37</v>
      </c>
      <c r="P779" t="s">
        <v>45</v>
      </c>
      <c r="Q779">
        <v>7</v>
      </c>
      <c r="R779">
        <v>2598.6799999999998</v>
      </c>
      <c r="S779" t="s">
        <v>29</v>
      </c>
    </row>
    <row r="780" spans="1:19" x14ac:dyDescent="0.3">
      <c r="A780" t="s">
        <v>850</v>
      </c>
      <c r="B780">
        <v>30</v>
      </c>
      <c r="C780" t="s">
        <v>19</v>
      </c>
      <c r="D780" t="s">
        <v>70</v>
      </c>
      <c r="E780" s="1">
        <v>45125</v>
      </c>
      <c r="F780" s="3">
        <v>45143</v>
      </c>
      <c r="G780" t="s">
        <v>67</v>
      </c>
      <c r="H780" t="s">
        <v>42</v>
      </c>
      <c r="I780" t="s">
        <v>58</v>
      </c>
      <c r="J780">
        <v>9289.76</v>
      </c>
      <c r="K780">
        <v>18</v>
      </c>
      <c r="L780" t="s">
        <v>36</v>
      </c>
      <c r="M780" t="s">
        <v>25</v>
      </c>
      <c r="N780" t="s">
        <v>26</v>
      </c>
      <c r="O780" t="s">
        <v>27</v>
      </c>
      <c r="P780" t="s">
        <v>28</v>
      </c>
      <c r="Q780">
        <v>6</v>
      </c>
      <c r="R780">
        <v>3581.47</v>
      </c>
      <c r="S780" t="s">
        <v>29</v>
      </c>
    </row>
    <row r="781" spans="1:19" x14ac:dyDescent="0.3">
      <c r="A781" t="s">
        <v>851</v>
      </c>
      <c r="B781">
        <v>38</v>
      </c>
      <c r="C781" t="s">
        <v>31</v>
      </c>
      <c r="D781" t="s">
        <v>89</v>
      </c>
      <c r="E781" s="1">
        <v>45613</v>
      </c>
      <c r="F781" s="3">
        <v>45631</v>
      </c>
      <c r="G781" t="s">
        <v>41</v>
      </c>
      <c r="H781" t="s">
        <v>42</v>
      </c>
      <c r="I781" t="s">
        <v>23</v>
      </c>
      <c r="J781">
        <v>8479.26</v>
      </c>
      <c r="K781">
        <v>18</v>
      </c>
      <c r="L781" t="s">
        <v>36</v>
      </c>
      <c r="M781" t="s">
        <v>25</v>
      </c>
      <c r="N781" t="s">
        <v>55</v>
      </c>
      <c r="O781" t="s">
        <v>56</v>
      </c>
      <c r="P781" t="s">
        <v>38</v>
      </c>
      <c r="Q781">
        <v>4</v>
      </c>
      <c r="R781">
        <v>1835.99</v>
      </c>
      <c r="S781" t="s">
        <v>39</v>
      </c>
    </row>
    <row r="782" spans="1:19" x14ac:dyDescent="0.3">
      <c r="A782" t="s">
        <v>852</v>
      </c>
      <c r="B782">
        <v>33</v>
      </c>
      <c r="C782" t="s">
        <v>19</v>
      </c>
      <c r="D782" t="s">
        <v>32</v>
      </c>
      <c r="E782" s="1">
        <v>45593</v>
      </c>
      <c r="F782" s="3">
        <v>45605</v>
      </c>
      <c r="G782" t="s">
        <v>21</v>
      </c>
      <c r="H782" t="s">
        <v>22</v>
      </c>
      <c r="I782" t="s">
        <v>35</v>
      </c>
      <c r="J782">
        <v>10134.09</v>
      </c>
      <c r="K782">
        <v>12</v>
      </c>
      <c r="L782" t="s">
        <v>36</v>
      </c>
      <c r="M782" t="s">
        <v>59</v>
      </c>
      <c r="N782" t="s">
        <v>55</v>
      </c>
      <c r="O782" t="s">
        <v>37</v>
      </c>
      <c r="P782" t="s">
        <v>38</v>
      </c>
      <c r="Q782">
        <v>6</v>
      </c>
      <c r="R782">
        <v>3970.88</v>
      </c>
      <c r="S782" t="s">
        <v>29</v>
      </c>
    </row>
    <row r="783" spans="1:19" x14ac:dyDescent="0.3">
      <c r="A783" t="s">
        <v>853</v>
      </c>
      <c r="B783">
        <v>60</v>
      </c>
      <c r="C783" t="s">
        <v>19</v>
      </c>
      <c r="D783" t="s">
        <v>61</v>
      </c>
      <c r="E783" s="1">
        <v>45296</v>
      </c>
      <c r="F783" s="3">
        <v>45310</v>
      </c>
      <c r="G783" t="s">
        <v>93</v>
      </c>
      <c r="H783" t="s">
        <v>72</v>
      </c>
      <c r="I783" t="s">
        <v>54</v>
      </c>
      <c r="J783">
        <v>8836.76</v>
      </c>
      <c r="K783">
        <v>14</v>
      </c>
      <c r="L783" t="s">
        <v>24</v>
      </c>
      <c r="M783" t="s">
        <v>25</v>
      </c>
      <c r="N783" t="s">
        <v>44</v>
      </c>
      <c r="O783" t="s">
        <v>27</v>
      </c>
      <c r="P783" t="s">
        <v>38</v>
      </c>
      <c r="Q783">
        <v>12</v>
      </c>
      <c r="R783">
        <v>3445.87</v>
      </c>
      <c r="S783" t="s">
        <v>29</v>
      </c>
    </row>
    <row r="784" spans="1:19" x14ac:dyDescent="0.3">
      <c r="A784" t="s">
        <v>854</v>
      </c>
      <c r="B784">
        <v>20</v>
      </c>
      <c r="C784" t="s">
        <v>19</v>
      </c>
      <c r="D784" t="s">
        <v>89</v>
      </c>
      <c r="E784" s="1">
        <v>45609</v>
      </c>
      <c r="F784" s="3">
        <v>45623</v>
      </c>
      <c r="G784" t="s">
        <v>52</v>
      </c>
      <c r="H784" t="s">
        <v>53</v>
      </c>
      <c r="I784" t="s">
        <v>23</v>
      </c>
      <c r="J784">
        <v>13078.19</v>
      </c>
      <c r="K784">
        <v>14</v>
      </c>
      <c r="L784" t="s">
        <v>24</v>
      </c>
      <c r="M784" t="s">
        <v>59</v>
      </c>
      <c r="N784" t="s">
        <v>44</v>
      </c>
      <c r="O784" t="s">
        <v>49</v>
      </c>
      <c r="P784" t="s">
        <v>50</v>
      </c>
      <c r="Q784">
        <v>14</v>
      </c>
      <c r="R784">
        <v>3015.26</v>
      </c>
      <c r="S784" t="s">
        <v>29</v>
      </c>
    </row>
    <row r="785" spans="1:19" x14ac:dyDescent="0.3">
      <c r="A785" t="s">
        <v>855</v>
      </c>
      <c r="B785">
        <v>68</v>
      </c>
      <c r="C785" t="s">
        <v>31</v>
      </c>
      <c r="D785" t="s">
        <v>47</v>
      </c>
      <c r="E785" s="1">
        <v>45780</v>
      </c>
      <c r="F785" s="3">
        <v>45786</v>
      </c>
      <c r="G785" t="s">
        <v>21</v>
      </c>
      <c r="H785" t="s">
        <v>22</v>
      </c>
      <c r="I785" t="s">
        <v>81</v>
      </c>
      <c r="J785">
        <v>6957.56</v>
      </c>
      <c r="K785">
        <v>6</v>
      </c>
      <c r="L785" t="s">
        <v>24</v>
      </c>
      <c r="M785" t="s">
        <v>25</v>
      </c>
      <c r="N785" t="s">
        <v>26</v>
      </c>
      <c r="O785" t="s">
        <v>27</v>
      </c>
      <c r="P785" t="s">
        <v>50</v>
      </c>
      <c r="Q785">
        <v>9</v>
      </c>
      <c r="R785">
        <v>1616.34</v>
      </c>
      <c r="S785" t="s">
        <v>29</v>
      </c>
    </row>
    <row r="786" spans="1:19" x14ac:dyDescent="0.3">
      <c r="A786" t="s">
        <v>856</v>
      </c>
      <c r="B786">
        <v>87</v>
      </c>
      <c r="C786" t="s">
        <v>31</v>
      </c>
      <c r="D786" t="s">
        <v>89</v>
      </c>
      <c r="E786" s="1">
        <v>45278</v>
      </c>
      <c r="F786" s="3">
        <v>45288</v>
      </c>
      <c r="G786" t="s">
        <v>74</v>
      </c>
      <c r="H786" t="s">
        <v>75</v>
      </c>
      <c r="I786" t="s">
        <v>35</v>
      </c>
      <c r="J786">
        <v>3160.05</v>
      </c>
      <c r="K786">
        <v>10</v>
      </c>
      <c r="L786" t="s">
        <v>36</v>
      </c>
      <c r="M786" t="s">
        <v>101</v>
      </c>
      <c r="N786" t="s">
        <v>55</v>
      </c>
      <c r="O786" t="s">
        <v>27</v>
      </c>
      <c r="P786" t="s">
        <v>50</v>
      </c>
      <c r="Q786">
        <v>3</v>
      </c>
      <c r="R786">
        <v>747.4</v>
      </c>
      <c r="S786" t="s">
        <v>29</v>
      </c>
    </row>
    <row r="787" spans="1:19" x14ac:dyDescent="0.3">
      <c r="A787" t="s">
        <v>857</v>
      </c>
      <c r="B787">
        <v>37</v>
      </c>
      <c r="C787" t="s">
        <v>19</v>
      </c>
      <c r="D787" t="s">
        <v>70</v>
      </c>
      <c r="E787" s="1">
        <v>45849</v>
      </c>
      <c r="F787" s="3">
        <v>45854</v>
      </c>
      <c r="G787" t="s">
        <v>33</v>
      </c>
      <c r="H787" t="s">
        <v>34</v>
      </c>
      <c r="I787" t="s">
        <v>58</v>
      </c>
      <c r="J787">
        <v>2871.78</v>
      </c>
      <c r="K787">
        <v>5</v>
      </c>
      <c r="L787" t="s">
        <v>24</v>
      </c>
      <c r="M787" t="s">
        <v>25</v>
      </c>
      <c r="N787" t="s">
        <v>26</v>
      </c>
      <c r="O787" t="s">
        <v>37</v>
      </c>
      <c r="P787" t="s">
        <v>28</v>
      </c>
      <c r="Q787">
        <v>5</v>
      </c>
      <c r="R787">
        <v>796.06</v>
      </c>
      <c r="S787" t="s">
        <v>39</v>
      </c>
    </row>
    <row r="788" spans="1:19" x14ac:dyDescent="0.3">
      <c r="A788" t="s">
        <v>858</v>
      </c>
      <c r="B788">
        <v>73</v>
      </c>
      <c r="C788" t="s">
        <v>19</v>
      </c>
      <c r="D788" t="s">
        <v>89</v>
      </c>
      <c r="E788" s="1">
        <v>45752</v>
      </c>
      <c r="F788" s="3">
        <v>45764</v>
      </c>
      <c r="G788" t="s">
        <v>41</v>
      </c>
      <c r="H788" t="s">
        <v>42</v>
      </c>
      <c r="I788" t="s">
        <v>91</v>
      </c>
      <c r="J788">
        <v>3867.79</v>
      </c>
      <c r="K788">
        <v>12</v>
      </c>
      <c r="L788" t="s">
        <v>36</v>
      </c>
      <c r="M788" t="s">
        <v>25</v>
      </c>
      <c r="N788" t="s">
        <v>44</v>
      </c>
      <c r="O788" t="s">
        <v>27</v>
      </c>
      <c r="P788" t="s">
        <v>50</v>
      </c>
      <c r="Q788">
        <v>1</v>
      </c>
      <c r="R788">
        <v>1441.69</v>
      </c>
      <c r="S788" t="s">
        <v>29</v>
      </c>
    </row>
    <row r="789" spans="1:19" x14ac:dyDescent="0.3">
      <c r="A789" t="s">
        <v>859</v>
      </c>
      <c r="B789">
        <v>18</v>
      </c>
      <c r="C789" t="s">
        <v>31</v>
      </c>
      <c r="D789" t="s">
        <v>89</v>
      </c>
      <c r="E789" s="1">
        <v>44969</v>
      </c>
      <c r="F789" s="3">
        <v>44983</v>
      </c>
      <c r="G789" t="s">
        <v>93</v>
      </c>
      <c r="H789" t="s">
        <v>72</v>
      </c>
      <c r="I789" t="s">
        <v>35</v>
      </c>
      <c r="J789">
        <v>11261.59</v>
      </c>
      <c r="K789">
        <v>14</v>
      </c>
      <c r="L789" t="s">
        <v>36</v>
      </c>
      <c r="M789" t="s">
        <v>25</v>
      </c>
      <c r="N789" t="s">
        <v>44</v>
      </c>
      <c r="O789" t="s">
        <v>27</v>
      </c>
      <c r="P789" t="s">
        <v>38</v>
      </c>
      <c r="Q789">
        <v>7</v>
      </c>
      <c r="R789">
        <v>3921.02</v>
      </c>
      <c r="S789" t="s">
        <v>29</v>
      </c>
    </row>
    <row r="790" spans="1:19" x14ac:dyDescent="0.3">
      <c r="A790" t="s">
        <v>860</v>
      </c>
      <c r="B790">
        <v>22</v>
      </c>
      <c r="C790" t="s">
        <v>31</v>
      </c>
      <c r="D790" t="s">
        <v>20</v>
      </c>
      <c r="E790" s="1">
        <v>45626</v>
      </c>
      <c r="F790" s="3">
        <v>45644</v>
      </c>
      <c r="G790" t="s">
        <v>21</v>
      </c>
      <c r="H790" t="s">
        <v>22</v>
      </c>
      <c r="I790" t="s">
        <v>54</v>
      </c>
      <c r="J790">
        <v>9065.57</v>
      </c>
      <c r="K790">
        <v>18</v>
      </c>
      <c r="L790" t="s">
        <v>36</v>
      </c>
      <c r="M790" t="s">
        <v>25</v>
      </c>
      <c r="N790" t="s">
        <v>26</v>
      </c>
      <c r="O790" t="s">
        <v>56</v>
      </c>
      <c r="P790" t="s">
        <v>28</v>
      </c>
      <c r="Q790">
        <v>1</v>
      </c>
      <c r="R790">
        <v>1975.18</v>
      </c>
      <c r="S790" t="s">
        <v>29</v>
      </c>
    </row>
    <row r="791" spans="1:19" x14ac:dyDescent="0.3">
      <c r="A791" t="s">
        <v>861</v>
      </c>
      <c r="B791">
        <v>32</v>
      </c>
      <c r="C791" t="s">
        <v>31</v>
      </c>
      <c r="D791" t="s">
        <v>20</v>
      </c>
      <c r="E791" s="1">
        <v>45123</v>
      </c>
      <c r="F791" s="3">
        <v>45142</v>
      </c>
      <c r="G791" t="s">
        <v>41</v>
      </c>
      <c r="H791" t="s">
        <v>42</v>
      </c>
      <c r="I791" t="s">
        <v>58</v>
      </c>
      <c r="J791">
        <v>8388.07</v>
      </c>
      <c r="K791">
        <v>19</v>
      </c>
      <c r="L791" t="s">
        <v>24</v>
      </c>
      <c r="M791" t="s">
        <v>25</v>
      </c>
      <c r="N791" t="s">
        <v>26</v>
      </c>
      <c r="O791" t="s">
        <v>27</v>
      </c>
      <c r="P791" t="s">
        <v>45</v>
      </c>
      <c r="Q791">
        <v>2</v>
      </c>
      <c r="R791">
        <v>2549.75</v>
      </c>
      <c r="S791" t="s">
        <v>39</v>
      </c>
    </row>
    <row r="792" spans="1:19" x14ac:dyDescent="0.3">
      <c r="A792" t="s">
        <v>862</v>
      </c>
      <c r="B792">
        <v>88</v>
      </c>
      <c r="C792" t="s">
        <v>31</v>
      </c>
      <c r="D792" t="s">
        <v>70</v>
      </c>
      <c r="E792" s="1">
        <v>45579</v>
      </c>
      <c r="F792" s="3">
        <v>45583</v>
      </c>
      <c r="G792" t="s">
        <v>62</v>
      </c>
      <c r="H792" t="s">
        <v>63</v>
      </c>
      <c r="I792" t="s">
        <v>23</v>
      </c>
      <c r="J792">
        <v>3335.04</v>
      </c>
      <c r="K792">
        <v>4</v>
      </c>
      <c r="L792" t="s">
        <v>36</v>
      </c>
      <c r="M792" t="s">
        <v>101</v>
      </c>
      <c r="N792" t="s">
        <v>44</v>
      </c>
      <c r="O792" t="s">
        <v>37</v>
      </c>
      <c r="P792" t="s">
        <v>38</v>
      </c>
      <c r="Q792">
        <v>5</v>
      </c>
      <c r="R792">
        <v>659.64</v>
      </c>
      <c r="S792" t="s">
        <v>29</v>
      </c>
    </row>
    <row r="793" spans="1:19" x14ac:dyDescent="0.3">
      <c r="A793" t="s">
        <v>863</v>
      </c>
      <c r="B793">
        <v>85</v>
      </c>
      <c r="C793" t="s">
        <v>31</v>
      </c>
      <c r="D793" t="s">
        <v>20</v>
      </c>
      <c r="E793" s="1">
        <v>44955</v>
      </c>
      <c r="F793" s="3">
        <v>44958</v>
      </c>
      <c r="G793" t="s">
        <v>41</v>
      </c>
      <c r="H793" t="s">
        <v>42</v>
      </c>
      <c r="I793" t="s">
        <v>35</v>
      </c>
      <c r="J793">
        <v>3593.69</v>
      </c>
      <c r="K793">
        <v>3</v>
      </c>
      <c r="L793" t="s">
        <v>36</v>
      </c>
      <c r="M793" t="s">
        <v>25</v>
      </c>
      <c r="N793" t="s">
        <v>55</v>
      </c>
      <c r="O793" t="s">
        <v>27</v>
      </c>
      <c r="P793" t="s">
        <v>28</v>
      </c>
      <c r="Q793">
        <v>4</v>
      </c>
      <c r="R793">
        <v>1292.79</v>
      </c>
      <c r="S793" t="s">
        <v>29</v>
      </c>
    </row>
    <row r="794" spans="1:19" x14ac:dyDescent="0.3">
      <c r="A794" t="s">
        <v>864</v>
      </c>
      <c r="B794">
        <v>18</v>
      </c>
      <c r="C794" t="s">
        <v>19</v>
      </c>
      <c r="D794" t="s">
        <v>61</v>
      </c>
      <c r="E794" s="1">
        <v>45674</v>
      </c>
      <c r="F794" s="3">
        <v>45682</v>
      </c>
      <c r="G794" t="s">
        <v>52</v>
      </c>
      <c r="H794" t="s">
        <v>53</v>
      </c>
      <c r="I794" t="s">
        <v>43</v>
      </c>
      <c r="J794">
        <v>4284.87</v>
      </c>
      <c r="K794">
        <v>8</v>
      </c>
      <c r="L794" t="s">
        <v>24</v>
      </c>
      <c r="M794" t="s">
        <v>25</v>
      </c>
      <c r="N794" t="s">
        <v>44</v>
      </c>
      <c r="O794" t="s">
        <v>27</v>
      </c>
      <c r="P794" t="s">
        <v>28</v>
      </c>
      <c r="Q794">
        <v>9</v>
      </c>
      <c r="R794">
        <v>1475.67</v>
      </c>
      <c r="S794" t="s">
        <v>29</v>
      </c>
    </row>
    <row r="795" spans="1:19" x14ac:dyDescent="0.3">
      <c r="A795" t="s">
        <v>865</v>
      </c>
      <c r="B795">
        <v>46</v>
      </c>
      <c r="C795" t="s">
        <v>31</v>
      </c>
      <c r="D795" t="s">
        <v>79</v>
      </c>
      <c r="E795" s="1">
        <v>45021</v>
      </c>
      <c r="F795" s="3">
        <v>45037</v>
      </c>
      <c r="G795" t="s">
        <v>67</v>
      </c>
      <c r="H795" t="s">
        <v>42</v>
      </c>
      <c r="I795" t="s">
        <v>91</v>
      </c>
      <c r="J795">
        <v>6538.58</v>
      </c>
      <c r="K795">
        <v>16</v>
      </c>
      <c r="L795" t="s">
        <v>36</v>
      </c>
      <c r="M795" t="s">
        <v>25</v>
      </c>
      <c r="N795" t="s">
        <v>55</v>
      </c>
      <c r="O795" t="s">
        <v>37</v>
      </c>
      <c r="P795" t="s">
        <v>38</v>
      </c>
      <c r="Q795">
        <v>11</v>
      </c>
      <c r="R795">
        <v>988.9</v>
      </c>
      <c r="S795" t="s">
        <v>29</v>
      </c>
    </row>
    <row r="796" spans="1:19" x14ac:dyDescent="0.3">
      <c r="A796" t="s">
        <v>866</v>
      </c>
      <c r="B796">
        <v>45</v>
      </c>
      <c r="C796" t="s">
        <v>31</v>
      </c>
      <c r="D796" t="s">
        <v>32</v>
      </c>
      <c r="E796" s="1">
        <v>45433</v>
      </c>
      <c r="F796" s="3">
        <v>45434</v>
      </c>
      <c r="G796" t="s">
        <v>71</v>
      </c>
      <c r="H796" t="s">
        <v>72</v>
      </c>
      <c r="I796" t="s">
        <v>23</v>
      </c>
      <c r="J796">
        <v>1110.56</v>
      </c>
      <c r="K796">
        <v>1</v>
      </c>
      <c r="L796" t="s">
        <v>36</v>
      </c>
      <c r="M796" t="s">
        <v>25</v>
      </c>
      <c r="N796" t="s">
        <v>26</v>
      </c>
      <c r="O796" t="s">
        <v>56</v>
      </c>
      <c r="P796" t="s">
        <v>38</v>
      </c>
      <c r="Q796">
        <v>14</v>
      </c>
      <c r="R796">
        <v>174.03</v>
      </c>
      <c r="S796" t="s">
        <v>39</v>
      </c>
    </row>
    <row r="797" spans="1:19" x14ac:dyDescent="0.3">
      <c r="A797" t="s">
        <v>867</v>
      </c>
      <c r="B797">
        <v>87</v>
      </c>
      <c r="C797" t="s">
        <v>19</v>
      </c>
      <c r="D797" t="s">
        <v>61</v>
      </c>
      <c r="E797" s="1">
        <v>44987</v>
      </c>
      <c r="F797" s="3">
        <v>45000</v>
      </c>
      <c r="G797" t="s">
        <v>71</v>
      </c>
      <c r="H797" t="s">
        <v>72</v>
      </c>
      <c r="I797" t="s">
        <v>54</v>
      </c>
      <c r="J797">
        <v>4849.87</v>
      </c>
      <c r="K797">
        <v>13</v>
      </c>
      <c r="L797" t="s">
        <v>36</v>
      </c>
      <c r="M797" t="s">
        <v>25</v>
      </c>
      <c r="N797" t="s">
        <v>26</v>
      </c>
      <c r="O797" t="s">
        <v>27</v>
      </c>
      <c r="P797" t="s">
        <v>38</v>
      </c>
      <c r="Q797">
        <v>11</v>
      </c>
      <c r="R797">
        <v>1763.96</v>
      </c>
      <c r="S797" t="s">
        <v>29</v>
      </c>
    </row>
    <row r="798" spans="1:19" x14ac:dyDescent="0.3">
      <c r="A798" t="s">
        <v>868</v>
      </c>
      <c r="B798">
        <v>26</v>
      </c>
      <c r="C798" t="s">
        <v>31</v>
      </c>
      <c r="D798" t="s">
        <v>61</v>
      </c>
      <c r="E798" s="1">
        <v>45214</v>
      </c>
      <c r="F798" s="3">
        <v>45229</v>
      </c>
      <c r="G798" t="s">
        <v>33</v>
      </c>
      <c r="H798" t="s">
        <v>34</v>
      </c>
      <c r="I798" t="s">
        <v>35</v>
      </c>
      <c r="J798">
        <v>9900.59</v>
      </c>
      <c r="K798">
        <v>15</v>
      </c>
      <c r="L798" t="s">
        <v>24</v>
      </c>
      <c r="M798" t="s">
        <v>25</v>
      </c>
      <c r="N798" t="s">
        <v>44</v>
      </c>
      <c r="O798" t="s">
        <v>27</v>
      </c>
      <c r="P798" t="s">
        <v>45</v>
      </c>
      <c r="Q798">
        <v>8</v>
      </c>
      <c r="R798">
        <v>2926.53</v>
      </c>
      <c r="S798" t="s">
        <v>29</v>
      </c>
    </row>
    <row r="799" spans="1:19" x14ac:dyDescent="0.3">
      <c r="A799" t="s">
        <v>869</v>
      </c>
      <c r="B799">
        <v>71</v>
      </c>
      <c r="C799" t="s">
        <v>31</v>
      </c>
      <c r="D799" t="s">
        <v>20</v>
      </c>
      <c r="E799" s="1">
        <v>45658</v>
      </c>
      <c r="F799" s="3">
        <v>45675</v>
      </c>
      <c r="G799" t="s">
        <v>48</v>
      </c>
      <c r="H799" t="s">
        <v>22</v>
      </c>
      <c r="I799" t="s">
        <v>83</v>
      </c>
      <c r="J799">
        <v>10939.42</v>
      </c>
      <c r="K799">
        <v>17</v>
      </c>
      <c r="L799" t="s">
        <v>24</v>
      </c>
      <c r="M799" t="s">
        <v>25</v>
      </c>
      <c r="N799" t="s">
        <v>55</v>
      </c>
      <c r="O799" t="s">
        <v>27</v>
      </c>
      <c r="P799" t="s">
        <v>28</v>
      </c>
      <c r="Q799">
        <v>12</v>
      </c>
      <c r="R799">
        <v>2128.15</v>
      </c>
      <c r="S799" t="s">
        <v>29</v>
      </c>
    </row>
    <row r="800" spans="1:19" x14ac:dyDescent="0.3">
      <c r="A800" t="s">
        <v>870</v>
      </c>
      <c r="B800">
        <v>72</v>
      </c>
      <c r="C800" t="s">
        <v>31</v>
      </c>
      <c r="D800" t="s">
        <v>32</v>
      </c>
      <c r="E800" s="1">
        <v>45583</v>
      </c>
      <c r="F800" s="3">
        <v>45598</v>
      </c>
      <c r="G800" t="s">
        <v>48</v>
      </c>
      <c r="H800" t="s">
        <v>22</v>
      </c>
      <c r="I800" t="s">
        <v>54</v>
      </c>
      <c r="J800">
        <v>7277.59</v>
      </c>
      <c r="K800">
        <v>15</v>
      </c>
      <c r="L800" t="s">
        <v>36</v>
      </c>
      <c r="M800" t="s">
        <v>25</v>
      </c>
      <c r="N800" t="s">
        <v>55</v>
      </c>
      <c r="O800" t="s">
        <v>27</v>
      </c>
      <c r="P800" t="s">
        <v>28</v>
      </c>
      <c r="Q800">
        <v>5</v>
      </c>
      <c r="R800">
        <v>1462.87</v>
      </c>
      <c r="S800" t="s">
        <v>29</v>
      </c>
    </row>
    <row r="801" spans="1:19" x14ac:dyDescent="0.3">
      <c r="A801" t="s">
        <v>871</v>
      </c>
      <c r="B801">
        <v>20</v>
      </c>
      <c r="C801" t="s">
        <v>31</v>
      </c>
      <c r="D801" t="s">
        <v>79</v>
      </c>
      <c r="E801" s="1">
        <v>45286</v>
      </c>
      <c r="F801" s="3">
        <v>45290</v>
      </c>
      <c r="G801" t="s">
        <v>62</v>
      </c>
      <c r="H801" t="s">
        <v>63</v>
      </c>
      <c r="I801" t="s">
        <v>81</v>
      </c>
      <c r="J801">
        <v>8809.8700000000008</v>
      </c>
      <c r="K801">
        <v>4</v>
      </c>
      <c r="L801" t="s">
        <v>24</v>
      </c>
      <c r="M801" t="s">
        <v>76</v>
      </c>
      <c r="N801" t="s">
        <v>26</v>
      </c>
      <c r="O801" t="s">
        <v>49</v>
      </c>
      <c r="P801" t="s">
        <v>45</v>
      </c>
      <c r="Q801">
        <v>3</v>
      </c>
      <c r="R801">
        <v>1493.99</v>
      </c>
      <c r="S801" t="s">
        <v>29</v>
      </c>
    </row>
    <row r="802" spans="1:19" x14ac:dyDescent="0.3">
      <c r="A802" t="s">
        <v>872</v>
      </c>
      <c r="B802">
        <v>60</v>
      </c>
      <c r="C802" t="s">
        <v>19</v>
      </c>
      <c r="D802" t="s">
        <v>61</v>
      </c>
      <c r="E802" s="1">
        <v>44942</v>
      </c>
      <c r="F802" s="3">
        <v>44961</v>
      </c>
      <c r="G802" t="s">
        <v>62</v>
      </c>
      <c r="H802" t="s">
        <v>63</v>
      </c>
      <c r="I802" t="s">
        <v>54</v>
      </c>
      <c r="J802">
        <v>14074.79</v>
      </c>
      <c r="K802">
        <v>19</v>
      </c>
      <c r="L802" t="s">
        <v>36</v>
      </c>
      <c r="M802" t="s">
        <v>25</v>
      </c>
      <c r="N802" t="s">
        <v>44</v>
      </c>
      <c r="O802" t="s">
        <v>37</v>
      </c>
      <c r="P802" t="s">
        <v>45</v>
      </c>
      <c r="Q802">
        <v>5</v>
      </c>
      <c r="R802">
        <v>4138.09</v>
      </c>
      <c r="S802" t="s">
        <v>39</v>
      </c>
    </row>
    <row r="803" spans="1:19" x14ac:dyDescent="0.3">
      <c r="A803" t="s">
        <v>873</v>
      </c>
      <c r="B803">
        <v>36</v>
      </c>
      <c r="C803" t="s">
        <v>31</v>
      </c>
      <c r="D803" t="s">
        <v>89</v>
      </c>
      <c r="E803" s="1">
        <v>45070</v>
      </c>
      <c r="F803" s="3">
        <v>45084</v>
      </c>
      <c r="G803" t="s">
        <v>62</v>
      </c>
      <c r="H803" t="s">
        <v>63</v>
      </c>
      <c r="I803" t="s">
        <v>35</v>
      </c>
      <c r="J803">
        <v>8362.33</v>
      </c>
      <c r="K803">
        <v>14</v>
      </c>
      <c r="L803" t="s">
        <v>36</v>
      </c>
      <c r="M803" t="s">
        <v>25</v>
      </c>
      <c r="N803" t="s">
        <v>55</v>
      </c>
      <c r="O803" t="s">
        <v>37</v>
      </c>
      <c r="P803" t="s">
        <v>28</v>
      </c>
      <c r="Q803">
        <v>8</v>
      </c>
      <c r="R803">
        <v>1489.22</v>
      </c>
      <c r="S803" t="s">
        <v>29</v>
      </c>
    </row>
    <row r="804" spans="1:19" x14ac:dyDescent="0.3">
      <c r="A804" t="s">
        <v>874</v>
      </c>
      <c r="B804">
        <v>19</v>
      </c>
      <c r="C804" t="s">
        <v>31</v>
      </c>
      <c r="D804" t="s">
        <v>89</v>
      </c>
      <c r="E804" s="1">
        <v>45031</v>
      </c>
      <c r="F804" s="3">
        <v>45048</v>
      </c>
      <c r="G804" t="s">
        <v>62</v>
      </c>
      <c r="H804" t="s">
        <v>63</v>
      </c>
      <c r="I804" t="s">
        <v>81</v>
      </c>
      <c r="J804">
        <v>12935.72</v>
      </c>
      <c r="K804">
        <v>17</v>
      </c>
      <c r="L804" t="s">
        <v>36</v>
      </c>
      <c r="M804" t="s">
        <v>101</v>
      </c>
      <c r="N804" t="s">
        <v>44</v>
      </c>
      <c r="O804" t="s">
        <v>49</v>
      </c>
      <c r="P804" t="s">
        <v>50</v>
      </c>
      <c r="Q804">
        <v>13</v>
      </c>
      <c r="R804">
        <v>4911.5600000000004</v>
      </c>
      <c r="S804" t="s">
        <v>39</v>
      </c>
    </row>
    <row r="805" spans="1:19" x14ac:dyDescent="0.3">
      <c r="A805" t="s">
        <v>875</v>
      </c>
      <c r="B805">
        <v>82</v>
      </c>
      <c r="C805" t="s">
        <v>19</v>
      </c>
      <c r="D805" t="s">
        <v>66</v>
      </c>
      <c r="E805" s="1">
        <v>45213</v>
      </c>
      <c r="F805" s="3">
        <v>45222</v>
      </c>
      <c r="G805" t="s">
        <v>48</v>
      </c>
      <c r="H805" t="s">
        <v>22</v>
      </c>
      <c r="I805" t="s">
        <v>81</v>
      </c>
      <c r="J805">
        <v>5139.87</v>
      </c>
      <c r="K805">
        <v>9</v>
      </c>
      <c r="L805" t="s">
        <v>36</v>
      </c>
      <c r="M805" t="s">
        <v>25</v>
      </c>
      <c r="N805" t="s">
        <v>55</v>
      </c>
      <c r="O805" t="s">
        <v>56</v>
      </c>
      <c r="P805" t="s">
        <v>38</v>
      </c>
      <c r="Q805">
        <v>11</v>
      </c>
      <c r="R805">
        <v>821.5</v>
      </c>
      <c r="S805" t="s">
        <v>29</v>
      </c>
    </row>
    <row r="806" spans="1:19" x14ac:dyDescent="0.3">
      <c r="A806" t="s">
        <v>876</v>
      </c>
      <c r="B806">
        <v>79</v>
      </c>
      <c r="C806" t="s">
        <v>19</v>
      </c>
      <c r="D806" t="s">
        <v>89</v>
      </c>
      <c r="E806" s="1">
        <v>45312</v>
      </c>
      <c r="F806" s="3">
        <v>45328</v>
      </c>
      <c r="G806" t="s">
        <v>52</v>
      </c>
      <c r="H806" t="s">
        <v>53</v>
      </c>
      <c r="I806" t="s">
        <v>43</v>
      </c>
      <c r="J806">
        <v>5092.2700000000004</v>
      </c>
      <c r="K806">
        <v>16</v>
      </c>
      <c r="L806" t="s">
        <v>36</v>
      </c>
      <c r="M806" t="s">
        <v>25</v>
      </c>
      <c r="N806" t="s">
        <v>55</v>
      </c>
      <c r="O806" t="s">
        <v>27</v>
      </c>
      <c r="P806" t="s">
        <v>50</v>
      </c>
      <c r="Q806">
        <v>15</v>
      </c>
      <c r="R806">
        <v>1278.68</v>
      </c>
      <c r="S806" t="s">
        <v>29</v>
      </c>
    </row>
    <row r="807" spans="1:19" x14ac:dyDescent="0.3">
      <c r="A807" t="s">
        <v>877</v>
      </c>
      <c r="B807">
        <v>83</v>
      </c>
      <c r="C807" t="s">
        <v>31</v>
      </c>
      <c r="D807" t="s">
        <v>66</v>
      </c>
      <c r="E807" s="1">
        <v>44940</v>
      </c>
      <c r="F807" s="3">
        <v>44949</v>
      </c>
      <c r="G807" t="s">
        <v>93</v>
      </c>
      <c r="H807" t="s">
        <v>72</v>
      </c>
      <c r="I807" t="s">
        <v>23</v>
      </c>
      <c r="J807">
        <v>5082.32</v>
      </c>
      <c r="K807">
        <v>9</v>
      </c>
      <c r="L807" t="s">
        <v>36</v>
      </c>
      <c r="M807" t="s">
        <v>25</v>
      </c>
      <c r="N807" t="s">
        <v>55</v>
      </c>
      <c r="O807" t="s">
        <v>27</v>
      </c>
      <c r="P807" t="s">
        <v>50</v>
      </c>
      <c r="Q807">
        <v>15</v>
      </c>
      <c r="R807">
        <v>858.88</v>
      </c>
      <c r="S807" t="s">
        <v>29</v>
      </c>
    </row>
    <row r="808" spans="1:19" x14ac:dyDescent="0.3">
      <c r="A808" t="s">
        <v>878</v>
      </c>
      <c r="B808">
        <v>31</v>
      </c>
      <c r="C808" t="s">
        <v>31</v>
      </c>
      <c r="D808" t="s">
        <v>79</v>
      </c>
      <c r="E808" s="1">
        <v>45071</v>
      </c>
      <c r="F808" s="3">
        <v>45088</v>
      </c>
      <c r="G808" t="s">
        <v>62</v>
      </c>
      <c r="H808" t="s">
        <v>63</v>
      </c>
      <c r="I808" t="s">
        <v>91</v>
      </c>
      <c r="J808">
        <v>10955.85</v>
      </c>
      <c r="K808">
        <v>17</v>
      </c>
      <c r="L808" t="s">
        <v>36</v>
      </c>
      <c r="M808" t="s">
        <v>25</v>
      </c>
      <c r="N808" t="s">
        <v>55</v>
      </c>
      <c r="O808" t="s">
        <v>37</v>
      </c>
      <c r="P808" t="s">
        <v>28</v>
      </c>
      <c r="Q808">
        <v>15</v>
      </c>
      <c r="R808">
        <v>2979.49</v>
      </c>
      <c r="S808" t="s">
        <v>29</v>
      </c>
    </row>
    <row r="809" spans="1:19" x14ac:dyDescent="0.3">
      <c r="A809" t="s">
        <v>879</v>
      </c>
      <c r="B809">
        <v>23</v>
      </c>
      <c r="C809" t="s">
        <v>19</v>
      </c>
      <c r="D809" t="s">
        <v>79</v>
      </c>
      <c r="E809" s="1">
        <v>45130</v>
      </c>
      <c r="F809" s="3">
        <v>45153</v>
      </c>
      <c r="G809" t="s">
        <v>52</v>
      </c>
      <c r="H809" t="s">
        <v>53</v>
      </c>
      <c r="I809" t="s">
        <v>91</v>
      </c>
      <c r="J809">
        <v>10199.030000000001</v>
      </c>
      <c r="K809">
        <v>23</v>
      </c>
      <c r="L809" t="s">
        <v>36</v>
      </c>
      <c r="M809" t="s">
        <v>25</v>
      </c>
      <c r="N809" t="s">
        <v>55</v>
      </c>
      <c r="O809" t="s">
        <v>49</v>
      </c>
      <c r="P809" t="s">
        <v>45</v>
      </c>
      <c r="Q809">
        <v>9</v>
      </c>
      <c r="R809">
        <v>2020.94</v>
      </c>
      <c r="S809" t="s">
        <v>39</v>
      </c>
    </row>
    <row r="810" spans="1:19" x14ac:dyDescent="0.3">
      <c r="A810" t="s">
        <v>880</v>
      </c>
      <c r="B810">
        <v>60</v>
      </c>
      <c r="C810" t="s">
        <v>19</v>
      </c>
      <c r="D810" t="s">
        <v>47</v>
      </c>
      <c r="E810" s="1">
        <v>45902</v>
      </c>
      <c r="F810" s="3">
        <v>45919</v>
      </c>
      <c r="G810" t="s">
        <v>74</v>
      </c>
      <c r="H810" t="s">
        <v>75</v>
      </c>
      <c r="I810" t="s">
        <v>43</v>
      </c>
      <c r="J810">
        <v>17374.98</v>
      </c>
      <c r="K810">
        <v>17</v>
      </c>
      <c r="L810" t="s">
        <v>36</v>
      </c>
      <c r="M810" t="s">
        <v>25</v>
      </c>
      <c r="N810" t="s">
        <v>55</v>
      </c>
      <c r="O810" t="s">
        <v>49</v>
      </c>
      <c r="P810" t="s">
        <v>28</v>
      </c>
      <c r="Q810">
        <v>8</v>
      </c>
      <c r="R810">
        <v>4355.0200000000004</v>
      </c>
      <c r="S810" t="s">
        <v>29</v>
      </c>
    </row>
    <row r="811" spans="1:19" x14ac:dyDescent="0.3">
      <c r="A811" t="s">
        <v>881</v>
      </c>
      <c r="B811">
        <v>65</v>
      </c>
      <c r="C811" t="s">
        <v>19</v>
      </c>
      <c r="D811" t="s">
        <v>70</v>
      </c>
      <c r="E811" s="1">
        <v>45781</v>
      </c>
      <c r="F811" s="3">
        <v>45802</v>
      </c>
      <c r="G811" t="s">
        <v>21</v>
      </c>
      <c r="H811" t="s">
        <v>22</v>
      </c>
      <c r="I811" t="s">
        <v>91</v>
      </c>
      <c r="J811">
        <v>11083.13</v>
      </c>
      <c r="K811">
        <v>21</v>
      </c>
      <c r="L811" t="s">
        <v>24</v>
      </c>
      <c r="M811" t="s">
        <v>25</v>
      </c>
      <c r="N811" t="s">
        <v>44</v>
      </c>
      <c r="O811" t="s">
        <v>49</v>
      </c>
      <c r="P811" t="s">
        <v>38</v>
      </c>
      <c r="Q811">
        <v>6</v>
      </c>
      <c r="R811">
        <v>2248.56</v>
      </c>
      <c r="S811" t="s">
        <v>29</v>
      </c>
    </row>
    <row r="812" spans="1:19" x14ac:dyDescent="0.3">
      <c r="A812" t="s">
        <v>882</v>
      </c>
      <c r="B812">
        <v>33</v>
      </c>
      <c r="C812" t="s">
        <v>31</v>
      </c>
      <c r="D812" t="s">
        <v>20</v>
      </c>
      <c r="E812" s="1">
        <v>45630</v>
      </c>
      <c r="F812" s="3">
        <v>45658</v>
      </c>
      <c r="G812" t="s">
        <v>21</v>
      </c>
      <c r="H812" t="s">
        <v>22</v>
      </c>
      <c r="I812" t="s">
        <v>43</v>
      </c>
      <c r="J812">
        <v>21077.18</v>
      </c>
      <c r="K812">
        <v>28</v>
      </c>
      <c r="L812" t="s">
        <v>36</v>
      </c>
      <c r="M812" t="s">
        <v>25</v>
      </c>
      <c r="N812" t="s">
        <v>44</v>
      </c>
      <c r="O812" t="s">
        <v>49</v>
      </c>
      <c r="P812" t="s">
        <v>28</v>
      </c>
      <c r="Q812">
        <v>2</v>
      </c>
      <c r="R812">
        <v>4189.29</v>
      </c>
      <c r="S812" t="s">
        <v>29</v>
      </c>
    </row>
    <row r="813" spans="1:19" x14ac:dyDescent="0.3">
      <c r="A813" t="s">
        <v>883</v>
      </c>
      <c r="B813">
        <v>37</v>
      </c>
      <c r="C813" t="s">
        <v>19</v>
      </c>
      <c r="D813" t="s">
        <v>89</v>
      </c>
      <c r="E813" s="1">
        <v>45764</v>
      </c>
      <c r="F813" s="3">
        <v>45784</v>
      </c>
      <c r="G813" t="s">
        <v>41</v>
      </c>
      <c r="H813" t="s">
        <v>42</v>
      </c>
      <c r="I813" t="s">
        <v>83</v>
      </c>
      <c r="J813">
        <v>13046.58</v>
      </c>
      <c r="K813">
        <v>20</v>
      </c>
      <c r="L813" t="s">
        <v>36</v>
      </c>
      <c r="M813" t="s">
        <v>25</v>
      </c>
      <c r="N813" t="s">
        <v>44</v>
      </c>
      <c r="O813" t="s">
        <v>27</v>
      </c>
      <c r="P813" t="s">
        <v>28</v>
      </c>
      <c r="Q813">
        <v>3</v>
      </c>
      <c r="R813">
        <v>3719.34</v>
      </c>
      <c r="S813" t="s">
        <v>29</v>
      </c>
    </row>
    <row r="814" spans="1:19" x14ac:dyDescent="0.3">
      <c r="A814" t="s">
        <v>884</v>
      </c>
      <c r="B814">
        <v>90</v>
      </c>
      <c r="C814" t="s">
        <v>19</v>
      </c>
      <c r="D814" t="s">
        <v>89</v>
      </c>
      <c r="E814" s="1">
        <v>45468</v>
      </c>
      <c r="F814" s="3">
        <v>45492</v>
      </c>
      <c r="G814" t="s">
        <v>71</v>
      </c>
      <c r="H814" t="s">
        <v>72</v>
      </c>
      <c r="I814" t="s">
        <v>58</v>
      </c>
      <c r="J814">
        <v>17164.11</v>
      </c>
      <c r="K814">
        <v>24</v>
      </c>
      <c r="L814" t="s">
        <v>24</v>
      </c>
      <c r="M814" t="s">
        <v>25</v>
      </c>
      <c r="N814" t="s">
        <v>44</v>
      </c>
      <c r="O814" t="s">
        <v>49</v>
      </c>
      <c r="P814" t="s">
        <v>28</v>
      </c>
      <c r="Q814">
        <v>7</v>
      </c>
      <c r="R814">
        <v>3881.63</v>
      </c>
      <c r="S814" t="s">
        <v>39</v>
      </c>
    </row>
    <row r="815" spans="1:19" x14ac:dyDescent="0.3">
      <c r="A815" t="s">
        <v>885</v>
      </c>
      <c r="B815">
        <v>80</v>
      </c>
      <c r="C815" t="s">
        <v>31</v>
      </c>
      <c r="D815" t="s">
        <v>79</v>
      </c>
      <c r="E815" s="1">
        <v>45886</v>
      </c>
      <c r="F815" s="3">
        <v>45887</v>
      </c>
      <c r="G815" t="s">
        <v>71</v>
      </c>
      <c r="H815" t="s">
        <v>72</v>
      </c>
      <c r="I815" t="s">
        <v>81</v>
      </c>
      <c r="J815">
        <v>1741.91</v>
      </c>
      <c r="K815">
        <v>1</v>
      </c>
      <c r="L815" t="s">
        <v>36</v>
      </c>
      <c r="M815" t="s">
        <v>25</v>
      </c>
      <c r="N815" t="s">
        <v>26</v>
      </c>
      <c r="O815" t="s">
        <v>37</v>
      </c>
      <c r="P815" t="s">
        <v>50</v>
      </c>
      <c r="Q815">
        <v>13</v>
      </c>
      <c r="R815">
        <v>361.68</v>
      </c>
      <c r="S815" t="s">
        <v>29</v>
      </c>
    </row>
    <row r="816" spans="1:19" x14ac:dyDescent="0.3">
      <c r="A816" t="s">
        <v>886</v>
      </c>
      <c r="B816">
        <v>75</v>
      </c>
      <c r="C816" t="s">
        <v>31</v>
      </c>
      <c r="D816" t="s">
        <v>20</v>
      </c>
      <c r="E816" s="1">
        <v>45861</v>
      </c>
      <c r="F816" s="3">
        <v>45876</v>
      </c>
      <c r="G816" t="s">
        <v>48</v>
      </c>
      <c r="H816" t="s">
        <v>22</v>
      </c>
      <c r="I816" t="s">
        <v>81</v>
      </c>
      <c r="J816">
        <v>10901.53</v>
      </c>
      <c r="K816">
        <v>15</v>
      </c>
      <c r="L816" t="s">
        <v>24</v>
      </c>
      <c r="M816" t="s">
        <v>25</v>
      </c>
      <c r="N816" t="s">
        <v>55</v>
      </c>
      <c r="O816" t="s">
        <v>37</v>
      </c>
      <c r="P816" t="s">
        <v>50</v>
      </c>
      <c r="Q816">
        <v>14</v>
      </c>
      <c r="R816">
        <v>4132.5</v>
      </c>
      <c r="S816" t="s">
        <v>39</v>
      </c>
    </row>
    <row r="817" spans="1:19" x14ac:dyDescent="0.3">
      <c r="A817" t="s">
        <v>887</v>
      </c>
      <c r="B817">
        <v>47</v>
      </c>
      <c r="C817" t="s">
        <v>19</v>
      </c>
      <c r="D817" t="s">
        <v>61</v>
      </c>
      <c r="E817" s="1">
        <v>45274</v>
      </c>
      <c r="F817" s="3">
        <v>45280</v>
      </c>
      <c r="G817" t="s">
        <v>74</v>
      </c>
      <c r="H817" t="s">
        <v>75</v>
      </c>
      <c r="I817" t="s">
        <v>91</v>
      </c>
      <c r="J817">
        <v>5860</v>
      </c>
      <c r="K817">
        <v>6</v>
      </c>
      <c r="L817" t="s">
        <v>36</v>
      </c>
      <c r="M817" t="s">
        <v>25</v>
      </c>
      <c r="N817" t="s">
        <v>55</v>
      </c>
      <c r="O817" t="s">
        <v>37</v>
      </c>
      <c r="P817" t="s">
        <v>28</v>
      </c>
      <c r="Q817">
        <v>6</v>
      </c>
      <c r="R817">
        <v>2230.5100000000002</v>
      </c>
      <c r="S817" t="s">
        <v>29</v>
      </c>
    </row>
    <row r="818" spans="1:19" x14ac:dyDescent="0.3">
      <c r="A818" t="s">
        <v>888</v>
      </c>
      <c r="B818">
        <v>31</v>
      </c>
      <c r="C818" t="s">
        <v>31</v>
      </c>
      <c r="D818" t="s">
        <v>61</v>
      </c>
      <c r="E818" s="1">
        <v>44965</v>
      </c>
      <c r="F818" s="3">
        <v>44980</v>
      </c>
      <c r="G818" t="s">
        <v>67</v>
      </c>
      <c r="H818" t="s">
        <v>42</v>
      </c>
      <c r="I818" t="s">
        <v>83</v>
      </c>
      <c r="J818">
        <v>4319.75</v>
      </c>
      <c r="K818">
        <v>15</v>
      </c>
      <c r="L818" t="s">
        <v>24</v>
      </c>
      <c r="M818" t="s">
        <v>76</v>
      </c>
      <c r="N818" t="s">
        <v>44</v>
      </c>
      <c r="O818" t="s">
        <v>37</v>
      </c>
      <c r="P818" t="s">
        <v>28</v>
      </c>
      <c r="Q818">
        <v>5</v>
      </c>
      <c r="R818">
        <v>1101.1099999999999</v>
      </c>
      <c r="S818" t="s">
        <v>29</v>
      </c>
    </row>
    <row r="819" spans="1:19" x14ac:dyDescent="0.3">
      <c r="A819" t="s">
        <v>889</v>
      </c>
      <c r="B819">
        <v>32</v>
      </c>
      <c r="C819" t="s">
        <v>31</v>
      </c>
      <c r="D819" t="s">
        <v>61</v>
      </c>
      <c r="E819" s="1">
        <v>45568</v>
      </c>
      <c r="F819" s="3">
        <v>45587</v>
      </c>
      <c r="G819" t="s">
        <v>52</v>
      </c>
      <c r="H819" t="s">
        <v>53</v>
      </c>
      <c r="I819" t="s">
        <v>35</v>
      </c>
      <c r="J819">
        <v>9071.09</v>
      </c>
      <c r="K819">
        <v>19</v>
      </c>
      <c r="L819" t="s">
        <v>24</v>
      </c>
      <c r="M819" t="s">
        <v>25</v>
      </c>
      <c r="N819" t="s">
        <v>44</v>
      </c>
      <c r="O819" t="s">
        <v>56</v>
      </c>
      <c r="P819" t="s">
        <v>38</v>
      </c>
      <c r="Q819">
        <v>9</v>
      </c>
      <c r="R819">
        <v>3555.14</v>
      </c>
      <c r="S819" t="s">
        <v>29</v>
      </c>
    </row>
    <row r="820" spans="1:19" x14ac:dyDescent="0.3">
      <c r="A820" t="s">
        <v>890</v>
      </c>
      <c r="B820">
        <v>59</v>
      </c>
      <c r="C820" t="s">
        <v>31</v>
      </c>
      <c r="D820" t="s">
        <v>20</v>
      </c>
      <c r="E820" s="1">
        <v>45038</v>
      </c>
      <c r="F820" s="3">
        <v>45053</v>
      </c>
      <c r="G820" t="s">
        <v>21</v>
      </c>
      <c r="H820" t="s">
        <v>22</v>
      </c>
      <c r="I820" t="s">
        <v>83</v>
      </c>
      <c r="J820">
        <v>9923.3700000000008</v>
      </c>
      <c r="K820">
        <v>15</v>
      </c>
      <c r="L820" t="s">
        <v>24</v>
      </c>
      <c r="M820" t="s">
        <v>25</v>
      </c>
      <c r="N820" t="s">
        <v>44</v>
      </c>
      <c r="O820" t="s">
        <v>27</v>
      </c>
      <c r="P820" t="s">
        <v>50</v>
      </c>
      <c r="Q820">
        <v>3</v>
      </c>
      <c r="R820">
        <v>2899.17</v>
      </c>
      <c r="S820" t="s">
        <v>29</v>
      </c>
    </row>
    <row r="821" spans="1:19" x14ac:dyDescent="0.3">
      <c r="A821" t="s">
        <v>891</v>
      </c>
      <c r="B821">
        <v>66</v>
      </c>
      <c r="C821" t="s">
        <v>19</v>
      </c>
      <c r="D821" t="s">
        <v>70</v>
      </c>
      <c r="E821" s="1">
        <v>45687</v>
      </c>
      <c r="F821" s="3">
        <v>45710</v>
      </c>
      <c r="G821" t="s">
        <v>41</v>
      </c>
      <c r="H821" t="s">
        <v>42</v>
      </c>
      <c r="I821" t="s">
        <v>23</v>
      </c>
      <c r="J821">
        <v>13721.08</v>
      </c>
      <c r="K821">
        <v>23</v>
      </c>
      <c r="L821" t="s">
        <v>36</v>
      </c>
      <c r="M821" t="s">
        <v>25</v>
      </c>
      <c r="N821" t="s">
        <v>26</v>
      </c>
      <c r="O821" t="s">
        <v>49</v>
      </c>
      <c r="P821" t="s">
        <v>50</v>
      </c>
      <c r="Q821">
        <v>5</v>
      </c>
      <c r="R821">
        <v>2536.2199999999998</v>
      </c>
      <c r="S821" t="s">
        <v>29</v>
      </c>
    </row>
    <row r="822" spans="1:19" x14ac:dyDescent="0.3">
      <c r="A822" t="s">
        <v>892</v>
      </c>
      <c r="B822">
        <v>23</v>
      </c>
      <c r="C822" t="s">
        <v>19</v>
      </c>
      <c r="D822" t="s">
        <v>79</v>
      </c>
      <c r="E822" s="1">
        <v>45518</v>
      </c>
      <c r="F822" s="3">
        <v>45547</v>
      </c>
      <c r="G822" t="s">
        <v>52</v>
      </c>
      <c r="H822" t="s">
        <v>53</v>
      </c>
      <c r="I822" t="s">
        <v>43</v>
      </c>
      <c r="J822">
        <v>17128.599999999999</v>
      </c>
      <c r="K822">
        <v>29</v>
      </c>
      <c r="L822" t="s">
        <v>36</v>
      </c>
      <c r="M822" t="s">
        <v>25</v>
      </c>
      <c r="N822" t="s">
        <v>44</v>
      </c>
      <c r="O822" t="s">
        <v>49</v>
      </c>
      <c r="P822" t="s">
        <v>38</v>
      </c>
      <c r="Q822">
        <v>13</v>
      </c>
      <c r="R822">
        <v>6020.83</v>
      </c>
      <c r="S822" t="s">
        <v>29</v>
      </c>
    </row>
    <row r="823" spans="1:19" x14ac:dyDescent="0.3">
      <c r="A823" t="s">
        <v>893</v>
      </c>
      <c r="B823">
        <v>84</v>
      </c>
      <c r="C823" t="s">
        <v>31</v>
      </c>
      <c r="D823" t="s">
        <v>47</v>
      </c>
      <c r="E823" s="1">
        <v>45378</v>
      </c>
      <c r="F823" s="3">
        <v>45379</v>
      </c>
      <c r="G823" t="s">
        <v>33</v>
      </c>
      <c r="H823" t="s">
        <v>34</v>
      </c>
      <c r="I823" t="s">
        <v>81</v>
      </c>
      <c r="J823">
        <v>1845.07</v>
      </c>
      <c r="K823">
        <v>1</v>
      </c>
      <c r="L823" t="s">
        <v>24</v>
      </c>
      <c r="M823" t="s">
        <v>25</v>
      </c>
      <c r="N823" t="s">
        <v>26</v>
      </c>
      <c r="O823" t="s">
        <v>37</v>
      </c>
      <c r="P823" t="s">
        <v>28</v>
      </c>
      <c r="Q823">
        <v>14</v>
      </c>
      <c r="R823">
        <v>414.48</v>
      </c>
      <c r="S823" t="s">
        <v>29</v>
      </c>
    </row>
    <row r="824" spans="1:19" x14ac:dyDescent="0.3">
      <c r="A824" t="s">
        <v>894</v>
      </c>
      <c r="B824">
        <v>87</v>
      </c>
      <c r="C824" t="s">
        <v>31</v>
      </c>
      <c r="D824" t="s">
        <v>20</v>
      </c>
      <c r="E824" s="1">
        <v>45090</v>
      </c>
      <c r="F824" s="3">
        <v>45109</v>
      </c>
      <c r="G824" t="s">
        <v>33</v>
      </c>
      <c r="H824" t="s">
        <v>34</v>
      </c>
      <c r="I824" t="s">
        <v>81</v>
      </c>
      <c r="J824">
        <v>12192.49</v>
      </c>
      <c r="K824">
        <v>19</v>
      </c>
      <c r="L824" t="s">
        <v>36</v>
      </c>
      <c r="M824" t="s">
        <v>101</v>
      </c>
      <c r="N824" t="s">
        <v>44</v>
      </c>
      <c r="O824" t="s">
        <v>49</v>
      </c>
      <c r="P824" t="s">
        <v>38</v>
      </c>
      <c r="Q824">
        <v>5</v>
      </c>
      <c r="R824">
        <v>3163.62</v>
      </c>
      <c r="S824" t="s">
        <v>29</v>
      </c>
    </row>
    <row r="825" spans="1:19" x14ac:dyDescent="0.3">
      <c r="A825" t="s">
        <v>895</v>
      </c>
      <c r="B825">
        <v>56</v>
      </c>
      <c r="C825" t="s">
        <v>31</v>
      </c>
      <c r="D825" t="s">
        <v>32</v>
      </c>
      <c r="E825" s="1">
        <v>45569</v>
      </c>
      <c r="F825" s="3">
        <v>45578</v>
      </c>
      <c r="G825" t="s">
        <v>33</v>
      </c>
      <c r="H825" t="s">
        <v>34</v>
      </c>
      <c r="I825" t="s">
        <v>23</v>
      </c>
      <c r="J825">
        <v>4542.8999999999996</v>
      </c>
      <c r="K825">
        <v>9</v>
      </c>
      <c r="L825" t="s">
        <v>24</v>
      </c>
      <c r="M825" t="s">
        <v>25</v>
      </c>
      <c r="N825" t="s">
        <v>44</v>
      </c>
      <c r="O825" t="s">
        <v>27</v>
      </c>
      <c r="P825" t="s">
        <v>38</v>
      </c>
      <c r="Q825">
        <v>15</v>
      </c>
      <c r="R825">
        <v>1076.55</v>
      </c>
      <c r="S825" t="s">
        <v>29</v>
      </c>
    </row>
    <row r="826" spans="1:19" x14ac:dyDescent="0.3">
      <c r="A826" t="s">
        <v>896</v>
      </c>
      <c r="B826">
        <v>80</v>
      </c>
      <c r="C826" t="s">
        <v>31</v>
      </c>
      <c r="D826" t="s">
        <v>79</v>
      </c>
      <c r="E826" s="1">
        <v>45402</v>
      </c>
      <c r="F826" s="3">
        <v>45405</v>
      </c>
      <c r="G826" t="s">
        <v>62</v>
      </c>
      <c r="H826" t="s">
        <v>63</v>
      </c>
      <c r="I826" t="s">
        <v>35</v>
      </c>
      <c r="J826">
        <v>3693.99</v>
      </c>
      <c r="K826">
        <v>3</v>
      </c>
      <c r="L826" t="s">
        <v>24</v>
      </c>
      <c r="M826" t="s">
        <v>25</v>
      </c>
      <c r="N826" t="s">
        <v>26</v>
      </c>
      <c r="O826" t="s">
        <v>56</v>
      </c>
      <c r="P826" t="s">
        <v>38</v>
      </c>
      <c r="Q826">
        <v>11</v>
      </c>
      <c r="R826">
        <v>1383.96</v>
      </c>
      <c r="S826" t="s">
        <v>29</v>
      </c>
    </row>
    <row r="827" spans="1:19" x14ac:dyDescent="0.3">
      <c r="A827" t="s">
        <v>897</v>
      </c>
      <c r="B827">
        <v>89</v>
      </c>
      <c r="C827" t="s">
        <v>31</v>
      </c>
      <c r="D827" t="s">
        <v>79</v>
      </c>
      <c r="E827" s="1">
        <v>45407</v>
      </c>
      <c r="F827" s="3">
        <v>45425</v>
      </c>
      <c r="G827" t="s">
        <v>71</v>
      </c>
      <c r="H827" t="s">
        <v>72</v>
      </c>
      <c r="I827" t="s">
        <v>54</v>
      </c>
      <c r="J827">
        <v>18191</v>
      </c>
      <c r="K827">
        <v>18</v>
      </c>
      <c r="L827" t="s">
        <v>24</v>
      </c>
      <c r="M827" t="s">
        <v>25</v>
      </c>
      <c r="N827" t="s">
        <v>44</v>
      </c>
      <c r="O827" t="s">
        <v>49</v>
      </c>
      <c r="P827" t="s">
        <v>45</v>
      </c>
      <c r="Q827">
        <v>6</v>
      </c>
      <c r="R827">
        <v>7145.02</v>
      </c>
      <c r="S827" t="s">
        <v>29</v>
      </c>
    </row>
    <row r="828" spans="1:19" x14ac:dyDescent="0.3">
      <c r="A828" t="s">
        <v>898</v>
      </c>
      <c r="B828">
        <v>26</v>
      </c>
      <c r="C828" t="s">
        <v>19</v>
      </c>
      <c r="D828" t="s">
        <v>89</v>
      </c>
      <c r="E828" s="1">
        <v>44977</v>
      </c>
      <c r="F828" s="3">
        <v>44993</v>
      </c>
      <c r="G828" t="s">
        <v>74</v>
      </c>
      <c r="H828" t="s">
        <v>75</v>
      </c>
      <c r="I828" t="s">
        <v>54</v>
      </c>
      <c r="J828">
        <v>6068.49</v>
      </c>
      <c r="K828">
        <v>16</v>
      </c>
      <c r="L828" t="s">
        <v>36</v>
      </c>
      <c r="M828" t="s">
        <v>25</v>
      </c>
      <c r="N828" t="s">
        <v>44</v>
      </c>
      <c r="O828" t="s">
        <v>27</v>
      </c>
      <c r="P828" t="s">
        <v>38</v>
      </c>
      <c r="Q828">
        <v>4</v>
      </c>
      <c r="R828">
        <v>2188.54</v>
      </c>
      <c r="S828" t="s">
        <v>29</v>
      </c>
    </row>
    <row r="829" spans="1:19" x14ac:dyDescent="0.3">
      <c r="A829" t="s">
        <v>899</v>
      </c>
      <c r="B829">
        <v>90</v>
      </c>
      <c r="C829" t="s">
        <v>19</v>
      </c>
      <c r="D829" t="s">
        <v>79</v>
      </c>
      <c r="E829" s="1">
        <v>45500</v>
      </c>
      <c r="F829" s="3">
        <v>45523</v>
      </c>
      <c r="G829" t="s">
        <v>93</v>
      </c>
      <c r="H829" t="s">
        <v>72</v>
      </c>
      <c r="I829" t="s">
        <v>83</v>
      </c>
      <c r="J829">
        <v>21703.759999999998</v>
      </c>
      <c r="K829">
        <v>23</v>
      </c>
      <c r="L829" t="s">
        <v>36</v>
      </c>
      <c r="M829" t="s">
        <v>25</v>
      </c>
      <c r="N829" t="s">
        <v>55</v>
      </c>
      <c r="O829" t="s">
        <v>49</v>
      </c>
      <c r="P829" t="s">
        <v>28</v>
      </c>
      <c r="Q829">
        <v>13</v>
      </c>
      <c r="R829">
        <v>6997.39</v>
      </c>
      <c r="S829" t="s">
        <v>29</v>
      </c>
    </row>
    <row r="830" spans="1:19" x14ac:dyDescent="0.3">
      <c r="A830" t="s">
        <v>900</v>
      </c>
      <c r="B830">
        <v>67</v>
      </c>
      <c r="C830" t="s">
        <v>19</v>
      </c>
      <c r="D830" t="s">
        <v>79</v>
      </c>
      <c r="E830" s="1">
        <v>45389</v>
      </c>
      <c r="F830" s="3">
        <v>45403</v>
      </c>
      <c r="G830" t="s">
        <v>52</v>
      </c>
      <c r="H830" t="s">
        <v>53</v>
      </c>
      <c r="I830" t="s">
        <v>35</v>
      </c>
      <c r="J830">
        <v>13690.27</v>
      </c>
      <c r="K830">
        <v>14</v>
      </c>
      <c r="L830" t="s">
        <v>24</v>
      </c>
      <c r="M830" t="s">
        <v>25</v>
      </c>
      <c r="N830" t="s">
        <v>55</v>
      </c>
      <c r="O830" t="s">
        <v>49</v>
      </c>
      <c r="P830" t="s">
        <v>38</v>
      </c>
      <c r="Q830">
        <v>3</v>
      </c>
      <c r="R830">
        <v>5254.64</v>
      </c>
      <c r="S830" t="s">
        <v>29</v>
      </c>
    </row>
    <row r="831" spans="1:19" x14ac:dyDescent="0.3">
      <c r="A831" t="s">
        <v>901</v>
      </c>
      <c r="B831">
        <v>28</v>
      </c>
      <c r="C831" t="s">
        <v>19</v>
      </c>
      <c r="D831" t="s">
        <v>20</v>
      </c>
      <c r="E831" s="1">
        <v>45500</v>
      </c>
      <c r="F831" s="3">
        <v>45516</v>
      </c>
      <c r="G831" t="s">
        <v>33</v>
      </c>
      <c r="H831" t="s">
        <v>34</v>
      </c>
      <c r="I831" t="s">
        <v>83</v>
      </c>
      <c r="J831">
        <v>15629.59</v>
      </c>
      <c r="K831">
        <v>16</v>
      </c>
      <c r="L831" t="s">
        <v>24</v>
      </c>
      <c r="M831" t="s">
        <v>25</v>
      </c>
      <c r="N831" t="s">
        <v>26</v>
      </c>
      <c r="O831" t="s">
        <v>49</v>
      </c>
      <c r="P831" t="s">
        <v>28</v>
      </c>
      <c r="Q831">
        <v>4</v>
      </c>
      <c r="R831">
        <v>4439.34</v>
      </c>
      <c r="S831" t="s">
        <v>29</v>
      </c>
    </row>
    <row r="832" spans="1:19" x14ac:dyDescent="0.3">
      <c r="A832" t="s">
        <v>902</v>
      </c>
      <c r="B832">
        <v>51</v>
      </c>
      <c r="C832" t="s">
        <v>19</v>
      </c>
      <c r="D832" t="s">
        <v>47</v>
      </c>
      <c r="E832" s="1">
        <v>44957</v>
      </c>
      <c r="F832" s="3">
        <v>44984</v>
      </c>
      <c r="G832" t="s">
        <v>71</v>
      </c>
      <c r="H832" t="s">
        <v>72</v>
      </c>
      <c r="I832" t="s">
        <v>54</v>
      </c>
      <c r="J832">
        <v>16498.46</v>
      </c>
      <c r="K832">
        <v>27</v>
      </c>
      <c r="L832" t="s">
        <v>24</v>
      </c>
      <c r="M832" t="s">
        <v>25</v>
      </c>
      <c r="N832" t="s">
        <v>44</v>
      </c>
      <c r="O832" t="s">
        <v>49</v>
      </c>
      <c r="P832" t="s">
        <v>45</v>
      </c>
      <c r="Q832">
        <v>3</v>
      </c>
      <c r="R832">
        <v>5535.18</v>
      </c>
      <c r="S832" t="s">
        <v>29</v>
      </c>
    </row>
    <row r="833" spans="1:19" x14ac:dyDescent="0.3">
      <c r="A833" t="s">
        <v>903</v>
      </c>
      <c r="B833">
        <v>79</v>
      </c>
      <c r="C833" t="s">
        <v>31</v>
      </c>
      <c r="D833" t="s">
        <v>47</v>
      </c>
      <c r="E833" s="1">
        <v>45313</v>
      </c>
      <c r="F833" s="3">
        <v>45324</v>
      </c>
      <c r="G833" t="s">
        <v>48</v>
      </c>
      <c r="H833" t="s">
        <v>22</v>
      </c>
      <c r="I833" t="s">
        <v>35</v>
      </c>
      <c r="J833">
        <v>7717.88</v>
      </c>
      <c r="K833">
        <v>11</v>
      </c>
      <c r="L833" t="s">
        <v>36</v>
      </c>
      <c r="M833" t="s">
        <v>25</v>
      </c>
      <c r="N833" t="s">
        <v>44</v>
      </c>
      <c r="O833" t="s">
        <v>49</v>
      </c>
      <c r="P833" t="s">
        <v>38</v>
      </c>
      <c r="Q833">
        <v>7</v>
      </c>
      <c r="R833">
        <v>1746.4</v>
      </c>
      <c r="S833" t="s">
        <v>39</v>
      </c>
    </row>
    <row r="834" spans="1:19" x14ac:dyDescent="0.3">
      <c r="A834" t="s">
        <v>904</v>
      </c>
      <c r="B834">
        <v>81</v>
      </c>
      <c r="C834" t="s">
        <v>19</v>
      </c>
      <c r="D834" t="s">
        <v>70</v>
      </c>
      <c r="E834" s="1">
        <v>45148</v>
      </c>
      <c r="F834" s="3">
        <v>45163</v>
      </c>
      <c r="G834" t="s">
        <v>93</v>
      </c>
      <c r="H834" t="s">
        <v>72</v>
      </c>
      <c r="I834" t="s">
        <v>35</v>
      </c>
      <c r="J834">
        <v>8015.12</v>
      </c>
      <c r="K834">
        <v>15</v>
      </c>
      <c r="L834" t="s">
        <v>36</v>
      </c>
      <c r="M834" t="s">
        <v>25</v>
      </c>
      <c r="N834" t="s">
        <v>55</v>
      </c>
      <c r="O834" t="s">
        <v>56</v>
      </c>
      <c r="P834" t="s">
        <v>50</v>
      </c>
      <c r="Q834">
        <v>7</v>
      </c>
      <c r="R834">
        <v>3182.64</v>
      </c>
      <c r="S834" t="s">
        <v>29</v>
      </c>
    </row>
    <row r="835" spans="1:19" x14ac:dyDescent="0.3">
      <c r="A835" t="s">
        <v>905</v>
      </c>
      <c r="B835">
        <v>89</v>
      </c>
      <c r="C835" t="s">
        <v>19</v>
      </c>
      <c r="D835" t="s">
        <v>79</v>
      </c>
      <c r="E835" s="1">
        <v>44968</v>
      </c>
      <c r="F835" s="3">
        <v>44996</v>
      </c>
      <c r="G835" t="s">
        <v>74</v>
      </c>
      <c r="H835" t="s">
        <v>75</v>
      </c>
      <c r="I835" t="s">
        <v>43</v>
      </c>
      <c r="J835">
        <v>19367.47</v>
      </c>
      <c r="K835">
        <v>28</v>
      </c>
      <c r="L835" t="s">
        <v>36</v>
      </c>
      <c r="M835" t="s">
        <v>25</v>
      </c>
      <c r="N835" t="s">
        <v>44</v>
      </c>
      <c r="O835" t="s">
        <v>49</v>
      </c>
      <c r="P835" t="s">
        <v>28</v>
      </c>
      <c r="Q835">
        <v>4</v>
      </c>
      <c r="R835">
        <v>3401.58</v>
      </c>
      <c r="S835" t="s">
        <v>29</v>
      </c>
    </row>
    <row r="836" spans="1:19" x14ac:dyDescent="0.3">
      <c r="A836" t="s">
        <v>906</v>
      </c>
      <c r="B836">
        <v>56</v>
      </c>
      <c r="C836" t="s">
        <v>19</v>
      </c>
      <c r="D836" t="s">
        <v>20</v>
      </c>
      <c r="E836" s="1">
        <v>45632</v>
      </c>
      <c r="F836" s="3">
        <v>45642</v>
      </c>
      <c r="G836" t="s">
        <v>93</v>
      </c>
      <c r="H836" t="s">
        <v>72</v>
      </c>
      <c r="I836" t="s">
        <v>35</v>
      </c>
      <c r="J836">
        <v>13303.69</v>
      </c>
      <c r="K836">
        <v>10</v>
      </c>
      <c r="L836" t="s">
        <v>36</v>
      </c>
      <c r="M836" t="s">
        <v>25</v>
      </c>
      <c r="N836" t="s">
        <v>55</v>
      </c>
      <c r="O836" t="s">
        <v>49</v>
      </c>
      <c r="P836" t="s">
        <v>45</v>
      </c>
      <c r="Q836">
        <v>15</v>
      </c>
      <c r="R836">
        <v>3876.27</v>
      </c>
      <c r="S836" t="s">
        <v>29</v>
      </c>
    </row>
    <row r="837" spans="1:19" x14ac:dyDescent="0.3">
      <c r="A837" t="s">
        <v>907</v>
      </c>
      <c r="B837">
        <v>26</v>
      </c>
      <c r="C837" t="s">
        <v>31</v>
      </c>
      <c r="D837" t="s">
        <v>79</v>
      </c>
      <c r="E837" s="1">
        <v>45860</v>
      </c>
      <c r="F837" s="3">
        <v>45863</v>
      </c>
      <c r="G837" t="s">
        <v>93</v>
      </c>
      <c r="H837" t="s">
        <v>72</v>
      </c>
      <c r="I837" t="s">
        <v>35</v>
      </c>
      <c r="J837">
        <v>7688.58</v>
      </c>
      <c r="K837">
        <v>3</v>
      </c>
      <c r="L837" t="s">
        <v>36</v>
      </c>
      <c r="M837" t="s">
        <v>25</v>
      </c>
      <c r="N837" t="s">
        <v>44</v>
      </c>
      <c r="O837" t="s">
        <v>49</v>
      </c>
      <c r="P837" t="s">
        <v>45</v>
      </c>
      <c r="Q837">
        <v>14</v>
      </c>
      <c r="R837">
        <v>2285.83</v>
      </c>
      <c r="S837" t="s">
        <v>29</v>
      </c>
    </row>
    <row r="838" spans="1:19" x14ac:dyDescent="0.3">
      <c r="A838" t="s">
        <v>908</v>
      </c>
      <c r="B838">
        <v>49</v>
      </c>
      <c r="C838" t="s">
        <v>31</v>
      </c>
      <c r="D838" t="s">
        <v>47</v>
      </c>
      <c r="E838" s="1">
        <v>44987</v>
      </c>
      <c r="F838" s="3">
        <v>45006</v>
      </c>
      <c r="G838" t="s">
        <v>41</v>
      </c>
      <c r="H838" t="s">
        <v>42</v>
      </c>
      <c r="I838" t="s">
        <v>58</v>
      </c>
      <c r="J838">
        <v>9355.02</v>
      </c>
      <c r="K838">
        <v>19</v>
      </c>
      <c r="L838" t="s">
        <v>36</v>
      </c>
      <c r="M838" t="s">
        <v>25</v>
      </c>
      <c r="N838" t="s">
        <v>44</v>
      </c>
      <c r="O838" t="s">
        <v>56</v>
      </c>
      <c r="P838" t="s">
        <v>50</v>
      </c>
      <c r="Q838">
        <v>9</v>
      </c>
      <c r="R838">
        <v>3721.42</v>
      </c>
      <c r="S838" t="s">
        <v>29</v>
      </c>
    </row>
    <row r="839" spans="1:19" x14ac:dyDescent="0.3">
      <c r="A839" t="s">
        <v>909</v>
      </c>
      <c r="B839">
        <v>64</v>
      </c>
      <c r="C839" t="s">
        <v>19</v>
      </c>
      <c r="D839" t="s">
        <v>89</v>
      </c>
      <c r="E839" s="1">
        <v>45108</v>
      </c>
      <c r="F839" s="3">
        <v>45126</v>
      </c>
      <c r="G839" t="s">
        <v>48</v>
      </c>
      <c r="H839" t="s">
        <v>22</v>
      </c>
      <c r="I839" t="s">
        <v>43</v>
      </c>
      <c r="J839">
        <v>7992.88</v>
      </c>
      <c r="K839">
        <v>18</v>
      </c>
      <c r="L839" t="s">
        <v>24</v>
      </c>
      <c r="M839" t="s">
        <v>25</v>
      </c>
      <c r="N839" t="s">
        <v>44</v>
      </c>
      <c r="O839" t="s">
        <v>56</v>
      </c>
      <c r="P839" t="s">
        <v>28</v>
      </c>
      <c r="Q839">
        <v>6</v>
      </c>
      <c r="R839">
        <v>1852.56</v>
      </c>
      <c r="S839" t="s">
        <v>29</v>
      </c>
    </row>
    <row r="840" spans="1:19" x14ac:dyDescent="0.3">
      <c r="A840" t="s">
        <v>910</v>
      </c>
      <c r="B840">
        <v>69</v>
      </c>
      <c r="C840" t="s">
        <v>19</v>
      </c>
      <c r="D840" t="s">
        <v>70</v>
      </c>
      <c r="E840" s="1">
        <v>44981</v>
      </c>
      <c r="F840" s="3">
        <v>45003</v>
      </c>
      <c r="G840" t="s">
        <v>62</v>
      </c>
      <c r="H840" t="s">
        <v>63</v>
      </c>
      <c r="I840" t="s">
        <v>83</v>
      </c>
      <c r="J840">
        <v>19293.98</v>
      </c>
      <c r="K840">
        <v>22</v>
      </c>
      <c r="L840" t="s">
        <v>24</v>
      </c>
      <c r="M840" t="s">
        <v>25</v>
      </c>
      <c r="N840" t="s">
        <v>26</v>
      </c>
      <c r="O840" t="s">
        <v>49</v>
      </c>
      <c r="P840" t="s">
        <v>28</v>
      </c>
      <c r="Q840">
        <v>6</v>
      </c>
      <c r="R840">
        <v>7509.03</v>
      </c>
      <c r="S840" t="s">
        <v>29</v>
      </c>
    </row>
    <row r="841" spans="1:19" x14ac:dyDescent="0.3">
      <c r="A841" t="s">
        <v>911</v>
      </c>
      <c r="B841">
        <v>65</v>
      </c>
      <c r="C841" t="s">
        <v>19</v>
      </c>
      <c r="D841" t="s">
        <v>70</v>
      </c>
      <c r="E841" s="1">
        <v>45381</v>
      </c>
      <c r="F841" s="3">
        <v>45391</v>
      </c>
      <c r="G841" t="s">
        <v>21</v>
      </c>
      <c r="H841" t="s">
        <v>22</v>
      </c>
      <c r="I841" t="s">
        <v>81</v>
      </c>
      <c r="J841">
        <v>8593.61</v>
      </c>
      <c r="K841">
        <v>10</v>
      </c>
      <c r="L841" t="s">
        <v>24</v>
      </c>
      <c r="M841" t="s">
        <v>25</v>
      </c>
      <c r="N841" t="s">
        <v>44</v>
      </c>
      <c r="O841" t="s">
        <v>49</v>
      </c>
      <c r="P841" t="s">
        <v>45</v>
      </c>
      <c r="Q841">
        <v>6</v>
      </c>
      <c r="R841">
        <v>1963.23</v>
      </c>
      <c r="S841" t="s">
        <v>29</v>
      </c>
    </row>
    <row r="842" spans="1:19" x14ac:dyDescent="0.3">
      <c r="A842" t="s">
        <v>912</v>
      </c>
      <c r="B842">
        <v>33</v>
      </c>
      <c r="C842" t="s">
        <v>19</v>
      </c>
      <c r="D842" t="s">
        <v>61</v>
      </c>
      <c r="E842" s="1">
        <v>45401</v>
      </c>
      <c r="F842" s="3">
        <v>45405</v>
      </c>
      <c r="G842" t="s">
        <v>62</v>
      </c>
      <c r="H842" t="s">
        <v>63</v>
      </c>
      <c r="I842" t="s">
        <v>91</v>
      </c>
      <c r="J842">
        <v>2442.1</v>
      </c>
      <c r="K842">
        <v>4</v>
      </c>
      <c r="L842" t="s">
        <v>36</v>
      </c>
      <c r="M842" t="s">
        <v>101</v>
      </c>
      <c r="N842" t="s">
        <v>26</v>
      </c>
      <c r="O842" t="s">
        <v>37</v>
      </c>
      <c r="P842" t="s">
        <v>45</v>
      </c>
      <c r="Q842">
        <v>9</v>
      </c>
      <c r="R842">
        <v>482.44</v>
      </c>
      <c r="S842" t="s">
        <v>29</v>
      </c>
    </row>
    <row r="843" spans="1:19" x14ac:dyDescent="0.3">
      <c r="A843" t="s">
        <v>913</v>
      </c>
      <c r="B843">
        <v>75</v>
      </c>
      <c r="C843" t="s">
        <v>19</v>
      </c>
      <c r="D843" t="s">
        <v>20</v>
      </c>
      <c r="E843" s="1">
        <v>45154</v>
      </c>
      <c r="F843" s="3">
        <v>45163</v>
      </c>
      <c r="G843" t="s">
        <v>67</v>
      </c>
      <c r="H843" t="s">
        <v>42</v>
      </c>
      <c r="I843" t="s">
        <v>23</v>
      </c>
      <c r="J843">
        <v>6031.29</v>
      </c>
      <c r="K843">
        <v>9</v>
      </c>
      <c r="L843" t="s">
        <v>36</v>
      </c>
      <c r="M843" t="s">
        <v>25</v>
      </c>
      <c r="N843" t="s">
        <v>44</v>
      </c>
      <c r="O843" t="s">
        <v>37</v>
      </c>
      <c r="P843" t="s">
        <v>38</v>
      </c>
      <c r="Q843">
        <v>6</v>
      </c>
      <c r="R843">
        <v>2198.0100000000002</v>
      </c>
      <c r="S843" t="s">
        <v>29</v>
      </c>
    </row>
    <row r="844" spans="1:19" x14ac:dyDescent="0.3">
      <c r="A844" t="s">
        <v>914</v>
      </c>
      <c r="B844">
        <v>39</v>
      </c>
      <c r="C844" t="s">
        <v>19</v>
      </c>
      <c r="D844" t="s">
        <v>79</v>
      </c>
      <c r="E844" s="1">
        <v>45748</v>
      </c>
      <c r="F844" s="3">
        <v>45767</v>
      </c>
      <c r="G844" t="s">
        <v>41</v>
      </c>
      <c r="H844" t="s">
        <v>42</v>
      </c>
      <c r="I844" t="s">
        <v>43</v>
      </c>
      <c r="J844">
        <v>9587.61</v>
      </c>
      <c r="K844">
        <v>19</v>
      </c>
      <c r="L844" t="s">
        <v>24</v>
      </c>
      <c r="M844" t="s">
        <v>25</v>
      </c>
      <c r="N844" t="s">
        <v>44</v>
      </c>
      <c r="O844" t="s">
        <v>56</v>
      </c>
      <c r="P844" t="s">
        <v>38</v>
      </c>
      <c r="Q844">
        <v>14</v>
      </c>
      <c r="R844">
        <v>3036.74</v>
      </c>
      <c r="S844" t="s">
        <v>29</v>
      </c>
    </row>
    <row r="845" spans="1:19" x14ac:dyDescent="0.3">
      <c r="A845" t="s">
        <v>915</v>
      </c>
      <c r="B845">
        <v>32</v>
      </c>
      <c r="C845" t="s">
        <v>19</v>
      </c>
      <c r="D845" t="s">
        <v>32</v>
      </c>
      <c r="E845" s="1">
        <v>45742</v>
      </c>
      <c r="F845" s="3">
        <v>45750</v>
      </c>
      <c r="G845" t="s">
        <v>48</v>
      </c>
      <c r="H845" t="s">
        <v>22</v>
      </c>
      <c r="I845" t="s">
        <v>23</v>
      </c>
      <c r="J845">
        <v>5742.17</v>
      </c>
      <c r="K845">
        <v>8</v>
      </c>
      <c r="L845" t="s">
        <v>24</v>
      </c>
      <c r="M845" t="s">
        <v>25</v>
      </c>
      <c r="N845" t="s">
        <v>55</v>
      </c>
      <c r="O845" t="s">
        <v>56</v>
      </c>
      <c r="P845" t="s">
        <v>38</v>
      </c>
      <c r="Q845">
        <v>1</v>
      </c>
      <c r="R845">
        <v>1130.71</v>
      </c>
      <c r="S845" t="s">
        <v>29</v>
      </c>
    </row>
    <row r="846" spans="1:19" x14ac:dyDescent="0.3">
      <c r="A846" t="s">
        <v>916</v>
      </c>
      <c r="B846">
        <v>56</v>
      </c>
      <c r="C846" t="s">
        <v>19</v>
      </c>
      <c r="D846" t="s">
        <v>20</v>
      </c>
      <c r="E846" s="1">
        <v>45245</v>
      </c>
      <c r="F846" s="3">
        <v>45265</v>
      </c>
      <c r="G846" t="s">
        <v>71</v>
      </c>
      <c r="H846" t="s">
        <v>72</v>
      </c>
      <c r="I846" t="s">
        <v>35</v>
      </c>
      <c r="J846">
        <v>12446.4</v>
      </c>
      <c r="K846">
        <v>20</v>
      </c>
      <c r="L846" t="s">
        <v>24</v>
      </c>
      <c r="M846" t="s">
        <v>25</v>
      </c>
      <c r="N846" t="s">
        <v>44</v>
      </c>
      <c r="O846" t="s">
        <v>49</v>
      </c>
      <c r="P846" t="s">
        <v>45</v>
      </c>
      <c r="Q846">
        <v>11</v>
      </c>
      <c r="R846">
        <v>2117.36</v>
      </c>
      <c r="S846" t="s">
        <v>29</v>
      </c>
    </row>
    <row r="847" spans="1:19" x14ac:dyDescent="0.3">
      <c r="A847" t="s">
        <v>917</v>
      </c>
      <c r="B847">
        <v>50</v>
      </c>
      <c r="C847" t="s">
        <v>31</v>
      </c>
      <c r="D847" t="s">
        <v>79</v>
      </c>
      <c r="E847" s="1">
        <v>45123</v>
      </c>
      <c r="F847" s="3">
        <v>45150</v>
      </c>
      <c r="G847" t="s">
        <v>21</v>
      </c>
      <c r="H847" t="s">
        <v>22</v>
      </c>
      <c r="I847" t="s">
        <v>23</v>
      </c>
      <c r="J847">
        <v>19529.89</v>
      </c>
      <c r="K847">
        <v>27</v>
      </c>
      <c r="L847" t="s">
        <v>36</v>
      </c>
      <c r="M847" t="s">
        <v>25</v>
      </c>
      <c r="N847" t="s">
        <v>26</v>
      </c>
      <c r="O847" t="s">
        <v>49</v>
      </c>
      <c r="P847" t="s">
        <v>38</v>
      </c>
      <c r="Q847">
        <v>4</v>
      </c>
      <c r="R847">
        <v>3212.83</v>
      </c>
      <c r="S847" t="s">
        <v>29</v>
      </c>
    </row>
    <row r="848" spans="1:19" x14ac:dyDescent="0.3">
      <c r="A848" t="s">
        <v>918</v>
      </c>
      <c r="B848">
        <v>31</v>
      </c>
      <c r="C848" t="s">
        <v>19</v>
      </c>
      <c r="D848" t="s">
        <v>32</v>
      </c>
      <c r="E848" s="1">
        <v>45502</v>
      </c>
      <c r="F848" s="3">
        <v>45526</v>
      </c>
      <c r="G848" t="s">
        <v>67</v>
      </c>
      <c r="H848" t="s">
        <v>42</v>
      </c>
      <c r="I848" t="s">
        <v>91</v>
      </c>
      <c r="J848">
        <v>22183.99</v>
      </c>
      <c r="K848">
        <v>24</v>
      </c>
      <c r="L848" t="s">
        <v>36</v>
      </c>
      <c r="M848" t="s">
        <v>25</v>
      </c>
      <c r="N848" t="s">
        <v>55</v>
      </c>
      <c r="O848" t="s">
        <v>49</v>
      </c>
      <c r="P848" t="s">
        <v>50</v>
      </c>
      <c r="Q848">
        <v>12</v>
      </c>
      <c r="R848">
        <v>6059.19</v>
      </c>
      <c r="S848" t="s">
        <v>29</v>
      </c>
    </row>
    <row r="849" spans="1:19" x14ac:dyDescent="0.3">
      <c r="A849" t="s">
        <v>919</v>
      </c>
      <c r="B849">
        <v>56</v>
      </c>
      <c r="C849" t="s">
        <v>31</v>
      </c>
      <c r="D849" t="s">
        <v>79</v>
      </c>
      <c r="E849" s="1">
        <v>45055</v>
      </c>
      <c r="F849" s="3">
        <v>45063</v>
      </c>
      <c r="G849" t="s">
        <v>67</v>
      </c>
      <c r="H849" t="s">
        <v>42</v>
      </c>
      <c r="I849" t="s">
        <v>58</v>
      </c>
      <c r="J849">
        <v>9747.59</v>
      </c>
      <c r="K849">
        <v>8</v>
      </c>
      <c r="L849" t="s">
        <v>36</v>
      </c>
      <c r="M849" t="s">
        <v>25</v>
      </c>
      <c r="N849" t="s">
        <v>44</v>
      </c>
      <c r="O849" t="s">
        <v>49</v>
      </c>
      <c r="P849" t="s">
        <v>45</v>
      </c>
      <c r="Q849">
        <v>2</v>
      </c>
      <c r="R849">
        <v>3095.69</v>
      </c>
      <c r="S849" t="s">
        <v>29</v>
      </c>
    </row>
    <row r="850" spans="1:19" x14ac:dyDescent="0.3">
      <c r="A850" t="s">
        <v>920</v>
      </c>
      <c r="B850">
        <v>70</v>
      </c>
      <c r="C850" t="s">
        <v>31</v>
      </c>
      <c r="D850" t="s">
        <v>47</v>
      </c>
      <c r="E850" s="1">
        <v>45409</v>
      </c>
      <c r="F850" s="3">
        <v>45426</v>
      </c>
      <c r="G850" t="s">
        <v>33</v>
      </c>
      <c r="H850" t="s">
        <v>34</v>
      </c>
      <c r="I850" t="s">
        <v>35</v>
      </c>
      <c r="J850">
        <v>8665.2000000000007</v>
      </c>
      <c r="K850">
        <v>17</v>
      </c>
      <c r="L850" t="s">
        <v>36</v>
      </c>
      <c r="M850" t="s">
        <v>25</v>
      </c>
      <c r="N850" t="s">
        <v>44</v>
      </c>
      <c r="O850" t="s">
        <v>37</v>
      </c>
      <c r="P850" t="s">
        <v>28</v>
      </c>
      <c r="Q850">
        <v>1</v>
      </c>
      <c r="R850">
        <v>1488.05</v>
      </c>
      <c r="S850" t="s">
        <v>29</v>
      </c>
    </row>
    <row r="851" spans="1:19" x14ac:dyDescent="0.3">
      <c r="A851" t="s">
        <v>921</v>
      </c>
      <c r="B851">
        <v>42</v>
      </c>
      <c r="C851" t="s">
        <v>19</v>
      </c>
      <c r="D851" t="s">
        <v>61</v>
      </c>
      <c r="E851" s="1">
        <v>44976</v>
      </c>
      <c r="F851" s="3">
        <v>44986</v>
      </c>
      <c r="G851" t="s">
        <v>93</v>
      </c>
      <c r="H851" t="s">
        <v>72</v>
      </c>
      <c r="I851" t="s">
        <v>54</v>
      </c>
      <c r="J851">
        <v>5679.53</v>
      </c>
      <c r="K851">
        <v>10</v>
      </c>
      <c r="L851" t="s">
        <v>36</v>
      </c>
      <c r="M851" t="s">
        <v>25</v>
      </c>
      <c r="N851" t="s">
        <v>44</v>
      </c>
      <c r="O851" t="s">
        <v>56</v>
      </c>
      <c r="P851" t="s">
        <v>28</v>
      </c>
      <c r="Q851">
        <v>9</v>
      </c>
      <c r="R851">
        <v>1874.39</v>
      </c>
      <c r="S851" t="s">
        <v>29</v>
      </c>
    </row>
    <row r="852" spans="1:19" x14ac:dyDescent="0.3">
      <c r="A852" t="s">
        <v>922</v>
      </c>
      <c r="B852">
        <v>21</v>
      </c>
      <c r="C852" t="s">
        <v>19</v>
      </c>
      <c r="D852" t="s">
        <v>61</v>
      </c>
      <c r="E852" s="1">
        <v>45297</v>
      </c>
      <c r="F852" s="3">
        <v>45311</v>
      </c>
      <c r="G852" t="s">
        <v>52</v>
      </c>
      <c r="H852" t="s">
        <v>53</v>
      </c>
      <c r="I852" t="s">
        <v>58</v>
      </c>
      <c r="J852">
        <v>12406.03</v>
      </c>
      <c r="K852">
        <v>14</v>
      </c>
      <c r="L852" t="s">
        <v>36</v>
      </c>
      <c r="M852" t="s">
        <v>25</v>
      </c>
      <c r="N852" t="s">
        <v>26</v>
      </c>
      <c r="O852" t="s">
        <v>49</v>
      </c>
      <c r="P852" t="s">
        <v>28</v>
      </c>
      <c r="Q852">
        <v>11</v>
      </c>
      <c r="R852">
        <v>3064.72</v>
      </c>
      <c r="S852" t="s">
        <v>29</v>
      </c>
    </row>
    <row r="853" spans="1:19" x14ac:dyDescent="0.3">
      <c r="A853" t="s">
        <v>923</v>
      </c>
      <c r="B853">
        <v>20</v>
      </c>
      <c r="C853" t="s">
        <v>31</v>
      </c>
      <c r="D853" t="s">
        <v>66</v>
      </c>
      <c r="E853" s="1">
        <v>45637</v>
      </c>
      <c r="F853" s="3">
        <v>45654</v>
      </c>
      <c r="G853" t="s">
        <v>62</v>
      </c>
      <c r="H853" t="s">
        <v>63</v>
      </c>
      <c r="I853" t="s">
        <v>91</v>
      </c>
      <c r="J853">
        <v>13715.88</v>
      </c>
      <c r="K853">
        <v>17</v>
      </c>
      <c r="L853" t="s">
        <v>24</v>
      </c>
      <c r="M853" t="s">
        <v>25</v>
      </c>
      <c r="N853" t="s">
        <v>44</v>
      </c>
      <c r="O853" t="s">
        <v>37</v>
      </c>
      <c r="P853" t="s">
        <v>28</v>
      </c>
      <c r="Q853">
        <v>9</v>
      </c>
      <c r="R853">
        <v>4792.8</v>
      </c>
      <c r="S853" t="s">
        <v>29</v>
      </c>
    </row>
    <row r="854" spans="1:19" x14ac:dyDescent="0.3">
      <c r="A854" t="s">
        <v>924</v>
      </c>
      <c r="B854">
        <v>68</v>
      </c>
      <c r="C854" t="s">
        <v>19</v>
      </c>
      <c r="D854" t="s">
        <v>79</v>
      </c>
      <c r="E854" s="1">
        <v>45649</v>
      </c>
      <c r="F854" s="3">
        <v>45672</v>
      </c>
      <c r="G854" t="s">
        <v>93</v>
      </c>
      <c r="H854" t="s">
        <v>72</v>
      </c>
      <c r="I854" t="s">
        <v>35</v>
      </c>
      <c r="J854">
        <v>10171.08</v>
      </c>
      <c r="K854">
        <v>23</v>
      </c>
      <c r="L854" t="s">
        <v>24</v>
      </c>
      <c r="M854" t="s">
        <v>25</v>
      </c>
      <c r="N854" t="s">
        <v>44</v>
      </c>
      <c r="O854" t="s">
        <v>49</v>
      </c>
      <c r="P854" t="s">
        <v>45</v>
      </c>
      <c r="Q854">
        <v>14</v>
      </c>
      <c r="R854">
        <v>1618.71</v>
      </c>
      <c r="S854" t="s">
        <v>29</v>
      </c>
    </row>
    <row r="855" spans="1:19" x14ac:dyDescent="0.3">
      <c r="A855" t="s">
        <v>925</v>
      </c>
      <c r="B855">
        <v>75</v>
      </c>
      <c r="C855" t="s">
        <v>19</v>
      </c>
      <c r="D855" t="s">
        <v>32</v>
      </c>
      <c r="E855" s="1">
        <v>45603</v>
      </c>
      <c r="F855" s="3">
        <v>45607</v>
      </c>
      <c r="G855" t="s">
        <v>67</v>
      </c>
      <c r="H855" t="s">
        <v>42</v>
      </c>
      <c r="I855" t="s">
        <v>23</v>
      </c>
      <c r="J855">
        <v>3876.76</v>
      </c>
      <c r="K855">
        <v>4</v>
      </c>
      <c r="L855" t="s">
        <v>36</v>
      </c>
      <c r="M855" t="s">
        <v>59</v>
      </c>
      <c r="N855" t="s">
        <v>55</v>
      </c>
      <c r="O855" t="s">
        <v>27</v>
      </c>
      <c r="P855" t="s">
        <v>38</v>
      </c>
      <c r="Q855">
        <v>2</v>
      </c>
      <c r="R855">
        <v>1469.39</v>
      </c>
      <c r="S855" t="s">
        <v>29</v>
      </c>
    </row>
    <row r="856" spans="1:19" x14ac:dyDescent="0.3">
      <c r="A856" t="s">
        <v>926</v>
      </c>
      <c r="B856">
        <v>28</v>
      </c>
      <c r="C856" t="s">
        <v>19</v>
      </c>
      <c r="D856" t="s">
        <v>32</v>
      </c>
      <c r="E856" s="1">
        <v>45126</v>
      </c>
      <c r="F856" s="3">
        <v>45141</v>
      </c>
      <c r="G856" t="s">
        <v>67</v>
      </c>
      <c r="H856" t="s">
        <v>42</v>
      </c>
      <c r="I856" t="s">
        <v>54</v>
      </c>
      <c r="J856">
        <v>10722.79</v>
      </c>
      <c r="K856">
        <v>15</v>
      </c>
      <c r="L856" t="s">
        <v>24</v>
      </c>
      <c r="M856" t="s">
        <v>25</v>
      </c>
      <c r="N856" t="s">
        <v>44</v>
      </c>
      <c r="O856" t="s">
        <v>56</v>
      </c>
      <c r="P856" t="s">
        <v>50</v>
      </c>
      <c r="Q856">
        <v>3</v>
      </c>
      <c r="R856">
        <v>2222.25</v>
      </c>
      <c r="S856" t="s">
        <v>29</v>
      </c>
    </row>
    <row r="857" spans="1:19" x14ac:dyDescent="0.3">
      <c r="A857" t="s">
        <v>927</v>
      </c>
      <c r="B857">
        <v>80</v>
      </c>
      <c r="C857" t="s">
        <v>19</v>
      </c>
      <c r="D857" t="s">
        <v>70</v>
      </c>
      <c r="E857" s="1">
        <v>45796</v>
      </c>
      <c r="F857" s="3">
        <v>45797</v>
      </c>
      <c r="G857" t="s">
        <v>74</v>
      </c>
      <c r="H857" t="s">
        <v>75</v>
      </c>
      <c r="I857" t="s">
        <v>91</v>
      </c>
      <c r="J857">
        <v>2096.04</v>
      </c>
      <c r="K857">
        <v>1</v>
      </c>
      <c r="L857" t="s">
        <v>36</v>
      </c>
      <c r="M857" t="s">
        <v>25</v>
      </c>
      <c r="N857" t="s">
        <v>26</v>
      </c>
      <c r="O857" t="s">
        <v>37</v>
      </c>
      <c r="P857" t="s">
        <v>38</v>
      </c>
      <c r="Q857">
        <v>9</v>
      </c>
      <c r="R857">
        <v>533.12</v>
      </c>
      <c r="S857" t="s">
        <v>29</v>
      </c>
    </row>
    <row r="858" spans="1:19" x14ac:dyDescent="0.3">
      <c r="A858" t="s">
        <v>928</v>
      </c>
      <c r="B858">
        <v>47</v>
      </c>
      <c r="C858" t="s">
        <v>31</v>
      </c>
      <c r="D858" t="s">
        <v>20</v>
      </c>
      <c r="E858" s="1">
        <v>45348</v>
      </c>
      <c r="F858" s="3">
        <v>45360</v>
      </c>
      <c r="G858" t="s">
        <v>21</v>
      </c>
      <c r="H858" t="s">
        <v>22</v>
      </c>
      <c r="I858" t="s">
        <v>35</v>
      </c>
      <c r="J858">
        <v>11113.74</v>
      </c>
      <c r="K858">
        <v>12</v>
      </c>
      <c r="L858" t="s">
        <v>36</v>
      </c>
      <c r="M858" t="s">
        <v>59</v>
      </c>
      <c r="N858" t="s">
        <v>55</v>
      </c>
      <c r="O858" t="s">
        <v>49</v>
      </c>
      <c r="P858" t="s">
        <v>50</v>
      </c>
      <c r="Q858">
        <v>14</v>
      </c>
      <c r="R858">
        <v>1963.34</v>
      </c>
      <c r="S858" t="s">
        <v>39</v>
      </c>
    </row>
    <row r="859" spans="1:19" x14ac:dyDescent="0.3">
      <c r="A859" t="s">
        <v>929</v>
      </c>
      <c r="B859">
        <v>44</v>
      </c>
      <c r="C859" t="s">
        <v>31</v>
      </c>
      <c r="D859" t="s">
        <v>89</v>
      </c>
      <c r="E859" s="1">
        <v>45231</v>
      </c>
      <c r="F859" s="3">
        <v>45251</v>
      </c>
      <c r="G859" t="s">
        <v>62</v>
      </c>
      <c r="H859" t="s">
        <v>63</v>
      </c>
      <c r="I859" t="s">
        <v>35</v>
      </c>
      <c r="J859">
        <v>7014.94</v>
      </c>
      <c r="K859">
        <v>20</v>
      </c>
      <c r="L859" t="s">
        <v>36</v>
      </c>
      <c r="M859" t="s">
        <v>25</v>
      </c>
      <c r="N859" t="s">
        <v>44</v>
      </c>
      <c r="O859" t="s">
        <v>37</v>
      </c>
      <c r="P859" t="s">
        <v>45</v>
      </c>
      <c r="Q859">
        <v>10</v>
      </c>
      <c r="R859">
        <v>1615.92</v>
      </c>
      <c r="S859" t="s">
        <v>29</v>
      </c>
    </row>
    <row r="860" spans="1:19" x14ac:dyDescent="0.3">
      <c r="A860" t="s">
        <v>930</v>
      </c>
      <c r="B860">
        <v>51</v>
      </c>
      <c r="C860" t="s">
        <v>19</v>
      </c>
      <c r="D860" t="s">
        <v>79</v>
      </c>
      <c r="E860" s="1">
        <v>45217</v>
      </c>
      <c r="F860" s="3">
        <v>45219</v>
      </c>
      <c r="G860" t="s">
        <v>67</v>
      </c>
      <c r="H860" t="s">
        <v>42</v>
      </c>
      <c r="I860" t="s">
        <v>81</v>
      </c>
      <c r="J860">
        <v>2030.56</v>
      </c>
      <c r="K860">
        <v>2</v>
      </c>
      <c r="L860" t="s">
        <v>36</v>
      </c>
      <c r="M860" t="s">
        <v>25</v>
      </c>
      <c r="N860" t="s">
        <v>26</v>
      </c>
      <c r="O860" t="s">
        <v>37</v>
      </c>
      <c r="P860" t="s">
        <v>38</v>
      </c>
      <c r="Q860">
        <v>11</v>
      </c>
      <c r="R860">
        <v>757.38</v>
      </c>
      <c r="S860" t="s">
        <v>39</v>
      </c>
    </row>
    <row r="861" spans="1:19" x14ac:dyDescent="0.3">
      <c r="A861" t="s">
        <v>931</v>
      </c>
      <c r="B861">
        <v>49</v>
      </c>
      <c r="C861" t="s">
        <v>31</v>
      </c>
      <c r="D861" t="s">
        <v>89</v>
      </c>
      <c r="E861" s="1">
        <v>45866</v>
      </c>
      <c r="F861" s="3">
        <v>45896</v>
      </c>
      <c r="G861" t="s">
        <v>21</v>
      </c>
      <c r="H861" t="s">
        <v>22</v>
      </c>
      <c r="I861" t="s">
        <v>91</v>
      </c>
      <c r="J861">
        <v>13938.09</v>
      </c>
      <c r="K861">
        <v>30</v>
      </c>
      <c r="L861" t="s">
        <v>36</v>
      </c>
      <c r="M861" t="s">
        <v>59</v>
      </c>
      <c r="N861" t="s">
        <v>44</v>
      </c>
      <c r="O861" t="s">
        <v>49</v>
      </c>
      <c r="P861" t="s">
        <v>50</v>
      </c>
      <c r="Q861">
        <v>8</v>
      </c>
      <c r="R861">
        <v>3032.89</v>
      </c>
      <c r="S861" t="s">
        <v>29</v>
      </c>
    </row>
    <row r="862" spans="1:19" x14ac:dyDescent="0.3">
      <c r="A862" t="s">
        <v>932</v>
      </c>
      <c r="B862">
        <v>43</v>
      </c>
      <c r="C862" t="s">
        <v>19</v>
      </c>
      <c r="D862" t="s">
        <v>89</v>
      </c>
      <c r="E862" s="1">
        <v>45385</v>
      </c>
      <c r="F862" s="3">
        <v>45394</v>
      </c>
      <c r="G862" t="s">
        <v>93</v>
      </c>
      <c r="H862" t="s">
        <v>72</v>
      </c>
      <c r="I862" t="s">
        <v>35</v>
      </c>
      <c r="J862">
        <v>4187.43</v>
      </c>
      <c r="K862">
        <v>9</v>
      </c>
      <c r="L862" t="s">
        <v>24</v>
      </c>
      <c r="M862" t="s">
        <v>25</v>
      </c>
      <c r="N862" t="s">
        <v>26</v>
      </c>
      <c r="O862" t="s">
        <v>56</v>
      </c>
      <c r="P862" t="s">
        <v>28</v>
      </c>
      <c r="Q862">
        <v>1</v>
      </c>
      <c r="R862">
        <v>703.43</v>
      </c>
      <c r="S862" t="s">
        <v>29</v>
      </c>
    </row>
    <row r="863" spans="1:19" x14ac:dyDescent="0.3">
      <c r="A863" t="s">
        <v>933</v>
      </c>
      <c r="B863">
        <v>66</v>
      </c>
      <c r="C863" t="s">
        <v>19</v>
      </c>
      <c r="D863" t="s">
        <v>70</v>
      </c>
      <c r="E863" s="1">
        <v>45841</v>
      </c>
      <c r="F863" s="3">
        <v>45850</v>
      </c>
      <c r="G863" t="s">
        <v>52</v>
      </c>
      <c r="H863" t="s">
        <v>53</v>
      </c>
      <c r="I863" t="s">
        <v>58</v>
      </c>
      <c r="J863">
        <v>9349.69</v>
      </c>
      <c r="K863">
        <v>9</v>
      </c>
      <c r="L863" t="s">
        <v>24</v>
      </c>
      <c r="M863" t="s">
        <v>25</v>
      </c>
      <c r="N863" t="s">
        <v>55</v>
      </c>
      <c r="O863" t="s">
        <v>49</v>
      </c>
      <c r="P863" t="s">
        <v>45</v>
      </c>
      <c r="Q863">
        <v>6</v>
      </c>
      <c r="R863">
        <v>2098.39</v>
      </c>
      <c r="S863" t="s">
        <v>29</v>
      </c>
    </row>
    <row r="864" spans="1:19" x14ac:dyDescent="0.3">
      <c r="A864" t="s">
        <v>934</v>
      </c>
      <c r="B864">
        <v>86</v>
      </c>
      <c r="C864" t="s">
        <v>31</v>
      </c>
      <c r="D864" t="s">
        <v>89</v>
      </c>
      <c r="E864" s="1">
        <v>45297</v>
      </c>
      <c r="F864" s="3">
        <v>45307</v>
      </c>
      <c r="G864" t="s">
        <v>67</v>
      </c>
      <c r="H864" t="s">
        <v>42</v>
      </c>
      <c r="I864" t="s">
        <v>54</v>
      </c>
      <c r="J864">
        <v>5046.63</v>
      </c>
      <c r="K864">
        <v>10</v>
      </c>
      <c r="L864" t="s">
        <v>24</v>
      </c>
      <c r="M864" t="s">
        <v>25</v>
      </c>
      <c r="N864" t="s">
        <v>44</v>
      </c>
      <c r="O864" t="s">
        <v>37</v>
      </c>
      <c r="P864" t="s">
        <v>38</v>
      </c>
      <c r="Q864">
        <v>14</v>
      </c>
      <c r="R864">
        <v>1208.8399999999999</v>
      </c>
      <c r="S864" t="s">
        <v>29</v>
      </c>
    </row>
    <row r="865" spans="1:19" x14ac:dyDescent="0.3">
      <c r="A865" t="s">
        <v>935</v>
      </c>
      <c r="B865">
        <v>68</v>
      </c>
      <c r="C865" t="s">
        <v>31</v>
      </c>
      <c r="D865" t="s">
        <v>79</v>
      </c>
      <c r="E865" s="1">
        <v>45777</v>
      </c>
      <c r="F865" s="3">
        <v>45804</v>
      </c>
      <c r="G865" t="s">
        <v>67</v>
      </c>
      <c r="H865" t="s">
        <v>42</v>
      </c>
      <c r="I865" t="s">
        <v>23</v>
      </c>
      <c r="J865">
        <v>18287.11</v>
      </c>
      <c r="K865">
        <v>27</v>
      </c>
      <c r="L865" t="s">
        <v>36</v>
      </c>
      <c r="M865" t="s">
        <v>25</v>
      </c>
      <c r="N865" t="s">
        <v>26</v>
      </c>
      <c r="O865" t="s">
        <v>49</v>
      </c>
      <c r="P865" t="s">
        <v>50</v>
      </c>
      <c r="Q865">
        <v>8</v>
      </c>
      <c r="R865">
        <v>4758.25</v>
      </c>
      <c r="S865" t="s">
        <v>29</v>
      </c>
    </row>
    <row r="866" spans="1:19" x14ac:dyDescent="0.3">
      <c r="A866" t="s">
        <v>936</v>
      </c>
      <c r="B866">
        <v>82</v>
      </c>
      <c r="C866" t="s">
        <v>19</v>
      </c>
      <c r="D866" t="s">
        <v>66</v>
      </c>
      <c r="E866" s="1">
        <v>45655</v>
      </c>
      <c r="F866" s="3">
        <v>45670</v>
      </c>
      <c r="G866" t="s">
        <v>62</v>
      </c>
      <c r="H866" t="s">
        <v>63</v>
      </c>
      <c r="I866" t="s">
        <v>91</v>
      </c>
      <c r="J866">
        <v>11138.25</v>
      </c>
      <c r="K866">
        <v>15</v>
      </c>
      <c r="L866" t="s">
        <v>36</v>
      </c>
      <c r="M866" t="s">
        <v>59</v>
      </c>
      <c r="N866" t="s">
        <v>44</v>
      </c>
      <c r="O866" t="s">
        <v>37</v>
      </c>
      <c r="P866" t="s">
        <v>45</v>
      </c>
      <c r="Q866">
        <v>8</v>
      </c>
      <c r="R866">
        <v>2910.94</v>
      </c>
      <c r="S866" t="s">
        <v>29</v>
      </c>
    </row>
    <row r="867" spans="1:19" x14ac:dyDescent="0.3">
      <c r="A867" t="s">
        <v>937</v>
      </c>
      <c r="B867">
        <v>68</v>
      </c>
      <c r="C867" t="s">
        <v>19</v>
      </c>
      <c r="D867" t="s">
        <v>66</v>
      </c>
      <c r="E867" s="1">
        <v>45439</v>
      </c>
      <c r="F867" s="3">
        <v>45467</v>
      </c>
      <c r="G867" t="s">
        <v>21</v>
      </c>
      <c r="H867" t="s">
        <v>22</v>
      </c>
      <c r="I867" t="s">
        <v>35</v>
      </c>
      <c r="J867">
        <v>18801.009999999998</v>
      </c>
      <c r="K867">
        <v>28</v>
      </c>
      <c r="L867" t="s">
        <v>24</v>
      </c>
      <c r="M867" t="s">
        <v>25</v>
      </c>
      <c r="N867" t="s">
        <v>44</v>
      </c>
      <c r="O867" t="s">
        <v>49</v>
      </c>
      <c r="P867" t="s">
        <v>28</v>
      </c>
      <c r="Q867">
        <v>15</v>
      </c>
      <c r="R867">
        <v>7031.93</v>
      </c>
      <c r="S867" t="s">
        <v>29</v>
      </c>
    </row>
    <row r="868" spans="1:19" x14ac:dyDescent="0.3">
      <c r="A868" t="s">
        <v>938</v>
      </c>
      <c r="B868">
        <v>61</v>
      </c>
      <c r="C868" t="s">
        <v>31</v>
      </c>
      <c r="D868" t="s">
        <v>79</v>
      </c>
      <c r="E868" s="1">
        <v>45194</v>
      </c>
      <c r="F868" s="3">
        <v>45212</v>
      </c>
      <c r="G868" t="s">
        <v>74</v>
      </c>
      <c r="H868" t="s">
        <v>75</v>
      </c>
      <c r="I868" t="s">
        <v>58</v>
      </c>
      <c r="J868">
        <v>7909.88</v>
      </c>
      <c r="K868">
        <v>18</v>
      </c>
      <c r="L868" t="s">
        <v>24</v>
      </c>
      <c r="M868" t="s">
        <v>25</v>
      </c>
      <c r="N868" t="s">
        <v>55</v>
      </c>
      <c r="O868" t="s">
        <v>27</v>
      </c>
      <c r="P868" t="s">
        <v>45</v>
      </c>
      <c r="Q868">
        <v>3</v>
      </c>
      <c r="R868">
        <v>1504.49</v>
      </c>
      <c r="S868" t="s">
        <v>29</v>
      </c>
    </row>
    <row r="869" spans="1:19" x14ac:dyDescent="0.3">
      <c r="A869" t="s">
        <v>939</v>
      </c>
      <c r="B869">
        <v>27</v>
      </c>
      <c r="C869" t="s">
        <v>19</v>
      </c>
      <c r="D869" t="s">
        <v>32</v>
      </c>
      <c r="E869" s="1">
        <v>44984</v>
      </c>
      <c r="F869" s="3">
        <v>44997</v>
      </c>
      <c r="G869" t="s">
        <v>41</v>
      </c>
      <c r="H869" t="s">
        <v>42</v>
      </c>
      <c r="I869" t="s">
        <v>91</v>
      </c>
      <c r="J869">
        <v>9908.2000000000007</v>
      </c>
      <c r="K869">
        <v>13</v>
      </c>
      <c r="L869" t="s">
        <v>36</v>
      </c>
      <c r="M869" t="s">
        <v>25</v>
      </c>
      <c r="N869" t="s">
        <v>26</v>
      </c>
      <c r="O869" t="s">
        <v>37</v>
      </c>
      <c r="P869" t="s">
        <v>45</v>
      </c>
      <c r="Q869">
        <v>14</v>
      </c>
      <c r="R869">
        <v>1511.51</v>
      </c>
      <c r="S869" t="s">
        <v>29</v>
      </c>
    </row>
    <row r="870" spans="1:19" x14ac:dyDescent="0.3">
      <c r="A870" t="s">
        <v>940</v>
      </c>
      <c r="B870">
        <v>22</v>
      </c>
      <c r="C870" t="s">
        <v>31</v>
      </c>
      <c r="D870" t="s">
        <v>70</v>
      </c>
      <c r="E870" s="1">
        <v>44980</v>
      </c>
      <c r="F870" s="3">
        <v>44982</v>
      </c>
      <c r="G870" t="s">
        <v>71</v>
      </c>
      <c r="H870" t="s">
        <v>72</v>
      </c>
      <c r="I870" t="s">
        <v>35</v>
      </c>
      <c r="J870">
        <v>1087.33</v>
      </c>
      <c r="K870">
        <v>2</v>
      </c>
      <c r="L870" t="s">
        <v>36</v>
      </c>
      <c r="M870" t="s">
        <v>25</v>
      </c>
      <c r="N870" t="s">
        <v>26</v>
      </c>
      <c r="O870" t="s">
        <v>56</v>
      </c>
      <c r="P870" t="s">
        <v>38</v>
      </c>
      <c r="Q870">
        <v>1</v>
      </c>
      <c r="R870">
        <v>307.05</v>
      </c>
      <c r="S870" t="s">
        <v>29</v>
      </c>
    </row>
    <row r="871" spans="1:19" x14ac:dyDescent="0.3">
      <c r="A871" t="s">
        <v>941</v>
      </c>
      <c r="B871">
        <v>48</v>
      </c>
      <c r="C871" t="s">
        <v>19</v>
      </c>
      <c r="D871" t="s">
        <v>79</v>
      </c>
      <c r="E871" s="1">
        <v>45795</v>
      </c>
      <c r="F871" s="3">
        <v>45805</v>
      </c>
      <c r="G871" t="s">
        <v>48</v>
      </c>
      <c r="H871" t="s">
        <v>22</v>
      </c>
      <c r="I871" t="s">
        <v>35</v>
      </c>
      <c r="J871">
        <v>6181.4</v>
      </c>
      <c r="K871">
        <v>10</v>
      </c>
      <c r="L871" t="s">
        <v>36</v>
      </c>
      <c r="M871" t="s">
        <v>25</v>
      </c>
      <c r="N871" t="s">
        <v>26</v>
      </c>
      <c r="O871" t="s">
        <v>27</v>
      </c>
      <c r="P871" t="s">
        <v>50</v>
      </c>
      <c r="Q871">
        <v>6</v>
      </c>
      <c r="R871">
        <v>1297.05</v>
      </c>
      <c r="S871" t="s">
        <v>29</v>
      </c>
    </row>
    <row r="872" spans="1:19" x14ac:dyDescent="0.3">
      <c r="A872" t="s">
        <v>942</v>
      </c>
      <c r="B872">
        <v>27</v>
      </c>
      <c r="C872" t="s">
        <v>31</v>
      </c>
      <c r="D872" t="s">
        <v>32</v>
      </c>
      <c r="E872" s="1">
        <v>45719</v>
      </c>
      <c r="F872" s="3">
        <v>45734</v>
      </c>
      <c r="G872" t="s">
        <v>21</v>
      </c>
      <c r="H872" t="s">
        <v>22</v>
      </c>
      <c r="I872" t="s">
        <v>35</v>
      </c>
      <c r="J872">
        <v>10546.46</v>
      </c>
      <c r="K872">
        <v>15</v>
      </c>
      <c r="L872" t="s">
        <v>36</v>
      </c>
      <c r="M872" t="s">
        <v>25</v>
      </c>
      <c r="N872" t="s">
        <v>55</v>
      </c>
      <c r="O872" t="s">
        <v>37</v>
      </c>
      <c r="P872" t="s">
        <v>28</v>
      </c>
      <c r="Q872">
        <v>11</v>
      </c>
      <c r="R872">
        <v>4204.3</v>
      </c>
      <c r="S872" t="s">
        <v>29</v>
      </c>
    </row>
    <row r="873" spans="1:19" x14ac:dyDescent="0.3">
      <c r="A873" t="s">
        <v>943</v>
      </c>
      <c r="B873">
        <v>62</v>
      </c>
      <c r="C873" t="s">
        <v>31</v>
      </c>
      <c r="D873" t="s">
        <v>79</v>
      </c>
      <c r="E873" s="1">
        <v>45852</v>
      </c>
      <c r="F873" s="3">
        <v>45864</v>
      </c>
      <c r="G873" t="s">
        <v>62</v>
      </c>
      <c r="H873" t="s">
        <v>63</v>
      </c>
      <c r="I873" t="s">
        <v>83</v>
      </c>
      <c r="J873">
        <v>5286.27</v>
      </c>
      <c r="K873">
        <v>12</v>
      </c>
      <c r="L873" t="s">
        <v>24</v>
      </c>
      <c r="M873" t="s">
        <v>25</v>
      </c>
      <c r="N873" t="s">
        <v>44</v>
      </c>
      <c r="O873" t="s">
        <v>37</v>
      </c>
      <c r="P873" t="s">
        <v>38</v>
      </c>
      <c r="Q873">
        <v>9</v>
      </c>
      <c r="R873">
        <v>1792.21</v>
      </c>
      <c r="S873" t="s">
        <v>29</v>
      </c>
    </row>
    <row r="874" spans="1:19" x14ac:dyDescent="0.3">
      <c r="A874" t="s">
        <v>944</v>
      </c>
      <c r="B874">
        <v>50</v>
      </c>
      <c r="C874" t="s">
        <v>31</v>
      </c>
      <c r="D874" t="s">
        <v>79</v>
      </c>
      <c r="E874" s="1">
        <v>44941</v>
      </c>
      <c r="F874" s="3">
        <v>44946</v>
      </c>
      <c r="G874" t="s">
        <v>33</v>
      </c>
      <c r="H874" t="s">
        <v>34</v>
      </c>
      <c r="I874" t="s">
        <v>54</v>
      </c>
      <c r="J874">
        <v>7504.34</v>
      </c>
      <c r="K874">
        <v>5</v>
      </c>
      <c r="L874" t="s">
        <v>24</v>
      </c>
      <c r="M874" t="s">
        <v>25</v>
      </c>
      <c r="N874" t="s">
        <v>44</v>
      </c>
      <c r="O874" t="s">
        <v>49</v>
      </c>
      <c r="P874" t="s">
        <v>28</v>
      </c>
      <c r="Q874">
        <v>1</v>
      </c>
      <c r="R874">
        <v>2492.91</v>
      </c>
      <c r="S874" t="s">
        <v>29</v>
      </c>
    </row>
    <row r="875" spans="1:19" x14ac:dyDescent="0.3">
      <c r="A875" t="s">
        <v>945</v>
      </c>
      <c r="B875">
        <v>65</v>
      </c>
      <c r="C875" t="s">
        <v>19</v>
      </c>
      <c r="D875" t="s">
        <v>32</v>
      </c>
      <c r="E875" s="1">
        <v>45072</v>
      </c>
      <c r="F875" s="3">
        <v>45087</v>
      </c>
      <c r="G875" t="s">
        <v>33</v>
      </c>
      <c r="H875" t="s">
        <v>34</v>
      </c>
      <c r="I875" t="s">
        <v>83</v>
      </c>
      <c r="J875">
        <v>7989.67</v>
      </c>
      <c r="K875">
        <v>15</v>
      </c>
      <c r="L875" t="s">
        <v>24</v>
      </c>
      <c r="M875" t="s">
        <v>59</v>
      </c>
      <c r="N875" t="s">
        <v>44</v>
      </c>
      <c r="O875" t="s">
        <v>37</v>
      </c>
      <c r="P875" t="s">
        <v>50</v>
      </c>
      <c r="Q875">
        <v>12</v>
      </c>
      <c r="R875">
        <v>1544.97</v>
      </c>
      <c r="S875" t="s">
        <v>29</v>
      </c>
    </row>
    <row r="876" spans="1:19" x14ac:dyDescent="0.3">
      <c r="A876" t="s">
        <v>946</v>
      </c>
      <c r="B876">
        <v>28</v>
      </c>
      <c r="C876" t="s">
        <v>31</v>
      </c>
      <c r="D876" t="s">
        <v>47</v>
      </c>
      <c r="E876" s="1">
        <v>45020</v>
      </c>
      <c r="F876" s="3">
        <v>45027</v>
      </c>
      <c r="G876" t="s">
        <v>67</v>
      </c>
      <c r="H876" t="s">
        <v>42</v>
      </c>
      <c r="I876" t="s">
        <v>43</v>
      </c>
      <c r="J876">
        <v>5128.3</v>
      </c>
      <c r="K876">
        <v>7</v>
      </c>
      <c r="L876" t="s">
        <v>36</v>
      </c>
      <c r="M876" t="s">
        <v>25</v>
      </c>
      <c r="N876" t="s">
        <v>26</v>
      </c>
      <c r="O876" t="s">
        <v>37</v>
      </c>
      <c r="P876" t="s">
        <v>28</v>
      </c>
      <c r="Q876">
        <v>8</v>
      </c>
      <c r="R876">
        <v>1032.58</v>
      </c>
      <c r="S876" t="s">
        <v>39</v>
      </c>
    </row>
    <row r="877" spans="1:19" x14ac:dyDescent="0.3">
      <c r="A877" t="s">
        <v>947</v>
      </c>
      <c r="B877">
        <v>69</v>
      </c>
      <c r="C877" t="s">
        <v>19</v>
      </c>
      <c r="D877" t="s">
        <v>61</v>
      </c>
      <c r="E877" s="1">
        <v>45242</v>
      </c>
      <c r="F877" s="3">
        <v>45248</v>
      </c>
      <c r="G877" t="s">
        <v>21</v>
      </c>
      <c r="H877" t="s">
        <v>22</v>
      </c>
      <c r="I877" t="s">
        <v>54</v>
      </c>
      <c r="J877">
        <v>3632.3</v>
      </c>
      <c r="K877">
        <v>6</v>
      </c>
      <c r="L877" t="s">
        <v>36</v>
      </c>
      <c r="M877" t="s">
        <v>59</v>
      </c>
      <c r="N877" t="s">
        <v>44</v>
      </c>
      <c r="O877" t="s">
        <v>27</v>
      </c>
      <c r="P877" t="s">
        <v>38</v>
      </c>
      <c r="Q877">
        <v>10</v>
      </c>
      <c r="R877">
        <v>1302.44</v>
      </c>
      <c r="S877" t="s">
        <v>29</v>
      </c>
    </row>
    <row r="878" spans="1:19" x14ac:dyDescent="0.3">
      <c r="A878" t="s">
        <v>948</v>
      </c>
      <c r="B878">
        <v>83</v>
      </c>
      <c r="C878" t="s">
        <v>19</v>
      </c>
      <c r="D878" t="s">
        <v>32</v>
      </c>
      <c r="E878" s="1">
        <v>45210</v>
      </c>
      <c r="F878" s="3">
        <v>45227</v>
      </c>
      <c r="G878" t="s">
        <v>74</v>
      </c>
      <c r="H878" t="s">
        <v>75</v>
      </c>
      <c r="I878" t="s">
        <v>54</v>
      </c>
      <c r="J878">
        <v>13977.69</v>
      </c>
      <c r="K878">
        <v>17</v>
      </c>
      <c r="L878" t="s">
        <v>24</v>
      </c>
      <c r="M878" t="s">
        <v>25</v>
      </c>
      <c r="N878" t="s">
        <v>26</v>
      </c>
      <c r="O878" t="s">
        <v>37</v>
      </c>
      <c r="P878" t="s">
        <v>50</v>
      </c>
      <c r="Q878">
        <v>11</v>
      </c>
      <c r="R878">
        <v>2864.98</v>
      </c>
      <c r="S878" t="s">
        <v>39</v>
      </c>
    </row>
    <row r="879" spans="1:19" x14ac:dyDescent="0.3">
      <c r="A879" t="s">
        <v>949</v>
      </c>
      <c r="B879">
        <v>42</v>
      </c>
      <c r="C879" t="s">
        <v>31</v>
      </c>
      <c r="D879" t="s">
        <v>66</v>
      </c>
      <c r="E879" s="1">
        <v>45565</v>
      </c>
      <c r="F879" s="3">
        <v>45594</v>
      </c>
      <c r="G879" t="s">
        <v>21</v>
      </c>
      <c r="H879" t="s">
        <v>22</v>
      </c>
      <c r="I879" t="s">
        <v>54</v>
      </c>
      <c r="J879">
        <v>17012.419999999998</v>
      </c>
      <c r="K879">
        <v>29</v>
      </c>
      <c r="L879" t="s">
        <v>24</v>
      </c>
      <c r="M879" t="s">
        <v>101</v>
      </c>
      <c r="N879" t="s">
        <v>26</v>
      </c>
      <c r="O879" t="s">
        <v>49</v>
      </c>
      <c r="P879" t="s">
        <v>38</v>
      </c>
      <c r="Q879">
        <v>4</v>
      </c>
      <c r="R879">
        <v>5929.88</v>
      </c>
      <c r="S879" t="s">
        <v>29</v>
      </c>
    </row>
    <row r="880" spans="1:19" x14ac:dyDescent="0.3">
      <c r="A880" t="s">
        <v>950</v>
      </c>
      <c r="B880">
        <v>74</v>
      </c>
      <c r="C880" t="s">
        <v>31</v>
      </c>
      <c r="D880" t="s">
        <v>20</v>
      </c>
      <c r="E880" s="1">
        <v>45619</v>
      </c>
      <c r="F880" s="3">
        <v>45625</v>
      </c>
      <c r="G880" t="s">
        <v>21</v>
      </c>
      <c r="H880" t="s">
        <v>22</v>
      </c>
      <c r="I880" t="s">
        <v>23</v>
      </c>
      <c r="J880">
        <v>4132.97</v>
      </c>
      <c r="K880">
        <v>6</v>
      </c>
      <c r="L880" t="s">
        <v>24</v>
      </c>
      <c r="M880" t="s">
        <v>25</v>
      </c>
      <c r="N880" t="s">
        <v>26</v>
      </c>
      <c r="O880" t="s">
        <v>27</v>
      </c>
      <c r="P880" t="s">
        <v>38</v>
      </c>
      <c r="Q880">
        <v>6</v>
      </c>
      <c r="R880">
        <v>1274.56</v>
      </c>
      <c r="S880" t="s">
        <v>29</v>
      </c>
    </row>
    <row r="881" spans="1:19" x14ac:dyDescent="0.3">
      <c r="A881" t="s">
        <v>951</v>
      </c>
      <c r="B881">
        <v>25</v>
      </c>
      <c r="C881" t="s">
        <v>19</v>
      </c>
      <c r="D881" t="s">
        <v>89</v>
      </c>
      <c r="E881" s="1">
        <v>45763</v>
      </c>
      <c r="F881" s="3">
        <v>45766</v>
      </c>
      <c r="G881" t="s">
        <v>52</v>
      </c>
      <c r="H881" t="s">
        <v>53</v>
      </c>
      <c r="I881" t="s">
        <v>81</v>
      </c>
      <c r="J881">
        <v>3000.63</v>
      </c>
      <c r="K881">
        <v>3</v>
      </c>
      <c r="L881" t="s">
        <v>24</v>
      </c>
      <c r="M881" t="s">
        <v>25</v>
      </c>
      <c r="N881" t="s">
        <v>55</v>
      </c>
      <c r="O881" t="s">
        <v>27</v>
      </c>
      <c r="P881" t="s">
        <v>45</v>
      </c>
      <c r="Q881">
        <v>6</v>
      </c>
      <c r="R881">
        <v>703.62</v>
      </c>
      <c r="S881" t="s">
        <v>29</v>
      </c>
    </row>
    <row r="882" spans="1:19" x14ac:dyDescent="0.3">
      <c r="A882" t="s">
        <v>952</v>
      </c>
      <c r="B882">
        <v>71</v>
      </c>
      <c r="C882" t="s">
        <v>19</v>
      </c>
      <c r="D882" t="s">
        <v>20</v>
      </c>
      <c r="E882" s="1">
        <v>45901</v>
      </c>
      <c r="F882" s="3">
        <v>45911</v>
      </c>
      <c r="G882" t="s">
        <v>21</v>
      </c>
      <c r="H882" t="s">
        <v>22</v>
      </c>
      <c r="I882" t="s">
        <v>43</v>
      </c>
      <c r="J882">
        <v>12820.58</v>
      </c>
      <c r="K882">
        <v>10</v>
      </c>
      <c r="L882" t="s">
        <v>36</v>
      </c>
      <c r="M882" t="s">
        <v>25</v>
      </c>
      <c r="N882" t="s">
        <v>44</v>
      </c>
      <c r="O882" t="s">
        <v>49</v>
      </c>
      <c r="P882" t="s">
        <v>50</v>
      </c>
      <c r="Q882">
        <v>13</v>
      </c>
      <c r="R882">
        <v>4469.18</v>
      </c>
      <c r="S882" t="s">
        <v>29</v>
      </c>
    </row>
    <row r="883" spans="1:19" x14ac:dyDescent="0.3">
      <c r="A883" t="s">
        <v>953</v>
      </c>
      <c r="B883">
        <v>45</v>
      </c>
      <c r="C883" t="s">
        <v>31</v>
      </c>
      <c r="D883" t="s">
        <v>79</v>
      </c>
      <c r="E883" s="1">
        <v>45415</v>
      </c>
      <c r="F883" s="3">
        <v>45418</v>
      </c>
      <c r="G883" t="s">
        <v>52</v>
      </c>
      <c r="H883" t="s">
        <v>53</v>
      </c>
      <c r="I883" t="s">
        <v>83</v>
      </c>
      <c r="J883">
        <v>9410.6</v>
      </c>
      <c r="K883">
        <v>3</v>
      </c>
      <c r="L883" t="s">
        <v>24</v>
      </c>
      <c r="M883" t="s">
        <v>59</v>
      </c>
      <c r="N883" t="s">
        <v>26</v>
      </c>
      <c r="O883" t="s">
        <v>49</v>
      </c>
      <c r="P883" t="s">
        <v>50</v>
      </c>
      <c r="Q883">
        <v>8</v>
      </c>
      <c r="R883">
        <v>2855</v>
      </c>
      <c r="S883" t="s">
        <v>29</v>
      </c>
    </row>
    <row r="884" spans="1:19" x14ac:dyDescent="0.3">
      <c r="A884" t="s">
        <v>954</v>
      </c>
      <c r="B884">
        <v>61</v>
      </c>
      <c r="C884" t="s">
        <v>31</v>
      </c>
      <c r="D884" t="s">
        <v>70</v>
      </c>
      <c r="E884" s="1">
        <v>45503</v>
      </c>
      <c r="F884" s="3">
        <v>45508</v>
      </c>
      <c r="G884" t="s">
        <v>33</v>
      </c>
      <c r="H884" t="s">
        <v>34</v>
      </c>
      <c r="I884" t="s">
        <v>23</v>
      </c>
      <c r="J884">
        <v>3394.93</v>
      </c>
      <c r="K884">
        <v>5</v>
      </c>
      <c r="L884" t="s">
        <v>24</v>
      </c>
      <c r="M884" t="s">
        <v>25</v>
      </c>
      <c r="N884" t="s">
        <v>44</v>
      </c>
      <c r="O884" t="s">
        <v>27</v>
      </c>
      <c r="P884" t="s">
        <v>50</v>
      </c>
      <c r="Q884">
        <v>5</v>
      </c>
      <c r="R884">
        <v>1049.55</v>
      </c>
      <c r="S884" t="s">
        <v>29</v>
      </c>
    </row>
    <row r="885" spans="1:19" x14ac:dyDescent="0.3">
      <c r="A885" t="s">
        <v>955</v>
      </c>
      <c r="B885">
        <v>36</v>
      </c>
      <c r="C885" t="s">
        <v>19</v>
      </c>
      <c r="D885" t="s">
        <v>61</v>
      </c>
      <c r="E885" s="1">
        <v>45315</v>
      </c>
      <c r="F885" s="3">
        <v>45323</v>
      </c>
      <c r="G885" t="s">
        <v>52</v>
      </c>
      <c r="H885" t="s">
        <v>53</v>
      </c>
      <c r="I885" t="s">
        <v>81</v>
      </c>
      <c r="J885">
        <v>12763.13</v>
      </c>
      <c r="K885">
        <v>8</v>
      </c>
      <c r="L885" t="s">
        <v>24</v>
      </c>
      <c r="M885" t="s">
        <v>59</v>
      </c>
      <c r="N885" t="s">
        <v>55</v>
      </c>
      <c r="O885" t="s">
        <v>49</v>
      </c>
      <c r="P885" t="s">
        <v>45</v>
      </c>
      <c r="Q885">
        <v>1</v>
      </c>
      <c r="R885">
        <v>3888.24</v>
      </c>
      <c r="S885" t="s">
        <v>29</v>
      </c>
    </row>
    <row r="886" spans="1:19" x14ac:dyDescent="0.3">
      <c r="A886" t="s">
        <v>956</v>
      </c>
      <c r="B886">
        <v>21</v>
      </c>
      <c r="C886" t="s">
        <v>19</v>
      </c>
      <c r="D886" t="s">
        <v>32</v>
      </c>
      <c r="E886" s="1">
        <v>45770</v>
      </c>
      <c r="F886" s="3">
        <v>45789</v>
      </c>
      <c r="G886" t="s">
        <v>71</v>
      </c>
      <c r="H886" t="s">
        <v>72</v>
      </c>
      <c r="I886" t="s">
        <v>54</v>
      </c>
      <c r="J886">
        <v>7667.78</v>
      </c>
      <c r="K886">
        <v>19</v>
      </c>
      <c r="L886" t="s">
        <v>24</v>
      </c>
      <c r="M886" t="s">
        <v>25</v>
      </c>
      <c r="N886" t="s">
        <v>55</v>
      </c>
      <c r="O886" t="s">
        <v>37</v>
      </c>
      <c r="P886" t="s">
        <v>28</v>
      </c>
      <c r="Q886">
        <v>2</v>
      </c>
      <c r="R886">
        <v>1377.25</v>
      </c>
      <c r="S886" t="s">
        <v>29</v>
      </c>
    </row>
    <row r="887" spans="1:19" x14ac:dyDescent="0.3">
      <c r="A887" t="s">
        <v>957</v>
      </c>
      <c r="B887">
        <v>89</v>
      </c>
      <c r="C887" t="s">
        <v>31</v>
      </c>
      <c r="D887" t="s">
        <v>20</v>
      </c>
      <c r="E887" s="1">
        <v>45766</v>
      </c>
      <c r="F887" s="3">
        <v>45780</v>
      </c>
      <c r="G887" t="s">
        <v>67</v>
      </c>
      <c r="H887" t="s">
        <v>42</v>
      </c>
      <c r="I887" t="s">
        <v>54</v>
      </c>
      <c r="J887">
        <v>5625.26</v>
      </c>
      <c r="K887">
        <v>14</v>
      </c>
      <c r="L887" t="s">
        <v>36</v>
      </c>
      <c r="M887" t="s">
        <v>25</v>
      </c>
      <c r="N887" t="s">
        <v>26</v>
      </c>
      <c r="O887" t="s">
        <v>56</v>
      </c>
      <c r="P887" t="s">
        <v>28</v>
      </c>
      <c r="Q887">
        <v>2</v>
      </c>
      <c r="R887">
        <v>2046.37</v>
      </c>
      <c r="S887" t="s">
        <v>29</v>
      </c>
    </row>
    <row r="888" spans="1:19" x14ac:dyDescent="0.3">
      <c r="A888" t="s">
        <v>958</v>
      </c>
      <c r="B888">
        <v>64</v>
      </c>
      <c r="C888" t="s">
        <v>19</v>
      </c>
      <c r="D888" t="s">
        <v>47</v>
      </c>
      <c r="E888" s="1">
        <v>45514</v>
      </c>
      <c r="F888" s="3">
        <v>45524</v>
      </c>
      <c r="G888" t="s">
        <v>33</v>
      </c>
      <c r="H888" t="s">
        <v>34</v>
      </c>
      <c r="I888" t="s">
        <v>35</v>
      </c>
      <c r="J888">
        <v>4232.6899999999996</v>
      </c>
      <c r="K888">
        <v>10</v>
      </c>
      <c r="L888" t="s">
        <v>36</v>
      </c>
      <c r="M888" t="s">
        <v>25</v>
      </c>
      <c r="N888" t="s">
        <v>26</v>
      </c>
      <c r="O888" t="s">
        <v>27</v>
      </c>
      <c r="P888" t="s">
        <v>45</v>
      </c>
      <c r="Q888">
        <v>11</v>
      </c>
      <c r="R888">
        <v>636.19000000000005</v>
      </c>
      <c r="S888" t="s">
        <v>29</v>
      </c>
    </row>
    <row r="889" spans="1:19" x14ac:dyDescent="0.3">
      <c r="A889" t="s">
        <v>959</v>
      </c>
      <c r="B889">
        <v>63</v>
      </c>
      <c r="C889" t="s">
        <v>19</v>
      </c>
      <c r="D889" t="s">
        <v>47</v>
      </c>
      <c r="E889" s="1">
        <v>45241</v>
      </c>
      <c r="F889" s="3">
        <v>45256</v>
      </c>
      <c r="G889" t="s">
        <v>67</v>
      </c>
      <c r="H889" t="s">
        <v>42</v>
      </c>
      <c r="I889" t="s">
        <v>43</v>
      </c>
      <c r="J889">
        <v>11891.82</v>
      </c>
      <c r="K889">
        <v>15</v>
      </c>
      <c r="L889" t="s">
        <v>36</v>
      </c>
      <c r="M889" t="s">
        <v>25</v>
      </c>
      <c r="N889" t="s">
        <v>26</v>
      </c>
      <c r="O889" t="s">
        <v>49</v>
      </c>
      <c r="P889" t="s">
        <v>50</v>
      </c>
      <c r="Q889">
        <v>6</v>
      </c>
      <c r="R889">
        <v>4480.53</v>
      </c>
      <c r="S889" t="s">
        <v>29</v>
      </c>
    </row>
    <row r="890" spans="1:19" x14ac:dyDescent="0.3">
      <c r="A890" t="s">
        <v>960</v>
      </c>
      <c r="B890">
        <v>78</v>
      </c>
      <c r="C890" t="s">
        <v>19</v>
      </c>
      <c r="D890" t="s">
        <v>32</v>
      </c>
      <c r="E890" s="1">
        <v>45662</v>
      </c>
      <c r="F890" s="3">
        <v>45679</v>
      </c>
      <c r="G890" t="s">
        <v>62</v>
      </c>
      <c r="H890" t="s">
        <v>63</v>
      </c>
      <c r="I890" t="s">
        <v>83</v>
      </c>
      <c r="J890">
        <v>12192.13</v>
      </c>
      <c r="K890">
        <v>17</v>
      </c>
      <c r="L890" t="s">
        <v>36</v>
      </c>
      <c r="M890" t="s">
        <v>25</v>
      </c>
      <c r="N890" t="s">
        <v>44</v>
      </c>
      <c r="O890" t="s">
        <v>27</v>
      </c>
      <c r="P890" t="s">
        <v>28</v>
      </c>
      <c r="Q890">
        <v>10</v>
      </c>
      <c r="R890">
        <v>2641.03</v>
      </c>
      <c r="S890" t="s">
        <v>29</v>
      </c>
    </row>
    <row r="891" spans="1:19" x14ac:dyDescent="0.3">
      <c r="A891" t="s">
        <v>961</v>
      </c>
      <c r="B891">
        <v>30</v>
      </c>
      <c r="C891" t="s">
        <v>19</v>
      </c>
      <c r="D891" t="s">
        <v>20</v>
      </c>
      <c r="E891" s="1">
        <v>45900</v>
      </c>
      <c r="F891" s="3">
        <v>45921</v>
      </c>
      <c r="G891" t="s">
        <v>67</v>
      </c>
      <c r="H891" t="s">
        <v>42</v>
      </c>
      <c r="I891" t="s">
        <v>43</v>
      </c>
      <c r="J891">
        <v>9039.0300000000007</v>
      </c>
      <c r="K891">
        <v>21</v>
      </c>
      <c r="L891" t="s">
        <v>36</v>
      </c>
      <c r="M891" t="s">
        <v>101</v>
      </c>
      <c r="N891" t="s">
        <v>44</v>
      </c>
      <c r="O891" t="s">
        <v>49</v>
      </c>
      <c r="P891" t="s">
        <v>45</v>
      </c>
      <c r="Q891">
        <v>14</v>
      </c>
      <c r="R891">
        <v>1526.97</v>
      </c>
      <c r="S891" t="s">
        <v>39</v>
      </c>
    </row>
    <row r="892" spans="1:19" x14ac:dyDescent="0.3">
      <c r="A892" t="s">
        <v>962</v>
      </c>
      <c r="B892">
        <v>78</v>
      </c>
      <c r="C892" t="s">
        <v>19</v>
      </c>
      <c r="D892" t="s">
        <v>32</v>
      </c>
      <c r="E892" s="1">
        <v>45374</v>
      </c>
      <c r="F892" s="3">
        <v>45390</v>
      </c>
      <c r="G892" t="s">
        <v>21</v>
      </c>
      <c r="H892" t="s">
        <v>22</v>
      </c>
      <c r="I892" t="s">
        <v>54</v>
      </c>
      <c r="J892">
        <v>7957.94</v>
      </c>
      <c r="K892">
        <v>16</v>
      </c>
      <c r="L892" t="s">
        <v>24</v>
      </c>
      <c r="M892" t="s">
        <v>25</v>
      </c>
      <c r="N892" t="s">
        <v>55</v>
      </c>
      <c r="O892" t="s">
        <v>37</v>
      </c>
      <c r="P892" t="s">
        <v>28</v>
      </c>
      <c r="Q892">
        <v>9</v>
      </c>
      <c r="R892">
        <v>1224.06</v>
      </c>
      <c r="S892" t="s">
        <v>29</v>
      </c>
    </row>
    <row r="893" spans="1:19" x14ac:dyDescent="0.3">
      <c r="A893" t="s">
        <v>963</v>
      </c>
      <c r="B893">
        <v>48</v>
      </c>
      <c r="C893" t="s">
        <v>31</v>
      </c>
      <c r="D893" t="s">
        <v>79</v>
      </c>
      <c r="E893" s="1">
        <v>44928</v>
      </c>
      <c r="F893" s="3">
        <v>44946</v>
      </c>
      <c r="G893" t="s">
        <v>52</v>
      </c>
      <c r="H893" t="s">
        <v>53</v>
      </c>
      <c r="I893" t="s">
        <v>43</v>
      </c>
      <c r="J893">
        <v>5485.02</v>
      </c>
      <c r="K893">
        <v>18</v>
      </c>
      <c r="L893" t="s">
        <v>24</v>
      </c>
      <c r="M893" t="s">
        <v>25</v>
      </c>
      <c r="N893" t="s">
        <v>26</v>
      </c>
      <c r="O893" t="s">
        <v>37</v>
      </c>
      <c r="P893" t="s">
        <v>38</v>
      </c>
      <c r="Q893">
        <v>1</v>
      </c>
      <c r="R893">
        <v>1684.15</v>
      </c>
      <c r="S893" t="s">
        <v>29</v>
      </c>
    </row>
    <row r="894" spans="1:19" x14ac:dyDescent="0.3">
      <c r="A894" t="s">
        <v>964</v>
      </c>
      <c r="B894">
        <v>56</v>
      </c>
      <c r="C894" t="s">
        <v>19</v>
      </c>
      <c r="D894" t="s">
        <v>32</v>
      </c>
      <c r="E894" s="1">
        <v>45611</v>
      </c>
      <c r="F894" s="3">
        <v>45616</v>
      </c>
      <c r="G894" t="s">
        <v>93</v>
      </c>
      <c r="H894" t="s">
        <v>72</v>
      </c>
      <c r="I894" t="s">
        <v>54</v>
      </c>
      <c r="J894">
        <v>4265.7299999999996</v>
      </c>
      <c r="K894">
        <v>5</v>
      </c>
      <c r="L894" t="s">
        <v>24</v>
      </c>
      <c r="M894" t="s">
        <v>25</v>
      </c>
      <c r="N894" t="s">
        <v>26</v>
      </c>
      <c r="O894" t="s">
        <v>56</v>
      </c>
      <c r="P894" t="s">
        <v>45</v>
      </c>
      <c r="Q894">
        <v>1</v>
      </c>
      <c r="R894">
        <v>1175.49</v>
      </c>
      <c r="S894" t="s">
        <v>29</v>
      </c>
    </row>
    <row r="895" spans="1:19" x14ac:dyDescent="0.3">
      <c r="A895" t="s">
        <v>965</v>
      </c>
      <c r="B895">
        <v>44</v>
      </c>
      <c r="C895" t="s">
        <v>31</v>
      </c>
      <c r="D895" t="s">
        <v>70</v>
      </c>
      <c r="E895" s="1">
        <v>45652</v>
      </c>
      <c r="F895" s="3">
        <v>45672</v>
      </c>
      <c r="G895" t="s">
        <v>41</v>
      </c>
      <c r="H895" t="s">
        <v>42</v>
      </c>
      <c r="I895" t="s">
        <v>54</v>
      </c>
      <c r="J895">
        <v>7018.45</v>
      </c>
      <c r="K895">
        <v>20</v>
      </c>
      <c r="L895" t="s">
        <v>36</v>
      </c>
      <c r="M895" t="s">
        <v>25</v>
      </c>
      <c r="N895" t="s">
        <v>44</v>
      </c>
      <c r="O895" t="s">
        <v>27</v>
      </c>
      <c r="P895" t="s">
        <v>50</v>
      </c>
      <c r="Q895">
        <v>5</v>
      </c>
      <c r="R895">
        <v>1323.15</v>
      </c>
      <c r="S895" t="s">
        <v>29</v>
      </c>
    </row>
    <row r="896" spans="1:19" x14ac:dyDescent="0.3">
      <c r="A896" t="s">
        <v>966</v>
      </c>
      <c r="B896">
        <v>66</v>
      </c>
      <c r="C896" t="s">
        <v>31</v>
      </c>
      <c r="D896" t="s">
        <v>47</v>
      </c>
      <c r="E896" s="1">
        <v>45385</v>
      </c>
      <c r="F896" s="3">
        <v>45388</v>
      </c>
      <c r="G896" t="s">
        <v>67</v>
      </c>
      <c r="H896" t="s">
        <v>42</v>
      </c>
      <c r="I896" t="s">
        <v>81</v>
      </c>
      <c r="J896">
        <v>3661.42</v>
      </c>
      <c r="K896">
        <v>3</v>
      </c>
      <c r="L896" t="s">
        <v>36</v>
      </c>
      <c r="M896" t="s">
        <v>76</v>
      </c>
      <c r="N896" t="s">
        <v>26</v>
      </c>
      <c r="O896" t="s">
        <v>27</v>
      </c>
      <c r="P896" t="s">
        <v>28</v>
      </c>
      <c r="Q896">
        <v>7</v>
      </c>
      <c r="R896">
        <v>964.89</v>
      </c>
      <c r="S896" t="s">
        <v>29</v>
      </c>
    </row>
    <row r="897" spans="1:19" x14ac:dyDescent="0.3">
      <c r="A897" t="s">
        <v>967</v>
      </c>
      <c r="B897">
        <v>57</v>
      </c>
      <c r="C897" t="s">
        <v>19</v>
      </c>
      <c r="D897" t="s">
        <v>20</v>
      </c>
      <c r="E897" s="1">
        <v>45826</v>
      </c>
      <c r="F897" s="3">
        <v>45830</v>
      </c>
      <c r="G897" t="s">
        <v>52</v>
      </c>
      <c r="H897" t="s">
        <v>53</v>
      </c>
      <c r="I897" t="s">
        <v>91</v>
      </c>
      <c r="J897">
        <v>8239.0300000000007</v>
      </c>
      <c r="K897">
        <v>4</v>
      </c>
      <c r="L897" t="s">
        <v>36</v>
      </c>
      <c r="M897" t="s">
        <v>25</v>
      </c>
      <c r="N897" t="s">
        <v>44</v>
      </c>
      <c r="O897" t="s">
        <v>49</v>
      </c>
      <c r="P897" t="s">
        <v>45</v>
      </c>
      <c r="Q897">
        <v>4</v>
      </c>
      <c r="R897">
        <v>2749.99</v>
      </c>
      <c r="S897" t="s">
        <v>29</v>
      </c>
    </row>
    <row r="898" spans="1:19" x14ac:dyDescent="0.3">
      <c r="A898" t="s">
        <v>968</v>
      </c>
      <c r="B898">
        <v>27</v>
      </c>
      <c r="C898" t="s">
        <v>31</v>
      </c>
      <c r="D898" t="s">
        <v>61</v>
      </c>
      <c r="E898" s="1">
        <v>45296</v>
      </c>
      <c r="F898" s="3">
        <v>45310</v>
      </c>
      <c r="G898" t="s">
        <v>93</v>
      </c>
      <c r="H898" t="s">
        <v>72</v>
      </c>
      <c r="I898" t="s">
        <v>91</v>
      </c>
      <c r="J898">
        <v>3424.67</v>
      </c>
      <c r="K898">
        <v>14</v>
      </c>
      <c r="L898" t="s">
        <v>36</v>
      </c>
      <c r="M898" t="s">
        <v>25</v>
      </c>
      <c r="N898" t="s">
        <v>26</v>
      </c>
      <c r="O898" t="s">
        <v>56</v>
      </c>
      <c r="P898" t="s">
        <v>38</v>
      </c>
      <c r="Q898">
        <v>3</v>
      </c>
      <c r="R898">
        <v>934.93</v>
      </c>
      <c r="S898" t="s">
        <v>29</v>
      </c>
    </row>
    <row r="899" spans="1:19" x14ac:dyDescent="0.3">
      <c r="A899" t="s">
        <v>969</v>
      </c>
      <c r="B899">
        <v>42</v>
      </c>
      <c r="C899" t="s">
        <v>31</v>
      </c>
      <c r="D899" t="s">
        <v>70</v>
      </c>
      <c r="E899" s="1">
        <v>45867</v>
      </c>
      <c r="F899" s="3">
        <v>45868</v>
      </c>
      <c r="G899" t="s">
        <v>33</v>
      </c>
      <c r="H899" t="s">
        <v>34</v>
      </c>
      <c r="I899" t="s">
        <v>83</v>
      </c>
      <c r="J899">
        <v>1989.68</v>
      </c>
      <c r="K899">
        <v>1</v>
      </c>
      <c r="L899" t="s">
        <v>24</v>
      </c>
      <c r="M899" t="s">
        <v>25</v>
      </c>
      <c r="N899" t="s">
        <v>26</v>
      </c>
      <c r="O899" t="s">
        <v>37</v>
      </c>
      <c r="P899" t="s">
        <v>45</v>
      </c>
      <c r="Q899">
        <v>14</v>
      </c>
      <c r="R899">
        <v>720.95</v>
      </c>
      <c r="S899" t="s">
        <v>29</v>
      </c>
    </row>
    <row r="900" spans="1:19" x14ac:dyDescent="0.3">
      <c r="A900" t="s">
        <v>970</v>
      </c>
      <c r="B900">
        <v>37</v>
      </c>
      <c r="C900" t="s">
        <v>31</v>
      </c>
      <c r="D900" t="s">
        <v>89</v>
      </c>
      <c r="E900" s="1">
        <v>45338</v>
      </c>
      <c r="F900" s="3">
        <v>45346</v>
      </c>
      <c r="G900" t="s">
        <v>41</v>
      </c>
      <c r="H900" t="s">
        <v>42</v>
      </c>
      <c r="I900" t="s">
        <v>58</v>
      </c>
      <c r="J900">
        <v>6933.71</v>
      </c>
      <c r="K900">
        <v>8</v>
      </c>
      <c r="L900" t="s">
        <v>24</v>
      </c>
      <c r="M900" t="s">
        <v>25</v>
      </c>
      <c r="N900" t="s">
        <v>44</v>
      </c>
      <c r="O900" t="s">
        <v>49</v>
      </c>
      <c r="P900" t="s">
        <v>50</v>
      </c>
      <c r="Q900">
        <v>11</v>
      </c>
      <c r="R900">
        <v>1159.03</v>
      </c>
      <c r="S900" t="s">
        <v>29</v>
      </c>
    </row>
    <row r="901" spans="1:19" x14ac:dyDescent="0.3">
      <c r="A901" t="s">
        <v>971</v>
      </c>
      <c r="B901">
        <v>32</v>
      </c>
      <c r="C901" t="s">
        <v>19</v>
      </c>
      <c r="D901" t="s">
        <v>70</v>
      </c>
      <c r="E901" s="1">
        <v>45265</v>
      </c>
      <c r="F901" s="3">
        <v>45282</v>
      </c>
      <c r="G901" t="s">
        <v>52</v>
      </c>
      <c r="H901" t="s">
        <v>53</v>
      </c>
      <c r="I901" t="s">
        <v>58</v>
      </c>
      <c r="J901">
        <v>10342.73</v>
      </c>
      <c r="K901">
        <v>17</v>
      </c>
      <c r="L901" t="s">
        <v>24</v>
      </c>
      <c r="M901" t="s">
        <v>25</v>
      </c>
      <c r="N901" t="s">
        <v>55</v>
      </c>
      <c r="O901" t="s">
        <v>49</v>
      </c>
      <c r="P901" t="s">
        <v>28</v>
      </c>
      <c r="Q901">
        <v>6</v>
      </c>
      <c r="R901">
        <v>2568.12</v>
      </c>
      <c r="S901" t="s">
        <v>29</v>
      </c>
    </row>
    <row r="902" spans="1:19" x14ac:dyDescent="0.3">
      <c r="A902" t="s">
        <v>972</v>
      </c>
      <c r="B902">
        <v>39</v>
      </c>
      <c r="C902" t="s">
        <v>19</v>
      </c>
      <c r="D902" t="s">
        <v>20</v>
      </c>
      <c r="E902" s="1">
        <v>45073</v>
      </c>
      <c r="F902" s="3">
        <v>45087</v>
      </c>
      <c r="G902" t="s">
        <v>21</v>
      </c>
      <c r="H902" t="s">
        <v>22</v>
      </c>
      <c r="I902" t="s">
        <v>35</v>
      </c>
      <c r="J902">
        <v>9462.94</v>
      </c>
      <c r="K902">
        <v>14</v>
      </c>
      <c r="L902" t="s">
        <v>36</v>
      </c>
      <c r="M902" t="s">
        <v>59</v>
      </c>
      <c r="N902" t="s">
        <v>26</v>
      </c>
      <c r="O902" t="s">
        <v>27</v>
      </c>
      <c r="P902" t="s">
        <v>38</v>
      </c>
      <c r="Q902">
        <v>5</v>
      </c>
      <c r="R902">
        <v>2469.89</v>
      </c>
      <c r="S902" t="s">
        <v>39</v>
      </c>
    </row>
    <row r="903" spans="1:19" x14ac:dyDescent="0.3">
      <c r="A903" t="s">
        <v>973</v>
      </c>
      <c r="B903">
        <v>38</v>
      </c>
      <c r="C903" t="s">
        <v>19</v>
      </c>
      <c r="D903" t="s">
        <v>89</v>
      </c>
      <c r="E903" s="1">
        <v>45913</v>
      </c>
      <c r="F903" s="3">
        <v>45915</v>
      </c>
      <c r="G903" t="s">
        <v>62</v>
      </c>
      <c r="H903" t="s">
        <v>63</v>
      </c>
      <c r="I903" t="s">
        <v>35</v>
      </c>
      <c r="J903">
        <v>3940.76</v>
      </c>
      <c r="K903">
        <v>2</v>
      </c>
      <c r="L903" t="s">
        <v>24</v>
      </c>
      <c r="M903" t="s">
        <v>25</v>
      </c>
      <c r="N903" t="s">
        <v>55</v>
      </c>
      <c r="O903" t="s">
        <v>56</v>
      </c>
      <c r="P903" t="s">
        <v>45</v>
      </c>
      <c r="Q903">
        <v>3</v>
      </c>
      <c r="R903">
        <v>1078</v>
      </c>
      <c r="S903" t="s">
        <v>29</v>
      </c>
    </row>
    <row r="904" spans="1:19" x14ac:dyDescent="0.3">
      <c r="A904" t="s">
        <v>974</v>
      </c>
      <c r="B904">
        <v>26</v>
      </c>
      <c r="C904" t="s">
        <v>19</v>
      </c>
      <c r="D904" t="s">
        <v>47</v>
      </c>
      <c r="E904" s="1">
        <v>45542</v>
      </c>
      <c r="F904" s="3">
        <v>45546</v>
      </c>
      <c r="G904" t="s">
        <v>67</v>
      </c>
      <c r="H904" t="s">
        <v>42</v>
      </c>
      <c r="I904" t="s">
        <v>23</v>
      </c>
      <c r="J904">
        <v>7317.71</v>
      </c>
      <c r="K904">
        <v>4</v>
      </c>
      <c r="L904" t="s">
        <v>24</v>
      </c>
      <c r="M904" t="s">
        <v>25</v>
      </c>
      <c r="N904" t="s">
        <v>44</v>
      </c>
      <c r="O904" t="s">
        <v>49</v>
      </c>
      <c r="P904" t="s">
        <v>28</v>
      </c>
      <c r="Q904">
        <v>4</v>
      </c>
      <c r="R904">
        <v>1369.42</v>
      </c>
      <c r="S904" t="s">
        <v>29</v>
      </c>
    </row>
    <row r="905" spans="1:19" x14ac:dyDescent="0.3">
      <c r="A905" t="s">
        <v>975</v>
      </c>
      <c r="B905">
        <v>61</v>
      </c>
      <c r="C905" t="s">
        <v>31</v>
      </c>
      <c r="D905" t="s">
        <v>70</v>
      </c>
      <c r="E905" s="1">
        <v>45374</v>
      </c>
      <c r="F905" s="3">
        <v>45385</v>
      </c>
      <c r="G905" t="s">
        <v>41</v>
      </c>
      <c r="H905" t="s">
        <v>42</v>
      </c>
      <c r="I905" t="s">
        <v>54</v>
      </c>
      <c r="J905">
        <v>4899.8999999999996</v>
      </c>
      <c r="K905">
        <v>11</v>
      </c>
      <c r="L905" t="s">
        <v>24</v>
      </c>
      <c r="M905" t="s">
        <v>59</v>
      </c>
      <c r="N905" t="s">
        <v>44</v>
      </c>
      <c r="O905" t="s">
        <v>37</v>
      </c>
      <c r="P905" t="s">
        <v>50</v>
      </c>
      <c r="Q905">
        <v>4</v>
      </c>
      <c r="R905">
        <v>1586.43</v>
      </c>
      <c r="S905" t="s">
        <v>29</v>
      </c>
    </row>
    <row r="906" spans="1:19" x14ac:dyDescent="0.3">
      <c r="A906" t="s">
        <v>976</v>
      </c>
      <c r="B906">
        <v>79</v>
      </c>
      <c r="C906" t="s">
        <v>31</v>
      </c>
      <c r="D906" t="s">
        <v>66</v>
      </c>
      <c r="E906" s="1">
        <v>45054</v>
      </c>
      <c r="F906" s="3">
        <v>45066</v>
      </c>
      <c r="G906" t="s">
        <v>67</v>
      </c>
      <c r="H906" t="s">
        <v>42</v>
      </c>
      <c r="I906" t="s">
        <v>54</v>
      </c>
      <c r="J906">
        <v>8402.19</v>
      </c>
      <c r="K906">
        <v>12</v>
      </c>
      <c r="L906" t="s">
        <v>24</v>
      </c>
      <c r="M906" t="s">
        <v>59</v>
      </c>
      <c r="N906" t="s">
        <v>26</v>
      </c>
      <c r="O906" t="s">
        <v>27</v>
      </c>
      <c r="P906" t="s">
        <v>38</v>
      </c>
      <c r="Q906">
        <v>14</v>
      </c>
      <c r="R906">
        <v>2514.91</v>
      </c>
      <c r="S906" t="s">
        <v>39</v>
      </c>
    </row>
    <row r="907" spans="1:19" x14ac:dyDescent="0.3">
      <c r="A907" t="s">
        <v>977</v>
      </c>
      <c r="B907">
        <v>19</v>
      </c>
      <c r="C907" t="s">
        <v>31</v>
      </c>
      <c r="D907" t="s">
        <v>66</v>
      </c>
      <c r="E907" s="1">
        <v>45290</v>
      </c>
      <c r="F907" s="3">
        <v>45292</v>
      </c>
      <c r="G907" t="s">
        <v>52</v>
      </c>
      <c r="H907" t="s">
        <v>53</v>
      </c>
      <c r="I907" t="s">
        <v>91</v>
      </c>
      <c r="J907">
        <v>1901.45</v>
      </c>
      <c r="K907">
        <v>2</v>
      </c>
      <c r="L907" t="s">
        <v>24</v>
      </c>
      <c r="M907" t="s">
        <v>25</v>
      </c>
      <c r="N907" t="s">
        <v>55</v>
      </c>
      <c r="O907" t="s">
        <v>56</v>
      </c>
      <c r="P907" t="s">
        <v>28</v>
      </c>
      <c r="Q907">
        <v>1</v>
      </c>
      <c r="R907">
        <v>721.44</v>
      </c>
      <c r="S907" t="s">
        <v>29</v>
      </c>
    </row>
    <row r="908" spans="1:19" x14ac:dyDescent="0.3">
      <c r="A908" t="s">
        <v>978</v>
      </c>
      <c r="B908">
        <v>25</v>
      </c>
      <c r="C908" t="s">
        <v>31</v>
      </c>
      <c r="D908" t="s">
        <v>70</v>
      </c>
      <c r="E908" s="1">
        <v>45623</v>
      </c>
      <c r="F908" s="3">
        <v>45642</v>
      </c>
      <c r="G908" t="s">
        <v>21</v>
      </c>
      <c r="H908" t="s">
        <v>22</v>
      </c>
      <c r="I908" t="s">
        <v>81</v>
      </c>
      <c r="J908">
        <v>9293.5400000000009</v>
      </c>
      <c r="K908">
        <v>19</v>
      </c>
      <c r="L908" t="s">
        <v>36</v>
      </c>
      <c r="M908" t="s">
        <v>25</v>
      </c>
      <c r="N908" t="s">
        <v>55</v>
      </c>
      <c r="O908" t="s">
        <v>27</v>
      </c>
      <c r="P908" t="s">
        <v>28</v>
      </c>
      <c r="Q908">
        <v>1</v>
      </c>
      <c r="R908">
        <v>2018.69</v>
      </c>
      <c r="S908" t="s">
        <v>39</v>
      </c>
    </row>
    <row r="909" spans="1:19" x14ac:dyDescent="0.3">
      <c r="A909" t="s">
        <v>979</v>
      </c>
      <c r="B909">
        <v>64</v>
      </c>
      <c r="C909" t="s">
        <v>19</v>
      </c>
      <c r="D909" t="s">
        <v>20</v>
      </c>
      <c r="E909" s="1">
        <v>45632</v>
      </c>
      <c r="F909" s="3">
        <v>45639</v>
      </c>
      <c r="G909" t="s">
        <v>67</v>
      </c>
      <c r="H909" t="s">
        <v>42</v>
      </c>
      <c r="I909" t="s">
        <v>54</v>
      </c>
      <c r="J909">
        <v>2453.69</v>
      </c>
      <c r="K909">
        <v>7</v>
      </c>
      <c r="L909" t="s">
        <v>36</v>
      </c>
      <c r="M909" t="s">
        <v>25</v>
      </c>
      <c r="N909" t="s">
        <v>55</v>
      </c>
      <c r="O909" t="s">
        <v>56</v>
      </c>
      <c r="P909" t="s">
        <v>38</v>
      </c>
      <c r="Q909">
        <v>13</v>
      </c>
      <c r="R909">
        <v>727.82</v>
      </c>
      <c r="S909" t="s">
        <v>29</v>
      </c>
    </row>
    <row r="910" spans="1:19" x14ac:dyDescent="0.3">
      <c r="A910" t="s">
        <v>980</v>
      </c>
      <c r="B910">
        <v>39</v>
      </c>
      <c r="C910" t="s">
        <v>31</v>
      </c>
      <c r="D910" t="s">
        <v>79</v>
      </c>
      <c r="E910" s="1">
        <v>45145</v>
      </c>
      <c r="F910" s="3">
        <v>45147</v>
      </c>
      <c r="G910" t="s">
        <v>71</v>
      </c>
      <c r="H910" t="s">
        <v>72</v>
      </c>
      <c r="I910" t="s">
        <v>91</v>
      </c>
      <c r="J910">
        <v>1950.02</v>
      </c>
      <c r="K910">
        <v>2</v>
      </c>
      <c r="L910" t="s">
        <v>24</v>
      </c>
      <c r="M910" t="s">
        <v>76</v>
      </c>
      <c r="N910" t="s">
        <v>44</v>
      </c>
      <c r="O910" t="s">
        <v>37</v>
      </c>
      <c r="P910" t="s">
        <v>28</v>
      </c>
      <c r="Q910">
        <v>11</v>
      </c>
      <c r="R910">
        <v>358.32</v>
      </c>
      <c r="S910" t="s">
        <v>39</v>
      </c>
    </row>
    <row r="911" spans="1:19" x14ac:dyDescent="0.3">
      <c r="A911" t="s">
        <v>981</v>
      </c>
      <c r="B911">
        <v>69</v>
      </c>
      <c r="C911" t="s">
        <v>31</v>
      </c>
      <c r="D911" t="s">
        <v>20</v>
      </c>
      <c r="E911" s="1">
        <v>45435</v>
      </c>
      <c r="F911" s="3">
        <v>45438</v>
      </c>
      <c r="G911" t="s">
        <v>41</v>
      </c>
      <c r="H911" t="s">
        <v>42</v>
      </c>
      <c r="I911" t="s">
        <v>58</v>
      </c>
      <c r="J911">
        <v>3927.82</v>
      </c>
      <c r="K911">
        <v>3</v>
      </c>
      <c r="L911" t="s">
        <v>24</v>
      </c>
      <c r="M911" t="s">
        <v>25</v>
      </c>
      <c r="N911" t="s">
        <v>55</v>
      </c>
      <c r="O911" t="s">
        <v>56</v>
      </c>
      <c r="P911" t="s">
        <v>45</v>
      </c>
      <c r="Q911">
        <v>15</v>
      </c>
      <c r="R911">
        <v>654.26</v>
      </c>
      <c r="S911" t="s">
        <v>29</v>
      </c>
    </row>
    <row r="912" spans="1:19" x14ac:dyDescent="0.3">
      <c r="A912" t="s">
        <v>982</v>
      </c>
      <c r="B912">
        <v>47</v>
      </c>
      <c r="C912" t="s">
        <v>19</v>
      </c>
      <c r="D912" t="s">
        <v>20</v>
      </c>
      <c r="E912" s="1">
        <v>45462</v>
      </c>
      <c r="F912" s="3">
        <v>45485</v>
      </c>
      <c r="G912" t="s">
        <v>48</v>
      </c>
      <c r="H912" t="s">
        <v>22</v>
      </c>
      <c r="I912" t="s">
        <v>43</v>
      </c>
      <c r="J912">
        <v>12650.74</v>
      </c>
      <c r="K912">
        <v>23</v>
      </c>
      <c r="L912" t="s">
        <v>24</v>
      </c>
      <c r="M912" t="s">
        <v>25</v>
      </c>
      <c r="N912" t="s">
        <v>55</v>
      </c>
      <c r="O912" t="s">
        <v>49</v>
      </c>
      <c r="P912" t="s">
        <v>45</v>
      </c>
      <c r="Q912">
        <v>15</v>
      </c>
      <c r="R912">
        <v>3568.25</v>
      </c>
      <c r="S912" t="s">
        <v>29</v>
      </c>
    </row>
    <row r="913" spans="1:19" x14ac:dyDescent="0.3">
      <c r="A913" t="s">
        <v>983</v>
      </c>
      <c r="B913">
        <v>49</v>
      </c>
      <c r="C913" t="s">
        <v>31</v>
      </c>
      <c r="D913" t="s">
        <v>70</v>
      </c>
      <c r="E913" s="1">
        <v>45623</v>
      </c>
      <c r="F913" s="3">
        <v>45638</v>
      </c>
      <c r="G913" t="s">
        <v>67</v>
      </c>
      <c r="H913" t="s">
        <v>42</v>
      </c>
      <c r="I913" t="s">
        <v>81</v>
      </c>
      <c r="J913">
        <v>4944.58</v>
      </c>
      <c r="K913">
        <v>15</v>
      </c>
      <c r="L913" t="s">
        <v>24</v>
      </c>
      <c r="M913" t="s">
        <v>25</v>
      </c>
      <c r="N913" t="s">
        <v>44</v>
      </c>
      <c r="O913" t="s">
        <v>37</v>
      </c>
      <c r="P913" t="s">
        <v>38</v>
      </c>
      <c r="Q913">
        <v>7</v>
      </c>
      <c r="R913">
        <v>1315.09</v>
      </c>
      <c r="S913" t="s">
        <v>29</v>
      </c>
    </row>
    <row r="914" spans="1:19" x14ac:dyDescent="0.3">
      <c r="A914" t="s">
        <v>984</v>
      </c>
      <c r="B914">
        <v>86</v>
      </c>
      <c r="C914" t="s">
        <v>19</v>
      </c>
      <c r="D914" t="s">
        <v>47</v>
      </c>
      <c r="E914" s="1">
        <v>45843</v>
      </c>
      <c r="F914" s="3">
        <v>45859</v>
      </c>
      <c r="G914" t="s">
        <v>74</v>
      </c>
      <c r="H914" t="s">
        <v>75</v>
      </c>
      <c r="I914" t="s">
        <v>83</v>
      </c>
      <c r="J914">
        <v>12230.1</v>
      </c>
      <c r="K914">
        <v>16</v>
      </c>
      <c r="L914" t="s">
        <v>36</v>
      </c>
      <c r="M914" t="s">
        <v>25</v>
      </c>
      <c r="N914" t="s">
        <v>55</v>
      </c>
      <c r="O914" t="s">
        <v>49</v>
      </c>
      <c r="P914" t="s">
        <v>50</v>
      </c>
      <c r="Q914">
        <v>12</v>
      </c>
      <c r="R914">
        <v>2108.1</v>
      </c>
      <c r="S914" t="s">
        <v>29</v>
      </c>
    </row>
    <row r="915" spans="1:19" x14ac:dyDescent="0.3">
      <c r="A915" t="s">
        <v>985</v>
      </c>
      <c r="B915">
        <v>53</v>
      </c>
      <c r="C915" t="s">
        <v>19</v>
      </c>
      <c r="D915" t="s">
        <v>89</v>
      </c>
      <c r="E915" s="1">
        <v>45636</v>
      </c>
      <c r="F915" s="3">
        <v>45639</v>
      </c>
      <c r="G915" t="s">
        <v>48</v>
      </c>
      <c r="H915" t="s">
        <v>22</v>
      </c>
      <c r="I915" t="s">
        <v>81</v>
      </c>
      <c r="J915">
        <v>3698.18</v>
      </c>
      <c r="K915">
        <v>3</v>
      </c>
      <c r="L915" t="s">
        <v>24</v>
      </c>
      <c r="M915" t="s">
        <v>25</v>
      </c>
      <c r="N915" t="s">
        <v>26</v>
      </c>
      <c r="O915" t="s">
        <v>37</v>
      </c>
      <c r="P915" t="s">
        <v>50</v>
      </c>
      <c r="Q915">
        <v>5</v>
      </c>
      <c r="R915">
        <v>1336.68</v>
      </c>
      <c r="S915" t="s">
        <v>29</v>
      </c>
    </row>
    <row r="916" spans="1:19" x14ac:dyDescent="0.3">
      <c r="A916" t="s">
        <v>986</v>
      </c>
      <c r="B916">
        <v>55</v>
      </c>
      <c r="C916" t="s">
        <v>31</v>
      </c>
      <c r="D916" t="s">
        <v>66</v>
      </c>
      <c r="E916" s="1">
        <v>45438</v>
      </c>
      <c r="F916" s="3">
        <v>45457</v>
      </c>
      <c r="G916" t="s">
        <v>62</v>
      </c>
      <c r="H916" t="s">
        <v>63</v>
      </c>
      <c r="I916" t="s">
        <v>35</v>
      </c>
      <c r="J916">
        <v>9196.86</v>
      </c>
      <c r="K916">
        <v>19</v>
      </c>
      <c r="L916" t="s">
        <v>36</v>
      </c>
      <c r="M916" t="s">
        <v>25</v>
      </c>
      <c r="N916" t="s">
        <v>55</v>
      </c>
      <c r="O916" t="s">
        <v>56</v>
      </c>
      <c r="P916" t="s">
        <v>45</v>
      </c>
      <c r="Q916">
        <v>11</v>
      </c>
      <c r="R916">
        <v>2566.8200000000002</v>
      </c>
      <c r="S916" t="s">
        <v>29</v>
      </c>
    </row>
    <row r="917" spans="1:19" x14ac:dyDescent="0.3">
      <c r="A917" t="s">
        <v>987</v>
      </c>
      <c r="B917">
        <v>27</v>
      </c>
      <c r="C917" t="s">
        <v>19</v>
      </c>
      <c r="D917" t="s">
        <v>61</v>
      </c>
      <c r="E917" s="1">
        <v>45497</v>
      </c>
      <c r="F917" s="3">
        <v>45516</v>
      </c>
      <c r="G917" t="s">
        <v>21</v>
      </c>
      <c r="H917" t="s">
        <v>22</v>
      </c>
      <c r="I917" t="s">
        <v>35</v>
      </c>
      <c r="J917">
        <v>8017.9</v>
      </c>
      <c r="K917">
        <v>19</v>
      </c>
      <c r="L917" t="s">
        <v>24</v>
      </c>
      <c r="M917" t="s">
        <v>25</v>
      </c>
      <c r="N917" t="s">
        <v>44</v>
      </c>
      <c r="O917" t="s">
        <v>56</v>
      </c>
      <c r="P917" t="s">
        <v>45</v>
      </c>
      <c r="Q917">
        <v>6</v>
      </c>
      <c r="R917">
        <v>2830.09</v>
      </c>
      <c r="S917" t="s">
        <v>29</v>
      </c>
    </row>
    <row r="918" spans="1:19" x14ac:dyDescent="0.3">
      <c r="A918" t="s">
        <v>988</v>
      </c>
      <c r="B918">
        <v>37</v>
      </c>
      <c r="C918" t="s">
        <v>31</v>
      </c>
      <c r="D918" t="s">
        <v>70</v>
      </c>
      <c r="E918" s="1">
        <v>44968</v>
      </c>
      <c r="F918" s="3">
        <v>44970</v>
      </c>
      <c r="G918" t="s">
        <v>71</v>
      </c>
      <c r="H918" t="s">
        <v>72</v>
      </c>
      <c r="I918" t="s">
        <v>35</v>
      </c>
      <c r="J918">
        <v>3231.06</v>
      </c>
      <c r="K918">
        <v>2</v>
      </c>
      <c r="L918" t="s">
        <v>36</v>
      </c>
      <c r="M918" t="s">
        <v>59</v>
      </c>
      <c r="N918" t="s">
        <v>44</v>
      </c>
      <c r="O918" t="s">
        <v>37</v>
      </c>
      <c r="P918" t="s">
        <v>50</v>
      </c>
      <c r="Q918">
        <v>11</v>
      </c>
      <c r="R918">
        <v>658.44</v>
      </c>
      <c r="S918" t="s">
        <v>29</v>
      </c>
    </row>
    <row r="919" spans="1:19" x14ac:dyDescent="0.3">
      <c r="A919" t="s">
        <v>989</v>
      </c>
      <c r="B919">
        <v>18</v>
      </c>
      <c r="C919" t="s">
        <v>31</v>
      </c>
      <c r="D919" t="s">
        <v>32</v>
      </c>
      <c r="E919" s="1">
        <v>45476</v>
      </c>
      <c r="F919" s="3">
        <v>45486</v>
      </c>
      <c r="G919" t="s">
        <v>52</v>
      </c>
      <c r="H919" t="s">
        <v>53</v>
      </c>
      <c r="I919" t="s">
        <v>58</v>
      </c>
      <c r="J919">
        <v>5055.54</v>
      </c>
      <c r="K919">
        <v>10</v>
      </c>
      <c r="L919" t="s">
        <v>24</v>
      </c>
      <c r="M919" t="s">
        <v>25</v>
      </c>
      <c r="N919" t="s">
        <v>26</v>
      </c>
      <c r="O919" t="s">
        <v>27</v>
      </c>
      <c r="P919" t="s">
        <v>28</v>
      </c>
      <c r="Q919">
        <v>11</v>
      </c>
      <c r="R919">
        <v>788.66</v>
      </c>
      <c r="S919" t="s">
        <v>29</v>
      </c>
    </row>
    <row r="920" spans="1:19" x14ac:dyDescent="0.3">
      <c r="A920" t="s">
        <v>990</v>
      </c>
      <c r="B920">
        <v>44</v>
      </c>
      <c r="C920" t="s">
        <v>19</v>
      </c>
      <c r="D920" t="s">
        <v>47</v>
      </c>
      <c r="E920" s="1">
        <v>45698</v>
      </c>
      <c r="F920" s="3">
        <v>45715</v>
      </c>
      <c r="G920" t="s">
        <v>52</v>
      </c>
      <c r="H920" t="s">
        <v>53</v>
      </c>
      <c r="I920" t="s">
        <v>58</v>
      </c>
      <c r="J920">
        <v>5963.48</v>
      </c>
      <c r="K920">
        <v>17</v>
      </c>
      <c r="L920" t="s">
        <v>24</v>
      </c>
      <c r="M920" t="s">
        <v>25</v>
      </c>
      <c r="N920" t="s">
        <v>26</v>
      </c>
      <c r="O920" t="s">
        <v>37</v>
      </c>
      <c r="P920" t="s">
        <v>45</v>
      </c>
      <c r="Q920">
        <v>9</v>
      </c>
      <c r="R920">
        <v>2349.7399999999998</v>
      </c>
      <c r="S920" t="s">
        <v>29</v>
      </c>
    </row>
    <row r="921" spans="1:19" x14ac:dyDescent="0.3">
      <c r="A921" t="s">
        <v>991</v>
      </c>
      <c r="B921">
        <v>38</v>
      </c>
      <c r="C921" t="s">
        <v>19</v>
      </c>
      <c r="D921" t="s">
        <v>79</v>
      </c>
      <c r="E921" s="1">
        <v>45320</v>
      </c>
      <c r="F921" s="3">
        <v>45325</v>
      </c>
      <c r="G921" t="s">
        <v>52</v>
      </c>
      <c r="H921" t="s">
        <v>53</v>
      </c>
      <c r="I921" t="s">
        <v>43</v>
      </c>
      <c r="J921">
        <v>4034.31</v>
      </c>
      <c r="K921">
        <v>5</v>
      </c>
      <c r="L921" t="s">
        <v>24</v>
      </c>
      <c r="M921" t="s">
        <v>101</v>
      </c>
      <c r="N921" t="s">
        <v>55</v>
      </c>
      <c r="O921" t="s">
        <v>37</v>
      </c>
      <c r="P921" t="s">
        <v>28</v>
      </c>
      <c r="Q921">
        <v>13</v>
      </c>
      <c r="R921">
        <v>729.33</v>
      </c>
      <c r="S921" t="s">
        <v>29</v>
      </c>
    </row>
    <row r="922" spans="1:19" x14ac:dyDescent="0.3">
      <c r="A922" t="s">
        <v>992</v>
      </c>
      <c r="B922">
        <v>52</v>
      </c>
      <c r="C922" t="s">
        <v>31</v>
      </c>
      <c r="D922" t="s">
        <v>47</v>
      </c>
      <c r="E922" s="1">
        <v>45571</v>
      </c>
      <c r="F922" s="3">
        <v>45596</v>
      </c>
      <c r="G922" t="s">
        <v>62</v>
      </c>
      <c r="H922" t="s">
        <v>63</v>
      </c>
      <c r="I922" t="s">
        <v>43</v>
      </c>
      <c r="J922">
        <v>19769.52</v>
      </c>
      <c r="K922">
        <v>25</v>
      </c>
      <c r="L922" t="s">
        <v>36</v>
      </c>
      <c r="M922" t="s">
        <v>101</v>
      </c>
      <c r="N922" t="s">
        <v>44</v>
      </c>
      <c r="O922" t="s">
        <v>49</v>
      </c>
      <c r="P922" t="s">
        <v>50</v>
      </c>
      <c r="Q922">
        <v>14</v>
      </c>
      <c r="R922">
        <v>7511.57</v>
      </c>
      <c r="S922" t="s">
        <v>29</v>
      </c>
    </row>
    <row r="923" spans="1:19" x14ac:dyDescent="0.3">
      <c r="A923" t="s">
        <v>993</v>
      </c>
      <c r="B923">
        <v>25</v>
      </c>
      <c r="C923" t="s">
        <v>19</v>
      </c>
      <c r="D923" t="s">
        <v>61</v>
      </c>
      <c r="E923" s="1">
        <v>45276</v>
      </c>
      <c r="F923" s="3">
        <v>45286</v>
      </c>
      <c r="G923" t="s">
        <v>48</v>
      </c>
      <c r="H923" t="s">
        <v>22</v>
      </c>
      <c r="I923" t="s">
        <v>43</v>
      </c>
      <c r="J923">
        <v>8259.73</v>
      </c>
      <c r="K923">
        <v>10</v>
      </c>
      <c r="L923" t="s">
        <v>36</v>
      </c>
      <c r="M923" t="s">
        <v>25</v>
      </c>
      <c r="N923" t="s">
        <v>55</v>
      </c>
      <c r="O923" t="s">
        <v>37</v>
      </c>
      <c r="P923" t="s">
        <v>50</v>
      </c>
      <c r="Q923">
        <v>12</v>
      </c>
      <c r="R923">
        <v>1465.36</v>
      </c>
      <c r="S923" t="s">
        <v>39</v>
      </c>
    </row>
    <row r="924" spans="1:19" x14ac:dyDescent="0.3">
      <c r="A924" t="s">
        <v>994</v>
      </c>
      <c r="B924">
        <v>57</v>
      </c>
      <c r="C924" t="s">
        <v>31</v>
      </c>
      <c r="D924" t="s">
        <v>47</v>
      </c>
      <c r="E924" s="1">
        <v>44950</v>
      </c>
      <c r="F924" s="3">
        <v>44969</v>
      </c>
      <c r="G924" t="s">
        <v>33</v>
      </c>
      <c r="H924" t="s">
        <v>34</v>
      </c>
      <c r="I924" t="s">
        <v>54</v>
      </c>
      <c r="J924">
        <v>15081.06</v>
      </c>
      <c r="K924">
        <v>19</v>
      </c>
      <c r="L924" t="s">
        <v>36</v>
      </c>
      <c r="M924" t="s">
        <v>59</v>
      </c>
      <c r="N924" t="s">
        <v>26</v>
      </c>
      <c r="O924" t="s">
        <v>56</v>
      </c>
      <c r="P924" t="s">
        <v>45</v>
      </c>
      <c r="Q924">
        <v>14</v>
      </c>
      <c r="R924">
        <v>3509.57</v>
      </c>
      <c r="S924" t="s">
        <v>29</v>
      </c>
    </row>
    <row r="925" spans="1:19" x14ac:dyDescent="0.3">
      <c r="A925" t="s">
        <v>995</v>
      </c>
      <c r="B925">
        <v>23</v>
      </c>
      <c r="C925" t="s">
        <v>19</v>
      </c>
      <c r="D925" t="s">
        <v>79</v>
      </c>
      <c r="E925" s="1">
        <v>45169</v>
      </c>
      <c r="F925" s="3">
        <v>45177</v>
      </c>
      <c r="G925" t="s">
        <v>48</v>
      </c>
      <c r="H925" t="s">
        <v>22</v>
      </c>
      <c r="I925" t="s">
        <v>58</v>
      </c>
      <c r="J925">
        <v>4472.63</v>
      </c>
      <c r="K925">
        <v>8</v>
      </c>
      <c r="L925" t="s">
        <v>24</v>
      </c>
      <c r="M925" t="s">
        <v>25</v>
      </c>
      <c r="N925" t="s">
        <v>26</v>
      </c>
      <c r="O925" t="s">
        <v>27</v>
      </c>
      <c r="P925" t="s">
        <v>50</v>
      </c>
      <c r="Q925">
        <v>3</v>
      </c>
      <c r="R925">
        <v>692.94</v>
      </c>
      <c r="S925" t="s">
        <v>29</v>
      </c>
    </row>
    <row r="926" spans="1:19" x14ac:dyDescent="0.3">
      <c r="A926" t="s">
        <v>996</v>
      </c>
      <c r="B926">
        <v>38</v>
      </c>
      <c r="C926" t="s">
        <v>31</v>
      </c>
      <c r="D926" t="s">
        <v>61</v>
      </c>
      <c r="E926" s="1">
        <v>45421</v>
      </c>
      <c r="F926" s="3">
        <v>45429</v>
      </c>
      <c r="G926" t="s">
        <v>93</v>
      </c>
      <c r="H926" t="s">
        <v>72</v>
      </c>
      <c r="I926" t="s">
        <v>91</v>
      </c>
      <c r="J926">
        <v>4923.99</v>
      </c>
      <c r="K926">
        <v>8</v>
      </c>
      <c r="L926" t="s">
        <v>24</v>
      </c>
      <c r="M926" t="s">
        <v>25</v>
      </c>
      <c r="N926" t="s">
        <v>44</v>
      </c>
      <c r="O926" t="s">
        <v>37</v>
      </c>
      <c r="P926" t="s">
        <v>28</v>
      </c>
      <c r="Q926">
        <v>13</v>
      </c>
      <c r="R926">
        <v>1807.04</v>
      </c>
      <c r="S926" t="s">
        <v>29</v>
      </c>
    </row>
    <row r="927" spans="1:19" x14ac:dyDescent="0.3">
      <c r="A927" t="s">
        <v>997</v>
      </c>
      <c r="B927">
        <v>28</v>
      </c>
      <c r="C927" t="s">
        <v>19</v>
      </c>
      <c r="D927" t="s">
        <v>79</v>
      </c>
      <c r="E927" s="1">
        <v>45721</v>
      </c>
      <c r="F927" s="3">
        <v>45738</v>
      </c>
      <c r="G927" t="s">
        <v>48</v>
      </c>
      <c r="H927" t="s">
        <v>22</v>
      </c>
      <c r="I927" t="s">
        <v>81</v>
      </c>
      <c r="J927">
        <v>9188.42</v>
      </c>
      <c r="K927">
        <v>17</v>
      </c>
      <c r="L927" t="s">
        <v>24</v>
      </c>
      <c r="M927" t="s">
        <v>101</v>
      </c>
      <c r="N927" t="s">
        <v>44</v>
      </c>
      <c r="O927" t="s">
        <v>37</v>
      </c>
      <c r="P927" t="s">
        <v>50</v>
      </c>
      <c r="Q927">
        <v>2</v>
      </c>
      <c r="R927">
        <v>3238.92</v>
      </c>
      <c r="S927" t="s">
        <v>29</v>
      </c>
    </row>
    <row r="928" spans="1:19" x14ac:dyDescent="0.3">
      <c r="A928" t="s">
        <v>998</v>
      </c>
      <c r="B928">
        <v>85</v>
      </c>
      <c r="C928" t="s">
        <v>31</v>
      </c>
      <c r="D928" t="s">
        <v>89</v>
      </c>
      <c r="E928" s="1">
        <v>45033</v>
      </c>
      <c r="F928" s="3">
        <v>45052</v>
      </c>
      <c r="G928" t="s">
        <v>67</v>
      </c>
      <c r="H928" t="s">
        <v>42</v>
      </c>
      <c r="I928" t="s">
        <v>54</v>
      </c>
      <c r="J928">
        <v>14535.65</v>
      </c>
      <c r="K928">
        <v>19</v>
      </c>
      <c r="L928" t="s">
        <v>24</v>
      </c>
      <c r="M928" t="s">
        <v>25</v>
      </c>
      <c r="N928" t="s">
        <v>55</v>
      </c>
      <c r="O928" t="s">
        <v>27</v>
      </c>
      <c r="P928" t="s">
        <v>45</v>
      </c>
      <c r="Q928">
        <v>2</v>
      </c>
      <c r="R928">
        <v>2706.36</v>
      </c>
      <c r="S928" t="s">
        <v>29</v>
      </c>
    </row>
    <row r="929" spans="1:19" x14ac:dyDescent="0.3">
      <c r="A929" t="s">
        <v>999</v>
      </c>
      <c r="B929">
        <v>31</v>
      </c>
      <c r="C929" t="s">
        <v>19</v>
      </c>
      <c r="D929" t="s">
        <v>47</v>
      </c>
      <c r="E929" s="1">
        <v>45027</v>
      </c>
      <c r="F929" s="3">
        <v>45034</v>
      </c>
      <c r="G929" t="s">
        <v>74</v>
      </c>
      <c r="H929" t="s">
        <v>75</v>
      </c>
      <c r="I929" t="s">
        <v>91</v>
      </c>
      <c r="J929">
        <v>3927.08</v>
      </c>
      <c r="K929">
        <v>7</v>
      </c>
      <c r="L929" t="s">
        <v>24</v>
      </c>
      <c r="M929" t="s">
        <v>25</v>
      </c>
      <c r="N929" t="s">
        <v>55</v>
      </c>
      <c r="O929" t="s">
        <v>27</v>
      </c>
      <c r="P929" t="s">
        <v>38</v>
      </c>
      <c r="Q929">
        <v>5</v>
      </c>
      <c r="R929">
        <v>1272</v>
      </c>
      <c r="S929" t="s">
        <v>29</v>
      </c>
    </row>
    <row r="930" spans="1:19" x14ac:dyDescent="0.3">
      <c r="A930" t="s">
        <v>1000</v>
      </c>
      <c r="B930">
        <v>67</v>
      </c>
      <c r="C930" t="s">
        <v>19</v>
      </c>
      <c r="D930" t="s">
        <v>32</v>
      </c>
      <c r="E930" s="1">
        <v>45706</v>
      </c>
      <c r="F930" s="3">
        <v>45724</v>
      </c>
      <c r="G930" t="s">
        <v>93</v>
      </c>
      <c r="H930" t="s">
        <v>72</v>
      </c>
      <c r="I930" t="s">
        <v>43</v>
      </c>
      <c r="J930">
        <v>13675.21</v>
      </c>
      <c r="K930">
        <v>18</v>
      </c>
      <c r="L930" t="s">
        <v>36</v>
      </c>
      <c r="M930" t="s">
        <v>25</v>
      </c>
      <c r="N930" t="s">
        <v>26</v>
      </c>
      <c r="O930" t="s">
        <v>49</v>
      </c>
      <c r="P930" t="s">
        <v>28</v>
      </c>
      <c r="Q930">
        <v>9</v>
      </c>
      <c r="R930">
        <v>4448.5600000000004</v>
      </c>
      <c r="S930" t="s">
        <v>39</v>
      </c>
    </row>
    <row r="931" spans="1:19" x14ac:dyDescent="0.3">
      <c r="A931" t="s">
        <v>1001</v>
      </c>
      <c r="B931">
        <v>21</v>
      </c>
      <c r="C931" t="s">
        <v>19</v>
      </c>
      <c r="D931" t="s">
        <v>20</v>
      </c>
      <c r="E931" s="1">
        <v>45298</v>
      </c>
      <c r="F931" s="3">
        <v>45324</v>
      </c>
      <c r="G931" t="s">
        <v>33</v>
      </c>
      <c r="H931" t="s">
        <v>34</v>
      </c>
      <c r="I931" t="s">
        <v>58</v>
      </c>
      <c r="J931">
        <v>21945.759999999998</v>
      </c>
      <c r="K931">
        <v>26</v>
      </c>
      <c r="L931" t="s">
        <v>24</v>
      </c>
      <c r="M931" t="s">
        <v>25</v>
      </c>
      <c r="N931" t="s">
        <v>26</v>
      </c>
      <c r="O931" t="s">
        <v>49</v>
      </c>
      <c r="P931" t="s">
        <v>38</v>
      </c>
      <c r="Q931">
        <v>11</v>
      </c>
      <c r="R931">
        <v>7438.66</v>
      </c>
      <c r="S931" t="s">
        <v>29</v>
      </c>
    </row>
    <row r="932" spans="1:19" x14ac:dyDescent="0.3">
      <c r="A932" t="s">
        <v>1002</v>
      </c>
      <c r="B932">
        <v>31</v>
      </c>
      <c r="C932" t="s">
        <v>19</v>
      </c>
      <c r="D932" t="s">
        <v>70</v>
      </c>
      <c r="E932" s="1">
        <v>45870</v>
      </c>
      <c r="F932" s="3">
        <v>45889</v>
      </c>
      <c r="G932" t="s">
        <v>74</v>
      </c>
      <c r="H932" t="s">
        <v>75</v>
      </c>
      <c r="I932" t="s">
        <v>23</v>
      </c>
      <c r="J932">
        <v>9896.23</v>
      </c>
      <c r="K932">
        <v>19</v>
      </c>
      <c r="L932" t="s">
        <v>36</v>
      </c>
      <c r="M932" t="s">
        <v>25</v>
      </c>
      <c r="N932" t="s">
        <v>55</v>
      </c>
      <c r="O932" t="s">
        <v>37</v>
      </c>
      <c r="P932" t="s">
        <v>38</v>
      </c>
      <c r="Q932">
        <v>15</v>
      </c>
      <c r="R932">
        <v>1786.08</v>
      </c>
      <c r="S932" t="s">
        <v>29</v>
      </c>
    </row>
    <row r="933" spans="1:19" x14ac:dyDescent="0.3">
      <c r="A933" t="s">
        <v>1003</v>
      </c>
      <c r="B933">
        <v>38</v>
      </c>
      <c r="C933" t="s">
        <v>31</v>
      </c>
      <c r="D933" t="s">
        <v>66</v>
      </c>
      <c r="E933" s="1">
        <v>45851</v>
      </c>
      <c r="F933" s="3">
        <v>45865</v>
      </c>
      <c r="G933" t="s">
        <v>67</v>
      </c>
      <c r="H933" t="s">
        <v>42</v>
      </c>
      <c r="I933" t="s">
        <v>54</v>
      </c>
      <c r="J933">
        <v>10450.67</v>
      </c>
      <c r="K933">
        <v>14</v>
      </c>
      <c r="L933" t="s">
        <v>24</v>
      </c>
      <c r="M933" t="s">
        <v>25</v>
      </c>
      <c r="N933" t="s">
        <v>55</v>
      </c>
      <c r="O933" t="s">
        <v>56</v>
      </c>
      <c r="P933" t="s">
        <v>28</v>
      </c>
      <c r="Q933">
        <v>10</v>
      </c>
      <c r="R933">
        <v>3050.2</v>
      </c>
      <c r="S933" t="s">
        <v>29</v>
      </c>
    </row>
    <row r="934" spans="1:19" x14ac:dyDescent="0.3">
      <c r="A934" t="s">
        <v>1004</v>
      </c>
      <c r="B934">
        <v>38</v>
      </c>
      <c r="C934" t="s">
        <v>31</v>
      </c>
      <c r="D934" t="s">
        <v>47</v>
      </c>
      <c r="E934" s="1">
        <v>44995</v>
      </c>
      <c r="F934" s="3">
        <v>45009</v>
      </c>
      <c r="G934" t="s">
        <v>33</v>
      </c>
      <c r="H934" t="s">
        <v>34</v>
      </c>
      <c r="I934" t="s">
        <v>81</v>
      </c>
      <c r="J934">
        <v>5755.05</v>
      </c>
      <c r="K934">
        <v>14</v>
      </c>
      <c r="L934" t="s">
        <v>24</v>
      </c>
      <c r="M934" t="s">
        <v>25</v>
      </c>
      <c r="N934" t="s">
        <v>44</v>
      </c>
      <c r="O934" t="s">
        <v>56</v>
      </c>
      <c r="P934" t="s">
        <v>28</v>
      </c>
      <c r="Q934">
        <v>8</v>
      </c>
      <c r="R934">
        <v>1175.42</v>
      </c>
      <c r="S934" t="s">
        <v>29</v>
      </c>
    </row>
    <row r="935" spans="1:19" x14ac:dyDescent="0.3">
      <c r="A935" t="s">
        <v>1005</v>
      </c>
      <c r="B935">
        <v>53</v>
      </c>
      <c r="C935" t="s">
        <v>19</v>
      </c>
      <c r="D935" t="s">
        <v>70</v>
      </c>
      <c r="E935" s="1">
        <v>45333</v>
      </c>
      <c r="F935" s="3">
        <v>45338</v>
      </c>
      <c r="G935" t="s">
        <v>67</v>
      </c>
      <c r="H935" t="s">
        <v>42</v>
      </c>
      <c r="I935" t="s">
        <v>54</v>
      </c>
      <c r="J935">
        <v>3915.94</v>
      </c>
      <c r="K935">
        <v>5</v>
      </c>
      <c r="L935" t="s">
        <v>36</v>
      </c>
      <c r="M935" t="s">
        <v>25</v>
      </c>
      <c r="N935" t="s">
        <v>26</v>
      </c>
      <c r="O935" t="s">
        <v>27</v>
      </c>
      <c r="P935" t="s">
        <v>38</v>
      </c>
      <c r="Q935">
        <v>8</v>
      </c>
      <c r="R935">
        <v>732.31</v>
      </c>
      <c r="S935" t="s">
        <v>29</v>
      </c>
    </row>
    <row r="936" spans="1:19" x14ac:dyDescent="0.3">
      <c r="A936" t="s">
        <v>1006</v>
      </c>
      <c r="B936">
        <v>77</v>
      </c>
      <c r="C936" t="s">
        <v>31</v>
      </c>
      <c r="D936" t="s">
        <v>61</v>
      </c>
      <c r="E936" s="1">
        <v>45921</v>
      </c>
      <c r="F936" s="3">
        <v>45934</v>
      </c>
      <c r="G936" t="s">
        <v>48</v>
      </c>
      <c r="H936" t="s">
        <v>22</v>
      </c>
      <c r="I936" t="s">
        <v>43</v>
      </c>
      <c r="J936">
        <v>8970.86</v>
      </c>
      <c r="K936">
        <v>13</v>
      </c>
      <c r="L936" t="s">
        <v>36</v>
      </c>
      <c r="M936" t="s">
        <v>25</v>
      </c>
      <c r="N936" t="s">
        <v>26</v>
      </c>
      <c r="O936" t="s">
        <v>37</v>
      </c>
      <c r="P936" t="s">
        <v>38</v>
      </c>
      <c r="Q936">
        <v>10</v>
      </c>
      <c r="R936">
        <v>1583.64</v>
      </c>
      <c r="S936" t="s">
        <v>29</v>
      </c>
    </row>
    <row r="937" spans="1:19" x14ac:dyDescent="0.3">
      <c r="A937" t="s">
        <v>1007</v>
      </c>
      <c r="B937">
        <v>86</v>
      </c>
      <c r="C937" t="s">
        <v>19</v>
      </c>
      <c r="D937" t="s">
        <v>79</v>
      </c>
      <c r="E937" s="1">
        <v>45008</v>
      </c>
      <c r="F937" s="3">
        <v>45011</v>
      </c>
      <c r="G937" t="s">
        <v>41</v>
      </c>
      <c r="H937" t="s">
        <v>42</v>
      </c>
      <c r="I937" t="s">
        <v>43</v>
      </c>
      <c r="J937">
        <v>2976.24</v>
      </c>
      <c r="K937">
        <v>3</v>
      </c>
      <c r="L937" t="s">
        <v>24</v>
      </c>
      <c r="M937" t="s">
        <v>59</v>
      </c>
      <c r="N937" t="s">
        <v>55</v>
      </c>
      <c r="O937" t="s">
        <v>27</v>
      </c>
      <c r="P937" t="s">
        <v>45</v>
      </c>
      <c r="Q937">
        <v>13</v>
      </c>
      <c r="R937">
        <v>474.05</v>
      </c>
      <c r="S937" t="s">
        <v>29</v>
      </c>
    </row>
    <row r="938" spans="1:19" x14ac:dyDescent="0.3">
      <c r="A938" t="s">
        <v>1008</v>
      </c>
      <c r="B938">
        <v>24</v>
      </c>
      <c r="C938" t="s">
        <v>31</v>
      </c>
      <c r="D938" t="s">
        <v>61</v>
      </c>
      <c r="E938" s="1">
        <v>45108</v>
      </c>
      <c r="F938" s="3">
        <v>45121</v>
      </c>
      <c r="G938" t="s">
        <v>52</v>
      </c>
      <c r="H938" t="s">
        <v>53</v>
      </c>
      <c r="I938" t="s">
        <v>83</v>
      </c>
      <c r="J938">
        <v>8659.07</v>
      </c>
      <c r="K938">
        <v>13</v>
      </c>
      <c r="L938" t="s">
        <v>24</v>
      </c>
      <c r="M938" t="s">
        <v>25</v>
      </c>
      <c r="N938" t="s">
        <v>44</v>
      </c>
      <c r="O938" t="s">
        <v>37</v>
      </c>
      <c r="P938" t="s">
        <v>38</v>
      </c>
      <c r="Q938">
        <v>1</v>
      </c>
      <c r="R938">
        <v>2263.06</v>
      </c>
      <c r="S938" t="s">
        <v>29</v>
      </c>
    </row>
    <row r="939" spans="1:19" x14ac:dyDescent="0.3">
      <c r="A939" t="s">
        <v>1009</v>
      </c>
      <c r="B939">
        <v>75</v>
      </c>
      <c r="C939" t="s">
        <v>31</v>
      </c>
      <c r="D939" t="s">
        <v>32</v>
      </c>
      <c r="E939" s="1">
        <v>45766</v>
      </c>
      <c r="F939" s="3">
        <v>45775</v>
      </c>
      <c r="G939" t="s">
        <v>48</v>
      </c>
      <c r="H939" t="s">
        <v>22</v>
      </c>
      <c r="I939" t="s">
        <v>83</v>
      </c>
      <c r="J939">
        <v>10082.11</v>
      </c>
      <c r="K939">
        <v>9</v>
      </c>
      <c r="L939" t="s">
        <v>24</v>
      </c>
      <c r="M939" t="s">
        <v>25</v>
      </c>
      <c r="N939" t="s">
        <v>26</v>
      </c>
      <c r="O939" t="s">
        <v>49</v>
      </c>
      <c r="P939" t="s">
        <v>45</v>
      </c>
      <c r="Q939">
        <v>11</v>
      </c>
      <c r="R939">
        <v>2837.62</v>
      </c>
      <c r="S939" t="s">
        <v>39</v>
      </c>
    </row>
    <row r="940" spans="1:19" x14ac:dyDescent="0.3">
      <c r="A940" t="s">
        <v>1010</v>
      </c>
      <c r="B940">
        <v>68</v>
      </c>
      <c r="C940" t="s">
        <v>19</v>
      </c>
      <c r="D940" t="s">
        <v>89</v>
      </c>
      <c r="E940" s="1">
        <v>44941</v>
      </c>
      <c r="F940" s="3">
        <v>44960</v>
      </c>
      <c r="G940" t="s">
        <v>71</v>
      </c>
      <c r="H940" t="s">
        <v>72</v>
      </c>
      <c r="I940" t="s">
        <v>35</v>
      </c>
      <c r="J940">
        <v>13640.83</v>
      </c>
      <c r="K940">
        <v>19</v>
      </c>
      <c r="L940" t="s">
        <v>36</v>
      </c>
      <c r="M940" t="s">
        <v>25</v>
      </c>
      <c r="N940" t="s">
        <v>26</v>
      </c>
      <c r="O940" t="s">
        <v>37</v>
      </c>
      <c r="P940" t="s">
        <v>45</v>
      </c>
      <c r="Q940">
        <v>7</v>
      </c>
      <c r="R940">
        <v>3805.48</v>
      </c>
      <c r="S940" t="s">
        <v>29</v>
      </c>
    </row>
    <row r="941" spans="1:19" x14ac:dyDescent="0.3">
      <c r="A941" t="s">
        <v>1011</v>
      </c>
      <c r="B941">
        <v>82</v>
      </c>
      <c r="C941" t="s">
        <v>31</v>
      </c>
      <c r="D941" t="s">
        <v>20</v>
      </c>
      <c r="E941" s="1">
        <v>45758</v>
      </c>
      <c r="F941" s="3">
        <v>45773</v>
      </c>
      <c r="G941" t="s">
        <v>41</v>
      </c>
      <c r="H941" t="s">
        <v>42</v>
      </c>
      <c r="I941" t="s">
        <v>58</v>
      </c>
      <c r="J941">
        <v>12657.95</v>
      </c>
      <c r="K941">
        <v>15</v>
      </c>
      <c r="L941" t="s">
        <v>36</v>
      </c>
      <c r="M941" t="s">
        <v>59</v>
      </c>
      <c r="N941" t="s">
        <v>44</v>
      </c>
      <c r="O941" t="s">
        <v>37</v>
      </c>
      <c r="P941" t="s">
        <v>28</v>
      </c>
      <c r="Q941">
        <v>4</v>
      </c>
      <c r="R941">
        <v>4566.7299999999996</v>
      </c>
      <c r="S941" t="s">
        <v>39</v>
      </c>
    </row>
    <row r="942" spans="1:19" x14ac:dyDescent="0.3">
      <c r="A942" t="s">
        <v>1012</v>
      </c>
      <c r="B942">
        <v>88</v>
      </c>
      <c r="C942" t="s">
        <v>31</v>
      </c>
      <c r="D942" t="s">
        <v>70</v>
      </c>
      <c r="E942" s="1">
        <v>45314</v>
      </c>
      <c r="F942" s="3">
        <v>45336</v>
      </c>
      <c r="G942" t="s">
        <v>74</v>
      </c>
      <c r="H942" t="s">
        <v>75</v>
      </c>
      <c r="I942" t="s">
        <v>83</v>
      </c>
      <c r="J942">
        <v>19459.91</v>
      </c>
      <c r="K942">
        <v>22</v>
      </c>
      <c r="L942" t="s">
        <v>36</v>
      </c>
      <c r="M942" t="s">
        <v>25</v>
      </c>
      <c r="N942" t="s">
        <v>55</v>
      </c>
      <c r="O942" t="s">
        <v>49</v>
      </c>
      <c r="P942" t="s">
        <v>45</v>
      </c>
      <c r="Q942">
        <v>12</v>
      </c>
      <c r="R942">
        <v>5925.05</v>
      </c>
      <c r="S942" t="s">
        <v>29</v>
      </c>
    </row>
    <row r="943" spans="1:19" x14ac:dyDescent="0.3">
      <c r="A943" t="s">
        <v>1013</v>
      </c>
      <c r="B943">
        <v>32</v>
      </c>
      <c r="C943" t="s">
        <v>19</v>
      </c>
      <c r="D943" t="s">
        <v>89</v>
      </c>
      <c r="E943" s="1">
        <v>45167</v>
      </c>
      <c r="F943" s="3">
        <v>45176</v>
      </c>
      <c r="G943" t="s">
        <v>93</v>
      </c>
      <c r="H943" t="s">
        <v>72</v>
      </c>
      <c r="I943" t="s">
        <v>54</v>
      </c>
      <c r="J943">
        <v>4045.5</v>
      </c>
      <c r="K943">
        <v>9</v>
      </c>
      <c r="L943" t="s">
        <v>36</v>
      </c>
      <c r="M943" t="s">
        <v>59</v>
      </c>
      <c r="N943" t="s">
        <v>26</v>
      </c>
      <c r="O943" t="s">
        <v>27</v>
      </c>
      <c r="P943" t="s">
        <v>45</v>
      </c>
      <c r="Q943">
        <v>10</v>
      </c>
      <c r="R943">
        <v>1272.54</v>
      </c>
      <c r="S943" t="s">
        <v>29</v>
      </c>
    </row>
    <row r="944" spans="1:19" x14ac:dyDescent="0.3">
      <c r="A944" t="s">
        <v>1014</v>
      </c>
      <c r="B944">
        <v>27</v>
      </c>
      <c r="C944" t="s">
        <v>19</v>
      </c>
      <c r="D944" t="s">
        <v>61</v>
      </c>
      <c r="E944" s="1">
        <v>45143</v>
      </c>
      <c r="F944" s="3">
        <v>45157</v>
      </c>
      <c r="G944" t="s">
        <v>93</v>
      </c>
      <c r="H944" t="s">
        <v>72</v>
      </c>
      <c r="I944" t="s">
        <v>23</v>
      </c>
      <c r="J944">
        <v>9753.9699999999993</v>
      </c>
      <c r="K944">
        <v>14</v>
      </c>
      <c r="L944" t="s">
        <v>36</v>
      </c>
      <c r="M944" t="s">
        <v>25</v>
      </c>
      <c r="N944" t="s">
        <v>44</v>
      </c>
      <c r="O944" t="s">
        <v>27</v>
      </c>
      <c r="P944" t="s">
        <v>28</v>
      </c>
      <c r="Q944">
        <v>12</v>
      </c>
      <c r="R944">
        <v>3202.92</v>
      </c>
      <c r="S944" t="s">
        <v>29</v>
      </c>
    </row>
    <row r="945" spans="1:19" x14ac:dyDescent="0.3">
      <c r="A945" t="s">
        <v>1015</v>
      </c>
      <c r="B945">
        <v>39</v>
      </c>
      <c r="C945" t="s">
        <v>31</v>
      </c>
      <c r="D945" t="s">
        <v>89</v>
      </c>
      <c r="E945" s="1">
        <v>45759</v>
      </c>
      <c r="F945" s="3">
        <v>45762</v>
      </c>
      <c r="G945" t="s">
        <v>52</v>
      </c>
      <c r="H945" t="s">
        <v>53</v>
      </c>
      <c r="I945" t="s">
        <v>35</v>
      </c>
      <c r="J945">
        <v>2053.9299999999998</v>
      </c>
      <c r="K945">
        <v>3</v>
      </c>
      <c r="L945" t="s">
        <v>24</v>
      </c>
      <c r="M945" t="s">
        <v>25</v>
      </c>
      <c r="N945" t="s">
        <v>44</v>
      </c>
      <c r="O945" t="s">
        <v>56</v>
      </c>
      <c r="P945" t="s">
        <v>38</v>
      </c>
      <c r="Q945">
        <v>14</v>
      </c>
      <c r="R945">
        <v>442.54</v>
      </c>
      <c r="S945" t="s">
        <v>29</v>
      </c>
    </row>
    <row r="946" spans="1:19" x14ac:dyDescent="0.3">
      <c r="A946" t="s">
        <v>1016</v>
      </c>
      <c r="B946">
        <v>18</v>
      </c>
      <c r="C946" t="s">
        <v>31</v>
      </c>
      <c r="D946" t="s">
        <v>70</v>
      </c>
      <c r="E946" s="1">
        <v>45146</v>
      </c>
      <c r="F946" s="3">
        <v>45151</v>
      </c>
      <c r="G946" t="s">
        <v>33</v>
      </c>
      <c r="H946" t="s">
        <v>34</v>
      </c>
      <c r="I946" t="s">
        <v>35</v>
      </c>
      <c r="J946">
        <v>3823.51</v>
      </c>
      <c r="K946">
        <v>5</v>
      </c>
      <c r="L946" t="s">
        <v>24</v>
      </c>
      <c r="M946" t="s">
        <v>59</v>
      </c>
      <c r="N946" t="s">
        <v>44</v>
      </c>
      <c r="O946" t="s">
        <v>27</v>
      </c>
      <c r="P946" t="s">
        <v>50</v>
      </c>
      <c r="Q946">
        <v>15</v>
      </c>
      <c r="R946">
        <v>900.41</v>
      </c>
      <c r="S946" t="s">
        <v>29</v>
      </c>
    </row>
    <row r="947" spans="1:19" x14ac:dyDescent="0.3">
      <c r="A947" t="s">
        <v>1017</v>
      </c>
      <c r="B947">
        <v>39</v>
      </c>
      <c r="C947" t="s">
        <v>19</v>
      </c>
      <c r="D947" t="s">
        <v>32</v>
      </c>
      <c r="E947" s="1">
        <v>45509</v>
      </c>
      <c r="F947" s="3">
        <v>45516</v>
      </c>
      <c r="G947" t="s">
        <v>41</v>
      </c>
      <c r="H947" t="s">
        <v>42</v>
      </c>
      <c r="I947" t="s">
        <v>23</v>
      </c>
      <c r="J947">
        <v>6821.64</v>
      </c>
      <c r="K947">
        <v>7</v>
      </c>
      <c r="L947" t="s">
        <v>24</v>
      </c>
      <c r="M947" t="s">
        <v>101</v>
      </c>
      <c r="N947" t="s">
        <v>26</v>
      </c>
      <c r="O947" t="s">
        <v>27</v>
      </c>
      <c r="P947" t="s">
        <v>45</v>
      </c>
      <c r="Q947">
        <v>3</v>
      </c>
      <c r="R947">
        <v>1037.6099999999999</v>
      </c>
      <c r="S947" t="s">
        <v>39</v>
      </c>
    </row>
    <row r="948" spans="1:19" x14ac:dyDescent="0.3">
      <c r="A948" t="s">
        <v>1018</v>
      </c>
      <c r="B948">
        <v>33</v>
      </c>
      <c r="C948" t="s">
        <v>19</v>
      </c>
      <c r="D948" t="s">
        <v>20</v>
      </c>
      <c r="E948" s="1">
        <v>44982</v>
      </c>
      <c r="F948" s="3">
        <v>45002</v>
      </c>
      <c r="G948" t="s">
        <v>74</v>
      </c>
      <c r="H948" t="s">
        <v>75</v>
      </c>
      <c r="I948" t="s">
        <v>54</v>
      </c>
      <c r="J948">
        <v>8600.27</v>
      </c>
      <c r="K948">
        <v>20</v>
      </c>
      <c r="L948" t="s">
        <v>24</v>
      </c>
      <c r="M948" t="s">
        <v>25</v>
      </c>
      <c r="N948" t="s">
        <v>44</v>
      </c>
      <c r="O948" t="s">
        <v>37</v>
      </c>
      <c r="P948" t="s">
        <v>38</v>
      </c>
      <c r="Q948">
        <v>3</v>
      </c>
      <c r="R948">
        <v>3025.79</v>
      </c>
      <c r="S948" t="s">
        <v>29</v>
      </c>
    </row>
    <row r="949" spans="1:19" x14ac:dyDescent="0.3">
      <c r="A949" t="s">
        <v>1019</v>
      </c>
      <c r="B949">
        <v>57</v>
      </c>
      <c r="C949" t="s">
        <v>19</v>
      </c>
      <c r="D949" t="s">
        <v>70</v>
      </c>
      <c r="E949" s="1">
        <v>45381</v>
      </c>
      <c r="F949" s="3">
        <v>45390</v>
      </c>
      <c r="G949" t="s">
        <v>21</v>
      </c>
      <c r="H949" t="s">
        <v>22</v>
      </c>
      <c r="I949" t="s">
        <v>54</v>
      </c>
      <c r="J949">
        <v>5660.22</v>
      </c>
      <c r="K949">
        <v>9</v>
      </c>
      <c r="L949" t="s">
        <v>24</v>
      </c>
      <c r="M949" t="s">
        <v>25</v>
      </c>
      <c r="N949" t="s">
        <v>55</v>
      </c>
      <c r="O949" t="s">
        <v>37</v>
      </c>
      <c r="P949" t="s">
        <v>28</v>
      </c>
      <c r="Q949">
        <v>7</v>
      </c>
      <c r="R949">
        <v>974.34</v>
      </c>
      <c r="S949" t="s">
        <v>29</v>
      </c>
    </row>
    <row r="950" spans="1:19" x14ac:dyDescent="0.3">
      <c r="A950" t="s">
        <v>1020</v>
      </c>
      <c r="B950">
        <v>70</v>
      </c>
      <c r="C950" t="s">
        <v>19</v>
      </c>
      <c r="D950" t="s">
        <v>61</v>
      </c>
      <c r="E950" s="1">
        <v>45477</v>
      </c>
      <c r="F950" s="3">
        <v>45496</v>
      </c>
      <c r="G950" t="s">
        <v>21</v>
      </c>
      <c r="H950" t="s">
        <v>22</v>
      </c>
      <c r="I950" t="s">
        <v>83</v>
      </c>
      <c r="J950">
        <v>5639.21</v>
      </c>
      <c r="K950">
        <v>19</v>
      </c>
      <c r="L950" t="s">
        <v>24</v>
      </c>
      <c r="M950" t="s">
        <v>25</v>
      </c>
      <c r="N950" t="s">
        <v>55</v>
      </c>
      <c r="O950" t="s">
        <v>56</v>
      </c>
      <c r="P950" t="s">
        <v>38</v>
      </c>
      <c r="Q950">
        <v>15</v>
      </c>
      <c r="R950">
        <v>1745.58</v>
      </c>
      <c r="S950" t="s">
        <v>29</v>
      </c>
    </row>
    <row r="951" spans="1:19" x14ac:dyDescent="0.3">
      <c r="A951" t="s">
        <v>1021</v>
      </c>
      <c r="B951">
        <v>60</v>
      </c>
      <c r="C951" t="s">
        <v>19</v>
      </c>
      <c r="D951" t="s">
        <v>89</v>
      </c>
      <c r="E951" s="1">
        <v>45874</v>
      </c>
      <c r="F951" s="3">
        <v>45887</v>
      </c>
      <c r="G951" t="s">
        <v>62</v>
      </c>
      <c r="H951" t="s">
        <v>63</v>
      </c>
      <c r="I951" t="s">
        <v>81</v>
      </c>
      <c r="J951">
        <v>4945.34</v>
      </c>
      <c r="K951">
        <v>13</v>
      </c>
      <c r="L951" t="s">
        <v>24</v>
      </c>
      <c r="M951" t="s">
        <v>25</v>
      </c>
      <c r="N951" t="s">
        <v>55</v>
      </c>
      <c r="O951" t="s">
        <v>56</v>
      </c>
      <c r="P951" t="s">
        <v>38</v>
      </c>
      <c r="Q951">
        <v>7</v>
      </c>
      <c r="R951">
        <v>1067.69</v>
      </c>
      <c r="S951" t="s">
        <v>29</v>
      </c>
    </row>
    <row r="952" spans="1:19" x14ac:dyDescent="0.3">
      <c r="A952" t="s">
        <v>1022</v>
      </c>
      <c r="B952">
        <v>36</v>
      </c>
      <c r="C952" t="s">
        <v>31</v>
      </c>
      <c r="D952" t="s">
        <v>47</v>
      </c>
      <c r="E952" s="1">
        <v>45388</v>
      </c>
      <c r="F952" s="3">
        <v>45403</v>
      </c>
      <c r="G952" t="s">
        <v>71</v>
      </c>
      <c r="H952" t="s">
        <v>72</v>
      </c>
      <c r="I952" t="s">
        <v>35</v>
      </c>
      <c r="J952">
        <v>9564.84</v>
      </c>
      <c r="K952">
        <v>15</v>
      </c>
      <c r="L952" t="s">
        <v>24</v>
      </c>
      <c r="M952" t="s">
        <v>25</v>
      </c>
      <c r="N952" t="s">
        <v>55</v>
      </c>
      <c r="O952" t="s">
        <v>56</v>
      </c>
      <c r="P952" t="s">
        <v>38</v>
      </c>
      <c r="Q952">
        <v>15</v>
      </c>
      <c r="R952">
        <v>2407.4699999999998</v>
      </c>
      <c r="S952" t="s">
        <v>29</v>
      </c>
    </row>
    <row r="953" spans="1:19" x14ac:dyDescent="0.3">
      <c r="A953" t="s">
        <v>1023</v>
      </c>
      <c r="B953">
        <v>19</v>
      </c>
      <c r="C953" t="s">
        <v>31</v>
      </c>
      <c r="D953" t="s">
        <v>89</v>
      </c>
      <c r="E953" s="1">
        <v>45005</v>
      </c>
      <c r="F953" s="3">
        <v>45024</v>
      </c>
      <c r="G953" t="s">
        <v>21</v>
      </c>
      <c r="H953" t="s">
        <v>22</v>
      </c>
      <c r="I953" t="s">
        <v>43</v>
      </c>
      <c r="J953">
        <v>7428.04</v>
      </c>
      <c r="K953">
        <v>19</v>
      </c>
      <c r="L953" t="s">
        <v>24</v>
      </c>
      <c r="M953" t="s">
        <v>25</v>
      </c>
      <c r="N953" t="s">
        <v>26</v>
      </c>
      <c r="O953" t="s">
        <v>37</v>
      </c>
      <c r="P953" t="s">
        <v>50</v>
      </c>
      <c r="Q953">
        <v>12</v>
      </c>
      <c r="R953">
        <v>2034.17</v>
      </c>
      <c r="S953" t="s">
        <v>39</v>
      </c>
    </row>
    <row r="954" spans="1:19" x14ac:dyDescent="0.3">
      <c r="A954" t="s">
        <v>1024</v>
      </c>
      <c r="B954">
        <v>65</v>
      </c>
      <c r="C954" t="s">
        <v>19</v>
      </c>
      <c r="D954" t="s">
        <v>20</v>
      </c>
      <c r="E954" s="1">
        <v>45217</v>
      </c>
      <c r="F954" s="3">
        <v>45226</v>
      </c>
      <c r="G954" t="s">
        <v>62</v>
      </c>
      <c r="H954" t="s">
        <v>63</v>
      </c>
      <c r="I954" t="s">
        <v>54</v>
      </c>
      <c r="J954">
        <v>4350.1099999999997</v>
      </c>
      <c r="K954">
        <v>9</v>
      </c>
      <c r="L954" t="s">
        <v>24</v>
      </c>
      <c r="M954" t="s">
        <v>59</v>
      </c>
      <c r="N954" t="s">
        <v>44</v>
      </c>
      <c r="O954" t="s">
        <v>27</v>
      </c>
      <c r="P954" t="s">
        <v>28</v>
      </c>
      <c r="Q954">
        <v>2</v>
      </c>
      <c r="R954">
        <v>1431.72</v>
      </c>
      <c r="S954" t="s">
        <v>39</v>
      </c>
    </row>
    <row r="955" spans="1:19" x14ac:dyDescent="0.3">
      <c r="A955" t="s">
        <v>1025</v>
      </c>
      <c r="B955">
        <v>87</v>
      </c>
      <c r="C955" t="s">
        <v>31</v>
      </c>
      <c r="D955" t="s">
        <v>70</v>
      </c>
      <c r="E955" s="1">
        <v>45006</v>
      </c>
      <c r="F955" s="3">
        <v>45024</v>
      </c>
      <c r="G955" t="s">
        <v>21</v>
      </c>
      <c r="H955" t="s">
        <v>22</v>
      </c>
      <c r="I955" t="s">
        <v>81</v>
      </c>
      <c r="J955">
        <v>9356.08</v>
      </c>
      <c r="K955">
        <v>18</v>
      </c>
      <c r="L955" t="s">
        <v>24</v>
      </c>
      <c r="M955" t="s">
        <v>25</v>
      </c>
      <c r="N955" t="s">
        <v>44</v>
      </c>
      <c r="O955" t="s">
        <v>37</v>
      </c>
      <c r="P955" t="s">
        <v>50</v>
      </c>
      <c r="Q955">
        <v>5</v>
      </c>
      <c r="R955">
        <v>1421.11</v>
      </c>
      <c r="S955" t="s">
        <v>29</v>
      </c>
    </row>
    <row r="956" spans="1:19" x14ac:dyDescent="0.3">
      <c r="A956" t="s">
        <v>1026</v>
      </c>
      <c r="B956">
        <v>26</v>
      </c>
      <c r="C956" t="s">
        <v>19</v>
      </c>
      <c r="D956" t="s">
        <v>66</v>
      </c>
      <c r="E956" s="1">
        <v>45790</v>
      </c>
      <c r="F956" s="3">
        <v>45803</v>
      </c>
      <c r="G956" t="s">
        <v>33</v>
      </c>
      <c r="H956" t="s">
        <v>34</v>
      </c>
      <c r="I956" t="s">
        <v>35</v>
      </c>
      <c r="J956">
        <v>10853.9</v>
      </c>
      <c r="K956">
        <v>13</v>
      </c>
      <c r="L956" t="s">
        <v>36</v>
      </c>
      <c r="M956" t="s">
        <v>25</v>
      </c>
      <c r="N956" t="s">
        <v>55</v>
      </c>
      <c r="O956" t="s">
        <v>37</v>
      </c>
      <c r="P956" t="s">
        <v>50</v>
      </c>
      <c r="Q956">
        <v>4</v>
      </c>
      <c r="R956">
        <v>2716.05</v>
      </c>
      <c r="S956" t="s">
        <v>29</v>
      </c>
    </row>
    <row r="957" spans="1:19" x14ac:dyDescent="0.3">
      <c r="A957" t="s">
        <v>1027</v>
      </c>
      <c r="B957">
        <v>19</v>
      </c>
      <c r="C957" t="s">
        <v>31</v>
      </c>
      <c r="D957" t="s">
        <v>32</v>
      </c>
      <c r="E957" s="1">
        <v>45383</v>
      </c>
      <c r="F957" s="3">
        <v>45403</v>
      </c>
      <c r="G957" t="s">
        <v>48</v>
      </c>
      <c r="H957" t="s">
        <v>22</v>
      </c>
      <c r="I957" t="s">
        <v>58</v>
      </c>
      <c r="J957">
        <v>15150.11</v>
      </c>
      <c r="K957">
        <v>20</v>
      </c>
      <c r="L957" t="s">
        <v>36</v>
      </c>
      <c r="M957" t="s">
        <v>76</v>
      </c>
      <c r="N957" t="s">
        <v>26</v>
      </c>
      <c r="O957" t="s">
        <v>49</v>
      </c>
      <c r="P957" t="s">
        <v>45</v>
      </c>
      <c r="Q957">
        <v>12</v>
      </c>
      <c r="R957">
        <v>4823.38</v>
      </c>
      <c r="S957" t="s">
        <v>29</v>
      </c>
    </row>
    <row r="958" spans="1:19" x14ac:dyDescent="0.3">
      <c r="A958" t="s">
        <v>1028</v>
      </c>
      <c r="B958">
        <v>88</v>
      </c>
      <c r="C958" t="s">
        <v>19</v>
      </c>
      <c r="D958" t="s">
        <v>89</v>
      </c>
      <c r="E958" s="1">
        <v>45235</v>
      </c>
      <c r="F958" s="3">
        <v>45250</v>
      </c>
      <c r="G958" t="s">
        <v>71</v>
      </c>
      <c r="H958" t="s">
        <v>72</v>
      </c>
      <c r="I958" t="s">
        <v>43</v>
      </c>
      <c r="J958">
        <v>6143.12</v>
      </c>
      <c r="K958">
        <v>15</v>
      </c>
      <c r="L958" t="s">
        <v>36</v>
      </c>
      <c r="M958" t="s">
        <v>59</v>
      </c>
      <c r="N958" t="s">
        <v>55</v>
      </c>
      <c r="O958" t="s">
        <v>37</v>
      </c>
      <c r="P958" t="s">
        <v>50</v>
      </c>
      <c r="Q958">
        <v>6</v>
      </c>
      <c r="R958">
        <v>2157.84</v>
      </c>
      <c r="S958" t="s">
        <v>29</v>
      </c>
    </row>
    <row r="959" spans="1:19" x14ac:dyDescent="0.3">
      <c r="A959" t="s">
        <v>1029</v>
      </c>
      <c r="B959">
        <v>19</v>
      </c>
      <c r="C959" t="s">
        <v>31</v>
      </c>
      <c r="D959" t="s">
        <v>20</v>
      </c>
      <c r="E959" s="1">
        <v>45419</v>
      </c>
      <c r="F959" s="3">
        <v>45420</v>
      </c>
      <c r="G959" t="s">
        <v>67</v>
      </c>
      <c r="H959" t="s">
        <v>42</v>
      </c>
      <c r="I959" t="s">
        <v>58</v>
      </c>
      <c r="J959">
        <v>702.45</v>
      </c>
      <c r="K959">
        <v>1</v>
      </c>
      <c r="L959" t="s">
        <v>24</v>
      </c>
      <c r="M959" t="s">
        <v>25</v>
      </c>
      <c r="N959" t="s">
        <v>44</v>
      </c>
      <c r="O959" t="s">
        <v>27</v>
      </c>
      <c r="P959" t="s">
        <v>38</v>
      </c>
      <c r="Q959">
        <v>10</v>
      </c>
      <c r="R959">
        <v>156.68</v>
      </c>
      <c r="S959" t="s">
        <v>29</v>
      </c>
    </row>
    <row r="960" spans="1:19" x14ac:dyDescent="0.3">
      <c r="A960" t="s">
        <v>1030</v>
      </c>
      <c r="B960">
        <v>55</v>
      </c>
      <c r="C960" t="s">
        <v>19</v>
      </c>
      <c r="D960" t="s">
        <v>89</v>
      </c>
      <c r="E960" s="1">
        <v>45341</v>
      </c>
      <c r="F960" s="3">
        <v>45353</v>
      </c>
      <c r="G960" t="s">
        <v>71</v>
      </c>
      <c r="H960" t="s">
        <v>72</v>
      </c>
      <c r="I960" t="s">
        <v>91</v>
      </c>
      <c r="J960">
        <v>9214.2900000000009</v>
      </c>
      <c r="K960">
        <v>12</v>
      </c>
      <c r="L960" t="s">
        <v>24</v>
      </c>
      <c r="M960" t="s">
        <v>101</v>
      </c>
      <c r="N960" t="s">
        <v>44</v>
      </c>
      <c r="O960" t="s">
        <v>37</v>
      </c>
      <c r="P960" t="s">
        <v>28</v>
      </c>
      <c r="Q960">
        <v>4</v>
      </c>
      <c r="R960">
        <v>3577.3</v>
      </c>
      <c r="S960" t="s">
        <v>29</v>
      </c>
    </row>
    <row r="961" spans="1:19" x14ac:dyDescent="0.3">
      <c r="A961" t="s">
        <v>1031</v>
      </c>
      <c r="B961">
        <v>85</v>
      </c>
      <c r="C961" t="s">
        <v>19</v>
      </c>
      <c r="D961" t="s">
        <v>47</v>
      </c>
      <c r="E961" s="1">
        <v>44988</v>
      </c>
      <c r="F961" s="3">
        <v>44994</v>
      </c>
      <c r="G961" t="s">
        <v>33</v>
      </c>
      <c r="H961" t="s">
        <v>34</v>
      </c>
      <c r="I961" t="s">
        <v>43</v>
      </c>
      <c r="J961">
        <v>4574.33</v>
      </c>
      <c r="K961">
        <v>6</v>
      </c>
      <c r="L961" t="s">
        <v>24</v>
      </c>
      <c r="M961" t="s">
        <v>25</v>
      </c>
      <c r="N961" t="s">
        <v>44</v>
      </c>
      <c r="O961" t="s">
        <v>37</v>
      </c>
      <c r="P961" t="s">
        <v>28</v>
      </c>
      <c r="Q961">
        <v>15</v>
      </c>
      <c r="R961">
        <v>1557.86</v>
      </c>
      <c r="S961" t="s">
        <v>29</v>
      </c>
    </row>
    <row r="962" spans="1:19" x14ac:dyDescent="0.3">
      <c r="A962" t="s">
        <v>1032</v>
      </c>
      <c r="B962">
        <v>23</v>
      </c>
      <c r="C962" t="s">
        <v>31</v>
      </c>
      <c r="D962" t="s">
        <v>20</v>
      </c>
      <c r="E962" s="1">
        <v>45543</v>
      </c>
      <c r="F962" s="3">
        <v>45555</v>
      </c>
      <c r="G962" t="s">
        <v>62</v>
      </c>
      <c r="H962" t="s">
        <v>63</v>
      </c>
      <c r="I962" t="s">
        <v>58</v>
      </c>
      <c r="J962">
        <v>16196.99</v>
      </c>
      <c r="K962">
        <v>12</v>
      </c>
      <c r="L962" t="s">
        <v>36</v>
      </c>
      <c r="M962" t="s">
        <v>25</v>
      </c>
      <c r="N962" t="s">
        <v>55</v>
      </c>
      <c r="O962" t="s">
        <v>49</v>
      </c>
      <c r="P962" t="s">
        <v>28</v>
      </c>
      <c r="Q962">
        <v>13</v>
      </c>
      <c r="R962">
        <v>6075.96</v>
      </c>
      <c r="S962" t="s">
        <v>29</v>
      </c>
    </row>
    <row r="963" spans="1:19" x14ac:dyDescent="0.3">
      <c r="A963" t="s">
        <v>1033</v>
      </c>
      <c r="B963">
        <v>49</v>
      </c>
      <c r="C963" t="s">
        <v>19</v>
      </c>
      <c r="D963" t="s">
        <v>66</v>
      </c>
      <c r="E963" s="1">
        <v>45817</v>
      </c>
      <c r="F963" s="3">
        <v>45833</v>
      </c>
      <c r="G963" t="s">
        <v>33</v>
      </c>
      <c r="H963" t="s">
        <v>34</v>
      </c>
      <c r="I963" t="s">
        <v>43</v>
      </c>
      <c r="J963">
        <v>11050.78</v>
      </c>
      <c r="K963">
        <v>16</v>
      </c>
      <c r="L963" t="s">
        <v>24</v>
      </c>
      <c r="M963" t="s">
        <v>25</v>
      </c>
      <c r="N963" t="s">
        <v>55</v>
      </c>
      <c r="O963" t="s">
        <v>37</v>
      </c>
      <c r="P963" t="s">
        <v>50</v>
      </c>
      <c r="Q963">
        <v>9</v>
      </c>
      <c r="R963">
        <v>3663.92</v>
      </c>
      <c r="S963" t="s">
        <v>29</v>
      </c>
    </row>
    <row r="964" spans="1:19" x14ac:dyDescent="0.3">
      <c r="A964" t="s">
        <v>1034</v>
      </c>
      <c r="B964">
        <v>79</v>
      </c>
      <c r="C964" t="s">
        <v>31</v>
      </c>
      <c r="D964" t="s">
        <v>89</v>
      </c>
      <c r="E964" s="1">
        <v>44990</v>
      </c>
      <c r="F964" s="3">
        <v>45009</v>
      </c>
      <c r="G964" t="s">
        <v>74</v>
      </c>
      <c r="H964" t="s">
        <v>75</v>
      </c>
      <c r="I964" t="s">
        <v>35</v>
      </c>
      <c r="J964">
        <v>10414.290000000001</v>
      </c>
      <c r="K964">
        <v>19</v>
      </c>
      <c r="L964" t="s">
        <v>24</v>
      </c>
      <c r="M964" t="s">
        <v>59</v>
      </c>
      <c r="N964" t="s">
        <v>55</v>
      </c>
      <c r="O964" t="s">
        <v>56</v>
      </c>
      <c r="P964" t="s">
        <v>38</v>
      </c>
      <c r="Q964">
        <v>6</v>
      </c>
      <c r="R964">
        <v>1926.94</v>
      </c>
      <c r="S964" t="s">
        <v>29</v>
      </c>
    </row>
    <row r="965" spans="1:19" x14ac:dyDescent="0.3">
      <c r="A965" t="s">
        <v>1035</v>
      </c>
      <c r="B965">
        <v>38</v>
      </c>
      <c r="C965" t="s">
        <v>19</v>
      </c>
      <c r="D965" t="s">
        <v>32</v>
      </c>
      <c r="E965" s="1">
        <v>45676</v>
      </c>
      <c r="F965" s="3">
        <v>45692</v>
      </c>
      <c r="G965" t="s">
        <v>74</v>
      </c>
      <c r="H965" t="s">
        <v>75</v>
      </c>
      <c r="I965" t="s">
        <v>91</v>
      </c>
      <c r="J965">
        <v>12039.86</v>
      </c>
      <c r="K965">
        <v>16</v>
      </c>
      <c r="L965" t="s">
        <v>24</v>
      </c>
      <c r="M965" t="s">
        <v>25</v>
      </c>
      <c r="N965" t="s">
        <v>44</v>
      </c>
      <c r="O965" t="s">
        <v>49</v>
      </c>
      <c r="P965" t="s">
        <v>28</v>
      </c>
      <c r="Q965">
        <v>10</v>
      </c>
      <c r="R965">
        <v>2169.5500000000002</v>
      </c>
      <c r="S965" t="s">
        <v>29</v>
      </c>
    </row>
    <row r="966" spans="1:19" x14ac:dyDescent="0.3">
      <c r="A966" t="s">
        <v>1036</v>
      </c>
      <c r="B966">
        <v>87</v>
      </c>
      <c r="C966" t="s">
        <v>19</v>
      </c>
      <c r="D966" t="s">
        <v>89</v>
      </c>
      <c r="E966" s="1">
        <v>45824</v>
      </c>
      <c r="F966" s="3">
        <v>45834</v>
      </c>
      <c r="G966" t="s">
        <v>33</v>
      </c>
      <c r="H966" t="s">
        <v>34</v>
      </c>
      <c r="I966" t="s">
        <v>58</v>
      </c>
      <c r="J966">
        <v>6875.61</v>
      </c>
      <c r="K966">
        <v>10</v>
      </c>
      <c r="L966" t="s">
        <v>24</v>
      </c>
      <c r="M966" t="s">
        <v>25</v>
      </c>
      <c r="N966" t="s">
        <v>26</v>
      </c>
      <c r="O966" t="s">
        <v>56</v>
      </c>
      <c r="P966" t="s">
        <v>45</v>
      </c>
      <c r="Q966">
        <v>14</v>
      </c>
      <c r="R966">
        <v>1952.28</v>
      </c>
      <c r="S966" t="s">
        <v>29</v>
      </c>
    </row>
    <row r="967" spans="1:19" x14ac:dyDescent="0.3">
      <c r="A967" t="s">
        <v>1037</v>
      </c>
      <c r="B967">
        <v>62</v>
      </c>
      <c r="C967" t="s">
        <v>31</v>
      </c>
      <c r="D967" t="s">
        <v>66</v>
      </c>
      <c r="E967" s="1">
        <v>45679</v>
      </c>
      <c r="F967" s="3">
        <v>45691</v>
      </c>
      <c r="G967" t="s">
        <v>33</v>
      </c>
      <c r="H967" t="s">
        <v>34</v>
      </c>
      <c r="I967" t="s">
        <v>83</v>
      </c>
      <c r="J967">
        <v>9167.51</v>
      </c>
      <c r="K967">
        <v>12</v>
      </c>
      <c r="L967" t="s">
        <v>36</v>
      </c>
      <c r="M967" t="s">
        <v>59</v>
      </c>
      <c r="N967" t="s">
        <v>44</v>
      </c>
      <c r="O967" t="s">
        <v>27</v>
      </c>
      <c r="P967" t="s">
        <v>28</v>
      </c>
      <c r="Q967">
        <v>10</v>
      </c>
      <c r="R967">
        <v>3371.73</v>
      </c>
      <c r="S967" t="s">
        <v>29</v>
      </c>
    </row>
    <row r="968" spans="1:19" x14ac:dyDescent="0.3">
      <c r="A968" t="s">
        <v>1038</v>
      </c>
      <c r="B968">
        <v>78</v>
      </c>
      <c r="C968" t="s">
        <v>31</v>
      </c>
      <c r="D968" t="s">
        <v>79</v>
      </c>
      <c r="E968" s="1">
        <v>45811</v>
      </c>
      <c r="F968" s="3">
        <v>45830</v>
      </c>
      <c r="G968" t="s">
        <v>71</v>
      </c>
      <c r="H968" t="s">
        <v>72</v>
      </c>
      <c r="I968" t="s">
        <v>54</v>
      </c>
      <c r="J968">
        <v>9859.42</v>
      </c>
      <c r="K968">
        <v>19</v>
      </c>
      <c r="L968" t="s">
        <v>36</v>
      </c>
      <c r="M968" t="s">
        <v>76</v>
      </c>
      <c r="N968" t="s">
        <v>26</v>
      </c>
      <c r="O968" t="s">
        <v>37</v>
      </c>
      <c r="P968" t="s">
        <v>45</v>
      </c>
      <c r="Q968">
        <v>12</v>
      </c>
      <c r="R968">
        <v>3190.37</v>
      </c>
      <c r="S968" t="s">
        <v>29</v>
      </c>
    </row>
    <row r="969" spans="1:19" x14ac:dyDescent="0.3">
      <c r="A969" t="s">
        <v>1039</v>
      </c>
      <c r="B969">
        <v>36</v>
      </c>
      <c r="C969" t="s">
        <v>31</v>
      </c>
      <c r="D969" t="s">
        <v>32</v>
      </c>
      <c r="E969" s="1">
        <v>45635</v>
      </c>
      <c r="F969" s="3">
        <v>45641</v>
      </c>
      <c r="G969" t="s">
        <v>67</v>
      </c>
      <c r="H969" t="s">
        <v>42</v>
      </c>
      <c r="I969" t="s">
        <v>23</v>
      </c>
      <c r="J969">
        <v>4271.2299999999996</v>
      </c>
      <c r="K969">
        <v>6</v>
      </c>
      <c r="L969" t="s">
        <v>36</v>
      </c>
      <c r="M969" t="s">
        <v>25</v>
      </c>
      <c r="N969" t="s">
        <v>26</v>
      </c>
      <c r="O969" t="s">
        <v>56</v>
      </c>
      <c r="P969" t="s">
        <v>38</v>
      </c>
      <c r="Q969">
        <v>13</v>
      </c>
      <c r="R969">
        <v>1358.01</v>
      </c>
      <c r="S969" t="s">
        <v>29</v>
      </c>
    </row>
    <row r="970" spans="1:19" x14ac:dyDescent="0.3">
      <c r="A970" t="s">
        <v>1040</v>
      </c>
      <c r="B970">
        <v>83</v>
      </c>
      <c r="C970" t="s">
        <v>31</v>
      </c>
      <c r="D970" t="s">
        <v>20</v>
      </c>
      <c r="E970" s="1">
        <v>45252</v>
      </c>
      <c r="F970" s="3">
        <v>45269</v>
      </c>
      <c r="G970" t="s">
        <v>41</v>
      </c>
      <c r="H970" t="s">
        <v>42</v>
      </c>
      <c r="I970" t="s">
        <v>81</v>
      </c>
      <c r="J970">
        <v>11543.92</v>
      </c>
      <c r="K970">
        <v>17</v>
      </c>
      <c r="L970" t="s">
        <v>36</v>
      </c>
      <c r="M970" t="s">
        <v>25</v>
      </c>
      <c r="N970" t="s">
        <v>55</v>
      </c>
      <c r="O970" t="s">
        <v>37</v>
      </c>
      <c r="P970" t="s">
        <v>45</v>
      </c>
      <c r="Q970">
        <v>6</v>
      </c>
      <c r="R970">
        <v>1950.12</v>
      </c>
      <c r="S970" t="s">
        <v>29</v>
      </c>
    </row>
    <row r="971" spans="1:19" x14ac:dyDescent="0.3">
      <c r="A971" t="s">
        <v>1041</v>
      </c>
      <c r="B971">
        <v>26</v>
      </c>
      <c r="C971" t="s">
        <v>31</v>
      </c>
      <c r="D971" t="s">
        <v>20</v>
      </c>
      <c r="E971" s="1">
        <v>45578</v>
      </c>
      <c r="F971" s="3">
        <v>45580</v>
      </c>
      <c r="G971" t="s">
        <v>67</v>
      </c>
      <c r="H971" t="s">
        <v>42</v>
      </c>
      <c r="I971" t="s">
        <v>54</v>
      </c>
      <c r="J971">
        <v>3033.87</v>
      </c>
      <c r="K971">
        <v>2</v>
      </c>
      <c r="L971" t="s">
        <v>36</v>
      </c>
      <c r="M971" t="s">
        <v>25</v>
      </c>
      <c r="N971" t="s">
        <v>26</v>
      </c>
      <c r="O971" t="s">
        <v>27</v>
      </c>
      <c r="P971" t="s">
        <v>50</v>
      </c>
      <c r="Q971">
        <v>15</v>
      </c>
      <c r="R971">
        <v>512.6</v>
      </c>
      <c r="S971" t="s">
        <v>29</v>
      </c>
    </row>
    <row r="972" spans="1:19" x14ac:dyDescent="0.3">
      <c r="A972" t="s">
        <v>1042</v>
      </c>
      <c r="B972">
        <v>90</v>
      </c>
      <c r="C972" t="s">
        <v>19</v>
      </c>
      <c r="D972" t="s">
        <v>70</v>
      </c>
      <c r="E972" s="1">
        <v>45775</v>
      </c>
      <c r="F972" s="3">
        <v>45778</v>
      </c>
      <c r="G972" t="s">
        <v>21</v>
      </c>
      <c r="H972" t="s">
        <v>22</v>
      </c>
      <c r="I972" t="s">
        <v>81</v>
      </c>
      <c r="J972">
        <v>2642.78</v>
      </c>
      <c r="K972">
        <v>3</v>
      </c>
      <c r="L972" t="s">
        <v>36</v>
      </c>
      <c r="M972" t="s">
        <v>59</v>
      </c>
      <c r="N972" t="s">
        <v>26</v>
      </c>
      <c r="O972" t="s">
        <v>27</v>
      </c>
      <c r="P972" t="s">
        <v>45</v>
      </c>
      <c r="Q972">
        <v>14</v>
      </c>
      <c r="R972">
        <v>864.31</v>
      </c>
      <c r="S972" t="s">
        <v>29</v>
      </c>
    </row>
    <row r="973" spans="1:19" x14ac:dyDescent="0.3">
      <c r="A973" t="s">
        <v>1043</v>
      </c>
      <c r="B973">
        <v>36</v>
      </c>
      <c r="C973" t="s">
        <v>19</v>
      </c>
      <c r="D973" t="s">
        <v>47</v>
      </c>
      <c r="E973" s="1">
        <v>45601</v>
      </c>
      <c r="F973" s="3">
        <v>45624</v>
      </c>
      <c r="G973" t="s">
        <v>67</v>
      </c>
      <c r="H973" t="s">
        <v>42</v>
      </c>
      <c r="I973" t="s">
        <v>54</v>
      </c>
      <c r="J973">
        <v>16208.05</v>
      </c>
      <c r="K973">
        <v>23</v>
      </c>
      <c r="L973" t="s">
        <v>36</v>
      </c>
      <c r="M973" t="s">
        <v>25</v>
      </c>
      <c r="N973" t="s">
        <v>55</v>
      </c>
      <c r="O973" t="s">
        <v>49</v>
      </c>
      <c r="P973" t="s">
        <v>38</v>
      </c>
      <c r="Q973">
        <v>12</v>
      </c>
      <c r="R973">
        <v>3651.94</v>
      </c>
      <c r="S973" t="s">
        <v>29</v>
      </c>
    </row>
    <row r="974" spans="1:19" x14ac:dyDescent="0.3">
      <c r="A974" t="s">
        <v>1044</v>
      </c>
      <c r="B974">
        <v>54</v>
      </c>
      <c r="C974" t="s">
        <v>31</v>
      </c>
      <c r="D974" t="s">
        <v>32</v>
      </c>
      <c r="E974" s="1">
        <v>45702</v>
      </c>
      <c r="F974" s="3">
        <v>45718</v>
      </c>
      <c r="G974" t="s">
        <v>74</v>
      </c>
      <c r="H974" t="s">
        <v>75</v>
      </c>
      <c r="I974" t="s">
        <v>83</v>
      </c>
      <c r="J974">
        <v>5413.52</v>
      </c>
      <c r="K974">
        <v>16</v>
      </c>
      <c r="L974" t="s">
        <v>24</v>
      </c>
      <c r="M974" t="s">
        <v>25</v>
      </c>
      <c r="N974" t="s">
        <v>44</v>
      </c>
      <c r="O974" t="s">
        <v>56</v>
      </c>
      <c r="P974" t="s">
        <v>28</v>
      </c>
      <c r="Q974">
        <v>14</v>
      </c>
      <c r="R974">
        <v>1359.1</v>
      </c>
      <c r="S974" t="s">
        <v>29</v>
      </c>
    </row>
    <row r="975" spans="1:19" x14ac:dyDescent="0.3">
      <c r="A975" t="s">
        <v>1045</v>
      </c>
      <c r="B975">
        <v>38</v>
      </c>
      <c r="C975" t="s">
        <v>19</v>
      </c>
      <c r="D975" t="s">
        <v>20</v>
      </c>
      <c r="E975" s="1">
        <v>45875</v>
      </c>
      <c r="F975" s="3">
        <v>45877</v>
      </c>
      <c r="G975" t="s">
        <v>33</v>
      </c>
      <c r="H975" t="s">
        <v>34</v>
      </c>
      <c r="I975" t="s">
        <v>43</v>
      </c>
      <c r="J975">
        <v>1347.48</v>
      </c>
      <c r="K975">
        <v>2</v>
      </c>
      <c r="L975" t="s">
        <v>36</v>
      </c>
      <c r="M975" t="s">
        <v>25</v>
      </c>
      <c r="N975" t="s">
        <v>26</v>
      </c>
      <c r="O975" t="s">
        <v>27</v>
      </c>
      <c r="P975" t="s">
        <v>50</v>
      </c>
      <c r="Q975">
        <v>14</v>
      </c>
      <c r="R975">
        <v>385.08</v>
      </c>
      <c r="S975" t="s">
        <v>29</v>
      </c>
    </row>
    <row r="976" spans="1:19" x14ac:dyDescent="0.3">
      <c r="A976" t="s">
        <v>1046</v>
      </c>
      <c r="B976">
        <v>38</v>
      </c>
      <c r="C976" t="s">
        <v>31</v>
      </c>
      <c r="D976" t="s">
        <v>66</v>
      </c>
      <c r="E976" s="1">
        <v>45210</v>
      </c>
      <c r="F976" s="3">
        <v>45216</v>
      </c>
      <c r="G976" t="s">
        <v>74</v>
      </c>
      <c r="H976" t="s">
        <v>75</v>
      </c>
      <c r="I976" t="s">
        <v>43</v>
      </c>
      <c r="J976">
        <v>3864.42</v>
      </c>
      <c r="K976">
        <v>6</v>
      </c>
      <c r="L976" t="s">
        <v>36</v>
      </c>
      <c r="M976" t="s">
        <v>25</v>
      </c>
      <c r="N976" t="s">
        <v>26</v>
      </c>
      <c r="O976" t="s">
        <v>27</v>
      </c>
      <c r="P976" t="s">
        <v>28</v>
      </c>
      <c r="Q976">
        <v>15</v>
      </c>
      <c r="R976">
        <v>1467.48</v>
      </c>
      <c r="S976" t="s">
        <v>29</v>
      </c>
    </row>
    <row r="977" spans="1:19" x14ac:dyDescent="0.3">
      <c r="A977" t="s">
        <v>1047</v>
      </c>
      <c r="B977">
        <v>75</v>
      </c>
      <c r="C977" t="s">
        <v>31</v>
      </c>
      <c r="D977" t="s">
        <v>79</v>
      </c>
      <c r="E977" s="1">
        <v>45638</v>
      </c>
      <c r="F977" s="3">
        <v>45640</v>
      </c>
      <c r="G977" t="s">
        <v>67</v>
      </c>
      <c r="H977" t="s">
        <v>42</v>
      </c>
      <c r="I977" t="s">
        <v>54</v>
      </c>
      <c r="J977">
        <v>3311.54</v>
      </c>
      <c r="K977">
        <v>2</v>
      </c>
      <c r="L977" t="s">
        <v>24</v>
      </c>
      <c r="M977" t="s">
        <v>25</v>
      </c>
      <c r="N977" t="s">
        <v>55</v>
      </c>
      <c r="O977" t="s">
        <v>37</v>
      </c>
      <c r="P977" t="s">
        <v>28</v>
      </c>
      <c r="Q977">
        <v>11</v>
      </c>
      <c r="R977">
        <v>1138.95</v>
      </c>
      <c r="S977" t="s">
        <v>39</v>
      </c>
    </row>
    <row r="978" spans="1:19" x14ac:dyDescent="0.3">
      <c r="A978" t="s">
        <v>1048</v>
      </c>
      <c r="B978">
        <v>43</v>
      </c>
      <c r="C978" t="s">
        <v>31</v>
      </c>
      <c r="D978" t="s">
        <v>89</v>
      </c>
      <c r="E978" s="1">
        <v>45650</v>
      </c>
      <c r="F978" s="3">
        <v>45664</v>
      </c>
      <c r="G978" t="s">
        <v>62</v>
      </c>
      <c r="H978" t="s">
        <v>63</v>
      </c>
      <c r="I978" t="s">
        <v>81</v>
      </c>
      <c r="J978">
        <v>3522.56</v>
      </c>
      <c r="K978">
        <v>14</v>
      </c>
      <c r="L978" t="s">
        <v>36</v>
      </c>
      <c r="M978" t="s">
        <v>25</v>
      </c>
      <c r="N978" t="s">
        <v>26</v>
      </c>
      <c r="O978" t="s">
        <v>27</v>
      </c>
      <c r="P978" t="s">
        <v>50</v>
      </c>
      <c r="Q978">
        <v>15</v>
      </c>
      <c r="R978">
        <v>1328.59</v>
      </c>
      <c r="S978" t="s">
        <v>29</v>
      </c>
    </row>
    <row r="979" spans="1:19" x14ac:dyDescent="0.3">
      <c r="A979" t="s">
        <v>1049</v>
      </c>
      <c r="B979">
        <v>24</v>
      </c>
      <c r="C979" t="s">
        <v>19</v>
      </c>
      <c r="D979" t="s">
        <v>66</v>
      </c>
      <c r="E979" s="1">
        <v>45229</v>
      </c>
      <c r="F979" s="3">
        <v>45233</v>
      </c>
      <c r="G979" t="s">
        <v>62</v>
      </c>
      <c r="H979" t="s">
        <v>63</v>
      </c>
      <c r="I979" t="s">
        <v>35</v>
      </c>
      <c r="J979">
        <v>1869.39</v>
      </c>
      <c r="K979">
        <v>4</v>
      </c>
      <c r="L979" t="s">
        <v>36</v>
      </c>
      <c r="M979" t="s">
        <v>25</v>
      </c>
      <c r="N979" t="s">
        <v>55</v>
      </c>
      <c r="O979" t="s">
        <v>56</v>
      </c>
      <c r="P979" t="s">
        <v>45</v>
      </c>
      <c r="Q979">
        <v>6</v>
      </c>
      <c r="R979">
        <v>623.26</v>
      </c>
      <c r="S979" t="s">
        <v>39</v>
      </c>
    </row>
    <row r="980" spans="1:19" x14ac:dyDescent="0.3">
      <c r="A980" t="s">
        <v>1050</v>
      </c>
      <c r="B980">
        <v>70</v>
      </c>
      <c r="C980" t="s">
        <v>31</v>
      </c>
      <c r="D980" t="s">
        <v>47</v>
      </c>
      <c r="E980" s="1">
        <v>45494</v>
      </c>
      <c r="F980" s="3">
        <v>45523</v>
      </c>
      <c r="G980" t="s">
        <v>33</v>
      </c>
      <c r="H980" t="s">
        <v>34</v>
      </c>
      <c r="I980" t="s">
        <v>58</v>
      </c>
      <c r="J980">
        <v>16115.03</v>
      </c>
      <c r="K980">
        <v>29</v>
      </c>
      <c r="L980" t="s">
        <v>36</v>
      </c>
      <c r="M980" t="s">
        <v>101</v>
      </c>
      <c r="N980" t="s">
        <v>55</v>
      </c>
      <c r="O980" t="s">
        <v>49</v>
      </c>
      <c r="P980" t="s">
        <v>50</v>
      </c>
      <c r="Q980">
        <v>3</v>
      </c>
      <c r="R980">
        <v>3193.9</v>
      </c>
      <c r="S980" t="s">
        <v>29</v>
      </c>
    </row>
    <row r="981" spans="1:19" x14ac:dyDescent="0.3">
      <c r="A981" t="s">
        <v>1051</v>
      </c>
      <c r="B981">
        <v>32</v>
      </c>
      <c r="C981" t="s">
        <v>19</v>
      </c>
      <c r="D981" t="s">
        <v>70</v>
      </c>
      <c r="E981" s="1">
        <v>45548</v>
      </c>
      <c r="F981" s="3">
        <v>45560</v>
      </c>
      <c r="G981" t="s">
        <v>33</v>
      </c>
      <c r="H981" t="s">
        <v>34</v>
      </c>
      <c r="I981" t="s">
        <v>35</v>
      </c>
      <c r="J981">
        <v>7009.98</v>
      </c>
      <c r="K981">
        <v>12</v>
      </c>
      <c r="L981" t="s">
        <v>36</v>
      </c>
      <c r="M981" t="s">
        <v>101</v>
      </c>
      <c r="N981" t="s">
        <v>26</v>
      </c>
      <c r="O981" t="s">
        <v>56</v>
      </c>
      <c r="P981" t="s">
        <v>50</v>
      </c>
      <c r="Q981">
        <v>10</v>
      </c>
      <c r="R981">
        <v>1519.01</v>
      </c>
      <c r="S981" t="s">
        <v>29</v>
      </c>
    </row>
    <row r="982" spans="1:19" x14ac:dyDescent="0.3">
      <c r="A982" t="s">
        <v>1052</v>
      </c>
      <c r="B982">
        <v>87</v>
      </c>
      <c r="C982" t="s">
        <v>19</v>
      </c>
      <c r="D982" t="s">
        <v>70</v>
      </c>
      <c r="E982" s="1">
        <v>45613</v>
      </c>
      <c r="F982" s="3">
        <v>45625</v>
      </c>
      <c r="G982" t="s">
        <v>33</v>
      </c>
      <c r="H982" t="s">
        <v>34</v>
      </c>
      <c r="I982" t="s">
        <v>35</v>
      </c>
      <c r="J982">
        <v>6329.08</v>
      </c>
      <c r="K982">
        <v>12</v>
      </c>
      <c r="L982" t="s">
        <v>24</v>
      </c>
      <c r="M982" t="s">
        <v>101</v>
      </c>
      <c r="N982" t="s">
        <v>44</v>
      </c>
      <c r="O982" t="s">
        <v>37</v>
      </c>
      <c r="P982" t="s">
        <v>45</v>
      </c>
      <c r="Q982">
        <v>14</v>
      </c>
      <c r="R982">
        <v>1791.29</v>
      </c>
      <c r="S982" t="s">
        <v>29</v>
      </c>
    </row>
    <row r="983" spans="1:19" x14ac:dyDescent="0.3">
      <c r="A983" t="s">
        <v>1053</v>
      </c>
      <c r="B983">
        <v>33</v>
      </c>
      <c r="C983" t="s">
        <v>31</v>
      </c>
      <c r="D983" t="s">
        <v>32</v>
      </c>
      <c r="E983" s="1">
        <v>45789</v>
      </c>
      <c r="F983" s="3">
        <v>45790</v>
      </c>
      <c r="G983" t="s">
        <v>41</v>
      </c>
      <c r="H983" t="s">
        <v>42</v>
      </c>
      <c r="I983" t="s">
        <v>83</v>
      </c>
      <c r="J983">
        <v>3237</v>
      </c>
      <c r="K983">
        <v>1</v>
      </c>
      <c r="L983" t="s">
        <v>36</v>
      </c>
      <c r="M983" t="s">
        <v>25</v>
      </c>
      <c r="N983" t="s">
        <v>55</v>
      </c>
      <c r="O983" t="s">
        <v>56</v>
      </c>
      <c r="P983" t="s">
        <v>50</v>
      </c>
      <c r="Q983">
        <v>4</v>
      </c>
      <c r="R983">
        <v>876.44</v>
      </c>
      <c r="S983" t="s">
        <v>29</v>
      </c>
    </row>
    <row r="984" spans="1:19" x14ac:dyDescent="0.3">
      <c r="A984" t="s">
        <v>1054</v>
      </c>
      <c r="B984">
        <v>28</v>
      </c>
      <c r="C984" t="s">
        <v>19</v>
      </c>
      <c r="D984" t="s">
        <v>66</v>
      </c>
      <c r="E984" s="1">
        <v>45755</v>
      </c>
      <c r="F984" s="3">
        <v>45785</v>
      </c>
      <c r="G984" t="s">
        <v>33</v>
      </c>
      <c r="H984" t="s">
        <v>34</v>
      </c>
      <c r="I984" t="s">
        <v>54</v>
      </c>
      <c r="J984">
        <v>17083.7</v>
      </c>
      <c r="K984">
        <v>30</v>
      </c>
      <c r="L984" t="s">
        <v>36</v>
      </c>
      <c r="M984" t="s">
        <v>59</v>
      </c>
      <c r="N984" t="s">
        <v>55</v>
      </c>
      <c r="O984" t="s">
        <v>49</v>
      </c>
      <c r="P984" t="s">
        <v>38</v>
      </c>
      <c r="Q984">
        <v>5</v>
      </c>
      <c r="R984">
        <v>5054.9799999999996</v>
      </c>
      <c r="S984" t="s">
        <v>39</v>
      </c>
    </row>
    <row r="985" spans="1:19" x14ac:dyDescent="0.3">
      <c r="A985" t="s">
        <v>1055</v>
      </c>
      <c r="B985">
        <v>88</v>
      </c>
      <c r="C985" t="s">
        <v>31</v>
      </c>
      <c r="D985" t="s">
        <v>89</v>
      </c>
      <c r="E985" s="1">
        <v>45882</v>
      </c>
      <c r="F985" s="3">
        <v>45911</v>
      </c>
      <c r="G985" t="s">
        <v>52</v>
      </c>
      <c r="H985" t="s">
        <v>53</v>
      </c>
      <c r="I985" t="s">
        <v>23</v>
      </c>
      <c r="J985">
        <v>25810.49</v>
      </c>
      <c r="K985">
        <v>29</v>
      </c>
      <c r="L985" t="s">
        <v>24</v>
      </c>
      <c r="M985" t="s">
        <v>25</v>
      </c>
      <c r="N985" t="s">
        <v>26</v>
      </c>
      <c r="O985" t="s">
        <v>49</v>
      </c>
      <c r="P985" t="s">
        <v>45</v>
      </c>
      <c r="Q985">
        <v>4</v>
      </c>
      <c r="R985">
        <v>7903.1</v>
      </c>
      <c r="S985" t="s">
        <v>39</v>
      </c>
    </row>
    <row r="986" spans="1:19" x14ac:dyDescent="0.3">
      <c r="A986" t="s">
        <v>1056</v>
      </c>
      <c r="B986">
        <v>42</v>
      </c>
      <c r="C986" t="s">
        <v>31</v>
      </c>
      <c r="D986" t="s">
        <v>32</v>
      </c>
      <c r="E986" s="1">
        <v>45680</v>
      </c>
      <c r="F986" s="3">
        <v>45693</v>
      </c>
      <c r="G986" t="s">
        <v>52</v>
      </c>
      <c r="H986" t="s">
        <v>53</v>
      </c>
      <c r="I986" t="s">
        <v>83</v>
      </c>
      <c r="J986">
        <v>9422.82</v>
      </c>
      <c r="K986">
        <v>13</v>
      </c>
      <c r="L986" t="s">
        <v>24</v>
      </c>
      <c r="M986" t="s">
        <v>101</v>
      </c>
      <c r="N986" t="s">
        <v>55</v>
      </c>
      <c r="O986" t="s">
        <v>27</v>
      </c>
      <c r="P986" t="s">
        <v>45</v>
      </c>
      <c r="Q986">
        <v>14</v>
      </c>
      <c r="R986">
        <v>2490.4</v>
      </c>
      <c r="S986" t="s">
        <v>29</v>
      </c>
    </row>
    <row r="987" spans="1:19" x14ac:dyDescent="0.3">
      <c r="A987" t="s">
        <v>1057</v>
      </c>
      <c r="B987">
        <v>57</v>
      </c>
      <c r="C987" t="s">
        <v>19</v>
      </c>
      <c r="D987" t="s">
        <v>70</v>
      </c>
      <c r="E987" s="1">
        <v>45384</v>
      </c>
      <c r="F987" s="3">
        <v>45395</v>
      </c>
      <c r="G987" t="s">
        <v>74</v>
      </c>
      <c r="H987" t="s">
        <v>75</v>
      </c>
      <c r="I987" t="s">
        <v>91</v>
      </c>
      <c r="J987">
        <v>8680.15</v>
      </c>
      <c r="K987">
        <v>11</v>
      </c>
      <c r="L987" t="s">
        <v>36</v>
      </c>
      <c r="M987" t="s">
        <v>59</v>
      </c>
      <c r="N987" t="s">
        <v>44</v>
      </c>
      <c r="O987" t="s">
        <v>27</v>
      </c>
      <c r="P987" t="s">
        <v>45</v>
      </c>
      <c r="Q987">
        <v>7</v>
      </c>
      <c r="R987">
        <v>2022.3</v>
      </c>
      <c r="S987" t="s">
        <v>39</v>
      </c>
    </row>
    <row r="988" spans="1:19" x14ac:dyDescent="0.3">
      <c r="A988" t="s">
        <v>1058</v>
      </c>
      <c r="B988">
        <v>52</v>
      </c>
      <c r="C988" t="s">
        <v>31</v>
      </c>
      <c r="D988" t="s">
        <v>89</v>
      </c>
      <c r="E988" s="1">
        <v>45561</v>
      </c>
      <c r="F988" s="3">
        <v>45583</v>
      </c>
      <c r="G988" t="s">
        <v>52</v>
      </c>
      <c r="H988" t="s">
        <v>53</v>
      </c>
      <c r="I988" t="s">
        <v>43</v>
      </c>
      <c r="J988">
        <v>14906.97</v>
      </c>
      <c r="K988">
        <v>22</v>
      </c>
      <c r="L988" t="s">
        <v>24</v>
      </c>
      <c r="M988" t="s">
        <v>25</v>
      </c>
      <c r="N988" t="s">
        <v>26</v>
      </c>
      <c r="O988" t="s">
        <v>49</v>
      </c>
      <c r="P988" t="s">
        <v>38</v>
      </c>
      <c r="Q988">
        <v>7</v>
      </c>
      <c r="R988">
        <v>5005.8100000000004</v>
      </c>
      <c r="S988" t="s">
        <v>29</v>
      </c>
    </row>
    <row r="989" spans="1:19" x14ac:dyDescent="0.3">
      <c r="A989" t="s">
        <v>1059</v>
      </c>
      <c r="B989">
        <v>50</v>
      </c>
      <c r="C989" t="s">
        <v>19</v>
      </c>
      <c r="D989" t="s">
        <v>32</v>
      </c>
      <c r="E989" s="1">
        <v>45419</v>
      </c>
      <c r="F989" s="3">
        <v>45449</v>
      </c>
      <c r="G989" t="s">
        <v>74</v>
      </c>
      <c r="H989" t="s">
        <v>75</v>
      </c>
      <c r="I989" t="s">
        <v>81</v>
      </c>
      <c r="J989">
        <v>16749.7</v>
      </c>
      <c r="K989">
        <v>30</v>
      </c>
      <c r="L989" t="s">
        <v>24</v>
      </c>
      <c r="M989" t="s">
        <v>25</v>
      </c>
      <c r="N989" t="s">
        <v>55</v>
      </c>
      <c r="O989" t="s">
        <v>49</v>
      </c>
      <c r="P989" t="s">
        <v>45</v>
      </c>
      <c r="Q989">
        <v>12</v>
      </c>
      <c r="R989">
        <v>6213.13</v>
      </c>
      <c r="S989" t="s">
        <v>39</v>
      </c>
    </row>
    <row r="990" spans="1:19" x14ac:dyDescent="0.3">
      <c r="A990" t="s">
        <v>1060</v>
      </c>
      <c r="B990">
        <v>26</v>
      </c>
      <c r="C990" t="s">
        <v>19</v>
      </c>
      <c r="D990" t="s">
        <v>32</v>
      </c>
      <c r="E990" s="1">
        <v>45257</v>
      </c>
      <c r="F990" s="3">
        <v>45263</v>
      </c>
      <c r="G990" t="s">
        <v>48</v>
      </c>
      <c r="H990" t="s">
        <v>22</v>
      </c>
      <c r="I990" t="s">
        <v>58</v>
      </c>
      <c r="J990">
        <v>3413.65</v>
      </c>
      <c r="K990">
        <v>6</v>
      </c>
      <c r="L990" t="s">
        <v>36</v>
      </c>
      <c r="M990" t="s">
        <v>25</v>
      </c>
      <c r="N990" t="s">
        <v>26</v>
      </c>
      <c r="O990" t="s">
        <v>37</v>
      </c>
      <c r="P990" t="s">
        <v>50</v>
      </c>
      <c r="Q990">
        <v>10</v>
      </c>
      <c r="R990">
        <v>688.58</v>
      </c>
      <c r="S990" t="s">
        <v>29</v>
      </c>
    </row>
    <row r="991" spans="1:19" x14ac:dyDescent="0.3">
      <c r="A991" t="s">
        <v>1061</v>
      </c>
      <c r="B991">
        <v>48</v>
      </c>
      <c r="C991" t="s">
        <v>31</v>
      </c>
      <c r="D991" t="s">
        <v>20</v>
      </c>
      <c r="E991" s="1">
        <v>45151</v>
      </c>
      <c r="F991" s="3">
        <v>45163</v>
      </c>
      <c r="G991" t="s">
        <v>21</v>
      </c>
      <c r="H991" t="s">
        <v>22</v>
      </c>
      <c r="I991" t="s">
        <v>35</v>
      </c>
      <c r="J991">
        <v>12437.21</v>
      </c>
      <c r="K991">
        <v>12</v>
      </c>
      <c r="L991" t="s">
        <v>36</v>
      </c>
      <c r="M991" t="s">
        <v>25</v>
      </c>
      <c r="N991" t="s">
        <v>44</v>
      </c>
      <c r="O991" t="s">
        <v>49</v>
      </c>
      <c r="P991" t="s">
        <v>28</v>
      </c>
      <c r="Q991">
        <v>10</v>
      </c>
      <c r="R991">
        <v>3015.18</v>
      </c>
      <c r="S991" t="s">
        <v>29</v>
      </c>
    </row>
    <row r="992" spans="1:19" x14ac:dyDescent="0.3">
      <c r="A992" t="s">
        <v>1062</v>
      </c>
      <c r="B992">
        <v>89</v>
      </c>
      <c r="C992" t="s">
        <v>19</v>
      </c>
      <c r="D992" t="s">
        <v>79</v>
      </c>
      <c r="E992" s="1">
        <v>45490</v>
      </c>
      <c r="F992" s="3">
        <v>45491</v>
      </c>
      <c r="G992" t="s">
        <v>21</v>
      </c>
      <c r="H992" t="s">
        <v>22</v>
      </c>
      <c r="I992" t="s">
        <v>54</v>
      </c>
      <c r="J992">
        <v>2048.08</v>
      </c>
      <c r="K992">
        <v>1</v>
      </c>
      <c r="L992" t="s">
        <v>36</v>
      </c>
      <c r="M992" t="s">
        <v>25</v>
      </c>
      <c r="N992" t="s">
        <v>26</v>
      </c>
      <c r="O992" t="s">
        <v>27</v>
      </c>
      <c r="P992" t="s">
        <v>50</v>
      </c>
      <c r="Q992">
        <v>2</v>
      </c>
      <c r="R992">
        <v>409.36</v>
      </c>
      <c r="S992" t="s">
        <v>29</v>
      </c>
    </row>
    <row r="993" spans="1:19" x14ac:dyDescent="0.3">
      <c r="A993" t="s">
        <v>1063</v>
      </c>
      <c r="B993">
        <v>51</v>
      </c>
      <c r="C993" t="s">
        <v>19</v>
      </c>
      <c r="D993" t="s">
        <v>61</v>
      </c>
      <c r="E993" s="1">
        <v>45051</v>
      </c>
      <c r="F993" s="3">
        <v>45057</v>
      </c>
      <c r="G993" t="s">
        <v>74</v>
      </c>
      <c r="H993" t="s">
        <v>75</v>
      </c>
      <c r="I993" t="s">
        <v>81</v>
      </c>
      <c r="J993">
        <v>7555.67</v>
      </c>
      <c r="K993">
        <v>6</v>
      </c>
      <c r="L993" t="s">
        <v>24</v>
      </c>
      <c r="M993" t="s">
        <v>59</v>
      </c>
      <c r="N993" t="s">
        <v>55</v>
      </c>
      <c r="O993" t="s">
        <v>49</v>
      </c>
      <c r="P993" t="s">
        <v>38</v>
      </c>
      <c r="Q993">
        <v>1</v>
      </c>
      <c r="R993">
        <v>1582.7</v>
      </c>
      <c r="S993" t="s">
        <v>29</v>
      </c>
    </row>
    <row r="994" spans="1:19" x14ac:dyDescent="0.3">
      <c r="A994" t="s">
        <v>1064</v>
      </c>
      <c r="B994">
        <v>48</v>
      </c>
      <c r="C994" t="s">
        <v>31</v>
      </c>
      <c r="D994" t="s">
        <v>70</v>
      </c>
      <c r="E994" s="1">
        <v>45543</v>
      </c>
      <c r="F994" s="3">
        <v>45555</v>
      </c>
      <c r="G994" t="s">
        <v>93</v>
      </c>
      <c r="H994" t="s">
        <v>72</v>
      </c>
      <c r="I994" t="s">
        <v>83</v>
      </c>
      <c r="J994">
        <v>6199.26</v>
      </c>
      <c r="K994">
        <v>12</v>
      </c>
      <c r="L994" t="s">
        <v>24</v>
      </c>
      <c r="M994" t="s">
        <v>25</v>
      </c>
      <c r="N994" t="s">
        <v>55</v>
      </c>
      <c r="O994" t="s">
        <v>27</v>
      </c>
      <c r="P994" t="s">
        <v>50</v>
      </c>
      <c r="Q994">
        <v>9</v>
      </c>
      <c r="R994">
        <v>2099.86</v>
      </c>
      <c r="S994" t="s">
        <v>29</v>
      </c>
    </row>
    <row r="995" spans="1:19" x14ac:dyDescent="0.3">
      <c r="A995" t="s">
        <v>1065</v>
      </c>
      <c r="B995">
        <v>28</v>
      </c>
      <c r="C995" t="s">
        <v>19</v>
      </c>
      <c r="D995" t="s">
        <v>79</v>
      </c>
      <c r="E995" s="1">
        <v>45628</v>
      </c>
      <c r="F995" s="3">
        <v>45651</v>
      </c>
      <c r="G995" t="s">
        <v>71</v>
      </c>
      <c r="H995" t="s">
        <v>72</v>
      </c>
      <c r="I995" t="s">
        <v>43</v>
      </c>
      <c r="J995">
        <v>15499.63</v>
      </c>
      <c r="K995">
        <v>23</v>
      </c>
      <c r="L995" t="s">
        <v>24</v>
      </c>
      <c r="M995" t="s">
        <v>76</v>
      </c>
      <c r="N995" t="s">
        <v>26</v>
      </c>
      <c r="O995" t="s">
        <v>49</v>
      </c>
      <c r="P995" t="s">
        <v>28</v>
      </c>
      <c r="Q995">
        <v>10</v>
      </c>
      <c r="R995">
        <v>3485.82</v>
      </c>
      <c r="S995" t="s">
        <v>29</v>
      </c>
    </row>
    <row r="996" spans="1:19" x14ac:dyDescent="0.3">
      <c r="A996" t="s">
        <v>1066</v>
      </c>
      <c r="B996">
        <v>52</v>
      </c>
      <c r="C996" t="s">
        <v>31</v>
      </c>
      <c r="D996" t="s">
        <v>79</v>
      </c>
      <c r="E996" s="1">
        <v>45227</v>
      </c>
      <c r="F996" s="3">
        <v>45248</v>
      </c>
      <c r="G996" t="s">
        <v>48</v>
      </c>
      <c r="H996" t="s">
        <v>22</v>
      </c>
      <c r="I996" t="s">
        <v>43</v>
      </c>
      <c r="J996">
        <v>14049.23</v>
      </c>
      <c r="K996">
        <v>21</v>
      </c>
      <c r="L996" t="s">
        <v>24</v>
      </c>
      <c r="M996" t="s">
        <v>59</v>
      </c>
      <c r="N996" t="s">
        <v>26</v>
      </c>
      <c r="O996" t="s">
        <v>49</v>
      </c>
      <c r="P996" t="s">
        <v>45</v>
      </c>
      <c r="Q996">
        <v>9</v>
      </c>
      <c r="R996">
        <v>3041.26</v>
      </c>
      <c r="S996" t="s">
        <v>29</v>
      </c>
    </row>
    <row r="997" spans="1:19" x14ac:dyDescent="0.3">
      <c r="A997" t="s">
        <v>1067</v>
      </c>
      <c r="B997">
        <v>55</v>
      </c>
      <c r="C997" t="s">
        <v>31</v>
      </c>
      <c r="D997" t="s">
        <v>70</v>
      </c>
      <c r="E997" s="1">
        <v>45917</v>
      </c>
      <c r="F997" s="3">
        <v>45937</v>
      </c>
      <c r="G997" t="s">
        <v>62</v>
      </c>
      <c r="H997" t="s">
        <v>63</v>
      </c>
      <c r="I997" t="s">
        <v>81</v>
      </c>
      <c r="J997">
        <v>14498.53</v>
      </c>
      <c r="K997">
        <v>20</v>
      </c>
      <c r="L997" t="s">
        <v>36</v>
      </c>
      <c r="M997" t="s">
        <v>25</v>
      </c>
      <c r="N997" t="s">
        <v>26</v>
      </c>
      <c r="O997" t="s">
        <v>37</v>
      </c>
      <c r="P997" t="s">
        <v>50</v>
      </c>
      <c r="Q997">
        <v>8</v>
      </c>
      <c r="R997">
        <v>4474.7299999999996</v>
      </c>
      <c r="S997" t="s">
        <v>29</v>
      </c>
    </row>
    <row r="998" spans="1:19" x14ac:dyDescent="0.3">
      <c r="A998" t="s">
        <v>1068</v>
      </c>
      <c r="B998">
        <v>89</v>
      </c>
      <c r="C998" t="s">
        <v>31</v>
      </c>
      <c r="D998" t="s">
        <v>66</v>
      </c>
      <c r="E998" s="1">
        <v>45403</v>
      </c>
      <c r="F998" s="3">
        <v>45418</v>
      </c>
      <c r="G998" t="s">
        <v>41</v>
      </c>
      <c r="H998" t="s">
        <v>42</v>
      </c>
      <c r="I998" t="s">
        <v>81</v>
      </c>
      <c r="J998">
        <v>9894.86</v>
      </c>
      <c r="K998">
        <v>15</v>
      </c>
      <c r="L998" t="s">
        <v>24</v>
      </c>
      <c r="M998" t="s">
        <v>25</v>
      </c>
      <c r="N998" t="s">
        <v>44</v>
      </c>
      <c r="O998" t="s">
        <v>56</v>
      </c>
      <c r="P998" t="s">
        <v>50</v>
      </c>
      <c r="Q998">
        <v>2</v>
      </c>
      <c r="R998">
        <v>2003.47</v>
      </c>
      <c r="S998" t="s">
        <v>29</v>
      </c>
    </row>
    <row r="999" spans="1:19" x14ac:dyDescent="0.3">
      <c r="A999" t="s">
        <v>1069</v>
      </c>
      <c r="B999">
        <v>86</v>
      </c>
      <c r="C999" t="s">
        <v>31</v>
      </c>
      <c r="D999" t="s">
        <v>89</v>
      </c>
      <c r="E999" s="1">
        <v>45814</v>
      </c>
      <c r="F999" s="3">
        <v>45825</v>
      </c>
      <c r="G999" t="s">
        <v>41</v>
      </c>
      <c r="H999" t="s">
        <v>42</v>
      </c>
      <c r="I999" t="s">
        <v>83</v>
      </c>
      <c r="J999">
        <v>7269.68</v>
      </c>
      <c r="K999">
        <v>11</v>
      </c>
      <c r="L999" t="s">
        <v>24</v>
      </c>
      <c r="M999" t="s">
        <v>25</v>
      </c>
      <c r="N999" t="s">
        <v>26</v>
      </c>
      <c r="O999" t="s">
        <v>27</v>
      </c>
      <c r="P999" t="s">
        <v>45</v>
      </c>
      <c r="Q999">
        <v>15</v>
      </c>
      <c r="R999">
        <v>1443.78</v>
      </c>
      <c r="S999" t="s">
        <v>29</v>
      </c>
    </row>
    <row r="1000" spans="1:19" x14ac:dyDescent="0.3">
      <c r="A1000" t="s">
        <v>1070</v>
      </c>
      <c r="B1000">
        <v>81</v>
      </c>
      <c r="C1000" t="s">
        <v>19</v>
      </c>
      <c r="D1000" t="s">
        <v>47</v>
      </c>
      <c r="E1000" s="1">
        <v>45869</v>
      </c>
      <c r="F1000" s="3">
        <v>45888</v>
      </c>
      <c r="G1000" t="s">
        <v>71</v>
      </c>
      <c r="H1000" t="s">
        <v>72</v>
      </c>
      <c r="I1000" t="s">
        <v>83</v>
      </c>
      <c r="J1000">
        <v>7828.65</v>
      </c>
      <c r="K1000">
        <v>19</v>
      </c>
      <c r="L1000" t="s">
        <v>24</v>
      </c>
      <c r="M1000" t="s">
        <v>25</v>
      </c>
      <c r="N1000" t="s">
        <v>44</v>
      </c>
      <c r="O1000" t="s">
        <v>27</v>
      </c>
      <c r="P1000" t="s">
        <v>38</v>
      </c>
      <c r="Q1000">
        <v>3</v>
      </c>
      <c r="R1000">
        <v>1648.65</v>
      </c>
      <c r="S1000" t="s">
        <v>29</v>
      </c>
    </row>
    <row r="1001" spans="1:19" x14ac:dyDescent="0.3">
      <c r="A1001" t="s">
        <v>1071</v>
      </c>
      <c r="B1001">
        <v>41</v>
      </c>
      <c r="C1001" t="s">
        <v>19</v>
      </c>
      <c r="D1001" t="s">
        <v>61</v>
      </c>
      <c r="E1001" s="1">
        <v>45524</v>
      </c>
      <c r="F1001" s="3">
        <v>45554</v>
      </c>
      <c r="G1001" t="s">
        <v>93</v>
      </c>
      <c r="H1001" t="s">
        <v>72</v>
      </c>
      <c r="I1001" t="s">
        <v>54</v>
      </c>
      <c r="J1001">
        <v>12900.24</v>
      </c>
      <c r="K1001">
        <v>30</v>
      </c>
      <c r="L1001" t="s">
        <v>24</v>
      </c>
      <c r="M1001" t="s">
        <v>25</v>
      </c>
      <c r="N1001" t="s">
        <v>55</v>
      </c>
      <c r="O1001" t="s">
        <v>49</v>
      </c>
      <c r="P1001" t="s">
        <v>28</v>
      </c>
      <c r="Q1001">
        <v>1</v>
      </c>
      <c r="R1001">
        <v>3021.31</v>
      </c>
      <c r="S1001" t="s">
        <v>29</v>
      </c>
    </row>
    <row r="1002" spans="1:19" x14ac:dyDescent="0.3">
      <c r="A1002" t="s">
        <v>1072</v>
      </c>
      <c r="B1002">
        <v>53</v>
      </c>
      <c r="C1002" t="s">
        <v>31</v>
      </c>
      <c r="D1002" t="s">
        <v>89</v>
      </c>
      <c r="E1002" s="1">
        <v>45554</v>
      </c>
      <c r="F1002" s="3">
        <v>45572</v>
      </c>
      <c r="G1002" t="s">
        <v>71</v>
      </c>
      <c r="H1002" t="s">
        <v>72</v>
      </c>
      <c r="I1002" t="s">
        <v>58</v>
      </c>
      <c r="J1002">
        <v>10402.65</v>
      </c>
      <c r="K1002">
        <v>18</v>
      </c>
      <c r="L1002" t="s">
        <v>24</v>
      </c>
      <c r="M1002" t="s">
        <v>59</v>
      </c>
      <c r="N1002" t="s">
        <v>55</v>
      </c>
      <c r="O1002" t="s">
        <v>37</v>
      </c>
      <c r="P1002" t="s">
        <v>45</v>
      </c>
      <c r="Q1002">
        <v>7</v>
      </c>
      <c r="R1002">
        <v>2020.64</v>
      </c>
      <c r="S1002" t="s">
        <v>29</v>
      </c>
    </row>
    <row r="1003" spans="1:19" x14ac:dyDescent="0.3">
      <c r="A1003" t="s">
        <v>1073</v>
      </c>
      <c r="B1003">
        <v>19</v>
      </c>
      <c r="C1003" t="s">
        <v>19</v>
      </c>
      <c r="D1003" t="s">
        <v>61</v>
      </c>
      <c r="E1003" s="1">
        <v>45544</v>
      </c>
      <c r="F1003" s="3">
        <v>45564</v>
      </c>
      <c r="G1003" t="s">
        <v>93</v>
      </c>
      <c r="H1003" t="s">
        <v>72</v>
      </c>
      <c r="I1003" t="s">
        <v>58</v>
      </c>
      <c r="J1003">
        <v>19224.330000000002</v>
      </c>
      <c r="K1003">
        <v>20</v>
      </c>
      <c r="L1003" t="s">
        <v>24</v>
      </c>
      <c r="M1003" t="s">
        <v>25</v>
      </c>
      <c r="N1003" t="s">
        <v>44</v>
      </c>
      <c r="O1003" t="s">
        <v>49</v>
      </c>
      <c r="P1003" t="s">
        <v>38</v>
      </c>
      <c r="Q1003">
        <v>3</v>
      </c>
      <c r="R1003">
        <v>3834.91</v>
      </c>
      <c r="S1003" t="s">
        <v>29</v>
      </c>
    </row>
    <row r="1004" spans="1:19" x14ac:dyDescent="0.3">
      <c r="A1004" t="s">
        <v>1074</v>
      </c>
      <c r="B1004">
        <v>42</v>
      </c>
      <c r="C1004" t="s">
        <v>31</v>
      </c>
      <c r="D1004" t="s">
        <v>79</v>
      </c>
      <c r="E1004" s="1">
        <v>44939</v>
      </c>
      <c r="F1004" s="3">
        <v>44949</v>
      </c>
      <c r="G1004" t="s">
        <v>33</v>
      </c>
      <c r="H1004" t="s">
        <v>34</v>
      </c>
      <c r="I1004" t="s">
        <v>91</v>
      </c>
      <c r="J1004">
        <v>6624.88</v>
      </c>
      <c r="K1004">
        <v>10</v>
      </c>
      <c r="L1004" t="s">
        <v>36</v>
      </c>
      <c r="M1004" t="s">
        <v>76</v>
      </c>
      <c r="N1004" t="s">
        <v>26</v>
      </c>
      <c r="O1004" t="s">
        <v>56</v>
      </c>
      <c r="P1004" t="s">
        <v>28</v>
      </c>
      <c r="Q1004">
        <v>3</v>
      </c>
      <c r="R1004">
        <v>2468.34</v>
      </c>
      <c r="S1004" t="s">
        <v>29</v>
      </c>
    </row>
    <row r="1005" spans="1:19" x14ac:dyDescent="0.3">
      <c r="A1005" t="s">
        <v>1075</v>
      </c>
      <c r="B1005">
        <v>48</v>
      </c>
      <c r="C1005" t="s">
        <v>31</v>
      </c>
      <c r="D1005" t="s">
        <v>32</v>
      </c>
      <c r="E1005" s="1">
        <v>45669</v>
      </c>
      <c r="F1005" s="3">
        <v>45680</v>
      </c>
      <c r="G1005" t="s">
        <v>48</v>
      </c>
      <c r="H1005" t="s">
        <v>22</v>
      </c>
      <c r="I1005" t="s">
        <v>23</v>
      </c>
      <c r="J1005">
        <v>10935.23</v>
      </c>
      <c r="K1005">
        <v>11</v>
      </c>
      <c r="L1005" t="s">
        <v>24</v>
      </c>
      <c r="M1005" t="s">
        <v>25</v>
      </c>
      <c r="N1005" t="s">
        <v>55</v>
      </c>
      <c r="O1005" t="s">
        <v>49</v>
      </c>
      <c r="P1005" t="s">
        <v>50</v>
      </c>
      <c r="Q1005">
        <v>5</v>
      </c>
      <c r="R1005">
        <v>2134.66</v>
      </c>
      <c r="S1005" t="s">
        <v>39</v>
      </c>
    </row>
    <row r="1006" spans="1:19" x14ac:dyDescent="0.3">
      <c r="A1006" t="s">
        <v>1076</v>
      </c>
      <c r="B1006">
        <v>47</v>
      </c>
      <c r="C1006" t="s">
        <v>31</v>
      </c>
      <c r="D1006" t="s">
        <v>20</v>
      </c>
      <c r="E1006" s="1">
        <v>44936</v>
      </c>
      <c r="F1006" s="3">
        <v>44949</v>
      </c>
      <c r="G1006" t="s">
        <v>71</v>
      </c>
      <c r="H1006" t="s">
        <v>72</v>
      </c>
      <c r="I1006" t="s">
        <v>83</v>
      </c>
      <c r="J1006">
        <v>8167.84</v>
      </c>
      <c r="K1006">
        <v>13</v>
      </c>
      <c r="L1006" t="s">
        <v>24</v>
      </c>
      <c r="M1006" t="s">
        <v>25</v>
      </c>
      <c r="N1006" t="s">
        <v>44</v>
      </c>
      <c r="O1006" t="s">
        <v>27</v>
      </c>
      <c r="P1006" t="s">
        <v>28</v>
      </c>
      <c r="Q1006">
        <v>8</v>
      </c>
      <c r="R1006">
        <v>2530.35</v>
      </c>
      <c r="S1006" t="s">
        <v>29</v>
      </c>
    </row>
    <row r="1007" spans="1:19" x14ac:dyDescent="0.3">
      <c r="A1007" t="s">
        <v>1077</v>
      </c>
      <c r="B1007">
        <v>36</v>
      </c>
      <c r="C1007" t="s">
        <v>19</v>
      </c>
      <c r="D1007" t="s">
        <v>79</v>
      </c>
      <c r="E1007" s="1">
        <v>45679</v>
      </c>
      <c r="F1007" s="3">
        <v>45705</v>
      </c>
      <c r="G1007" t="s">
        <v>21</v>
      </c>
      <c r="H1007" t="s">
        <v>22</v>
      </c>
      <c r="I1007" t="s">
        <v>43</v>
      </c>
      <c r="J1007">
        <v>21307.85</v>
      </c>
      <c r="K1007">
        <v>26</v>
      </c>
      <c r="L1007" t="s">
        <v>24</v>
      </c>
      <c r="M1007" t="s">
        <v>25</v>
      </c>
      <c r="N1007" t="s">
        <v>26</v>
      </c>
      <c r="O1007" t="s">
        <v>49</v>
      </c>
      <c r="P1007" t="s">
        <v>50</v>
      </c>
      <c r="Q1007">
        <v>4</v>
      </c>
      <c r="R1007">
        <v>5999.98</v>
      </c>
      <c r="S1007" t="s">
        <v>29</v>
      </c>
    </row>
    <row r="1008" spans="1:19" x14ac:dyDescent="0.3">
      <c r="A1008" t="s">
        <v>1078</v>
      </c>
      <c r="B1008">
        <v>20</v>
      </c>
      <c r="C1008" t="s">
        <v>19</v>
      </c>
      <c r="D1008" t="s">
        <v>32</v>
      </c>
      <c r="E1008" s="1">
        <v>45212</v>
      </c>
      <c r="F1008" s="3">
        <v>45216</v>
      </c>
      <c r="G1008" t="s">
        <v>71</v>
      </c>
      <c r="H1008" t="s">
        <v>72</v>
      </c>
      <c r="I1008" t="s">
        <v>81</v>
      </c>
      <c r="J1008">
        <v>2234.29</v>
      </c>
      <c r="K1008">
        <v>4</v>
      </c>
      <c r="L1008" t="s">
        <v>24</v>
      </c>
      <c r="M1008" t="s">
        <v>25</v>
      </c>
      <c r="N1008" t="s">
        <v>44</v>
      </c>
      <c r="O1008" t="s">
        <v>37</v>
      </c>
      <c r="P1008" t="s">
        <v>50</v>
      </c>
      <c r="Q1008">
        <v>7</v>
      </c>
      <c r="R1008">
        <v>596.22</v>
      </c>
      <c r="S1008" t="s">
        <v>29</v>
      </c>
    </row>
    <row r="1009" spans="1:19" x14ac:dyDescent="0.3">
      <c r="A1009" t="s">
        <v>1079</v>
      </c>
      <c r="B1009">
        <v>21</v>
      </c>
      <c r="C1009" t="s">
        <v>19</v>
      </c>
      <c r="D1009" t="s">
        <v>32</v>
      </c>
      <c r="E1009" s="1">
        <v>45444</v>
      </c>
      <c r="F1009" s="3">
        <v>45451</v>
      </c>
      <c r="G1009" t="s">
        <v>41</v>
      </c>
      <c r="H1009" t="s">
        <v>42</v>
      </c>
      <c r="I1009" t="s">
        <v>91</v>
      </c>
      <c r="J1009">
        <v>3190.49</v>
      </c>
      <c r="K1009">
        <v>7</v>
      </c>
      <c r="L1009" t="s">
        <v>36</v>
      </c>
      <c r="M1009" t="s">
        <v>25</v>
      </c>
      <c r="N1009" t="s">
        <v>44</v>
      </c>
      <c r="O1009" t="s">
        <v>27</v>
      </c>
      <c r="P1009" t="s">
        <v>38</v>
      </c>
      <c r="Q1009">
        <v>4</v>
      </c>
      <c r="R1009">
        <v>511.14</v>
      </c>
      <c r="S1009" t="s">
        <v>29</v>
      </c>
    </row>
    <row r="1010" spans="1:19" x14ac:dyDescent="0.3">
      <c r="A1010" t="s">
        <v>1080</v>
      </c>
      <c r="B1010">
        <v>38</v>
      </c>
      <c r="C1010" t="s">
        <v>19</v>
      </c>
      <c r="D1010" t="s">
        <v>89</v>
      </c>
      <c r="E1010" s="1">
        <v>45230</v>
      </c>
      <c r="F1010" s="3">
        <v>45255</v>
      </c>
      <c r="G1010" t="s">
        <v>52</v>
      </c>
      <c r="H1010" t="s">
        <v>53</v>
      </c>
      <c r="I1010" t="s">
        <v>91</v>
      </c>
      <c r="J1010">
        <v>10721.62</v>
      </c>
      <c r="K1010">
        <v>25</v>
      </c>
      <c r="L1010" t="s">
        <v>36</v>
      </c>
      <c r="M1010" t="s">
        <v>25</v>
      </c>
      <c r="N1010" t="s">
        <v>26</v>
      </c>
      <c r="O1010" t="s">
        <v>49</v>
      </c>
      <c r="P1010" t="s">
        <v>45</v>
      </c>
      <c r="Q1010">
        <v>1</v>
      </c>
      <c r="R1010">
        <v>3488.61</v>
      </c>
      <c r="S1010" t="s">
        <v>29</v>
      </c>
    </row>
    <row r="1011" spans="1:19" x14ac:dyDescent="0.3">
      <c r="A1011" t="s">
        <v>1081</v>
      </c>
      <c r="B1011">
        <v>77</v>
      </c>
      <c r="C1011" t="s">
        <v>19</v>
      </c>
      <c r="D1011" t="s">
        <v>47</v>
      </c>
      <c r="E1011" s="1">
        <v>45104</v>
      </c>
      <c r="F1011" s="3">
        <v>45130</v>
      </c>
      <c r="G1011" t="s">
        <v>93</v>
      </c>
      <c r="H1011" t="s">
        <v>72</v>
      </c>
      <c r="I1011" t="s">
        <v>54</v>
      </c>
      <c r="J1011">
        <v>23402.59</v>
      </c>
      <c r="K1011">
        <v>26</v>
      </c>
      <c r="L1011" t="s">
        <v>24</v>
      </c>
      <c r="M1011" t="s">
        <v>25</v>
      </c>
      <c r="N1011" t="s">
        <v>26</v>
      </c>
      <c r="O1011" t="s">
        <v>49</v>
      </c>
      <c r="P1011" t="s">
        <v>50</v>
      </c>
      <c r="Q1011">
        <v>1</v>
      </c>
      <c r="R1011">
        <v>5650.24</v>
      </c>
      <c r="S1011" t="s">
        <v>29</v>
      </c>
    </row>
    <row r="1012" spans="1:19" x14ac:dyDescent="0.3">
      <c r="A1012" t="s">
        <v>1082</v>
      </c>
      <c r="B1012">
        <v>67</v>
      </c>
      <c r="C1012" t="s">
        <v>31</v>
      </c>
      <c r="D1012" t="s">
        <v>61</v>
      </c>
      <c r="E1012" s="1">
        <v>45033</v>
      </c>
      <c r="F1012" s="3">
        <v>45050</v>
      </c>
      <c r="G1012" t="s">
        <v>62</v>
      </c>
      <c r="H1012" t="s">
        <v>63</v>
      </c>
      <c r="I1012" t="s">
        <v>43</v>
      </c>
      <c r="J1012">
        <v>10797.48</v>
      </c>
      <c r="K1012">
        <v>17</v>
      </c>
      <c r="L1012" t="s">
        <v>24</v>
      </c>
      <c r="M1012" t="s">
        <v>25</v>
      </c>
      <c r="N1012" t="s">
        <v>55</v>
      </c>
      <c r="O1012" t="s">
        <v>49</v>
      </c>
      <c r="P1012" t="s">
        <v>38</v>
      </c>
      <c r="Q1012">
        <v>6</v>
      </c>
      <c r="R1012">
        <v>3272.02</v>
      </c>
      <c r="S1012" t="s">
        <v>29</v>
      </c>
    </row>
    <row r="1013" spans="1:19" x14ac:dyDescent="0.3">
      <c r="A1013" t="s">
        <v>1083</v>
      </c>
      <c r="B1013">
        <v>59</v>
      </c>
      <c r="C1013" t="s">
        <v>19</v>
      </c>
      <c r="D1013" t="s">
        <v>20</v>
      </c>
      <c r="E1013" s="1">
        <v>45872</v>
      </c>
      <c r="F1013" s="3">
        <v>45886</v>
      </c>
      <c r="G1013" t="s">
        <v>48</v>
      </c>
      <c r="H1013" t="s">
        <v>22</v>
      </c>
      <c r="I1013" t="s">
        <v>83</v>
      </c>
      <c r="J1013">
        <v>10351.08</v>
      </c>
      <c r="K1013">
        <v>14</v>
      </c>
      <c r="L1013" t="s">
        <v>24</v>
      </c>
      <c r="M1013" t="s">
        <v>25</v>
      </c>
      <c r="N1013" t="s">
        <v>44</v>
      </c>
      <c r="O1013" t="s">
        <v>49</v>
      </c>
      <c r="P1013" t="s">
        <v>45</v>
      </c>
      <c r="Q1013">
        <v>2</v>
      </c>
      <c r="R1013">
        <v>2270.2600000000002</v>
      </c>
      <c r="S1013" t="s">
        <v>29</v>
      </c>
    </row>
    <row r="1014" spans="1:19" x14ac:dyDescent="0.3">
      <c r="A1014" t="s">
        <v>1084</v>
      </c>
      <c r="B1014">
        <v>26</v>
      </c>
      <c r="C1014" t="s">
        <v>31</v>
      </c>
      <c r="D1014" t="s">
        <v>89</v>
      </c>
      <c r="E1014" s="1">
        <v>44954</v>
      </c>
      <c r="F1014" s="3">
        <v>44955</v>
      </c>
      <c r="G1014" t="s">
        <v>33</v>
      </c>
      <c r="H1014" t="s">
        <v>34</v>
      </c>
      <c r="I1014" t="s">
        <v>43</v>
      </c>
      <c r="J1014">
        <v>2103.86</v>
      </c>
      <c r="K1014">
        <v>1</v>
      </c>
      <c r="L1014" t="s">
        <v>36</v>
      </c>
      <c r="M1014" t="s">
        <v>25</v>
      </c>
      <c r="N1014" t="s">
        <v>55</v>
      </c>
      <c r="O1014" t="s">
        <v>56</v>
      </c>
      <c r="P1014" t="s">
        <v>38</v>
      </c>
      <c r="Q1014">
        <v>3</v>
      </c>
      <c r="R1014">
        <v>664.86</v>
      </c>
      <c r="S1014" t="s">
        <v>29</v>
      </c>
    </row>
    <row r="1015" spans="1:19" x14ac:dyDescent="0.3">
      <c r="A1015" t="s">
        <v>1085</v>
      </c>
      <c r="B1015">
        <v>27</v>
      </c>
      <c r="C1015" t="s">
        <v>31</v>
      </c>
      <c r="D1015" t="s">
        <v>79</v>
      </c>
      <c r="E1015" s="1">
        <v>45860</v>
      </c>
      <c r="F1015" s="3">
        <v>45871</v>
      </c>
      <c r="G1015" t="s">
        <v>71</v>
      </c>
      <c r="H1015" t="s">
        <v>72</v>
      </c>
      <c r="I1015" t="s">
        <v>54</v>
      </c>
      <c r="J1015">
        <v>6501.16</v>
      </c>
      <c r="K1015">
        <v>11</v>
      </c>
      <c r="L1015" t="s">
        <v>36</v>
      </c>
      <c r="M1015" t="s">
        <v>25</v>
      </c>
      <c r="N1015" t="s">
        <v>26</v>
      </c>
      <c r="O1015" t="s">
        <v>56</v>
      </c>
      <c r="P1015" t="s">
        <v>50</v>
      </c>
      <c r="Q1015">
        <v>2</v>
      </c>
      <c r="R1015">
        <v>1373.63</v>
      </c>
      <c r="S1015" t="s">
        <v>29</v>
      </c>
    </row>
    <row r="1016" spans="1:19" x14ac:dyDescent="0.3">
      <c r="A1016" t="s">
        <v>1086</v>
      </c>
      <c r="B1016">
        <v>75</v>
      </c>
      <c r="C1016" t="s">
        <v>31</v>
      </c>
      <c r="D1016" t="s">
        <v>32</v>
      </c>
      <c r="E1016" s="1">
        <v>45298</v>
      </c>
      <c r="F1016" s="3">
        <v>45312</v>
      </c>
      <c r="G1016" t="s">
        <v>62</v>
      </c>
      <c r="H1016" t="s">
        <v>63</v>
      </c>
      <c r="I1016" t="s">
        <v>91</v>
      </c>
      <c r="J1016">
        <v>7852.23</v>
      </c>
      <c r="K1016">
        <v>14</v>
      </c>
      <c r="L1016" t="s">
        <v>24</v>
      </c>
      <c r="M1016" t="s">
        <v>25</v>
      </c>
      <c r="N1016" t="s">
        <v>44</v>
      </c>
      <c r="O1016" t="s">
        <v>56</v>
      </c>
      <c r="P1016" t="s">
        <v>45</v>
      </c>
      <c r="Q1016">
        <v>10</v>
      </c>
      <c r="R1016">
        <v>2091.52</v>
      </c>
      <c r="S1016" t="s">
        <v>29</v>
      </c>
    </row>
    <row r="1017" spans="1:19" x14ac:dyDescent="0.3">
      <c r="A1017" t="s">
        <v>1087</v>
      </c>
      <c r="B1017">
        <v>49</v>
      </c>
      <c r="C1017" t="s">
        <v>19</v>
      </c>
      <c r="D1017" t="s">
        <v>66</v>
      </c>
      <c r="E1017" s="1">
        <v>45124</v>
      </c>
      <c r="F1017" s="3">
        <v>45130</v>
      </c>
      <c r="G1017" t="s">
        <v>52</v>
      </c>
      <c r="H1017" t="s">
        <v>53</v>
      </c>
      <c r="I1017" t="s">
        <v>58</v>
      </c>
      <c r="J1017">
        <v>5003.55</v>
      </c>
      <c r="K1017">
        <v>6</v>
      </c>
      <c r="L1017" t="s">
        <v>24</v>
      </c>
      <c r="M1017" t="s">
        <v>59</v>
      </c>
      <c r="N1017" t="s">
        <v>55</v>
      </c>
      <c r="O1017" t="s">
        <v>56</v>
      </c>
      <c r="P1017" t="s">
        <v>28</v>
      </c>
      <c r="Q1017">
        <v>3</v>
      </c>
      <c r="R1017">
        <v>1076.8499999999999</v>
      </c>
      <c r="S1017" t="s">
        <v>29</v>
      </c>
    </row>
    <row r="1018" spans="1:19" x14ac:dyDescent="0.3">
      <c r="A1018" t="s">
        <v>1088</v>
      </c>
      <c r="B1018">
        <v>63</v>
      </c>
      <c r="C1018" t="s">
        <v>19</v>
      </c>
      <c r="D1018" t="s">
        <v>70</v>
      </c>
      <c r="E1018" s="1">
        <v>45241</v>
      </c>
      <c r="F1018" s="3">
        <v>45260</v>
      </c>
      <c r="G1018" t="s">
        <v>93</v>
      </c>
      <c r="H1018" t="s">
        <v>72</v>
      </c>
      <c r="I1018" t="s">
        <v>58</v>
      </c>
      <c r="J1018">
        <v>9953.23</v>
      </c>
      <c r="K1018">
        <v>19</v>
      </c>
      <c r="L1018" t="s">
        <v>36</v>
      </c>
      <c r="M1018" t="s">
        <v>25</v>
      </c>
      <c r="N1018" t="s">
        <v>26</v>
      </c>
      <c r="O1018" t="s">
        <v>27</v>
      </c>
      <c r="P1018" t="s">
        <v>38</v>
      </c>
      <c r="Q1018">
        <v>9</v>
      </c>
      <c r="R1018">
        <v>2336.59</v>
      </c>
      <c r="S1018" t="s">
        <v>29</v>
      </c>
    </row>
    <row r="1019" spans="1:19" x14ac:dyDescent="0.3">
      <c r="A1019" t="s">
        <v>1089</v>
      </c>
      <c r="B1019">
        <v>58</v>
      </c>
      <c r="C1019" t="s">
        <v>31</v>
      </c>
      <c r="D1019" t="s">
        <v>32</v>
      </c>
      <c r="E1019" s="1">
        <v>45279</v>
      </c>
      <c r="F1019" s="3">
        <v>45284</v>
      </c>
      <c r="G1019" t="s">
        <v>41</v>
      </c>
      <c r="H1019" t="s">
        <v>42</v>
      </c>
      <c r="I1019" t="s">
        <v>54</v>
      </c>
      <c r="J1019">
        <v>3196.17</v>
      </c>
      <c r="K1019">
        <v>5</v>
      </c>
      <c r="L1019" t="s">
        <v>24</v>
      </c>
      <c r="M1019" t="s">
        <v>25</v>
      </c>
      <c r="N1019" t="s">
        <v>55</v>
      </c>
      <c r="O1019" t="s">
        <v>37</v>
      </c>
      <c r="P1019" t="s">
        <v>28</v>
      </c>
      <c r="Q1019">
        <v>11</v>
      </c>
      <c r="R1019">
        <v>807.65</v>
      </c>
      <c r="S1019" t="s">
        <v>29</v>
      </c>
    </row>
    <row r="1020" spans="1:19" x14ac:dyDescent="0.3">
      <c r="A1020" t="s">
        <v>1090</v>
      </c>
      <c r="B1020">
        <v>57</v>
      </c>
      <c r="C1020" t="s">
        <v>19</v>
      </c>
      <c r="D1020" t="s">
        <v>32</v>
      </c>
      <c r="E1020" s="1">
        <v>45567</v>
      </c>
      <c r="F1020" s="3">
        <v>45572</v>
      </c>
      <c r="G1020" t="s">
        <v>62</v>
      </c>
      <c r="H1020" t="s">
        <v>63</v>
      </c>
      <c r="I1020" t="s">
        <v>43</v>
      </c>
      <c r="J1020">
        <v>4764.04</v>
      </c>
      <c r="K1020">
        <v>5</v>
      </c>
      <c r="L1020" t="s">
        <v>36</v>
      </c>
      <c r="M1020" t="s">
        <v>25</v>
      </c>
      <c r="N1020" t="s">
        <v>26</v>
      </c>
      <c r="O1020" t="s">
        <v>56</v>
      </c>
      <c r="P1020" t="s">
        <v>50</v>
      </c>
      <c r="Q1020">
        <v>1</v>
      </c>
      <c r="R1020">
        <v>1633.48</v>
      </c>
      <c r="S1020" t="s">
        <v>29</v>
      </c>
    </row>
    <row r="1021" spans="1:19" x14ac:dyDescent="0.3">
      <c r="A1021" t="s">
        <v>1091</v>
      </c>
      <c r="B1021">
        <v>64</v>
      </c>
      <c r="C1021" t="s">
        <v>19</v>
      </c>
      <c r="D1021" t="s">
        <v>47</v>
      </c>
      <c r="E1021" s="1">
        <v>44995</v>
      </c>
      <c r="F1021" s="3">
        <v>45010</v>
      </c>
      <c r="G1021" t="s">
        <v>62</v>
      </c>
      <c r="H1021" t="s">
        <v>63</v>
      </c>
      <c r="I1021" t="s">
        <v>54</v>
      </c>
      <c r="J1021">
        <v>5089.3599999999997</v>
      </c>
      <c r="K1021">
        <v>15</v>
      </c>
      <c r="L1021" t="s">
        <v>36</v>
      </c>
      <c r="M1021" t="s">
        <v>25</v>
      </c>
      <c r="N1021" t="s">
        <v>55</v>
      </c>
      <c r="O1021" t="s">
        <v>56</v>
      </c>
      <c r="P1021" t="s">
        <v>28</v>
      </c>
      <c r="Q1021">
        <v>14</v>
      </c>
      <c r="R1021">
        <v>1812.36</v>
      </c>
      <c r="S1021" t="s">
        <v>39</v>
      </c>
    </row>
    <row r="1022" spans="1:19" x14ac:dyDescent="0.3">
      <c r="A1022" t="s">
        <v>1092</v>
      </c>
      <c r="B1022">
        <v>54</v>
      </c>
      <c r="C1022" t="s">
        <v>19</v>
      </c>
      <c r="D1022" t="s">
        <v>47</v>
      </c>
      <c r="E1022" s="1">
        <v>45630</v>
      </c>
      <c r="F1022" s="3">
        <v>45637</v>
      </c>
      <c r="G1022" t="s">
        <v>21</v>
      </c>
      <c r="H1022" t="s">
        <v>22</v>
      </c>
      <c r="I1022" t="s">
        <v>35</v>
      </c>
      <c r="J1022">
        <v>6829.34</v>
      </c>
      <c r="K1022">
        <v>7</v>
      </c>
      <c r="L1022" t="s">
        <v>24</v>
      </c>
      <c r="M1022" t="s">
        <v>25</v>
      </c>
      <c r="N1022" t="s">
        <v>26</v>
      </c>
      <c r="O1022" t="s">
        <v>37</v>
      </c>
      <c r="P1022" t="s">
        <v>50</v>
      </c>
      <c r="Q1022">
        <v>15</v>
      </c>
      <c r="R1022">
        <v>1866.18</v>
      </c>
      <c r="S1022" t="s">
        <v>29</v>
      </c>
    </row>
    <row r="1023" spans="1:19" x14ac:dyDescent="0.3">
      <c r="A1023" t="s">
        <v>1093</v>
      </c>
      <c r="B1023">
        <v>72</v>
      </c>
      <c r="C1023" t="s">
        <v>19</v>
      </c>
      <c r="D1023" t="s">
        <v>47</v>
      </c>
      <c r="E1023" s="1">
        <v>45316</v>
      </c>
      <c r="F1023" s="3">
        <v>45324</v>
      </c>
      <c r="G1023" t="s">
        <v>74</v>
      </c>
      <c r="H1023" t="s">
        <v>75</v>
      </c>
      <c r="I1023" t="s">
        <v>23</v>
      </c>
      <c r="J1023">
        <v>5683.31</v>
      </c>
      <c r="K1023">
        <v>8</v>
      </c>
      <c r="L1023" t="s">
        <v>36</v>
      </c>
      <c r="M1023" t="s">
        <v>25</v>
      </c>
      <c r="N1023" t="s">
        <v>55</v>
      </c>
      <c r="O1023" t="s">
        <v>56</v>
      </c>
      <c r="P1023" t="s">
        <v>45</v>
      </c>
      <c r="Q1023">
        <v>6</v>
      </c>
      <c r="R1023">
        <v>2268.21</v>
      </c>
      <c r="S1023" t="s">
        <v>29</v>
      </c>
    </row>
    <row r="1024" spans="1:19" x14ac:dyDescent="0.3">
      <c r="A1024" t="s">
        <v>1094</v>
      </c>
      <c r="B1024">
        <v>58</v>
      </c>
      <c r="C1024" t="s">
        <v>19</v>
      </c>
      <c r="D1024" t="s">
        <v>89</v>
      </c>
      <c r="E1024" s="1">
        <v>45441</v>
      </c>
      <c r="F1024" s="3">
        <v>45453</v>
      </c>
      <c r="G1024" t="s">
        <v>41</v>
      </c>
      <c r="H1024" t="s">
        <v>42</v>
      </c>
      <c r="I1024" t="s">
        <v>83</v>
      </c>
      <c r="J1024">
        <v>11878.75</v>
      </c>
      <c r="K1024">
        <v>12</v>
      </c>
      <c r="L1024" t="s">
        <v>24</v>
      </c>
      <c r="M1024" t="s">
        <v>25</v>
      </c>
      <c r="N1024" t="s">
        <v>26</v>
      </c>
      <c r="O1024" t="s">
        <v>49</v>
      </c>
      <c r="P1024" t="s">
        <v>28</v>
      </c>
      <c r="Q1024">
        <v>3</v>
      </c>
      <c r="R1024">
        <v>2411.09</v>
      </c>
      <c r="S1024" t="s">
        <v>29</v>
      </c>
    </row>
    <row r="1025" spans="1:19" x14ac:dyDescent="0.3">
      <c r="A1025" t="s">
        <v>1095</v>
      </c>
      <c r="B1025">
        <v>27</v>
      </c>
      <c r="C1025" t="s">
        <v>19</v>
      </c>
      <c r="D1025" t="s">
        <v>47</v>
      </c>
      <c r="E1025" s="1">
        <v>45156</v>
      </c>
      <c r="F1025" s="3">
        <v>45169</v>
      </c>
      <c r="G1025" t="s">
        <v>33</v>
      </c>
      <c r="H1025" t="s">
        <v>34</v>
      </c>
      <c r="I1025" t="s">
        <v>83</v>
      </c>
      <c r="J1025">
        <v>5090.8</v>
      </c>
      <c r="K1025">
        <v>13</v>
      </c>
      <c r="L1025" t="s">
        <v>24</v>
      </c>
      <c r="M1025" t="s">
        <v>25</v>
      </c>
      <c r="N1025" t="s">
        <v>44</v>
      </c>
      <c r="O1025" t="s">
        <v>27</v>
      </c>
      <c r="P1025" t="s">
        <v>50</v>
      </c>
      <c r="Q1025">
        <v>9</v>
      </c>
      <c r="R1025">
        <v>939.4</v>
      </c>
      <c r="S1025" t="s">
        <v>29</v>
      </c>
    </row>
    <row r="1026" spans="1:19" x14ac:dyDescent="0.3">
      <c r="A1026" t="s">
        <v>1096</v>
      </c>
      <c r="B1026">
        <v>82</v>
      </c>
      <c r="C1026" t="s">
        <v>31</v>
      </c>
      <c r="D1026" t="s">
        <v>66</v>
      </c>
      <c r="E1026" s="1">
        <v>45132</v>
      </c>
      <c r="F1026" s="3">
        <v>45136</v>
      </c>
      <c r="G1026" t="s">
        <v>41</v>
      </c>
      <c r="H1026" t="s">
        <v>42</v>
      </c>
      <c r="I1026" t="s">
        <v>23</v>
      </c>
      <c r="J1026">
        <v>4646.37</v>
      </c>
      <c r="K1026">
        <v>4</v>
      </c>
      <c r="L1026" t="s">
        <v>36</v>
      </c>
      <c r="M1026" t="s">
        <v>25</v>
      </c>
      <c r="N1026" t="s">
        <v>26</v>
      </c>
      <c r="O1026" t="s">
        <v>27</v>
      </c>
      <c r="P1026" t="s">
        <v>38</v>
      </c>
      <c r="Q1026">
        <v>2</v>
      </c>
      <c r="R1026">
        <v>1812.49</v>
      </c>
      <c r="S1026" t="s">
        <v>29</v>
      </c>
    </row>
    <row r="1027" spans="1:19" x14ac:dyDescent="0.3">
      <c r="A1027" t="s">
        <v>1097</v>
      </c>
      <c r="B1027">
        <v>78</v>
      </c>
      <c r="C1027" t="s">
        <v>31</v>
      </c>
      <c r="D1027" t="s">
        <v>70</v>
      </c>
      <c r="E1027" s="1">
        <v>45032</v>
      </c>
      <c r="F1027" s="3">
        <v>45049</v>
      </c>
      <c r="G1027" t="s">
        <v>74</v>
      </c>
      <c r="H1027" t="s">
        <v>75</v>
      </c>
      <c r="I1027" t="s">
        <v>54</v>
      </c>
      <c r="J1027">
        <v>6769.96</v>
      </c>
      <c r="K1027">
        <v>17</v>
      </c>
      <c r="L1027" t="s">
        <v>24</v>
      </c>
      <c r="M1027" t="s">
        <v>25</v>
      </c>
      <c r="N1027" t="s">
        <v>26</v>
      </c>
      <c r="O1027" t="s">
        <v>37</v>
      </c>
      <c r="P1027" t="s">
        <v>45</v>
      </c>
      <c r="Q1027">
        <v>4</v>
      </c>
      <c r="R1027">
        <v>1603.1</v>
      </c>
      <c r="S1027" t="s">
        <v>39</v>
      </c>
    </row>
    <row r="1028" spans="1:19" x14ac:dyDescent="0.3">
      <c r="A1028" t="s">
        <v>1098</v>
      </c>
      <c r="B1028">
        <v>81</v>
      </c>
      <c r="C1028" t="s">
        <v>19</v>
      </c>
      <c r="D1028" t="s">
        <v>89</v>
      </c>
      <c r="E1028" s="1">
        <v>45154</v>
      </c>
      <c r="F1028" s="3">
        <v>45157</v>
      </c>
      <c r="G1028" t="s">
        <v>67</v>
      </c>
      <c r="H1028" t="s">
        <v>42</v>
      </c>
      <c r="I1028" t="s">
        <v>83</v>
      </c>
      <c r="J1028">
        <v>2956.61</v>
      </c>
      <c r="K1028">
        <v>3</v>
      </c>
      <c r="L1028" t="s">
        <v>36</v>
      </c>
      <c r="M1028" t="s">
        <v>25</v>
      </c>
      <c r="N1028" t="s">
        <v>55</v>
      </c>
      <c r="O1028" t="s">
        <v>27</v>
      </c>
      <c r="P1028" t="s">
        <v>28</v>
      </c>
      <c r="Q1028">
        <v>14</v>
      </c>
      <c r="R1028">
        <v>932.64</v>
      </c>
      <c r="S1028" t="s">
        <v>39</v>
      </c>
    </row>
    <row r="1029" spans="1:19" x14ac:dyDescent="0.3">
      <c r="A1029" t="s">
        <v>1099</v>
      </c>
      <c r="B1029">
        <v>89</v>
      </c>
      <c r="C1029" t="s">
        <v>31</v>
      </c>
      <c r="D1029" t="s">
        <v>66</v>
      </c>
      <c r="E1029" s="1">
        <v>45329</v>
      </c>
      <c r="F1029" s="3">
        <v>45341</v>
      </c>
      <c r="G1029" t="s">
        <v>93</v>
      </c>
      <c r="H1029" t="s">
        <v>72</v>
      </c>
      <c r="I1029" t="s">
        <v>81</v>
      </c>
      <c r="J1029">
        <v>7176.02</v>
      </c>
      <c r="K1029">
        <v>12</v>
      </c>
      <c r="L1029" t="s">
        <v>24</v>
      </c>
      <c r="M1029" t="s">
        <v>25</v>
      </c>
      <c r="N1029" t="s">
        <v>55</v>
      </c>
      <c r="O1029" t="s">
        <v>56</v>
      </c>
      <c r="P1029" t="s">
        <v>28</v>
      </c>
      <c r="Q1029">
        <v>4</v>
      </c>
      <c r="R1029">
        <v>1331.37</v>
      </c>
      <c r="S1029" t="s">
        <v>29</v>
      </c>
    </row>
    <row r="1030" spans="1:19" x14ac:dyDescent="0.3">
      <c r="A1030" t="s">
        <v>1100</v>
      </c>
      <c r="B1030">
        <v>60</v>
      </c>
      <c r="C1030" t="s">
        <v>19</v>
      </c>
      <c r="D1030" t="s">
        <v>79</v>
      </c>
      <c r="E1030" s="1">
        <v>45332</v>
      </c>
      <c r="F1030" s="3">
        <v>45347</v>
      </c>
      <c r="G1030" t="s">
        <v>48</v>
      </c>
      <c r="H1030" t="s">
        <v>22</v>
      </c>
      <c r="I1030" t="s">
        <v>91</v>
      </c>
      <c r="J1030">
        <v>12175.21</v>
      </c>
      <c r="K1030">
        <v>15</v>
      </c>
      <c r="L1030" t="s">
        <v>24</v>
      </c>
      <c r="M1030" t="s">
        <v>25</v>
      </c>
      <c r="N1030" t="s">
        <v>44</v>
      </c>
      <c r="O1030" t="s">
        <v>37</v>
      </c>
      <c r="P1030" t="s">
        <v>50</v>
      </c>
      <c r="Q1030">
        <v>7</v>
      </c>
      <c r="R1030">
        <v>4541.3100000000004</v>
      </c>
      <c r="S1030" t="s">
        <v>39</v>
      </c>
    </row>
    <row r="1031" spans="1:19" x14ac:dyDescent="0.3">
      <c r="A1031" t="s">
        <v>1101</v>
      </c>
      <c r="B1031">
        <v>41</v>
      </c>
      <c r="C1031" t="s">
        <v>19</v>
      </c>
      <c r="D1031" t="s">
        <v>70</v>
      </c>
      <c r="E1031" s="1">
        <v>45202</v>
      </c>
      <c r="F1031" s="3">
        <v>45206</v>
      </c>
      <c r="G1031" t="s">
        <v>21</v>
      </c>
      <c r="H1031" t="s">
        <v>22</v>
      </c>
      <c r="I1031" t="s">
        <v>83</v>
      </c>
      <c r="J1031">
        <v>3190.1</v>
      </c>
      <c r="K1031">
        <v>4</v>
      </c>
      <c r="L1031" t="s">
        <v>36</v>
      </c>
      <c r="M1031" t="s">
        <v>25</v>
      </c>
      <c r="N1031" t="s">
        <v>26</v>
      </c>
      <c r="O1031" t="s">
        <v>56</v>
      </c>
      <c r="P1031" t="s">
        <v>50</v>
      </c>
      <c r="Q1031">
        <v>13</v>
      </c>
      <c r="R1031">
        <v>1181.47</v>
      </c>
      <c r="S1031" t="s">
        <v>29</v>
      </c>
    </row>
    <row r="1032" spans="1:19" x14ac:dyDescent="0.3">
      <c r="A1032" t="s">
        <v>1102</v>
      </c>
      <c r="B1032">
        <v>77</v>
      </c>
      <c r="C1032" t="s">
        <v>31</v>
      </c>
      <c r="D1032" t="s">
        <v>47</v>
      </c>
      <c r="E1032" s="1">
        <v>44951</v>
      </c>
      <c r="F1032" s="3">
        <v>44968</v>
      </c>
      <c r="G1032" t="s">
        <v>52</v>
      </c>
      <c r="H1032" t="s">
        <v>53</v>
      </c>
      <c r="I1032" t="s">
        <v>43</v>
      </c>
      <c r="J1032">
        <v>6502.07</v>
      </c>
      <c r="K1032">
        <v>17</v>
      </c>
      <c r="L1032" t="s">
        <v>36</v>
      </c>
      <c r="M1032" t="s">
        <v>25</v>
      </c>
      <c r="N1032" t="s">
        <v>44</v>
      </c>
      <c r="O1032" t="s">
        <v>37</v>
      </c>
      <c r="P1032" t="s">
        <v>45</v>
      </c>
      <c r="Q1032">
        <v>5</v>
      </c>
      <c r="R1032">
        <v>1917.34</v>
      </c>
      <c r="S1032" t="s">
        <v>29</v>
      </c>
    </row>
    <row r="1033" spans="1:19" x14ac:dyDescent="0.3">
      <c r="A1033" t="s">
        <v>1103</v>
      </c>
      <c r="B1033">
        <v>84</v>
      </c>
      <c r="C1033" t="s">
        <v>31</v>
      </c>
      <c r="D1033" t="s">
        <v>20</v>
      </c>
      <c r="E1033" s="1">
        <v>44992</v>
      </c>
      <c r="F1033" s="3">
        <v>44996</v>
      </c>
      <c r="G1033" t="s">
        <v>93</v>
      </c>
      <c r="H1033" t="s">
        <v>72</v>
      </c>
      <c r="I1033" t="s">
        <v>58</v>
      </c>
      <c r="J1033">
        <v>3138.77</v>
      </c>
      <c r="K1033">
        <v>4</v>
      </c>
      <c r="L1033" t="s">
        <v>36</v>
      </c>
      <c r="M1033" t="s">
        <v>25</v>
      </c>
      <c r="N1033" t="s">
        <v>26</v>
      </c>
      <c r="O1033" t="s">
        <v>27</v>
      </c>
      <c r="P1033" t="s">
        <v>28</v>
      </c>
      <c r="Q1033">
        <v>5</v>
      </c>
      <c r="R1033">
        <v>946.98</v>
      </c>
      <c r="S1033" t="s">
        <v>29</v>
      </c>
    </row>
    <row r="1034" spans="1:19" x14ac:dyDescent="0.3">
      <c r="A1034" t="s">
        <v>1104</v>
      </c>
      <c r="B1034">
        <v>43</v>
      </c>
      <c r="C1034" t="s">
        <v>31</v>
      </c>
      <c r="D1034" t="s">
        <v>61</v>
      </c>
      <c r="E1034" s="1">
        <v>45251</v>
      </c>
      <c r="F1034" s="3">
        <v>45254</v>
      </c>
      <c r="G1034" t="s">
        <v>71</v>
      </c>
      <c r="H1034" t="s">
        <v>72</v>
      </c>
      <c r="I1034" t="s">
        <v>91</v>
      </c>
      <c r="J1034">
        <v>2472.34</v>
      </c>
      <c r="K1034">
        <v>3</v>
      </c>
      <c r="L1034" t="s">
        <v>24</v>
      </c>
      <c r="M1034" t="s">
        <v>25</v>
      </c>
      <c r="N1034" t="s">
        <v>55</v>
      </c>
      <c r="O1034" t="s">
        <v>56</v>
      </c>
      <c r="P1034" t="s">
        <v>50</v>
      </c>
      <c r="Q1034">
        <v>7</v>
      </c>
      <c r="R1034">
        <v>847.54</v>
      </c>
      <c r="S1034" t="s">
        <v>39</v>
      </c>
    </row>
    <row r="1035" spans="1:19" x14ac:dyDescent="0.3">
      <c r="A1035" t="s">
        <v>1105</v>
      </c>
      <c r="B1035">
        <v>70</v>
      </c>
      <c r="C1035" t="s">
        <v>31</v>
      </c>
      <c r="D1035" t="s">
        <v>66</v>
      </c>
      <c r="E1035" s="1">
        <v>45459</v>
      </c>
      <c r="F1035" s="3">
        <v>45474</v>
      </c>
      <c r="G1035" t="s">
        <v>21</v>
      </c>
      <c r="H1035" t="s">
        <v>22</v>
      </c>
      <c r="I1035" t="s">
        <v>81</v>
      </c>
      <c r="J1035">
        <v>5124.08</v>
      </c>
      <c r="K1035">
        <v>15</v>
      </c>
      <c r="L1035" t="s">
        <v>36</v>
      </c>
      <c r="M1035" t="s">
        <v>59</v>
      </c>
      <c r="N1035" t="s">
        <v>44</v>
      </c>
      <c r="O1035" t="s">
        <v>27</v>
      </c>
      <c r="P1035" t="s">
        <v>28</v>
      </c>
      <c r="Q1035">
        <v>13</v>
      </c>
      <c r="R1035">
        <v>1565.95</v>
      </c>
      <c r="S1035" t="s">
        <v>29</v>
      </c>
    </row>
    <row r="1036" spans="1:19" x14ac:dyDescent="0.3">
      <c r="A1036" t="s">
        <v>1106</v>
      </c>
      <c r="B1036">
        <v>49</v>
      </c>
      <c r="C1036" t="s">
        <v>19</v>
      </c>
      <c r="D1036" t="s">
        <v>70</v>
      </c>
      <c r="E1036" s="1">
        <v>45879</v>
      </c>
      <c r="F1036" s="3">
        <v>45896</v>
      </c>
      <c r="G1036" t="s">
        <v>67</v>
      </c>
      <c r="H1036" t="s">
        <v>42</v>
      </c>
      <c r="I1036" t="s">
        <v>23</v>
      </c>
      <c r="J1036">
        <v>7685.84</v>
      </c>
      <c r="K1036">
        <v>17</v>
      </c>
      <c r="L1036" t="s">
        <v>36</v>
      </c>
      <c r="M1036" t="s">
        <v>25</v>
      </c>
      <c r="N1036" t="s">
        <v>44</v>
      </c>
      <c r="O1036" t="s">
        <v>37</v>
      </c>
      <c r="P1036" t="s">
        <v>28</v>
      </c>
      <c r="Q1036">
        <v>3</v>
      </c>
      <c r="R1036">
        <v>2590.46</v>
      </c>
      <c r="S1036" t="s">
        <v>29</v>
      </c>
    </row>
    <row r="1037" spans="1:19" x14ac:dyDescent="0.3">
      <c r="A1037" t="s">
        <v>1107</v>
      </c>
      <c r="B1037">
        <v>58</v>
      </c>
      <c r="C1037" t="s">
        <v>19</v>
      </c>
      <c r="D1037" t="s">
        <v>47</v>
      </c>
      <c r="E1037" s="1">
        <v>45678</v>
      </c>
      <c r="F1037" s="3">
        <v>45682</v>
      </c>
      <c r="G1037" t="s">
        <v>33</v>
      </c>
      <c r="H1037" t="s">
        <v>34</v>
      </c>
      <c r="I1037" t="s">
        <v>54</v>
      </c>
      <c r="J1037">
        <v>3961.25</v>
      </c>
      <c r="K1037">
        <v>4</v>
      </c>
      <c r="L1037" t="s">
        <v>36</v>
      </c>
      <c r="M1037" t="s">
        <v>25</v>
      </c>
      <c r="N1037" t="s">
        <v>55</v>
      </c>
      <c r="O1037" t="s">
        <v>37</v>
      </c>
      <c r="P1037" t="s">
        <v>45</v>
      </c>
      <c r="Q1037">
        <v>14</v>
      </c>
      <c r="R1037">
        <v>821.33</v>
      </c>
      <c r="S1037" t="s">
        <v>29</v>
      </c>
    </row>
    <row r="1038" spans="1:19" x14ac:dyDescent="0.3">
      <c r="A1038" t="s">
        <v>1108</v>
      </c>
      <c r="B1038">
        <v>24</v>
      </c>
      <c r="C1038" t="s">
        <v>31</v>
      </c>
      <c r="D1038" t="s">
        <v>66</v>
      </c>
      <c r="E1038" s="1">
        <v>45094</v>
      </c>
      <c r="F1038" s="3">
        <v>45111</v>
      </c>
      <c r="G1038" t="s">
        <v>62</v>
      </c>
      <c r="H1038" t="s">
        <v>63</v>
      </c>
      <c r="I1038" t="s">
        <v>23</v>
      </c>
      <c r="J1038">
        <v>11414.25</v>
      </c>
      <c r="K1038">
        <v>17</v>
      </c>
      <c r="L1038" t="s">
        <v>24</v>
      </c>
      <c r="M1038" t="s">
        <v>101</v>
      </c>
      <c r="N1038" t="s">
        <v>55</v>
      </c>
      <c r="O1038" t="s">
        <v>27</v>
      </c>
      <c r="P1038" t="s">
        <v>50</v>
      </c>
      <c r="Q1038">
        <v>4</v>
      </c>
      <c r="R1038">
        <v>3980.45</v>
      </c>
      <c r="S1038" t="s">
        <v>29</v>
      </c>
    </row>
    <row r="1039" spans="1:19" x14ac:dyDescent="0.3">
      <c r="A1039" t="s">
        <v>1109</v>
      </c>
      <c r="B1039">
        <v>84</v>
      </c>
      <c r="C1039" t="s">
        <v>19</v>
      </c>
      <c r="D1039" t="s">
        <v>20</v>
      </c>
      <c r="E1039" s="1">
        <v>45659</v>
      </c>
      <c r="F1039" s="3">
        <v>45665</v>
      </c>
      <c r="G1039" t="s">
        <v>41</v>
      </c>
      <c r="H1039" t="s">
        <v>42</v>
      </c>
      <c r="I1039" t="s">
        <v>58</v>
      </c>
      <c r="J1039">
        <v>9185.14</v>
      </c>
      <c r="K1039">
        <v>6</v>
      </c>
      <c r="L1039" t="s">
        <v>24</v>
      </c>
      <c r="M1039" t="s">
        <v>59</v>
      </c>
      <c r="N1039" t="s">
        <v>26</v>
      </c>
      <c r="O1039" t="s">
        <v>49</v>
      </c>
      <c r="P1039" t="s">
        <v>45</v>
      </c>
      <c r="Q1039">
        <v>7</v>
      </c>
      <c r="R1039">
        <v>3502.95</v>
      </c>
      <c r="S1039" t="s">
        <v>29</v>
      </c>
    </row>
    <row r="1040" spans="1:19" x14ac:dyDescent="0.3">
      <c r="A1040" t="s">
        <v>1110</v>
      </c>
      <c r="B1040">
        <v>68</v>
      </c>
      <c r="C1040" t="s">
        <v>19</v>
      </c>
      <c r="D1040" t="s">
        <v>66</v>
      </c>
      <c r="E1040" s="1">
        <v>45250</v>
      </c>
      <c r="F1040" s="3">
        <v>45268</v>
      </c>
      <c r="G1040" t="s">
        <v>62</v>
      </c>
      <c r="H1040" t="s">
        <v>63</v>
      </c>
      <c r="I1040" t="s">
        <v>43</v>
      </c>
      <c r="J1040">
        <v>13846.83</v>
      </c>
      <c r="K1040">
        <v>18</v>
      </c>
      <c r="L1040" t="s">
        <v>24</v>
      </c>
      <c r="M1040" t="s">
        <v>25</v>
      </c>
      <c r="N1040" t="s">
        <v>55</v>
      </c>
      <c r="O1040" t="s">
        <v>27</v>
      </c>
      <c r="P1040" t="s">
        <v>50</v>
      </c>
      <c r="Q1040">
        <v>7</v>
      </c>
      <c r="R1040">
        <v>2225.9</v>
      </c>
      <c r="S1040" t="s">
        <v>29</v>
      </c>
    </row>
    <row r="1041" spans="1:19" x14ac:dyDescent="0.3">
      <c r="A1041" t="s">
        <v>1111</v>
      </c>
      <c r="B1041">
        <v>83</v>
      </c>
      <c r="C1041" t="s">
        <v>31</v>
      </c>
      <c r="D1041" t="s">
        <v>32</v>
      </c>
      <c r="E1041" s="1">
        <v>45001</v>
      </c>
      <c r="F1041" s="3">
        <v>45018</v>
      </c>
      <c r="G1041" t="s">
        <v>21</v>
      </c>
      <c r="H1041" t="s">
        <v>22</v>
      </c>
      <c r="I1041" t="s">
        <v>81</v>
      </c>
      <c r="J1041">
        <v>6730.34</v>
      </c>
      <c r="K1041">
        <v>17</v>
      </c>
      <c r="L1041" t="s">
        <v>36</v>
      </c>
      <c r="M1041" t="s">
        <v>25</v>
      </c>
      <c r="N1041" t="s">
        <v>44</v>
      </c>
      <c r="O1041" t="s">
        <v>56</v>
      </c>
      <c r="P1041" t="s">
        <v>28</v>
      </c>
      <c r="Q1041">
        <v>8</v>
      </c>
      <c r="R1041">
        <v>1677.98</v>
      </c>
      <c r="S1041" t="s">
        <v>29</v>
      </c>
    </row>
    <row r="1042" spans="1:19" x14ac:dyDescent="0.3">
      <c r="A1042" t="s">
        <v>1112</v>
      </c>
      <c r="B1042">
        <v>53</v>
      </c>
      <c r="C1042" t="s">
        <v>19</v>
      </c>
      <c r="D1042" t="s">
        <v>79</v>
      </c>
      <c r="E1042" s="1">
        <v>45178</v>
      </c>
      <c r="F1042" s="3">
        <v>45191</v>
      </c>
      <c r="G1042" t="s">
        <v>71</v>
      </c>
      <c r="H1042" t="s">
        <v>72</v>
      </c>
      <c r="I1042" t="s">
        <v>23</v>
      </c>
      <c r="J1042">
        <v>6651.25</v>
      </c>
      <c r="K1042">
        <v>13</v>
      </c>
      <c r="L1042" t="s">
        <v>36</v>
      </c>
      <c r="M1042" t="s">
        <v>25</v>
      </c>
      <c r="N1042" t="s">
        <v>55</v>
      </c>
      <c r="O1042" t="s">
        <v>56</v>
      </c>
      <c r="P1042" t="s">
        <v>28</v>
      </c>
      <c r="Q1042">
        <v>13</v>
      </c>
      <c r="R1042">
        <v>2629.3</v>
      </c>
      <c r="S1042" t="s">
        <v>39</v>
      </c>
    </row>
    <row r="1043" spans="1:19" x14ac:dyDescent="0.3">
      <c r="A1043" t="s">
        <v>1113</v>
      </c>
      <c r="B1043">
        <v>73</v>
      </c>
      <c r="C1043" t="s">
        <v>19</v>
      </c>
      <c r="D1043" t="s">
        <v>66</v>
      </c>
      <c r="E1043" s="1">
        <v>45175</v>
      </c>
      <c r="F1043" s="3">
        <v>45176</v>
      </c>
      <c r="G1043" t="s">
        <v>93</v>
      </c>
      <c r="H1043" t="s">
        <v>72</v>
      </c>
      <c r="I1043" t="s">
        <v>23</v>
      </c>
      <c r="J1043">
        <v>1643.86</v>
      </c>
      <c r="K1043">
        <v>1</v>
      </c>
      <c r="L1043" t="s">
        <v>36</v>
      </c>
      <c r="M1043" t="s">
        <v>25</v>
      </c>
      <c r="N1043" t="s">
        <v>44</v>
      </c>
      <c r="O1043" t="s">
        <v>56</v>
      </c>
      <c r="P1043" t="s">
        <v>45</v>
      </c>
      <c r="Q1043">
        <v>6</v>
      </c>
      <c r="R1043">
        <v>350.3</v>
      </c>
      <c r="S1043" t="s">
        <v>29</v>
      </c>
    </row>
    <row r="1044" spans="1:19" x14ac:dyDescent="0.3">
      <c r="A1044" t="s">
        <v>1114</v>
      </c>
      <c r="B1044">
        <v>85</v>
      </c>
      <c r="C1044" t="s">
        <v>31</v>
      </c>
      <c r="D1044" t="s">
        <v>20</v>
      </c>
      <c r="E1044" s="1">
        <v>45927</v>
      </c>
      <c r="F1044" s="3">
        <v>45942</v>
      </c>
      <c r="G1044" t="s">
        <v>71</v>
      </c>
      <c r="H1044" t="s">
        <v>72</v>
      </c>
      <c r="I1044" t="s">
        <v>43</v>
      </c>
      <c r="J1044">
        <v>7057.76</v>
      </c>
      <c r="K1044">
        <v>15</v>
      </c>
      <c r="L1044" t="s">
        <v>36</v>
      </c>
      <c r="M1044" t="s">
        <v>59</v>
      </c>
      <c r="N1044" t="s">
        <v>26</v>
      </c>
      <c r="O1044" t="s">
        <v>27</v>
      </c>
      <c r="P1044" t="s">
        <v>38</v>
      </c>
      <c r="Q1044">
        <v>7</v>
      </c>
      <c r="R1044">
        <v>1322.18</v>
      </c>
      <c r="S1044" t="s">
        <v>29</v>
      </c>
    </row>
    <row r="1045" spans="1:19" x14ac:dyDescent="0.3">
      <c r="A1045" t="s">
        <v>1115</v>
      </c>
      <c r="B1045">
        <v>34</v>
      </c>
      <c r="C1045" t="s">
        <v>31</v>
      </c>
      <c r="D1045" t="s">
        <v>70</v>
      </c>
      <c r="E1045" s="1">
        <v>45308</v>
      </c>
      <c r="F1045" s="3">
        <v>45322</v>
      </c>
      <c r="G1045" t="s">
        <v>48</v>
      </c>
      <c r="H1045" t="s">
        <v>22</v>
      </c>
      <c r="I1045" t="s">
        <v>23</v>
      </c>
      <c r="J1045">
        <v>8873.2199999999993</v>
      </c>
      <c r="K1045">
        <v>14</v>
      </c>
      <c r="L1045" t="s">
        <v>24</v>
      </c>
      <c r="M1045" t="s">
        <v>25</v>
      </c>
      <c r="N1045" t="s">
        <v>55</v>
      </c>
      <c r="O1045" t="s">
        <v>56</v>
      </c>
      <c r="P1045" t="s">
        <v>38</v>
      </c>
      <c r="Q1045">
        <v>15</v>
      </c>
      <c r="R1045">
        <v>2869.37</v>
      </c>
      <c r="S1045" t="s">
        <v>39</v>
      </c>
    </row>
    <row r="1046" spans="1:19" x14ac:dyDescent="0.3">
      <c r="A1046" t="s">
        <v>1116</v>
      </c>
      <c r="B1046">
        <v>90</v>
      </c>
      <c r="C1046" t="s">
        <v>31</v>
      </c>
      <c r="D1046" t="s">
        <v>61</v>
      </c>
      <c r="E1046" s="1">
        <v>45196</v>
      </c>
      <c r="F1046" s="3">
        <v>45205</v>
      </c>
      <c r="G1046" t="s">
        <v>33</v>
      </c>
      <c r="H1046" t="s">
        <v>34</v>
      </c>
      <c r="I1046" t="s">
        <v>54</v>
      </c>
      <c r="J1046">
        <v>5197.55</v>
      </c>
      <c r="K1046">
        <v>9</v>
      </c>
      <c r="L1046" t="s">
        <v>36</v>
      </c>
      <c r="M1046" t="s">
        <v>25</v>
      </c>
      <c r="N1046" t="s">
        <v>44</v>
      </c>
      <c r="O1046" t="s">
        <v>56</v>
      </c>
      <c r="P1046" t="s">
        <v>45</v>
      </c>
      <c r="Q1046">
        <v>8</v>
      </c>
      <c r="R1046">
        <v>861.77</v>
      </c>
      <c r="S1046" t="s">
        <v>29</v>
      </c>
    </row>
    <row r="1047" spans="1:19" x14ac:dyDescent="0.3">
      <c r="A1047" t="s">
        <v>1117</v>
      </c>
      <c r="B1047">
        <v>18</v>
      </c>
      <c r="C1047" t="s">
        <v>19</v>
      </c>
      <c r="D1047" t="s">
        <v>89</v>
      </c>
      <c r="E1047" s="1">
        <v>45463</v>
      </c>
      <c r="F1047" s="3">
        <v>45493</v>
      </c>
      <c r="G1047" t="s">
        <v>74</v>
      </c>
      <c r="H1047" t="s">
        <v>75</v>
      </c>
      <c r="I1047" t="s">
        <v>35</v>
      </c>
      <c r="J1047">
        <v>20294.560000000001</v>
      </c>
      <c r="K1047">
        <v>30</v>
      </c>
      <c r="L1047" t="s">
        <v>24</v>
      </c>
      <c r="M1047" t="s">
        <v>25</v>
      </c>
      <c r="N1047" t="s">
        <v>26</v>
      </c>
      <c r="O1047" t="s">
        <v>49</v>
      </c>
      <c r="P1047" t="s">
        <v>28</v>
      </c>
      <c r="Q1047">
        <v>12</v>
      </c>
      <c r="R1047">
        <v>7575.42</v>
      </c>
      <c r="S1047" t="s">
        <v>39</v>
      </c>
    </row>
    <row r="1048" spans="1:19" x14ac:dyDescent="0.3">
      <c r="A1048" t="s">
        <v>1118</v>
      </c>
      <c r="B1048">
        <v>21</v>
      </c>
      <c r="C1048" t="s">
        <v>31</v>
      </c>
      <c r="D1048" t="s">
        <v>20</v>
      </c>
      <c r="E1048" s="1">
        <v>45757</v>
      </c>
      <c r="F1048" s="3">
        <v>45766</v>
      </c>
      <c r="G1048" t="s">
        <v>71</v>
      </c>
      <c r="H1048" t="s">
        <v>72</v>
      </c>
      <c r="I1048" t="s">
        <v>91</v>
      </c>
      <c r="J1048">
        <v>6527.14</v>
      </c>
      <c r="K1048">
        <v>9</v>
      </c>
      <c r="L1048" t="s">
        <v>24</v>
      </c>
      <c r="M1048" t="s">
        <v>101</v>
      </c>
      <c r="N1048" t="s">
        <v>55</v>
      </c>
      <c r="O1048" t="s">
        <v>37</v>
      </c>
      <c r="P1048" t="s">
        <v>45</v>
      </c>
      <c r="Q1048">
        <v>11</v>
      </c>
      <c r="R1048">
        <v>2142.58</v>
      </c>
      <c r="S1048" t="s">
        <v>39</v>
      </c>
    </row>
    <row r="1049" spans="1:19" x14ac:dyDescent="0.3">
      <c r="A1049" t="s">
        <v>1119</v>
      </c>
      <c r="B1049">
        <v>25</v>
      </c>
      <c r="C1049" t="s">
        <v>31</v>
      </c>
      <c r="D1049" t="s">
        <v>32</v>
      </c>
      <c r="E1049" s="1">
        <v>45126</v>
      </c>
      <c r="F1049" s="3">
        <v>45132</v>
      </c>
      <c r="G1049" t="s">
        <v>71</v>
      </c>
      <c r="H1049" t="s">
        <v>72</v>
      </c>
      <c r="I1049" t="s">
        <v>58</v>
      </c>
      <c r="J1049">
        <v>5898.35</v>
      </c>
      <c r="K1049">
        <v>6</v>
      </c>
      <c r="L1049" t="s">
        <v>36</v>
      </c>
      <c r="M1049" t="s">
        <v>76</v>
      </c>
      <c r="N1049" t="s">
        <v>44</v>
      </c>
      <c r="O1049" t="s">
        <v>37</v>
      </c>
      <c r="P1049" t="s">
        <v>50</v>
      </c>
      <c r="Q1049">
        <v>4</v>
      </c>
      <c r="R1049">
        <v>936.58</v>
      </c>
      <c r="S1049" t="s">
        <v>39</v>
      </c>
    </row>
    <row r="1050" spans="1:19" x14ac:dyDescent="0.3">
      <c r="A1050" t="s">
        <v>1120</v>
      </c>
      <c r="B1050">
        <v>21</v>
      </c>
      <c r="C1050" t="s">
        <v>31</v>
      </c>
      <c r="D1050" t="s">
        <v>66</v>
      </c>
      <c r="E1050" s="1">
        <v>45296</v>
      </c>
      <c r="F1050" s="3">
        <v>45307</v>
      </c>
      <c r="G1050" t="s">
        <v>93</v>
      </c>
      <c r="H1050" t="s">
        <v>72</v>
      </c>
      <c r="I1050" t="s">
        <v>43</v>
      </c>
      <c r="J1050">
        <v>5107.3599999999997</v>
      </c>
      <c r="K1050">
        <v>11</v>
      </c>
      <c r="L1050" t="s">
        <v>36</v>
      </c>
      <c r="M1050" t="s">
        <v>25</v>
      </c>
      <c r="N1050" t="s">
        <v>44</v>
      </c>
      <c r="O1050" t="s">
        <v>56</v>
      </c>
      <c r="P1050" t="s">
        <v>38</v>
      </c>
      <c r="Q1050">
        <v>5</v>
      </c>
      <c r="R1050">
        <v>789.21</v>
      </c>
      <c r="S1050" t="s">
        <v>29</v>
      </c>
    </row>
    <row r="1051" spans="1:19" x14ac:dyDescent="0.3">
      <c r="A1051" t="s">
        <v>1121</v>
      </c>
      <c r="B1051">
        <v>71</v>
      </c>
      <c r="C1051" t="s">
        <v>31</v>
      </c>
      <c r="D1051" t="s">
        <v>20</v>
      </c>
      <c r="E1051" s="1">
        <v>45907</v>
      </c>
      <c r="F1051" s="3">
        <v>45935</v>
      </c>
      <c r="G1051" t="s">
        <v>33</v>
      </c>
      <c r="H1051" t="s">
        <v>34</v>
      </c>
      <c r="I1051" t="s">
        <v>43</v>
      </c>
      <c r="J1051">
        <v>24461.95</v>
      </c>
      <c r="K1051">
        <v>28</v>
      </c>
      <c r="L1051" t="s">
        <v>36</v>
      </c>
      <c r="M1051" t="s">
        <v>25</v>
      </c>
      <c r="N1051" t="s">
        <v>26</v>
      </c>
      <c r="O1051" t="s">
        <v>49</v>
      </c>
      <c r="P1051" t="s">
        <v>28</v>
      </c>
      <c r="Q1051">
        <v>15</v>
      </c>
      <c r="R1051">
        <v>7893.73</v>
      </c>
      <c r="S1051" t="s">
        <v>29</v>
      </c>
    </row>
    <row r="1052" spans="1:19" x14ac:dyDescent="0.3">
      <c r="A1052" t="s">
        <v>1122</v>
      </c>
      <c r="B1052">
        <v>69</v>
      </c>
      <c r="C1052" t="s">
        <v>31</v>
      </c>
      <c r="D1052" t="s">
        <v>70</v>
      </c>
      <c r="E1052" s="1">
        <v>45519</v>
      </c>
      <c r="F1052" s="3">
        <v>45527</v>
      </c>
      <c r="G1052" t="s">
        <v>62</v>
      </c>
      <c r="H1052" t="s">
        <v>63</v>
      </c>
      <c r="I1052" t="s">
        <v>81</v>
      </c>
      <c r="J1052">
        <v>6104.82</v>
      </c>
      <c r="K1052">
        <v>8</v>
      </c>
      <c r="L1052" t="s">
        <v>36</v>
      </c>
      <c r="M1052" t="s">
        <v>59</v>
      </c>
      <c r="N1052" t="s">
        <v>55</v>
      </c>
      <c r="O1052" t="s">
        <v>56</v>
      </c>
      <c r="P1052" t="s">
        <v>28</v>
      </c>
      <c r="Q1052">
        <v>13</v>
      </c>
      <c r="R1052">
        <v>1081.8</v>
      </c>
      <c r="S1052" t="s">
        <v>29</v>
      </c>
    </row>
    <row r="1053" spans="1:19" x14ac:dyDescent="0.3">
      <c r="A1053" t="s">
        <v>1123</v>
      </c>
      <c r="B1053">
        <v>87</v>
      </c>
      <c r="C1053" t="s">
        <v>31</v>
      </c>
      <c r="D1053" t="s">
        <v>20</v>
      </c>
      <c r="E1053" s="1">
        <v>45020</v>
      </c>
      <c r="F1053" s="3">
        <v>45034</v>
      </c>
      <c r="G1053" t="s">
        <v>52</v>
      </c>
      <c r="H1053" t="s">
        <v>53</v>
      </c>
      <c r="I1053" t="s">
        <v>91</v>
      </c>
      <c r="J1053">
        <v>6623.41</v>
      </c>
      <c r="K1053">
        <v>14</v>
      </c>
      <c r="L1053" t="s">
        <v>24</v>
      </c>
      <c r="M1053" t="s">
        <v>25</v>
      </c>
      <c r="N1053" t="s">
        <v>26</v>
      </c>
      <c r="O1053" t="s">
        <v>56</v>
      </c>
      <c r="P1053" t="s">
        <v>50</v>
      </c>
      <c r="Q1053">
        <v>8</v>
      </c>
      <c r="R1053">
        <v>1361.94</v>
      </c>
      <c r="S1053" t="s">
        <v>29</v>
      </c>
    </row>
    <row r="1054" spans="1:19" x14ac:dyDescent="0.3">
      <c r="A1054" t="s">
        <v>1124</v>
      </c>
      <c r="B1054">
        <v>23</v>
      </c>
      <c r="C1054" t="s">
        <v>19</v>
      </c>
      <c r="D1054" t="s">
        <v>70</v>
      </c>
      <c r="E1054" s="1">
        <v>44941</v>
      </c>
      <c r="F1054" s="3">
        <v>44955</v>
      </c>
      <c r="G1054" t="s">
        <v>74</v>
      </c>
      <c r="H1054" t="s">
        <v>75</v>
      </c>
      <c r="I1054" t="s">
        <v>35</v>
      </c>
      <c r="J1054">
        <v>7368.17</v>
      </c>
      <c r="K1054">
        <v>14</v>
      </c>
      <c r="L1054" t="s">
        <v>24</v>
      </c>
      <c r="M1054" t="s">
        <v>76</v>
      </c>
      <c r="N1054" t="s">
        <v>44</v>
      </c>
      <c r="O1054" t="s">
        <v>37</v>
      </c>
      <c r="P1054" t="s">
        <v>28</v>
      </c>
      <c r="Q1054">
        <v>4</v>
      </c>
      <c r="R1054">
        <v>2725.02</v>
      </c>
      <c r="S1054" t="s">
        <v>29</v>
      </c>
    </row>
    <row r="1055" spans="1:19" x14ac:dyDescent="0.3">
      <c r="A1055" t="s">
        <v>1125</v>
      </c>
      <c r="B1055">
        <v>66</v>
      </c>
      <c r="C1055" t="s">
        <v>19</v>
      </c>
      <c r="D1055" t="s">
        <v>70</v>
      </c>
      <c r="E1055" s="1">
        <v>45580</v>
      </c>
      <c r="F1055" s="3">
        <v>45600</v>
      </c>
      <c r="G1055" t="s">
        <v>33</v>
      </c>
      <c r="H1055" t="s">
        <v>34</v>
      </c>
      <c r="I1055" t="s">
        <v>35</v>
      </c>
      <c r="J1055">
        <v>11760.85</v>
      </c>
      <c r="K1055">
        <v>20</v>
      </c>
      <c r="L1055" t="s">
        <v>24</v>
      </c>
      <c r="M1055" t="s">
        <v>25</v>
      </c>
      <c r="N1055" t="s">
        <v>44</v>
      </c>
      <c r="O1055" t="s">
        <v>37</v>
      </c>
      <c r="P1055" t="s">
        <v>28</v>
      </c>
      <c r="Q1055">
        <v>10</v>
      </c>
      <c r="R1055">
        <v>4185</v>
      </c>
      <c r="S1055" t="s">
        <v>29</v>
      </c>
    </row>
    <row r="1056" spans="1:19" x14ac:dyDescent="0.3">
      <c r="A1056" t="s">
        <v>1126</v>
      </c>
      <c r="B1056">
        <v>90</v>
      </c>
      <c r="C1056" t="s">
        <v>31</v>
      </c>
      <c r="D1056" t="s">
        <v>47</v>
      </c>
      <c r="E1056" s="1">
        <v>45695</v>
      </c>
      <c r="F1056" s="3">
        <v>45702</v>
      </c>
      <c r="G1056" t="s">
        <v>93</v>
      </c>
      <c r="H1056" t="s">
        <v>72</v>
      </c>
      <c r="I1056" t="s">
        <v>54</v>
      </c>
      <c r="J1056">
        <v>4491.32</v>
      </c>
      <c r="K1056">
        <v>7</v>
      </c>
      <c r="L1056" t="s">
        <v>24</v>
      </c>
      <c r="M1056" t="s">
        <v>59</v>
      </c>
      <c r="N1056" t="s">
        <v>44</v>
      </c>
      <c r="O1056" t="s">
        <v>56</v>
      </c>
      <c r="P1056" t="s">
        <v>45</v>
      </c>
      <c r="Q1056">
        <v>2</v>
      </c>
      <c r="R1056">
        <v>1208.8699999999999</v>
      </c>
      <c r="S1056" t="s">
        <v>29</v>
      </c>
    </row>
    <row r="1057" spans="1:19" x14ac:dyDescent="0.3">
      <c r="A1057" t="s">
        <v>1127</v>
      </c>
      <c r="B1057">
        <v>57</v>
      </c>
      <c r="C1057" t="s">
        <v>19</v>
      </c>
      <c r="D1057" t="s">
        <v>66</v>
      </c>
      <c r="E1057" s="1">
        <v>45772</v>
      </c>
      <c r="F1057" s="3">
        <v>45782</v>
      </c>
      <c r="G1057" t="s">
        <v>52</v>
      </c>
      <c r="H1057" t="s">
        <v>53</v>
      </c>
      <c r="I1057" t="s">
        <v>91</v>
      </c>
      <c r="J1057">
        <v>7225.18</v>
      </c>
      <c r="K1057">
        <v>10</v>
      </c>
      <c r="L1057" t="s">
        <v>24</v>
      </c>
      <c r="M1057" t="s">
        <v>25</v>
      </c>
      <c r="N1057" t="s">
        <v>26</v>
      </c>
      <c r="O1057" t="s">
        <v>37</v>
      </c>
      <c r="P1057" t="s">
        <v>28</v>
      </c>
      <c r="Q1057">
        <v>14</v>
      </c>
      <c r="R1057">
        <v>1560.78</v>
      </c>
      <c r="S1057" t="s">
        <v>39</v>
      </c>
    </row>
    <row r="1058" spans="1:19" x14ac:dyDescent="0.3">
      <c r="A1058" t="s">
        <v>1128</v>
      </c>
      <c r="B1058">
        <v>72</v>
      </c>
      <c r="C1058" t="s">
        <v>31</v>
      </c>
      <c r="D1058" t="s">
        <v>20</v>
      </c>
      <c r="E1058" s="1">
        <v>45233</v>
      </c>
      <c r="F1058" s="3">
        <v>45244</v>
      </c>
      <c r="G1058" t="s">
        <v>93</v>
      </c>
      <c r="H1058" t="s">
        <v>72</v>
      </c>
      <c r="I1058" t="s">
        <v>91</v>
      </c>
      <c r="J1058">
        <v>6011.57</v>
      </c>
      <c r="K1058">
        <v>11</v>
      </c>
      <c r="L1058" t="s">
        <v>24</v>
      </c>
      <c r="M1058" t="s">
        <v>25</v>
      </c>
      <c r="N1058" t="s">
        <v>44</v>
      </c>
      <c r="O1058" t="s">
        <v>37</v>
      </c>
      <c r="P1058" t="s">
        <v>45</v>
      </c>
      <c r="Q1058">
        <v>6</v>
      </c>
      <c r="R1058">
        <v>1319.1</v>
      </c>
      <c r="S1058" t="s">
        <v>29</v>
      </c>
    </row>
    <row r="1059" spans="1:19" x14ac:dyDescent="0.3">
      <c r="A1059" t="s">
        <v>1129</v>
      </c>
      <c r="B1059">
        <v>82</v>
      </c>
      <c r="C1059" t="s">
        <v>19</v>
      </c>
      <c r="D1059" t="s">
        <v>20</v>
      </c>
      <c r="E1059" s="1">
        <v>45288</v>
      </c>
      <c r="F1059" s="3">
        <v>45306</v>
      </c>
      <c r="G1059" t="s">
        <v>52</v>
      </c>
      <c r="H1059" t="s">
        <v>53</v>
      </c>
      <c r="I1059" t="s">
        <v>83</v>
      </c>
      <c r="J1059">
        <v>9857.2099999999991</v>
      </c>
      <c r="K1059">
        <v>18</v>
      </c>
      <c r="L1059" t="s">
        <v>24</v>
      </c>
      <c r="M1059" t="s">
        <v>25</v>
      </c>
      <c r="N1059" t="s">
        <v>55</v>
      </c>
      <c r="O1059" t="s">
        <v>56</v>
      </c>
      <c r="P1059" t="s">
        <v>50</v>
      </c>
      <c r="Q1059">
        <v>10</v>
      </c>
      <c r="R1059">
        <v>1550.38</v>
      </c>
      <c r="S1059" t="s">
        <v>29</v>
      </c>
    </row>
    <row r="1060" spans="1:19" x14ac:dyDescent="0.3">
      <c r="A1060" t="s">
        <v>1130</v>
      </c>
      <c r="B1060">
        <v>42</v>
      </c>
      <c r="C1060" t="s">
        <v>31</v>
      </c>
      <c r="D1060" t="s">
        <v>70</v>
      </c>
      <c r="E1060" s="1">
        <v>44943</v>
      </c>
      <c r="F1060" s="3">
        <v>44955</v>
      </c>
      <c r="G1060" t="s">
        <v>71</v>
      </c>
      <c r="H1060" t="s">
        <v>72</v>
      </c>
      <c r="I1060" t="s">
        <v>35</v>
      </c>
      <c r="J1060">
        <v>7618.45</v>
      </c>
      <c r="K1060">
        <v>12</v>
      </c>
      <c r="L1060" t="s">
        <v>24</v>
      </c>
      <c r="M1060" t="s">
        <v>101</v>
      </c>
      <c r="N1060" t="s">
        <v>55</v>
      </c>
      <c r="O1060" t="s">
        <v>37</v>
      </c>
      <c r="P1060" t="s">
        <v>45</v>
      </c>
      <c r="Q1060">
        <v>3</v>
      </c>
      <c r="R1060">
        <v>1582.47</v>
      </c>
      <c r="S1060" t="s">
        <v>29</v>
      </c>
    </row>
    <row r="1061" spans="1:19" x14ac:dyDescent="0.3">
      <c r="A1061" t="s">
        <v>1131</v>
      </c>
      <c r="B1061">
        <v>49</v>
      </c>
      <c r="C1061" t="s">
        <v>19</v>
      </c>
      <c r="D1061" t="s">
        <v>32</v>
      </c>
      <c r="E1061" s="1">
        <v>45812</v>
      </c>
      <c r="F1061" s="3">
        <v>45828</v>
      </c>
      <c r="G1061" t="s">
        <v>48</v>
      </c>
      <c r="H1061" t="s">
        <v>22</v>
      </c>
      <c r="I1061" t="s">
        <v>91</v>
      </c>
      <c r="J1061">
        <v>6877.97</v>
      </c>
      <c r="K1061">
        <v>16</v>
      </c>
      <c r="L1061" t="s">
        <v>24</v>
      </c>
      <c r="M1061" t="s">
        <v>25</v>
      </c>
      <c r="N1061" t="s">
        <v>44</v>
      </c>
      <c r="O1061" t="s">
        <v>27</v>
      </c>
      <c r="P1061" t="s">
        <v>50</v>
      </c>
      <c r="Q1061">
        <v>14</v>
      </c>
      <c r="R1061">
        <v>2708.5</v>
      </c>
      <c r="S1061" t="s">
        <v>29</v>
      </c>
    </row>
    <row r="1062" spans="1:19" x14ac:dyDescent="0.3">
      <c r="A1062" t="s">
        <v>1132</v>
      </c>
      <c r="B1062">
        <v>84</v>
      </c>
      <c r="C1062" t="s">
        <v>31</v>
      </c>
      <c r="D1062" t="s">
        <v>20</v>
      </c>
      <c r="E1062" s="1">
        <v>45386</v>
      </c>
      <c r="F1062" s="3">
        <v>45398</v>
      </c>
      <c r="G1062" t="s">
        <v>67</v>
      </c>
      <c r="H1062" t="s">
        <v>42</v>
      </c>
      <c r="I1062" t="s">
        <v>58</v>
      </c>
      <c r="J1062">
        <v>9965.44</v>
      </c>
      <c r="K1062">
        <v>12</v>
      </c>
      <c r="L1062" t="s">
        <v>24</v>
      </c>
      <c r="M1062" t="s">
        <v>25</v>
      </c>
      <c r="N1062" t="s">
        <v>26</v>
      </c>
      <c r="O1062" t="s">
        <v>27</v>
      </c>
      <c r="P1062" t="s">
        <v>50</v>
      </c>
      <c r="Q1062">
        <v>14</v>
      </c>
      <c r="R1062">
        <v>2280.2199999999998</v>
      </c>
      <c r="S1062" t="s">
        <v>29</v>
      </c>
    </row>
    <row r="1063" spans="1:19" x14ac:dyDescent="0.3">
      <c r="A1063" t="s">
        <v>1133</v>
      </c>
      <c r="B1063">
        <v>88</v>
      </c>
      <c r="C1063" t="s">
        <v>19</v>
      </c>
      <c r="D1063" t="s">
        <v>66</v>
      </c>
      <c r="E1063" s="1">
        <v>45563</v>
      </c>
      <c r="F1063" s="3">
        <v>45583</v>
      </c>
      <c r="G1063" t="s">
        <v>21</v>
      </c>
      <c r="H1063" t="s">
        <v>22</v>
      </c>
      <c r="I1063" t="s">
        <v>23</v>
      </c>
      <c r="J1063">
        <v>11645.73</v>
      </c>
      <c r="K1063">
        <v>20</v>
      </c>
      <c r="L1063" t="s">
        <v>24</v>
      </c>
      <c r="M1063" t="s">
        <v>25</v>
      </c>
      <c r="N1063" t="s">
        <v>26</v>
      </c>
      <c r="O1063" t="s">
        <v>56</v>
      </c>
      <c r="P1063" t="s">
        <v>38</v>
      </c>
      <c r="Q1063">
        <v>15</v>
      </c>
      <c r="R1063">
        <v>4149.29</v>
      </c>
      <c r="S1063" t="s">
        <v>29</v>
      </c>
    </row>
    <row r="1064" spans="1:19" x14ac:dyDescent="0.3">
      <c r="A1064" t="s">
        <v>1134</v>
      </c>
      <c r="B1064">
        <v>19</v>
      </c>
      <c r="C1064" t="s">
        <v>31</v>
      </c>
      <c r="D1064" t="s">
        <v>20</v>
      </c>
      <c r="E1064" s="1">
        <v>44936</v>
      </c>
      <c r="F1064" s="3">
        <v>44953</v>
      </c>
      <c r="G1064" t="s">
        <v>71</v>
      </c>
      <c r="H1064" t="s">
        <v>72</v>
      </c>
      <c r="I1064" t="s">
        <v>54</v>
      </c>
      <c r="J1064">
        <v>8393.24</v>
      </c>
      <c r="K1064">
        <v>17</v>
      </c>
      <c r="L1064" t="s">
        <v>36</v>
      </c>
      <c r="M1064" t="s">
        <v>25</v>
      </c>
      <c r="N1064" t="s">
        <v>26</v>
      </c>
      <c r="O1064" t="s">
        <v>37</v>
      </c>
      <c r="P1064" t="s">
        <v>38</v>
      </c>
      <c r="Q1064">
        <v>1</v>
      </c>
      <c r="R1064">
        <v>1703.12</v>
      </c>
      <c r="S1064" t="s">
        <v>29</v>
      </c>
    </row>
    <row r="1065" spans="1:19" x14ac:dyDescent="0.3">
      <c r="A1065" t="s">
        <v>1135</v>
      </c>
      <c r="B1065">
        <v>60</v>
      </c>
      <c r="C1065" t="s">
        <v>19</v>
      </c>
      <c r="D1065" t="s">
        <v>47</v>
      </c>
      <c r="E1065" s="1">
        <v>45295</v>
      </c>
      <c r="F1065" s="3">
        <v>45301</v>
      </c>
      <c r="G1065" t="s">
        <v>74</v>
      </c>
      <c r="H1065" t="s">
        <v>75</v>
      </c>
      <c r="I1065" t="s">
        <v>43</v>
      </c>
      <c r="J1065">
        <v>3035.14</v>
      </c>
      <c r="K1065">
        <v>6</v>
      </c>
      <c r="L1065" t="s">
        <v>24</v>
      </c>
      <c r="M1065" t="s">
        <v>25</v>
      </c>
      <c r="N1065" t="s">
        <v>55</v>
      </c>
      <c r="O1065" t="s">
        <v>56</v>
      </c>
      <c r="P1065" t="s">
        <v>45</v>
      </c>
      <c r="Q1065">
        <v>11</v>
      </c>
      <c r="R1065">
        <v>972.85</v>
      </c>
      <c r="S1065" t="s">
        <v>29</v>
      </c>
    </row>
    <row r="1066" spans="1:19" x14ac:dyDescent="0.3">
      <c r="A1066" t="s">
        <v>1136</v>
      </c>
      <c r="B1066">
        <v>31</v>
      </c>
      <c r="C1066" t="s">
        <v>19</v>
      </c>
      <c r="D1066" t="s">
        <v>20</v>
      </c>
      <c r="E1066" s="1">
        <v>45694</v>
      </c>
      <c r="F1066" s="3">
        <v>45701</v>
      </c>
      <c r="G1066" t="s">
        <v>33</v>
      </c>
      <c r="H1066" t="s">
        <v>34</v>
      </c>
      <c r="I1066" t="s">
        <v>35</v>
      </c>
      <c r="J1066">
        <v>2550.88</v>
      </c>
      <c r="K1066">
        <v>7</v>
      </c>
      <c r="L1066" t="s">
        <v>36</v>
      </c>
      <c r="M1066" t="s">
        <v>25</v>
      </c>
      <c r="N1066" t="s">
        <v>44</v>
      </c>
      <c r="O1066" t="s">
        <v>37</v>
      </c>
      <c r="P1066" t="s">
        <v>28</v>
      </c>
      <c r="Q1066">
        <v>1</v>
      </c>
      <c r="R1066">
        <v>495</v>
      </c>
      <c r="S1066" t="s">
        <v>29</v>
      </c>
    </row>
    <row r="1067" spans="1:19" x14ac:dyDescent="0.3">
      <c r="A1067" t="s">
        <v>1137</v>
      </c>
      <c r="B1067">
        <v>75</v>
      </c>
      <c r="C1067" t="s">
        <v>31</v>
      </c>
      <c r="D1067" t="s">
        <v>20</v>
      </c>
      <c r="E1067" s="1">
        <v>45118</v>
      </c>
      <c r="F1067" s="3">
        <v>45127</v>
      </c>
      <c r="G1067" t="s">
        <v>71</v>
      </c>
      <c r="H1067" t="s">
        <v>72</v>
      </c>
      <c r="I1067" t="s">
        <v>43</v>
      </c>
      <c r="J1067">
        <v>7547.57</v>
      </c>
      <c r="K1067">
        <v>9</v>
      </c>
      <c r="L1067" t="s">
        <v>36</v>
      </c>
      <c r="M1067" t="s">
        <v>25</v>
      </c>
      <c r="N1067" t="s">
        <v>55</v>
      </c>
      <c r="O1067" t="s">
        <v>37</v>
      </c>
      <c r="P1067" t="s">
        <v>38</v>
      </c>
      <c r="Q1067">
        <v>13</v>
      </c>
      <c r="R1067">
        <v>2777.18</v>
      </c>
      <c r="S1067" t="s">
        <v>29</v>
      </c>
    </row>
    <row r="1068" spans="1:19" x14ac:dyDescent="0.3">
      <c r="A1068" t="s">
        <v>1138</v>
      </c>
      <c r="B1068">
        <v>20</v>
      </c>
      <c r="C1068" t="s">
        <v>31</v>
      </c>
      <c r="D1068" t="s">
        <v>61</v>
      </c>
      <c r="E1068" s="1">
        <v>45651</v>
      </c>
      <c r="F1068" s="3">
        <v>45671</v>
      </c>
      <c r="G1068" t="s">
        <v>62</v>
      </c>
      <c r="H1068" t="s">
        <v>63</v>
      </c>
      <c r="I1068" t="s">
        <v>83</v>
      </c>
      <c r="J1068">
        <v>14869.22</v>
      </c>
      <c r="K1068">
        <v>20</v>
      </c>
      <c r="L1068" t="s">
        <v>36</v>
      </c>
      <c r="M1068" t="s">
        <v>25</v>
      </c>
      <c r="N1068" t="s">
        <v>26</v>
      </c>
      <c r="O1068" t="s">
        <v>49</v>
      </c>
      <c r="P1068" t="s">
        <v>38</v>
      </c>
      <c r="Q1068">
        <v>10</v>
      </c>
      <c r="R1068">
        <v>4389.28</v>
      </c>
      <c r="S1068" t="s">
        <v>29</v>
      </c>
    </row>
    <row r="1069" spans="1:19" x14ac:dyDescent="0.3">
      <c r="A1069" t="s">
        <v>1139</v>
      </c>
      <c r="B1069">
        <v>24</v>
      </c>
      <c r="C1069" t="s">
        <v>19</v>
      </c>
      <c r="D1069" t="s">
        <v>70</v>
      </c>
      <c r="E1069" s="1">
        <v>45676</v>
      </c>
      <c r="F1069" s="3">
        <v>45693</v>
      </c>
      <c r="G1069" t="s">
        <v>52</v>
      </c>
      <c r="H1069" t="s">
        <v>53</v>
      </c>
      <c r="I1069" t="s">
        <v>43</v>
      </c>
      <c r="J1069">
        <v>5301.48</v>
      </c>
      <c r="K1069">
        <v>17</v>
      </c>
      <c r="L1069" t="s">
        <v>36</v>
      </c>
      <c r="M1069" t="s">
        <v>25</v>
      </c>
      <c r="N1069" t="s">
        <v>44</v>
      </c>
      <c r="O1069" t="s">
        <v>27</v>
      </c>
      <c r="P1069" t="s">
        <v>45</v>
      </c>
      <c r="Q1069">
        <v>10</v>
      </c>
      <c r="R1069">
        <v>1293.95</v>
      </c>
      <c r="S1069" t="s">
        <v>29</v>
      </c>
    </row>
    <row r="1070" spans="1:19" x14ac:dyDescent="0.3">
      <c r="A1070" t="s">
        <v>1140</v>
      </c>
      <c r="B1070">
        <v>32</v>
      </c>
      <c r="C1070" t="s">
        <v>31</v>
      </c>
      <c r="D1070" t="s">
        <v>47</v>
      </c>
      <c r="E1070" s="1">
        <v>45332</v>
      </c>
      <c r="F1070" s="3">
        <v>45343</v>
      </c>
      <c r="G1070" t="s">
        <v>52</v>
      </c>
      <c r="H1070" t="s">
        <v>53</v>
      </c>
      <c r="I1070" t="s">
        <v>35</v>
      </c>
      <c r="J1070">
        <v>4046.17</v>
      </c>
      <c r="K1070">
        <v>11</v>
      </c>
      <c r="L1070" t="s">
        <v>24</v>
      </c>
      <c r="M1070" t="s">
        <v>25</v>
      </c>
      <c r="N1070" t="s">
        <v>44</v>
      </c>
      <c r="O1070" t="s">
        <v>27</v>
      </c>
      <c r="P1070" t="s">
        <v>38</v>
      </c>
      <c r="Q1070">
        <v>9</v>
      </c>
      <c r="R1070">
        <v>1029.98</v>
      </c>
      <c r="S1070" t="s">
        <v>29</v>
      </c>
    </row>
    <row r="1071" spans="1:19" x14ac:dyDescent="0.3">
      <c r="A1071" t="s">
        <v>1141</v>
      </c>
      <c r="B1071">
        <v>36</v>
      </c>
      <c r="C1071" t="s">
        <v>31</v>
      </c>
      <c r="D1071" t="s">
        <v>66</v>
      </c>
      <c r="E1071" s="1">
        <v>45160</v>
      </c>
      <c r="F1071" s="3">
        <v>45162</v>
      </c>
      <c r="G1071" t="s">
        <v>62</v>
      </c>
      <c r="H1071" t="s">
        <v>63</v>
      </c>
      <c r="I1071" t="s">
        <v>91</v>
      </c>
      <c r="J1071">
        <v>2421.86</v>
      </c>
      <c r="K1071">
        <v>2</v>
      </c>
      <c r="L1071" t="s">
        <v>36</v>
      </c>
      <c r="M1071" t="s">
        <v>101</v>
      </c>
      <c r="N1071" t="s">
        <v>44</v>
      </c>
      <c r="O1071" t="s">
        <v>56</v>
      </c>
      <c r="P1071" t="s">
        <v>38</v>
      </c>
      <c r="Q1071">
        <v>4</v>
      </c>
      <c r="R1071">
        <v>822.91</v>
      </c>
      <c r="S1071" t="s">
        <v>39</v>
      </c>
    </row>
    <row r="1072" spans="1:19" x14ac:dyDescent="0.3">
      <c r="A1072" t="s">
        <v>1142</v>
      </c>
      <c r="B1072">
        <v>87</v>
      </c>
      <c r="C1072" t="s">
        <v>19</v>
      </c>
      <c r="D1072" t="s">
        <v>66</v>
      </c>
      <c r="E1072" s="1">
        <v>45100</v>
      </c>
      <c r="F1072" s="3">
        <v>45118</v>
      </c>
      <c r="G1072" t="s">
        <v>71</v>
      </c>
      <c r="H1072" t="s">
        <v>72</v>
      </c>
      <c r="I1072" t="s">
        <v>23</v>
      </c>
      <c r="J1072">
        <v>5505.94</v>
      </c>
      <c r="K1072">
        <v>18</v>
      </c>
      <c r="L1072" t="s">
        <v>24</v>
      </c>
      <c r="M1072" t="s">
        <v>25</v>
      </c>
      <c r="N1072" t="s">
        <v>26</v>
      </c>
      <c r="O1072" t="s">
        <v>56</v>
      </c>
      <c r="P1072" t="s">
        <v>50</v>
      </c>
      <c r="Q1072">
        <v>2</v>
      </c>
      <c r="R1072">
        <v>1435.6</v>
      </c>
      <c r="S1072" t="s">
        <v>29</v>
      </c>
    </row>
    <row r="1073" spans="1:19" x14ac:dyDescent="0.3">
      <c r="A1073" t="s">
        <v>1143</v>
      </c>
      <c r="B1073">
        <v>69</v>
      </c>
      <c r="C1073" t="s">
        <v>31</v>
      </c>
      <c r="D1073" t="s">
        <v>61</v>
      </c>
      <c r="E1073" s="1">
        <v>45647</v>
      </c>
      <c r="F1073" s="3">
        <v>45663</v>
      </c>
      <c r="G1073" t="s">
        <v>48</v>
      </c>
      <c r="H1073" t="s">
        <v>22</v>
      </c>
      <c r="I1073" t="s">
        <v>58</v>
      </c>
      <c r="J1073">
        <v>4714.13</v>
      </c>
      <c r="K1073">
        <v>16</v>
      </c>
      <c r="L1073" t="s">
        <v>36</v>
      </c>
      <c r="M1073" t="s">
        <v>101</v>
      </c>
      <c r="N1073" t="s">
        <v>26</v>
      </c>
      <c r="O1073" t="s">
        <v>37</v>
      </c>
      <c r="P1073" t="s">
        <v>45</v>
      </c>
      <c r="Q1073">
        <v>14</v>
      </c>
      <c r="R1073">
        <v>1668.85</v>
      </c>
      <c r="S1073" t="s">
        <v>29</v>
      </c>
    </row>
    <row r="1074" spans="1:19" x14ac:dyDescent="0.3">
      <c r="A1074" t="s">
        <v>1144</v>
      </c>
      <c r="B1074">
        <v>61</v>
      </c>
      <c r="C1074" t="s">
        <v>19</v>
      </c>
      <c r="D1074" t="s">
        <v>70</v>
      </c>
      <c r="E1074" s="1">
        <v>45269</v>
      </c>
      <c r="F1074" s="3">
        <v>45289</v>
      </c>
      <c r="G1074" t="s">
        <v>74</v>
      </c>
      <c r="H1074" t="s">
        <v>75</v>
      </c>
      <c r="I1074" t="s">
        <v>35</v>
      </c>
      <c r="J1074">
        <v>8444.98</v>
      </c>
      <c r="K1074">
        <v>20</v>
      </c>
      <c r="L1074" t="s">
        <v>36</v>
      </c>
      <c r="M1074" t="s">
        <v>25</v>
      </c>
      <c r="N1074" t="s">
        <v>44</v>
      </c>
      <c r="O1074" t="s">
        <v>27</v>
      </c>
      <c r="P1074" t="s">
        <v>45</v>
      </c>
      <c r="Q1074">
        <v>5</v>
      </c>
      <c r="R1074">
        <v>2227.16</v>
      </c>
      <c r="S1074" t="s">
        <v>29</v>
      </c>
    </row>
    <row r="1075" spans="1:19" x14ac:dyDescent="0.3">
      <c r="A1075" t="s">
        <v>1145</v>
      </c>
      <c r="B1075">
        <v>82</v>
      </c>
      <c r="C1075" t="s">
        <v>31</v>
      </c>
      <c r="D1075" t="s">
        <v>20</v>
      </c>
      <c r="E1075" s="1">
        <v>45610</v>
      </c>
      <c r="F1075" s="3">
        <v>45624</v>
      </c>
      <c r="G1075" t="s">
        <v>52</v>
      </c>
      <c r="H1075" t="s">
        <v>53</v>
      </c>
      <c r="I1075" t="s">
        <v>43</v>
      </c>
      <c r="J1075">
        <v>9715.35</v>
      </c>
      <c r="K1075">
        <v>14</v>
      </c>
      <c r="L1075" t="s">
        <v>36</v>
      </c>
      <c r="M1075" t="s">
        <v>25</v>
      </c>
      <c r="N1075" t="s">
        <v>26</v>
      </c>
      <c r="O1075" t="s">
        <v>27</v>
      </c>
      <c r="P1075" t="s">
        <v>38</v>
      </c>
      <c r="Q1075">
        <v>12</v>
      </c>
      <c r="R1075">
        <v>1681.51</v>
      </c>
      <c r="S1075" t="s">
        <v>29</v>
      </c>
    </row>
    <row r="1076" spans="1:19" x14ac:dyDescent="0.3">
      <c r="A1076" t="s">
        <v>1146</v>
      </c>
      <c r="B1076">
        <v>77</v>
      </c>
      <c r="C1076" t="s">
        <v>19</v>
      </c>
      <c r="D1076" t="s">
        <v>89</v>
      </c>
      <c r="E1076" s="1">
        <v>45203</v>
      </c>
      <c r="F1076" s="3">
        <v>45218</v>
      </c>
      <c r="G1076" t="s">
        <v>62</v>
      </c>
      <c r="H1076" t="s">
        <v>63</v>
      </c>
      <c r="I1076" t="s">
        <v>81</v>
      </c>
      <c r="J1076">
        <v>10672.18</v>
      </c>
      <c r="K1076">
        <v>15</v>
      </c>
      <c r="L1076" t="s">
        <v>36</v>
      </c>
      <c r="M1076" t="s">
        <v>25</v>
      </c>
      <c r="N1076" t="s">
        <v>55</v>
      </c>
      <c r="O1076" t="s">
        <v>49</v>
      </c>
      <c r="P1076" t="s">
        <v>50</v>
      </c>
      <c r="Q1076">
        <v>12</v>
      </c>
      <c r="R1076">
        <v>1667.87</v>
      </c>
      <c r="S1076" t="s">
        <v>39</v>
      </c>
    </row>
    <row r="1077" spans="1:19" x14ac:dyDescent="0.3">
      <c r="A1077" t="s">
        <v>1147</v>
      </c>
      <c r="B1077">
        <v>41</v>
      </c>
      <c r="C1077" t="s">
        <v>31</v>
      </c>
      <c r="D1077" t="s">
        <v>47</v>
      </c>
      <c r="E1077" s="1">
        <v>45683</v>
      </c>
      <c r="F1077" s="3">
        <v>45697</v>
      </c>
      <c r="G1077" t="s">
        <v>67</v>
      </c>
      <c r="H1077" t="s">
        <v>42</v>
      </c>
      <c r="I1077" t="s">
        <v>58</v>
      </c>
      <c r="J1077">
        <v>9153.64</v>
      </c>
      <c r="K1077">
        <v>14</v>
      </c>
      <c r="L1077" t="s">
        <v>24</v>
      </c>
      <c r="M1077" t="s">
        <v>25</v>
      </c>
      <c r="N1077" t="s">
        <v>55</v>
      </c>
      <c r="O1077" t="s">
        <v>37</v>
      </c>
      <c r="P1077" t="s">
        <v>28</v>
      </c>
      <c r="Q1077">
        <v>2</v>
      </c>
      <c r="R1077">
        <v>3626.19</v>
      </c>
      <c r="S1077" t="s">
        <v>29</v>
      </c>
    </row>
    <row r="1078" spans="1:19" x14ac:dyDescent="0.3">
      <c r="A1078" t="s">
        <v>1148</v>
      </c>
      <c r="B1078">
        <v>34</v>
      </c>
      <c r="C1078" t="s">
        <v>31</v>
      </c>
      <c r="D1078" t="s">
        <v>20</v>
      </c>
      <c r="E1078" s="1">
        <v>45643</v>
      </c>
      <c r="F1078" s="3">
        <v>45646</v>
      </c>
      <c r="G1078" t="s">
        <v>33</v>
      </c>
      <c r="H1078" t="s">
        <v>34</v>
      </c>
      <c r="I1078" t="s">
        <v>91</v>
      </c>
      <c r="J1078">
        <v>1993.19</v>
      </c>
      <c r="K1078">
        <v>3</v>
      </c>
      <c r="L1078" t="s">
        <v>36</v>
      </c>
      <c r="M1078" t="s">
        <v>25</v>
      </c>
      <c r="N1078" t="s">
        <v>44</v>
      </c>
      <c r="O1078" t="s">
        <v>27</v>
      </c>
      <c r="P1078" t="s">
        <v>38</v>
      </c>
      <c r="Q1078">
        <v>10</v>
      </c>
      <c r="R1078">
        <v>638.58000000000004</v>
      </c>
      <c r="S1078" t="s">
        <v>29</v>
      </c>
    </row>
    <row r="1079" spans="1:19" x14ac:dyDescent="0.3">
      <c r="A1079" t="s">
        <v>1149</v>
      </c>
      <c r="B1079">
        <v>87</v>
      </c>
      <c r="C1079" t="s">
        <v>31</v>
      </c>
      <c r="D1079" t="s">
        <v>32</v>
      </c>
      <c r="E1079" s="1">
        <v>45922</v>
      </c>
      <c r="F1079" s="3">
        <v>45929</v>
      </c>
      <c r="G1079" t="s">
        <v>52</v>
      </c>
      <c r="H1079" t="s">
        <v>53</v>
      </c>
      <c r="I1079" t="s">
        <v>35</v>
      </c>
      <c r="J1079">
        <v>4696.3100000000004</v>
      </c>
      <c r="K1079">
        <v>7</v>
      </c>
      <c r="L1079" t="s">
        <v>24</v>
      </c>
      <c r="M1079" t="s">
        <v>25</v>
      </c>
      <c r="N1079" t="s">
        <v>55</v>
      </c>
      <c r="O1079" t="s">
        <v>56</v>
      </c>
      <c r="P1079" t="s">
        <v>50</v>
      </c>
      <c r="Q1079">
        <v>9</v>
      </c>
      <c r="R1079">
        <v>1797.77</v>
      </c>
      <c r="S1079" t="s">
        <v>29</v>
      </c>
    </row>
    <row r="1080" spans="1:19" x14ac:dyDescent="0.3">
      <c r="A1080" t="s">
        <v>1150</v>
      </c>
      <c r="B1080">
        <v>56</v>
      </c>
      <c r="C1080" t="s">
        <v>19</v>
      </c>
      <c r="D1080" t="s">
        <v>61</v>
      </c>
      <c r="E1080" s="1">
        <v>45210</v>
      </c>
      <c r="F1080" s="3">
        <v>45222</v>
      </c>
      <c r="G1080" t="s">
        <v>71</v>
      </c>
      <c r="H1080" t="s">
        <v>72</v>
      </c>
      <c r="I1080" t="s">
        <v>83</v>
      </c>
      <c r="J1080">
        <v>4876.43</v>
      </c>
      <c r="K1080">
        <v>12</v>
      </c>
      <c r="L1080" t="s">
        <v>24</v>
      </c>
      <c r="M1080" t="s">
        <v>25</v>
      </c>
      <c r="N1080" t="s">
        <v>55</v>
      </c>
      <c r="O1080" t="s">
        <v>27</v>
      </c>
      <c r="P1080" t="s">
        <v>45</v>
      </c>
      <c r="Q1080">
        <v>13</v>
      </c>
      <c r="R1080">
        <v>1227.06</v>
      </c>
      <c r="S1080" t="s">
        <v>29</v>
      </c>
    </row>
    <row r="1081" spans="1:19" x14ac:dyDescent="0.3">
      <c r="A1081" t="s">
        <v>1151</v>
      </c>
      <c r="B1081">
        <v>57</v>
      </c>
      <c r="C1081" t="s">
        <v>31</v>
      </c>
      <c r="D1081" t="s">
        <v>32</v>
      </c>
      <c r="E1081" s="1">
        <v>45926</v>
      </c>
      <c r="F1081" s="3">
        <v>45939</v>
      </c>
      <c r="G1081" t="s">
        <v>33</v>
      </c>
      <c r="H1081" t="s">
        <v>34</v>
      </c>
      <c r="I1081" t="s">
        <v>81</v>
      </c>
      <c r="J1081">
        <v>8861.06</v>
      </c>
      <c r="K1081">
        <v>13</v>
      </c>
      <c r="L1081" t="s">
        <v>36</v>
      </c>
      <c r="M1081" t="s">
        <v>25</v>
      </c>
      <c r="N1081" t="s">
        <v>44</v>
      </c>
      <c r="O1081" t="s">
        <v>56</v>
      </c>
      <c r="P1081" t="s">
        <v>50</v>
      </c>
      <c r="Q1081">
        <v>8</v>
      </c>
      <c r="R1081">
        <v>1786.79</v>
      </c>
      <c r="S1081" t="s">
        <v>29</v>
      </c>
    </row>
    <row r="1082" spans="1:19" x14ac:dyDescent="0.3">
      <c r="A1082" t="s">
        <v>1152</v>
      </c>
      <c r="B1082">
        <v>75</v>
      </c>
      <c r="C1082" t="s">
        <v>31</v>
      </c>
      <c r="D1082" t="s">
        <v>66</v>
      </c>
      <c r="E1082" s="1">
        <v>45733</v>
      </c>
      <c r="F1082" s="3">
        <v>45739</v>
      </c>
      <c r="G1082" t="s">
        <v>41</v>
      </c>
      <c r="H1082" t="s">
        <v>42</v>
      </c>
      <c r="I1082" t="s">
        <v>83</v>
      </c>
      <c r="J1082">
        <v>2937</v>
      </c>
      <c r="K1082">
        <v>6</v>
      </c>
      <c r="L1082" t="s">
        <v>36</v>
      </c>
      <c r="M1082" t="s">
        <v>25</v>
      </c>
      <c r="N1082" t="s">
        <v>26</v>
      </c>
      <c r="O1082" t="s">
        <v>37</v>
      </c>
      <c r="P1082" t="s">
        <v>38</v>
      </c>
      <c r="Q1082">
        <v>3</v>
      </c>
      <c r="R1082">
        <v>1147.5899999999999</v>
      </c>
      <c r="S1082" t="s">
        <v>29</v>
      </c>
    </row>
    <row r="1083" spans="1:19" x14ac:dyDescent="0.3">
      <c r="A1083" t="s">
        <v>1153</v>
      </c>
      <c r="B1083">
        <v>28</v>
      </c>
      <c r="C1083" t="s">
        <v>31</v>
      </c>
      <c r="D1083" t="s">
        <v>79</v>
      </c>
      <c r="E1083" s="1">
        <v>45449</v>
      </c>
      <c r="F1083" s="3">
        <v>45469</v>
      </c>
      <c r="G1083" t="s">
        <v>71</v>
      </c>
      <c r="H1083" t="s">
        <v>72</v>
      </c>
      <c r="I1083" t="s">
        <v>91</v>
      </c>
      <c r="J1083">
        <v>16850.21</v>
      </c>
      <c r="K1083">
        <v>20</v>
      </c>
      <c r="L1083" t="s">
        <v>24</v>
      </c>
      <c r="M1083" t="s">
        <v>25</v>
      </c>
      <c r="N1083" t="s">
        <v>55</v>
      </c>
      <c r="O1083" t="s">
        <v>37</v>
      </c>
      <c r="P1083" t="s">
        <v>28</v>
      </c>
      <c r="Q1083">
        <v>4</v>
      </c>
      <c r="R1083">
        <v>4707.09</v>
      </c>
      <c r="S1083" t="s">
        <v>29</v>
      </c>
    </row>
    <row r="1084" spans="1:19" x14ac:dyDescent="0.3">
      <c r="A1084" t="s">
        <v>1154</v>
      </c>
      <c r="B1084">
        <v>22</v>
      </c>
      <c r="C1084" t="s">
        <v>31</v>
      </c>
      <c r="D1084" t="s">
        <v>79</v>
      </c>
      <c r="E1084" s="1">
        <v>45617</v>
      </c>
      <c r="F1084" s="3">
        <v>45638</v>
      </c>
      <c r="G1084" t="s">
        <v>21</v>
      </c>
      <c r="H1084" t="s">
        <v>22</v>
      </c>
      <c r="I1084" t="s">
        <v>54</v>
      </c>
      <c r="J1084">
        <v>11813.48</v>
      </c>
      <c r="K1084">
        <v>21</v>
      </c>
      <c r="L1084" t="s">
        <v>24</v>
      </c>
      <c r="M1084" t="s">
        <v>25</v>
      </c>
      <c r="N1084" t="s">
        <v>26</v>
      </c>
      <c r="O1084" t="s">
        <v>49</v>
      </c>
      <c r="P1084" t="s">
        <v>50</v>
      </c>
      <c r="Q1084">
        <v>12</v>
      </c>
      <c r="R1084">
        <v>3199.3</v>
      </c>
      <c r="S1084" t="s">
        <v>29</v>
      </c>
    </row>
    <row r="1085" spans="1:19" x14ac:dyDescent="0.3">
      <c r="A1085" t="s">
        <v>1155</v>
      </c>
      <c r="B1085">
        <v>74</v>
      </c>
      <c r="C1085" t="s">
        <v>31</v>
      </c>
      <c r="D1085" t="s">
        <v>47</v>
      </c>
      <c r="E1085" s="1">
        <v>45916</v>
      </c>
      <c r="F1085" s="3">
        <v>45928</v>
      </c>
      <c r="G1085" t="s">
        <v>62</v>
      </c>
      <c r="H1085" t="s">
        <v>63</v>
      </c>
      <c r="I1085" t="s">
        <v>54</v>
      </c>
      <c r="J1085">
        <v>9378</v>
      </c>
      <c r="K1085">
        <v>12</v>
      </c>
      <c r="L1085" t="s">
        <v>36</v>
      </c>
      <c r="M1085" t="s">
        <v>101</v>
      </c>
      <c r="N1085" t="s">
        <v>26</v>
      </c>
      <c r="O1085" t="s">
        <v>49</v>
      </c>
      <c r="P1085" t="s">
        <v>45</v>
      </c>
      <c r="Q1085">
        <v>5</v>
      </c>
      <c r="R1085">
        <v>3462.7</v>
      </c>
      <c r="S1085" t="s">
        <v>29</v>
      </c>
    </row>
    <row r="1086" spans="1:19" x14ac:dyDescent="0.3">
      <c r="A1086" t="s">
        <v>1156</v>
      </c>
      <c r="B1086">
        <v>27</v>
      </c>
      <c r="C1086" t="s">
        <v>19</v>
      </c>
      <c r="D1086" t="s">
        <v>70</v>
      </c>
      <c r="E1086" s="1">
        <v>45227</v>
      </c>
      <c r="F1086" s="3">
        <v>45242</v>
      </c>
      <c r="G1086" t="s">
        <v>48</v>
      </c>
      <c r="H1086" t="s">
        <v>22</v>
      </c>
      <c r="I1086" t="s">
        <v>54</v>
      </c>
      <c r="J1086">
        <v>8185.93</v>
      </c>
      <c r="K1086">
        <v>15</v>
      </c>
      <c r="L1086" t="s">
        <v>24</v>
      </c>
      <c r="M1086" t="s">
        <v>59</v>
      </c>
      <c r="N1086" t="s">
        <v>26</v>
      </c>
      <c r="O1086" t="s">
        <v>49</v>
      </c>
      <c r="P1086" t="s">
        <v>28</v>
      </c>
      <c r="Q1086">
        <v>4</v>
      </c>
      <c r="R1086">
        <v>2392.85</v>
      </c>
      <c r="S1086" t="s">
        <v>29</v>
      </c>
    </row>
    <row r="1087" spans="1:19" x14ac:dyDescent="0.3">
      <c r="A1087" t="s">
        <v>1157</v>
      </c>
      <c r="B1087">
        <v>35</v>
      </c>
      <c r="C1087" t="s">
        <v>31</v>
      </c>
      <c r="D1087" t="s">
        <v>47</v>
      </c>
      <c r="E1087" s="1">
        <v>45580</v>
      </c>
      <c r="F1087" s="3">
        <v>45592</v>
      </c>
      <c r="G1087" t="s">
        <v>33</v>
      </c>
      <c r="H1087" t="s">
        <v>34</v>
      </c>
      <c r="I1087" t="s">
        <v>91</v>
      </c>
      <c r="J1087">
        <v>6334.55</v>
      </c>
      <c r="K1087">
        <v>12</v>
      </c>
      <c r="L1087" t="s">
        <v>24</v>
      </c>
      <c r="M1087" t="s">
        <v>25</v>
      </c>
      <c r="N1087" t="s">
        <v>55</v>
      </c>
      <c r="O1087" t="s">
        <v>27</v>
      </c>
      <c r="P1087" t="s">
        <v>28</v>
      </c>
      <c r="Q1087">
        <v>15</v>
      </c>
      <c r="R1087">
        <v>1886.93</v>
      </c>
      <c r="S1087" t="s">
        <v>29</v>
      </c>
    </row>
    <row r="1088" spans="1:19" x14ac:dyDescent="0.3">
      <c r="A1088" t="s">
        <v>1158</v>
      </c>
      <c r="B1088">
        <v>38</v>
      </c>
      <c r="C1088" t="s">
        <v>19</v>
      </c>
      <c r="D1088" t="s">
        <v>47</v>
      </c>
      <c r="E1088" s="1">
        <v>45843</v>
      </c>
      <c r="F1088" s="3">
        <v>45853</v>
      </c>
      <c r="G1088" t="s">
        <v>21</v>
      </c>
      <c r="H1088" t="s">
        <v>22</v>
      </c>
      <c r="I1088" t="s">
        <v>43</v>
      </c>
      <c r="J1088">
        <v>8049.7</v>
      </c>
      <c r="K1088">
        <v>10</v>
      </c>
      <c r="L1088" t="s">
        <v>24</v>
      </c>
      <c r="M1088" t="s">
        <v>59</v>
      </c>
      <c r="N1088" t="s">
        <v>55</v>
      </c>
      <c r="O1088" t="s">
        <v>27</v>
      </c>
      <c r="P1088" t="s">
        <v>50</v>
      </c>
      <c r="Q1088">
        <v>12</v>
      </c>
      <c r="R1088">
        <v>2005.4</v>
      </c>
      <c r="S1088" t="s">
        <v>29</v>
      </c>
    </row>
    <row r="1089" spans="1:19" x14ac:dyDescent="0.3">
      <c r="A1089" t="s">
        <v>1159</v>
      </c>
      <c r="B1089">
        <v>66</v>
      </c>
      <c r="C1089" t="s">
        <v>19</v>
      </c>
      <c r="D1089" t="s">
        <v>70</v>
      </c>
      <c r="E1089" s="1">
        <v>45912</v>
      </c>
      <c r="F1089" s="3">
        <v>45917</v>
      </c>
      <c r="G1089" t="s">
        <v>48</v>
      </c>
      <c r="H1089" t="s">
        <v>22</v>
      </c>
      <c r="I1089" t="s">
        <v>35</v>
      </c>
      <c r="J1089">
        <v>4103.51</v>
      </c>
      <c r="K1089">
        <v>5</v>
      </c>
      <c r="L1089" t="s">
        <v>24</v>
      </c>
      <c r="M1089" t="s">
        <v>25</v>
      </c>
      <c r="N1089" t="s">
        <v>55</v>
      </c>
      <c r="O1089" t="s">
        <v>56</v>
      </c>
      <c r="P1089" t="s">
        <v>45</v>
      </c>
      <c r="Q1089">
        <v>8</v>
      </c>
      <c r="R1089">
        <v>1209.3</v>
      </c>
      <c r="S1089" t="s">
        <v>29</v>
      </c>
    </row>
    <row r="1090" spans="1:19" x14ac:dyDescent="0.3">
      <c r="A1090" t="s">
        <v>1160</v>
      </c>
      <c r="B1090">
        <v>70</v>
      </c>
      <c r="C1090" t="s">
        <v>31</v>
      </c>
      <c r="D1090" t="s">
        <v>70</v>
      </c>
      <c r="E1090" s="1">
        <v>45073</v>
      </c>
      <c r="F1090" s="3">
        <v>45081</v>
      </c>
      <c r="G1090" t="s">
        <v>71</v>
      </c>
      <c r="H1090" t="s">
        <v>72</v>
      </c>
      <c r="I1090" t="s">
        <v>23</v>
      </c>
      <c r="J1090">
        <v>3722.03</v>
      </c>
      <c r="K1090">
        <v>8</v>
      </c>
      <c r="L1090" t="s">
        <v>36</v>
      </c>
      <c r="M1090" t="s">
        <v>25</v>
      </c>
      <c r="N1090" t="s">
        <v>26</v>
      </c>
      <c r="O1090" t="s">
        <v>56</v>
      </c>
      <c r="P1090" t="s">
        <v>38</v>
      </c>
      <c r="Q1090">
        <v>13</v>
      </c>
      <c r="R1090">
        <v>1198.48</v>
      </c>
      <c r="S1090" t="s">
        <v>29</v>
      </c>
    </row>
    <row r="1091" spans="1:19" x14ac:dyDescent="0.3">
      <c r="A1091" t="s">
        <v>1161</v>
      </c>
      <c r="B1091">
        <v>35</v>
      </c>
      <c r="C1091" t="s">
        <v>19</v>
      </c>
      <c r="D1091" t="s">
        <v>32</v>
      </c>
      <c r="E1091" s="1">
        <v>45639</v>
      </c>
      <c r="F1091" s="3">
        <v>45657</v>
      </c>
      <c r="G1091" t="s">
        <v>41</v>
      </c>
      <c r="H1091" t="s">
        <v>42</v>
      </c>
      <c r="I1091" t="s">
        <v>91</v>
      </c>
      <c r="J1091">
        <v>8080.24</v>
      </c>
      <c r="K1091">
        <v>18</v>
      </c>
      <c r="L1091" t="s">
        <v>36</v>
      </c>
      <c r="M1091" t="s">
        <v>25</v>
      </c>
      <c r="N1091" t="s">
        <v>55</v>
      </c>
      <c r="O1091" t="s">
        <v>37</v>
      </c>
      <c r="P1091" t="s">
        <v>45</v>
      </c>
      <c r="Q1091">
        <v>11</v>
      </c>
      <c r="R1091">
        <v>1597.67</v>
      </c>
      <c r="S1091" t="s">
        <v>29</v>
      </c>
    </row>
    <row r="1092" spans="1:19" x14ac:dyDescent="0.3">
      <c r="A1092" t="s">
        <v>1162</v>
      </c>
      <c r="B1092">
        <v>30</v>
      </c>
      <c r="C1092" t="s">
        <v>19</v>
      </c>
      <c r="D1092" t="s">
        <v>61</v>
      </c>
      <c r="E1092" s="1">
        <v>45719</v>
      </c>
      <c r="F1092" s="3">
        <v>45728</v>
      </c>
      <c r="G1092" t="s">
        <v>74</v>
      </c>
      <c r="H1092" t="s">
        <v>75</v>
      </c>
      <c r="I1092" t="s">
        <v>43</v>
      </c>
      <c r="J1092">
        <v>2303.79</v>
      </c>
      <c r="K1092">
        <v>9</v>
      </c>
      <c r="L1092" t="s">
        <v>36</v>
      </c>
      <c r="M1092" t="s">
        <v>25</v>
      </c>
      <c r="N1092" t="s">
        <v>26</v>
      </c>
      <c r="O1092" t="s">
        <v>27</v>
      </c>
      <c r="P1092" t="s">
        <v>28</v>
      </c>
      <c r="Q1092">
        <v>11</v>
      </c>
      <c r="R1092">
        <v>681.12</v>
      </c>
      <c r="S1092" t="s">
        <v>29</v>
      </c>
    </row>
    <row r="1093" spans="1:19" x14ac:dyDescent="0.3">
      <c r="A1093" t="s">
        <v>1163</v>
      </c>
      <c r="B1093">
        <v>51</v>
      </c>
      <c r="C1093" t="s">
        <v>19</v>
      </c>
      <c r="D1093" t="s">
        <v>70</v>
      </c>
      <c r="E1093" s="1">
        <v>45732</v>
      </c>
      <c r="F1093" s="3">
        <v>45740</v>
      </c>
      <c r="G1093" t="s">
        <v>93</v>
      </c>
      <c r="H1093" t="s">
        <v>72</v>
      </c>
      <c r="I1093" t="s">
        <v>91</v>
      </c>
      <c r="J1093">
        <v>4249.1000000000004</v>
      </c>
      <c r="K1093">
        <v>8</v>
      </c>
      <c r="L1093" t="s">
        <v>36</v>
      </c>
      <c r="M1093" t="s">
        <v>59</v>
      </c>
      <c r="N1093" t="s">
        <v>44</v>
      </c>
      <c r="O1093" t="s">
        <v>56</v>
      </c>
      <c r="P1093" t="s">
        <v>28</v>
      </c>
      <c r="Q1093">
        <v>13</v>
      </c>
      <c r="R1093">
        <v>1069.4000000000001</v>
      </c>
      <c r="S1093" t="s">
        <v>29</v>
      </c>
    </row>
    <row r="1094" spans="1:19" x14ac:dyDescent="0.3">
      <c r="A1094" t="s">
        <v>1164</v>
      </c>
      <c r="B1094">
        <v>55</v>
      </c>
      <c r="C1094" t="s">
        <v>19</v>
      </c>
      <c r="D1094" t="s">
        <v>79</v>
      </c>
      <c r="E1094" s="1">
        <v>45574</v>
      </c>
      <c r="F1094" s="3">
        <v>45589</v>
      </c>
      <c r="G1094" t="s">
        <v>41</v>
      </c>
      <c r="H1094" t="s">
        <v>42</v>
      </c>
      <c r="I1094" t="s">
        <v>83</v>
      </c>
      <c r="J1094">
        <v>3480.32</v>
      </c>
      <c r="K1094">
        <v>15</v>
      </c>
      <c r="L1094" t="s">
        <v>24</v>
      </c>
      <c r="M1094" t="s">
        <v>25</v>
      </c>
      <c r="N1094" t="s">
        <v>44</v>
      </c>
      <c r="O1094" t="s">
        <v>37</v>
      </c>
      <c r="P1094" t="s">
        <v>45</v>
      </c>
      <c r="Q1094">
        <v>1</v>
      </c>
      <c r="R1094">
        <v>1056.7</v>
      </c>
      <c r="S1094" t="s">
        <v>29</v>
      </c>
    </row>
    <row r="1095" spans="1:19" x14ac:dyDescent="0.3">
      <c r="A1095" t="s">
        <v>1165</v>
      </c>
      <c r="B1095">
        <v>47</v>
      </c>
      <c r="C1095" t="s">
        <v>19</v>
      </c>
      <c r="D1095" t="s">
        <v>47</v>
      </c>
      <c r="E1095" s="1">
        <v>45815</v>
      </c>
      <c r="F1095" s="3">
        <v>45834</v>
      </c>
      <c r="G1095" t="s">
        <v>62</v>
      </c>
      <c r="H1095" t="s">
        <v>63</v>
      </c>
      <c r="I1095" t="s">
        <v>35</v>
      </c>
      <c r="J1095">
        <v>10916.65</v>
      </c>
      <c r="K1095">
        <v>19</v>
      </c>
      <c r="L1095" t="s">
        <v>24</v>
      </c>
      <c r="M1095" t="s">
        <v>59</v>
      </c>
      <c r="N1095" t="s">
        <v>26</v>
      </c>
      <c r="O1095" t="s">
        <v>37</v>
      </c>
      <c r="P1095" t="s">
        <v>50</v>
      </c>
      <c r="Q1095">
        <v>1</v>
      </c>
      <c r="R1095">
        <v>2959.58</v>
      </c>
      <c r="S1095" t="s">
        <v>29</v>
      </c>
    </row>
    <row r="1096" spans="1:19" x14ac:dyDescent="0.3">
      <c r="A1096" t="s">
        <v>1166</v>
      </c>
      <c r="B1096">
        <v>59</v>
      </c>
      <c r="C1096" t="s">
        <v>31</v>
      </c>
      <c r="D1096" t="s">
        <v>70</v>
      </c>
      <c r="E1096" s="1">
        <v>45715</v>
      </c>
      <c r="F1096" s="3">
        <v>45725</v>
      </c>
      <c r="G1096" t="s">
        <v>41</v>
      </c>
      <c r="H1096" t="s">
        <v>42</v>
      </c>
      <c r="I1096" t="s">
        <v>23</v>
      </c>
      <c r="J1096">
        <v>11008.85</v>
      </c>
      <c r="K1096">
        <v>10</v>
      </c>
      <c r="L1096" t="s">
        <v>36</v>
      </c>
      <c r="M1096" t="s">
        <v>25</v>
      </c>
      <c r="N1096" t="s">
        <v>55</v>
      </c>
      <c r="O1096" t="s">
        <v>49</v>
      </c>
      <c r="P1096" t="s">
        <v>50</v>
      </c>
      <c r="Q1096">
        <v>10</v>
      </c>
      <c r="R1096">
        <v>1974.94</v>
      </c>
      <c r="S1096" t="s">
        <v>29</v>
      </c>
    </row>
    <row r="1097" spans="1:19" x14ac:dyDescent="0.3">
      <c r="A1097" t="s">
        <v>1167</v>
      </c>
      <c r="B1097">
        <v>84</v>
      </c>
      <c r="C1097" t="s">
        <v>19</v>
      </c>
      <c r="D1097" t="s">
        <v>66</v>
      </c>
      <c r="E1097" s="1">
        <v>45127</v>
      </c>
      <c r="F1097" s="3">
        <v>45149</v>
      </c>
      <c r="G1097" t="s">
        <v>74</v>
      </c>
      <c r="H1097" t="s">
        <v>75</v>
      </c>
      <c r="I1097" t="s">
        <v>43</v>
      </c>
      <c r="J1097">
        <v>12093.66</v>
      </c>
      <c r="K1097">
        <v>22</v>
      </c>
      <c r="L1097" t="s">
        <v>36</v>
      </c>
      <c r="M1097" t="s">
        <v>25</v>
      </c>
      <c r="N1097" t="s">
        <v>44</v>
      </c>
      <c r="O1097" t="s">
        <v>49</v>
      </c>
      <c r="P1097" t="s">
        <v>28</v>
      </c>
      <c r="Q1097">
        <v>12</v>
      </c>
      <c r="R1097">
        <v>4753.2</v>
      </c>
      <c r="S1097" t="s">
        <v>29</v>
      </c>
    </row>
    <row r="1098" spans="1:19" x14ac:dyDescent="0.3">
      <c r="A1098" t="s">
        <v>1168</v>
      </c>
      <c r="B1098">
        <v>38</v>
      </c>
      <c r="C1098" t="s">
        <v>19</v>
      </c>
      <c r="D1098" t="s">
        <v>61</v>
      </c>
      <c r="E1098" s="1">
        <v>45447</v>
      </c>
      <c r="F1098" s="3">
        <v>45466</v>
      </c>
      <c r="G1098" t="s">
        <v>21</v>
      </c>
      <c r="H1098" t="s">
        <v>22</v>
      </c>
      <c r="I1098" t="s">
        <v>58</v>
      </c>
      <c r="J1098">
        <v>10917.47</v>
      </c>
      <c r="K1098">
        <v>19</v>
      </c>
      <c r="L1098" t="s">
        <v>24</v>
      </c>
      <c r="M1098" t="s">
        <v>25</v>
      </c>
      <c r="N1098" t="s">
        <v>44</v>
      </c>
      <c r="O1098" t="s">
        <v>27</v>
      </c>
      <c r="P1098" t="s">
        <v>50</v>
      </c>
      <c r="Q1098">
        <v>13</v>
      </c>
      <c r="R1098">
        <v>1814.95</v>
      </c>
      <c r="S1098" t="s">
        <v>29</v>
      </c>
    </row>
    <row r="1099" spans="1:19" x14ac:dyDescent="0.3">
      <c r="A1099" t="s">
        <v>1169</v>
      </c>
      <c r="B1099">
        <v>86</v>
      </c>
      <c r="C1099" t="s">
        <v>19</v>
      </c>
      <c r="D1099" t="s">
        <v>89</v>
      </c>
      <c r="E1099" s="1">
        <v>45588</v>
      </c>
      <c r="F1099" s="3">
        <v>45602</v>
      </c>
      <c r="G1099" t="s">
        <v>48</v>
      </c>
      <c r="H1099" t="s">
        <v>22</v>
      </c>
      <c r="I1099" t="s">
        <v>91</v>
      </c>
      <c r="J1099">
        <v>11300.59</v>
      </c>
      <c r="K1099">
        <v>14</v>
      </c>
      <c r="L1099" t="s">
        <v>24</v>
      </c>
      <c r="M1099" t="s">
        <v>25</v>
      </c>
      <c r="N1099" t="s">
        <v>55</v>
      </c>
      <c r="O1099" t="s">
        <v>49</v>
      </c>
      <c r="P1099" t="s">
        <v>28</v>
      </c>
      <c r="Q1099">
        <v>12</v>
      </c>
      <c r="R1099">
        <v>3289.24</v>
      </c>
      <c r="S1099" t="s">
        <v>29</v>
      </c>
    </row>
    <row r="1100" spans="1:19" x14ac:dyDescent="0.3">
      <c r="A1100" t="s">
        <v>1170</v>
      </c>
      <c r="B1100">
        <v>36</v>
      </c>
      <c r="C1100" t="s">
        <v>19</v>
      </c>
      <c r="D1100" t="s">
        <v>79</v>
      </c>
      <c r="E1100" s="1">
        <v>45855</v>
      </c>
      <c r="F1100" s="3">
        <v>45874</v>
      </c>
      <c r="G1100" t="s">
        <v>93</v>
      </c>
      <c r="H1100" t="s">
        <v>72</v>
      </c>
      <c r="I1100" t="s">
        <v>23</v>
      </c>
      <c r="J1100">
        <v>9420.77</v>
      </c>
      <c r="K1100">
        <v>19</v>
      </c>
      <c r="L1100" t="s">
        <v>36</v>
      </c>
      <c r="M1100" t="s">
        <v>25</v>
      </c>
      <c r="N1100" t="s">
        <v>44</v>
      </c>
      <c r="O1100" t="s">
        <v>37</v>
      </c>
      <c r="P1100" t="s">
        <v>50</v>
      </c>
      <c r="Q1100">
        <v>10</v>
      </c>
      <c r="R1100">
        <v>2369.9699999999998</v>
      </c>
      <c r="S1100" t="s">
        <v>29</v>
      </c>
    </row>
    <row r="1101" spans="1:19" x14ac:dyDescent="0.3">
      <c r="A1101" t="s">
        <v>1171</v>
      </c>
      <c r="B1101">
        <v>36</v>
      </c>
      <c r="C1101" t="s">
        <v>19</v>
      </c>
      <c r="D1101" t="s">
        <v>20</v>
      </c>
      <c r="E1101" s="1">
        <v>45343</v>
      </c>
      <c r="F1101" s="3">
        <v>45347</v>
      </c>
      <c r="G1101" t="s">
        <v>33</v>
      </c>
      <c r="H1101" t="s">
        <v>34</v>
      </c>
      <c r="I1101" t="s">
        <v>81</v>
      </c>
      <c r="J1101">
        <v>4929.09</v>
      </c>
      <c r="K1101">
        <v>4</v>
      </c>
      <c r="L1101" t="s">
        <v>36</v>
      </c>
      <c r="M1101" t="s">
        <v>59</v>
      </c>
      <c r="N1101" t="s">
        <v>44</v>
      </c>
      <c r="O1101" t="s">
        <v>56</v>
      </c>
      <c r="P1101" t="s">
        <v>38</v>
      </c>
      <c r="Q1101">
        <v>9</v>
      </c>
      <c r="R1101">
        <v>1897.14</v>
      </c>
      <c r="S1101" t="s">
        <v>29</v>
      </c>
    </row>
    <row r="1102" spans="1:19" x14ac:dyDescent="0.3">
      <c r="A1102" t="s">
        <v>1172</v>
      </c>
      <c r="B1102">
        <v>27</v>
      </c>
      <c r="C1102" t="s">
        <v>31</v>
      </c>
      <c r="D1102" t="s">
        <v>47</v>
      </c>
      <c r="E1102" s="1">
        <v>45732</v>
      </c>
      <c r="F1102" s="3">
        <v>45752</v>
      </c>
      <c r="G1102" t="s">
        <v>21</v>
      </c>
      <c r="H1102" t="s">
        <v>22</v>
      </c>
      <c r="I1102" t="s">
        <v>81</v>
      </c>
      <c r="J1102">
        <v>6560.02</v>
      </c>
      <c r="K1102">
        <v>20</v>
      </c>
      <c r="L1102" t="s">
        <v>36</v>
      </c>
      <c r="M1102" t="s">
        <v>25</v>
      </c>
      <c r="N1102" t="s">
        <v>55</v>
      </c>
      <c r="O1102" t="s">
        <v>37</v>
      </c>
      <c r="P1102" t="s">
        <v>45</v>
      </c>
      <c r="Q1102">
        <v>3</v>
      </c>
      <c r="R1102">
        <v>1233.97</v>
      </c>
      <c r="S1102" t="s">
        <v>29</v>
      </c>
    </row>
    <row r="1103" spans="1:19" x14ac:dyDescent="0.3">
      <c r="A1103" t="s">
        <v>1173</v>
      </c>
      <c r="B1103">
        <v>67</v>
      </c>
      <c r="C1103" t="s">
        <v>31</v>
      </c>
      <c r="D1103" t="s">
        <v>61</v>
      </c>
      <c r="E1103" s="1">
        <v>45103</v>
      </c>
      <c r="F1103" s="3">
        <v>45120</v>
      </c>
      <c r="G1103" t="s">
        <v>93</v>
      </c>
      <c r="H1103" t="s">
        <v>72</v>
      </c>
      <c r="I1103" t="s">
        <v>83</v>
      </c>
      <c r="J1103">
        <v>7992.53</v>
      </c>
      <c r="K1103">
        <v>17</v>
      </c>
      <c r="L1103" t="s">
        <v>24</v>
      </c>
      <c r="M1103" t="s">
        <v>25</v>
      </c>
      <c r="N1103" t="s">
        <v>26</v>
      </c>
      <c r="O1103" t="s">
        <v>27</v>
      </c>
      <c r="P1103" t="s">
        <v>28</v>
      </c>
      <c r="Q1103">
        <v>8</v>
      </c>
      <c r="R1103">
        <v>1732.89</v>
      </c>
      <c r="S1103" t="s">
        <v>39</v>
      </c>
    </row>
    <row r="1104" spans="1:19" x14ac:dyDescent="0.3">
      <c r="A1104" t="s">
        <v>1174</v>
      </c>
      <c r="B1104">
        <v>20</v>
      </c>
      <c r="C1104" t="s">
        <v>31</v>
      </c>
      <c r="D1104" t="s">
        <v>79</v>
      </c>
      <c r="E1104" s="1">
        <v>45423</v>
      </c>
      <c r="F1104" s="3">
        <v>45436</v>
      </c>
      <c r="G1104" t="s">
        <v>41</v>
      </c>
      <c r="H1104" t="s">
        <v>42</v>
      </c>
      <c r="I1104" t="s">
        <v>23</v>
      </c>
      <c r="J1104">
        <v>7655.61</v>
      </c>
      <c r="K1104">
        <v>13</v>
      </c>
      <c r="L1104" t="s">
        <v>36</v>
      </c>
      <c r="M1104" t="s">
        <v>25</v>
      </c>
      <c r="N1104" t="s">
        <v>44</v>
      </c>
      <c r="O1104" t="s">
        <v>37</v>
      </c>
      <c r="P1104" t="s">
        <v>45</v>
      </c>
      <c r="Q1104">
        <v>9</v>
      </c>
      <c r="R1104">
        <v>2825.97</v>
      </c>
      <c r="S1104" t="s">
        <v>29</v>
      </c>
    </row>
    <row r="1105" spans="1:19" x14ac:dyDescent="0.3">
      <c r="A1105" t="s">
        <v>1175</v>
      </c>
      <c r="B1105">
        <v>86</v>
      </c>
      <c r="C1105" t="s">
        <v>19</v>
      </c>
      <c r="D1105" t="s">
        <v>61</v>
      </c>
      <c r="E1105" s="1">
        <v>44958</v>
      </c>
      <c r="F1105" s="3">
        <v>44969</v>
      </c>
      <c r="G1105" t="s">
        <v>62</v>
      </c>
      <c r="H1105" t="s">
        <v>63</v>
      </c>
      <c r="I1105" t="s">
        <v>58</v>
      </c>
      <c r="J1105">
        <v>9393.3799999999992</v>
      </c>
      <c r="K1105">
        <v>11</v>
      </c>
      <c r="L1105" t="s">
        <v>36</v>
      </c>
      <c r="M1105" t="s">
        <v>25</v>
      </c>
      <c r="N1105" t="s">
        <v>44</v>
      </c>
      <c r="O1105" t="s">
        <v>37</v>
      </c>
      <c r="P1105" t="s">
        <v>28</v>
      </c>
      <c r="Q1105">
        <v>11</v>
      </c>
      <c r="R1105">
        <v>2626.14</v>
      </c>
      <c r="S1105" t="s">
        <v>29</v>
      </c>
    </row>
    <row r="1106" spans="1:19" x14ac:dyDescent="0.3">
      <c r="A1106" t="s">
        <v>1176</v>
      </c>
      <c r="B1106">
        <v>48</v>
      </c>
      <c r="C1106" t="s">
        <v>19</v>
      </c>
      <c r="D1106" t="s">
        <v>66</v>
      </c>
      <c r="E1106" s="1">
        <v>45277</v>
      </c>
      <c r="F1106" s="3">
        <v>45293</v>
      </c>
      <c r="G1106" t="s">
        <v>93</v>
      </c>
      <c r="H1106" t="s">
        <v>72</v>
      </c>
      <c r="I1106" t="s">
        <v>54</v>
      </c>
      <c r="J1106">
        <v>5786.01</v>
      </c>
      <c r="K1106">
        <v>16</v>
      </c>
      <c r="L1106" t="s">
        <v>36</v>
      </c>
      <c r="M1106" t="s">
        <v>25</v>
      </c>
      <c r="N1106" t="s">
        <v>44</v>
      </c>
      <c r="O1106" t="s">
        <v>27</v>
      </c>
      <c r="P1106" t="s">
        <v>45</v>
      </c>
      <c r="Q1106">
        <v>3</v>
      </c>
      <c r="R1106">
        <v>2090.2199999999998</v>
      </c>
      <c r="S1106" t="s">
        <v>29</v>
      </c>
    </row>
    <row r="1107" spans="1:19" x14ac:dyDescent="0.3">
      <c r="A1107" t="s">
        <v>1177</v>
      </c>
      <c r="B1107">
        <v>78</v>
      </c>
      <c r="C1107" t="s">
        <v>31</v>
      </c>
      <c r="D1107" t="s">
        <v>20</v>
      </c>
      <c r="E1107" s="1">
        <v>45316</v>
      </c>
      <c r="F1107" s="3">
        <v>45330</v>
      </c>
      <c r="G1107" t="s">
        <v>21</v>
      </c>
      <c r="H1107" t="s">
        <v>22</v>
      </c>
      <c r="I1107" t="s">
        <v>91</v>
      </c>
      <c r="J1107">
        <v>10233.23</v>
      </c>
      <c r="K1107">
        <v>14</v>
      </c>
      <c r="L1107" t="s">
        <v>36</v>
      </c>
      <c r="M1107" t="s">
        <v>25</v>
      </c>
      <c r="N1107" t="s">
        <v>55</v>
      </c>
      <c r="O1107" t="s">
        <v>27</v>
      </c>
      <c r="P1107" t="s">
        <v>38</v>
      </c>
      <c r="Q1107">
        <v>9</v>
      </c>
      <c r="R1107">
        <v>3476.47</v>
      </c>
      <c r="S1107" t="s">
        <v>29</v>
      </c>
    </row>
    <row r="1108" spans="1:19" x14ac:dyDescent="0.3">
      <c r="A1108" t="s">
        <v>1178</v>
      </c>
      <c r="B1108">
        <v>47</v>
      </c>
      <c r="C1108" t="s">
        <v>19</v>
      </c>
      <c r="D1108" t="s">
        <v>79</v>
      </c>
      <c r="E1108" s="1">
        <v>45523</v>
      </c>
      <c r="F1108" s="3">
        <v>45535</v>
      </c>
      <c r="G1108" t="s">
        <v>71</v>
      </c>
      <c r="H1108" t="s">
        <v>72</v>
      </c>
      <c r="I1108" t="s">
        <v>43</v>
      </c>
      <c r="J1108">
        <v>3952.3</v>
      </c>
      <c r="K1108">
        <v>12</v>
      </c>
      <c r="L1108" t="s">
        <v>24</v>
      </c>
      <c r="M1108" t="s">
        <v>59</v>
      </c>
      <c r="N1108" t="s">
        <v>26</v>
      </c>
      <c r="O1108" t="s">
        <v>37</v>
      </c>
      <c r="P1108" t="s">
        <v>50</v>
      </c>
      <c r="Q1108">
        <v>7</v>
      </c>
      <c r="R1108">
        <v>1034.45</v>
      </c>
      <c r="S1108" t="s">
        <v>29</v>
      </c>
    </row>
    <row r="1109" spans="1:19" x14ac:dyDescent="0.3">
      <c r="A1109" t="s">
        <v>1179</v>
      </c>
      <c r="B1109">
        <v>89</v>
      </c>
      <c r="C1109" t="s">
        <v>31</v>
      </c>
      <c r="D1109" t="s">
        <v>32</v>
      </c>
      <c r="E1109" s="1">
        <v>45904</v>
      </c>
      <c r="F1109" s="3">
        <v>45910</v>
      </c>
      <c r="G1109" t="s">
        <v>21</v>
      </c>
      <c r="H1109" t="s">
        <v>22</v>
      </c>
      <c r="I1109" t="s">
        <v>35</v>
      </c>
      <c r="J1109">
        <v>2966.2</v>
      </c>
      <c r="K1109">
        <v>6</v>
      </c>
      <c r="L1109" t="s">
        <v>36</v>
      </c>
      <c r="M1109" t="s">
        <v>25</v>
      </c>
      <c r="N1109" t="s">
        <v>44</v>
      </c>
      <c r="O1109" t="s">
        <v>27</v>
      </c>
      <c r="P1109" t="s">
        <v>50</v>
      </c>
      <c r="Q1109">
        <v>5</v>
      </c>
      <c r="R1109">
        <v>1169.97</v>
      </c>
      <c r="S1109" t="s">
        <v>29</v>
      </c>
    </row>
    <row r="1110" spans="1:19" x14ac:dyDescent="0.3">
      <c r="A1110" t="s">
        <v>1180</v>
      </c>
      <c r="B1110">
        <v>51</v>
      </c>
      <c r="C1110" t="s">
        <v>19</v>
      </c>
      <c r="D1110" t="s">
        <v>79</v>
      </c>
      <c r="E1110" s="1">
        <v>45745</v>
      </c>
      <c r="F1110" s="3">
        <v>45762</v>
      </c>
      <c r="G1110" t="s">
        <v>74</v>
      </c>
      <c r="H1110" t="s">
        <v>75</v>
      </c>
      <c r="I1110" t="s">
        <v>91</v>
      </c>
      <c r="J1110">
        <v>10428.48</v>
      </c>
      <c r="K1110">
        <v>17</v>
      </c>
      <c r="L1110" t="s">
        <v>36</v>
      </c>
      <c r="M1110" t="s">
        <v>25</v>
      </c>
      <c r="N1110" t="s">
        <v>55</v>
      </c>
      <c r="O1110" t="s">
        <v>56</v>
      </c>
      <c r="P1110" t="s">
        <v>28</v>
      </c>
      <c r="Q1110">
        <v>7</v>
      </c>
      <c r="R1110">
        <v>1997.14</v>
      </c>
      <c r="S1110" t="s">
        <v>29</v>
      </c>
    </row>
    <row r="1111" spans="1:19" x14ac:dyDescent="0.3">
      <c r="A1111" t="s">
        <v>1181</v>
      </c>
      <c r="B1111">
        <v>40</v>
      </c>
      <c r="C1111" t="s">
        <v>19</v>
      </c>
      <c r="D1111" t="s">
        <v>70</v>
      </c>
      <c r="E1111" s="1">
        <v>45753</v>
      </c>
      <c r="F1111" s="3">
        <v>45763</v>
      </c>
      <c r="G1111" t="s">
        <v>33</v>
      </c>
      <c r="H1111" t="s">
        <v>34</v>
      </c>
      <c r="I1111" t="s">
        <v>54</v>
      </c>
      <c r="J1111">
        <v>8879.58</v>
      </c>
      <c r="K1111">
        <v>10</v>
      </c>
      <c r="L1111" t="s">
        <v>24</v>
      </c>
      <c r="M1111" t="s">
        <v>25</v>
      </c>
      <c r="N1111" t="s">
        <v>26</v>
      </c>
      <c r="O1111" t="s">
        <v>56</v>
      </c>
      <c r="P1111" t="s">
        <v>28</v>
      </c>
      <c r="Q1111">
        <v>3</v>
      </c>
      <c r="R1111">
        <v>2378.46</v>
      </c>
      <c r="S1111" t="s">
        <v>29</v>
      </c>
    </row>
    <row r="1112" spans="1:19" x14ac:dyDescent="0.3">
      <c r="A1112" t="s">
        <v>1182</v>
      </c>
      <c r="B1112">
        <v>33</v>
      </c>
      <c r="C1112" t="s">
        <v>19</v>
      </c>
      <c r="D1112" t="s">
        <v>66</v>
      </c>
      <c r="E1112" s="1">
        <v>45240</v>
      </c>
      <c r="F1112" s="3">
        <v>45247</v>
      </c>
      <c r="G1112" t="s">
        <v>41</v>
      </c>
      <c r="H1112" t="s">
        <v>42</v>
      </c>
      <c r="I1112" t="s">
        <v>83</v>
      </c>
      <c r="J1112">
        <v>6512.43</v>
      </c>
      <c r="K1112">
        <v>7</v>
      </c>
      <c r="L1112" t="s">
        <v>36</v>
      </c>
      <c r="M1112" t="s">
        <v>25</v>
      </c>
      <c r="N1112" t="s">
        <v>26</v>
      </c>
      <c r="O1112" t="s">
        <v>56</v>
      </c>
      <c r="P1112" t="s">
        <v>28</v>
      </c>
      <c r="Q1112">
        <v>1</v>
      </c>
      <c r="R1112">
        <v>1728.47</v>
      </c>
      <c r="S1112" t="s">
        <v>29</v>
      </c>
    </row>
    <row r="1113" spans="1:19" x14ac:dyDescent="0.3">
      <c r="A1113" t="s">
        <v>1183</v>
      </c>
      <c r="B1113">
        <v>50</v>
      </c>
      <c r="C1113" t="s">
        <v>31</v>
      </c>
      <c r="D1113" t="s">
        <v>61</v>
      </c>
      <c r="E1113" s="1">
        <v>45902</v>
      </c>
      <c r="F1113" s="3">
        <v>45918</v>
      </c>
      <c r="G1113" t="s">
        <v>74</v>
      </c>
      <c r="H1113" t="s">
        <v>75</v>
      </c>
      <c r="I1113" t="s">
        <v>43</v>
      </c>
      <c r="J1113">
        <v>9786.11</v>
      </c>
      <c r="K1113">
        <v>16</v>
      </c>
      <c r="L1113" t="s">
        <v>36</v>
      </c>
      <c r="M1113" t="s">
        <v>25</v>
      </c>
      <c r="N1113" t="s">
        <v>26</v>
      </c>
      <c r="O1113" t="s">
        <v>49</v>
      </c>
      <c r="P1113" t="s">
        <v>28</v>
      </c>
      <c r="Q1113">
        <v>14</v>
      </c>
      <c r="R1113">
        <v>3635.27</v>
      </c>
      <c r="S1113" t="s">
        <v>29</v>
      </c>
    </row>
    <row r="1114" spans="1:19" x14ac:dyDescent="0.3">
      <c r="A1114" t="s">
        <v>1184</v>
      </c>
      <c r="B1114">
        <v>23</v>
      </c>
      <c r="C1114" t="s">
        <v>19</v>
      </c>
      <c r="D1114" t="s">
        <v>70</v>
      </c>
      <c r="E1114" s="1">
        <v>45222</v>
      </c>
      <c r="F1114" s="3">
        <v>45230</v>
      </c>
      <c r="G1114" t="s">
        <v>33</v>
      </c>
      <c r="H1114" t="s">
        <v>34</v>
      </c>
      <c r="I1114" t="s">
        <v>43</v>
      </c>
      <c r="J1114">
        <v>9754.83</v>
      </c>
      <c r="K1114">
        <v>8</v>
      </c>
      <c r="L1114" t="s">
        <v>24</v>
      </c>
      <c r="M1114" t="s">
        <v>25</v>
      </c>
      <c r="N1114" t="s">
        <v>55</v>
      </c>
      <c r="O1114" t="s">
        <v>49</v>
      </c>
      <c r="P1114" t="s">
        <v>50</v>
      </c>
      <c r="Q1114">
        <v>11</v>
      </c>
      <c r="R1114">
        <v>2965.29</v>
      </c>
      <c r="S1114" t="s">
        <v>29</v>
      </c>
    </row>
    <row r="1115" spans="1:19" x14ac:dyDescent="0.3">
      <c r="A1115" t="s">
        <v>1185</v>
      </c>
      <c r="B1115">
        <v>80</v>
      </c>
      <c r="C1115" t="s">
        <v>19</v>
      </c>
      <c r="D1115" t="s">
        <v>70</v>
      </c>
      <c r="E1115" s="1">
        <v>45492</v>
      </c>
      <c r="F1115" s="3">
        <v>45508</v>
      </c>
      <c r="G1115" t="s">
        <v>33</v>
      </c>
      <c r="H1115" t="s">
        <v>34</v>
      </c>
      <c r="I1115" t="s">
        <v>35</v>
      </c>
      <c r="J1115">
        <v>10605.38</v>
      </c>
      <c r="K1115">
        <v>16</v>
      </c>
      <c r="L1115" t="s">
        <v>36</v>
      </c>
      <c r="M1115" t="s">
        <v>25</v>
      </c>
      <c r="N1115" t="s">
        <v>44</v>
      </c>
      <c r="O1115" t="s">
        <v>27</v>
      </c>
      <c r="P1115" t="s">
        <v>38</v>
      </c>
      <c r="Q1115">
        <v>10</v>
      </c>
      <c r="R1115">
        <v>1927.65</v>
      </c>
      <c r="S1115" t="s">
        <v>29</v>
      </c>
    </row>
    <row r="1116" spans="1:19" x14ac:dyDescent="0.3">
      <c r="A1116" t="s">
        <v>1186</v>
      </c>
      <c r="B1116">
        <v>87</v>
      </c>
      <c r="C1116" t="s">
        <v>31</v>
      </c>
      <c r="D1116" t="s">
        <v>47</v>
      </c>
      <c r="E1116" s="1">
        <v>45272</v>
      </c>
      <c r="F1116" s="3">
        <v>45281</v>
      </c>
      <c r="G1116" t="s">
        <v>71</v>
      </c>
      <c r="H1116" t="s">
        <v>72</v>
      </c>
      <c r="I1116" t="s">
        <v>58</v>
      </c>
      <c r="J1116">
        <v>4254.05</v>
      </c>
      <c r="K1116">
        <v>9</v>
      </c>
      <c r="L1116" t="s">
        <v>36</v>
      </c>
      <c r="M1116" t="s">
        <v>25</v>
      </c>
      <c r="N1116" t="s">
        <v>26</v>
      </c>
      <c r="O1116" t="s">
        <v>27</v>
      </c>
      <c r="P1116" t="s">
        <v>28</v>
      </c>
      <c r="Q1116">
        <v>8</v>
      </c>
      <c r="R1116">
        <v>934.88</v>
      </c>
      <c r="S1116" t="s">
        <v>29</v>
      </c>
    </row>
    <row r="1117" spans="1:19" x14ac:dyDescent="0.3">
      <c r="A1117" t="s">
        <v>1187</v>
      </c>
      <c r="B1117">
        <v>74</v>
      </c>
      <c r="C1117" t="s">
        <v>19</v>
      </c>
      <c r="D1117" t="s">
        <v>66</v>
      </c>
      <c r="E1117" s="1">
        <v>45157</v>
      </c>
      <c r="F1117" s="3">
        <v>45167</v>
      </c>
      <c r="G1117" t="s">
        <v>48</v>
      </c>
      <c r="H1117" t="s">
        <v>22</v>
      </c>
      <c r="I1117" t="s">
        <v>91</v>
      </c>
      <c r="J1117">
        <v>5295.38</v>
      </c>
      <c r="K1117">
        <v>10</v>
      </c>
      <c r="L1117" t="s">
        <v>24</v>
      </c>
      <c r="M1117" t="s">
        <v>25</v>
      </c>
      <c r="N1117" t="s">
        <v>55</v>
      </c>
      <c r="O1117" t="s">
        <v>56</v>
      </c>
      <c r="P1117" t="s">
        <v>38</v>
      </c>
      <c r="Q1117">
        <v>1</v>
      </c>
      <c r="R1117">
        <v>1455.89</v>
      </c>
      <c r="S1117" t="s">
        <v>39</v>
      </c>
    </row>
    <row r="1118" spans="1:19" x14ac:dyDescent="0.3">
      <c r="A1118" t="s">
        <v>1188</v>
      </c>
      <c r="B1118">
        <v>20</v>
      </c>
      <c r="C1118" t="s">
        <v>31</v>
      </c>
      <c r="D1118" t="s">
        <v>89</v>
      </c>
      <c r="E1118" s="1">
        <v>45361</v>
      </c>
      <c r="F1118" s="3">
        <v>45376</v>
      </c>
      <c r="G1118" t="s">
        <v>41</v>
      </c>
      <c r="H1118" t="s">
        <v>42</v>
      </c>
      <c r="I1118" t="s">
        <v>43</v>
      </c>
      <c r="J1118">
        <v>7447.15</v>
      </c>
      <c r="K1118">
        <v>15</v>
      </c>
      <c r="L1118" t="s">
        <v>36</v>
      </c>
      <c r="M1118" t="s">
        <v>101</v>
      </c>
      <c r="N1118" t="s">
        <v>26</v>
      </c>
      <c r="O1118" t="s">
        <v>27</v>
      </c>
      <c r="P1118" t="s">
        <v>45</v>
      </c>
      <c r="Q1118">
        <v>12</v>
      </c>
      <c r="R1118">
        <v>2897.5</v>
      </c>
      <c r="S1118" t="s">
        <v>29</v>
      </c>
    </row>
    <row r="1119" spans="1:19" x14ac:dyDescent="0.3">
      <c r="A1119" t="s">
        <v>1189</v>
      </c>
      <c r="B1119">
        <v>89</v>
      </c>
      <c r="C1119" t="s">
        <v>31</v>
      </c>
      <c r="D1119" t="s">
        <v>66</v>
      </c>
      <c r="E1119" s="1">
        <v>45187</v>
      </c>
      <c r="F1119" s="3">
        <v>45205</v>
      </c>
      <c r="G1119" t="s">
        <v>93</v>
      </c>
      <c r="H1119" t="s">
        <v>72</v>
      </c>
      <c r="I1119" t="s">
        <v>35</v>
      </c>
      <c r="J1119">
        <v>13707.77</v>
      </c>
      <c r="K1119">
        <v>18</v>
      </c>
      <c r="L1119" t="s">
        <v>36</v>
      </c>
      <c r="M1119" t="s">
        <v>25</v>
      </c>
      <c r="N1119" t="s">
        <v>44</v>
      </c>
      <c r="O1119" t="s">
        <v>56</v>
      </c>
      <c r="P1119" t="s">
        <v>38</v>
      </c>
      <c r="Q1119">
        <v>10</v>
      </c>
      <c r="R1119">
        <v>5235.28</v>
      </c>
      <c r="S1119" t="s">
        <v>29</v>
      </c>
    </row>
    <row r="1120" spans="1:19" x14ac:dyDescent="0.3">
      <c r="A1120" t="s">
        <v>1190</v>
      </c>
      <c r="B1120">
        <v>73</v>
      </c>
      <c r="C1120" t="s">
        <v>19</v>
      </c>
      <c r="D1120" t="s">
        <v>32</v>
      </c>
      <c r="E1120" s="1">
        <v>45908</v>
      </c>
      <c r="F1120" s="3">
        <v>45925</v>
      </c>
      <c r="G1120" t="s">
        <v>67</v>
      </c>
      <c r="H1120" t="s">
        <v>42</v>
      </c>
      <c r="I1120" t="s">
        <v>43</v>
      </c>
      <c r="J1120">
        <v>6345.84</v>
      </c>
      <c r="K1120">
        <v>17</v>
      </c>
      <c r="L1120" t="s">
        <v>24</v>
      </c>
      <c r="M1120" t="s">
        <v>59</v>
      </c>
      <c r="N1120" t="s">
        <v>55</v>
      </c>
      <c r="O1120" t="s">
        <v>56</v>
      </c>
      <c r="P1120" t="s">
        <v>45</v>
      </c>
      <c r="Q1120">
        <v>15</v>
      </c>
      <c r="R1120">
        <v>2357.0700000000002</v>
      </c>
      <c r="S1120" t="s">
        <v>29</v>
      </c>
    </row>
    <row r="1121" spans="1:19" x14ac:dyDescent="0.3">
      <c r="A1121" t="s">
        <v>1191</v>
      </c>
      <c r="B1121">
        <v>59</v>
      </c>
      <c r="C1121" t="s">
        <v>31</v>
      </c>
      <c r="D1121" t="s">
        <v>47</v>
      </c>
      <c r="E1121" s="1">
        <v>45021</v>
      </c>
      <c r="F1121" s="3">
        <v>45050</v>
      </c>
      <c r="G1121" t="s">
        <v>52</v>
      </c>
      <c r="H1121" t="s">
        <v>53</v>
      </c>
      <c r="I1121" t="s">
        <v>54</v>
      </c>
      <c r="J1121">
        <v>25823.360000000001</v>
      </c>
      <c r="K1121">
        <v>29</v>
      </c>
      <c r="L1121" t="s">
        <v>24</v>
      </c>
      <c r="M1121" t="s">
        <v>25</v>
      </c>
      <c r="N1121" t="s">
        <v>44</v>
      </c>
      <c r="O1121" t="s">
        <v>49</v>
      </c>
      <c r="P1121" t="s">
        <v>50</v>
      </c>
      <c r="Q1121">
        <v>1</v>
      </c>
      <c r="R1121">
        <v>6890.71</v>
      </c>
      <c r="S1121" t="s">
        <v>29</v>
      </c>
    </row>
    <row r="1122" spans="1:19" x14ac:dyDescent="0.3">
      <c r="A1122" t="s">
        <v>1192</v>
      </c>
      <c r="B1122">
        <v>24</v>
      </c>
      <c r="C1122" t="s">
        <v>19</v>
      </c>
      <c r="D1122" t="s">
        <v>70</v>
      </c>
      <c r="E1122" s="1">
        <v>45510</v>
      </c>
      <c r="F1122" s="3">
        <v>45511</v>
      </c>
      <c r="G1122" t="s">
        <v>41</v>
      </c>
      <c r="H1122" t="s">
        <v>42</v>
      </c>
      <c r="I1122" t="s">
        <v>43</v>
      </c>
      <c r="J1122">
        <v>2379.84</v>
      </c>
      <c r="K1122">
        <v>1</v>
      </c>
      <c r="L1122" t="s">
        <v>36</v>
      </c>
      <c r="M1122" t="s">
        <v>25</v>
      </c>
      <c r="N1122" t="s">
        <v>44</v>
      </c>
      <c r="O1122" t="s">
        <v>27</v>
      </c>
      <c r="P1122" t="s">
        <v>38</v>
      </c>
      <c r="Q1122">
        <v>11</v>
      </c>
      <c r="R1122">
        <v>605.49</v>
      </c>
      <c r="S1122" t="s">
        <v>29</v>
      </c>
    </row>
    <row r="1123" spans="1:19" x14ac:dyDescent="0.3">
      <c r="A1123" t="s">
        <v>1193</v>
      </c>
      <c r="B1123">
        <v>57</v>
      </c>
      <c r="C1123" t="s">
        <v>31</v>
      </c>
      <c r="D1123" t="s">
        <v>66</v>
      </c>
      <c r="E1123" s="1">
        <v>45910</v>
      </c>
      <c r="F1123" s="3">
        <v>45921</v>
      </c>
      <c r="G1123" t="s">
        <v>33</v>
      </c>
      <c r="H1123" t="s">
        <v>34</v>
      </c>
      <c r="I1123" t="s">
        <v>83</v>
      </c>
      <c r="J1123">
        <v>4701.46</v>
      </c>
      <c r="K1123">
        <v>11</v>
      </c>
      <c r="L1123" t="s">
        <v>24</v>
      </c>
      <c r="M1123" t="s">
        <v>25</v>
      </c>
      <c r="N1123" t="s">
        <v>44</v>
      </c>
      <c r="O1123" t="s">
        <v>37</v>
      </c>
      <c r="P1123" t="s">
        <v>38</v>
      </c>
      <c r="Q1123">
        <v>2</v>
      </c>
      <c r="R1123">
        <v>991.9</v>
      </c>
      <c r="S1123" t="s">
        <v>29</v>
      </c>
    </row>
    <row r="1124" spans="1:19" x14ac:dyDescent="0.3">
      <c r="A1124" t="s">
        <v>1194</v>
      </c>
      <c r="B1124">
        <v>41</v>
      </c>
      <c r="C1124" t="s">
        <v>19</v>
      </c>
      <c r="D1124" t="s">
        <v>32</v>
      </c>
      <c r="E1124" s="1">
        <v>45013</v>
      </c>
      <c r="F1124" s="3">
        <v>45026</v>
      </c>
      <c r="G1124" t="s">
        <v>93</v>
      </c>
      <c r="H1124" t="s">
        <v>72</v>
      </c>
      <c r="I1124" t="s">
        <v>35</v>
      </c>
      <c r="J1124">
        <v>4931.17</v>
      </c>
      <c r="K1124">
        <v>13</v>
      </c>
      <c r="L1124" t="s">
        <v>36</v>
      </c>
      <c r="M1124" t="s">
        <v>25</v>
      </c>
      <c r="N1124" t="s">
        <v>44</v>
      </c>
      <c r="O1124" t="s">
        <v>56</v>
      </c>
      <c r="P1124" t="s">
        <v>45</v>
      </c>
      <c r="Q1124">
        <v>15</v>
      </c>
      <c r="R1124">
        <v>1085.95</v>
      </c>
      <c r="S1124" t="s">
        <v>29</v>
      </c>
    </row>
    <row r="1125" spans="1:19" x14ac:dyDescent="0.3">
      <c r="A1125" t="s">
        <v>1195</v>
      </c>
      <c r="B1125">
        <v>66</v>
      </c>
      <c r="C1125" t="s">
        <v>19</v>
      </c>
      <c r="D1125" t="s">
        <v>89</v>
      </c>
      <c r="E1125" s="1">
        <v>45644</v>
      </c>
      <c r="F1125" s="3">
        <v>45646</v>
      </c>
      <c r="G1125" t="s">
        <v>67</v>
      </c>
      <c r="H1125" t="s">
        <v>42</v>
      </c>
      <c r="I1125" t="s">
        <v>91</v>
      </c>
      <c r="J1125">
        <v>3821.43</v>
      </c>
      <c r="K1125">
        <v>2</v>
      </c>
      <c r="L1125" t="s">
        <v>24</v>
      </c>
      <c r="M1125" t="s">
        <v>25</v>
      </c>
      <c r="N1125" t="s">
        <v>44</v>
      </c>
      <c r="O1125" t="s">
        <v>56</v>
      </c>
      <c r="P1125" t="s">
        <v>50</v>
      </c>
      <c r="Q1125">
        <v>3</v>
      </c>
      <c r="R1125">
        <v>955.25</v>
      </c>
      <c r="S1125" t="s">
        <v>29</v>
      </c>
    </row>
    <row r="1126" spans="1:19" x14ac:dyDescent="0.3">
      <c r="A1126" t="s">
        <v>1196</v>
      </c>
      <c r="B1126">
        <v>29</v>
      </c>
      <c r="C1126" t="s">
        <v>19</v>
      </c>
      <c r="D1126" t="s">
        <v>20</v>
      </c>
      <c r="E1126" s="1">
        <v>45687</v>
      </c>
      <c r="F1126" s="3">
        <v>45698</v>
      </c>
      <c r="G1126" t="s">
        <v>41</v>
      </c>
      <c r="H1126" t="s">
        <v>42</v>
      </c>
      <c r="I1126" t="s">
        <v>83</v>
      </c>
      <c r="J1126">
        <v>10349.99</v>
      </c>
      <c r="K1126">
        <v>11</v>
      </c>
      <c r="L1126" t="s">
        <v>36</v>
      </c>
      <c r="M1126" t="s">
        <v>25</v>
      </c>
      <c r="N1126" t="s">
        <v>44</v>
      </c>
      <c r="O1126" t="s">
        <v>49</v>
      </c>
      <c r="P1126" t="s">
        <v>45</v>
      </c>
      <c r="Q1126">
        <v>9</v>
      </c>
      <c r="R1126">
        <v>3952.05</v>
      </c>
      <c r="S1126" t="s">
        <v>39</v>
      </c>
    </row>
    <row r="1127" spans="1:19" x14ac:dyDescent="0.3">
      <c r="A1127" t="s">
        <v>1197</v>
      </c>
      <c r="B1127">
        <v>66</v>
      </c>
      <c r="C1127" t="s">
        <v>19</v>
      </c>
      <c r="D1127" t="s">
        <v>66</v>
      </c>
      <c r="E1127" s="1">
        <v>44985</v>
      </c>
      <c r="F1127" s="3">
        <v>44989</v>
      </c>
      <c r="G1127" t="s">
        <v>52</v>
      </c>
      <c r="H1127" t="s">
        <v>53</v>
      </c>
      <c r="I1127" t="s">
        <v>54</v>
      </c>
      <c r="J1127">
        <v>5132.45</v>
      </c>
      <c r="K1127">
        <v>4</v>
      </c>
      <c r="L1127" t="s">
        <v>24</v>
      </c>
      <c r="M1127" t="s">
        <v>25</v>
      </c>
      <c r="N1127" t="s">
        <v>55</v>
      </c>
      <c r="O1127" t="s">
        <v>56</v>
      </c>
      <c r="P1127" t="s">
        <v>45</v>
      </c>
      <c r="Q1127">
        <v>11</v>
      </c>
      <c r="R1127">
        <v>1213.71</v>
      </c>
      <c r="S1127" t="s">
        <v>39</v>
      </c>
    </row>
    <row r="1128" spans="1:19" x14ac:dyDescent="0.3">
      <c r="A1128" t="s">
        <v>1198</v>
      </c>
      <c r="B1128">
        <v>58</v>
      </c>
      <c r="C1128" t="s">
        <v>19</v>
      </c>
      <c r="D1128" t="s">
        <v>47</v>
      </c>
      <c r="E1128" s="1">
        <v>45016</v>
      </c>
      <c r="F1128" s="3">
        <v>45037</v>
      </c>
      <c r="G1128" t="s">
        <v>62</v>
      </c>
      <c r="H1128" t="s">
        <v>63</v>
      </c>
      <c r="I1128" t="s">
        <v>43</v>
      </c>
      <c r="J1128">
        <v>11707.3</v>
      </c>
      <c r="K1128">
        <v>21</v>
      </c>
      <c r="L1128" t="s">
        <v>36</v>
      </c>
      <c r="M1128" t="s">
        <v>25</v>
      </c>
      <c r="N1128" t="s">
        <v>55</v>
      </c>
      <c r="O1128" t="s">
        <v>49</v>
      </c>
      <c r="P1128" t="s">
        <v>28</v>
      </c>
      <c r="Q1128">
        <v>9</v>
      </c>
      <c r="R1128">
        <v>3170.54</v>
      </c>
      <c r="S1128" t="s">
        <v>29</v>
      </c>
    </row>
    <row r="1129" spans="1:19" x14ac:dyDescent="0.3">
      <c r="A1129" t="s">
        <v>1199</v>
      </c>
      <c r="B1129">
        <v>52</v>
      </c>
      <c r="C1129" t="s">
        <v>31</v>
      </c>
      <c r="D1129" t="s">
        <v>20</v>
      </c>
      <c r="E1129" s="1">
        <v>45643</v>
      </c>
      <c r="F1129" s="3">
        <v>45649</v>
      </c>
      <c r="G1129" t="s">
        <v>71</v>
      </c>
      <c r="H1129" t="s">
        <v>72</v>
      </c>
      <c r="I1129" t="s">
        <v>43</v>
      </c>
      <c r="J1129">
        <v>10431.950000000001</v>
      </c>
      <c r="K1129">
        <v>6</v>
      </c>
      <c r="L1129" t="s">
        <v>24</v>
      </c>
      <c r="M1129" t="s">
        <v>25</v>
      </c>
      <c r="N1129" t="s">
        <v>26</v>
      </c>
      <c r="O1129" t="s">
        <v>49</v>
      </c>
      <c r="P1129" t="s">
        <v>38</v>
      </c>
      <c r="Q1129">
        <v>12</v>
      </c>
      <c r="R1129">
        <v>2057.83</v>
      </c>
      <c r="S1129" t="s">
        <v>29</v>
      </c>
    </row>
    <row r="1130" spans="1:19" x14ac:dyDescent="0.3">
      <c r="A1130" t="s">
        <v>1200</v>
      </c>
      <c r="B1130">
        <v>86</v>
      </c>
      <c r="C1130" t="s">
        <v>19</v>
      </c>
      <c r="D1130" t="s">
        <v>70</v>
      </c>
      <c r="E1130" s="1">
        <v>45595</v>
      </c>
      <c r="F1130" s="3">
        <v>45596</v>
      </c>
      <c r="G1130" t="s">
        <v>48</v>
      </c>
      <c r="H1130" t="s">
        <v>22</v>
      </c>
      <c r="I1130" t="s">
        <v>91</v>
      </c>
      <c r="J1130">
        <v>1416.2</v>
      </c>
      <c r="K1130">
        <v>1</v>
      </c>
      <c r="L1130" t="s">
        <v>36</v>
      </c>
      <c r="M1130" t="s">
        <v>25</v>
      </c>
      <c r="N1130" t="s">
        <v>44</v>
      </c>
      <c r="O1130" t="s">
        <v>27</v>
      </c>
      <c r="P1130" t="s">
        <v>28</v>
      </c>
      <c r="Q1130">
        <v>13</v>
      </c>
      <c r="R1130">
        <v>405.67</v>
      </c>
      <c r="S1130" t="s">
        <v>29</v>
      </c>
    </row>
    <row r="1131" spans="1:19" x14ac:dyDescent="0.3">
      <c r="A1131" t="s">
        <v>1201</v>
      </c>
      <c r="B1131">
        <v>50</v>
      </c>
      <c r="C1131" t="s">
        <v>31</v>
      </c>
      <c r="D1131" t="s">
        <v>79</v>
      </c>
      <c r="E1131" s="1">
        <v>45109</v>
      </c>
      <c r="F1131" s="3">
        <v>45131</v>
      </c>
      <c r="G1131" t="s">
        <v>33</v>
      </c>
      <c r="H1131" t="s">
        <v>34</v>
      </c>
      <c r="I1131" t="s">
        <v>83</v>
      </c>
      <c r="J1131">
        <v>18979.63</v>
      </c>
      <c r="K1131">
        <v>22</v>
      </c>
      <c r="L1131" t="s">
        <v>36</v>
      </c>
      <c r="M1131" t="s">
        <v>25</v>
      </c>
      <c r="N1131" t="s">
        <v>55</v>
      </c>
      <c r="O1131" t="s">
        <v>49</v>
      </c>
      <c r="P1131" t="s">
        <v>45</v>
      </c>
      <c r="Q1131">
        <v>2</v>
      </c>
      <c r="R1131">
        <v>4706.8900000000003</v>
      </c>
      <c r="S1131" t="s">
        <v>29</v>
      </c>
    </row>
    <row r="1132" spans="1:19" x14ac:dyDescent="0.3">
      <c r="A1132" t="s">
        <v>1202</v>
      </c>
      <c r="B1132">
        <v>40</v>
      </c>
      <c r="C1132" t="s">
        <v>31</v>
      </c>
      <c r="D1132" t="s">
        <v>32</v>
      </c>
      <c r="E1132" s="1">
        <v>45736</v>
      </c>
      <c r="F1132" s="3">
        <v>45747</v>
      </c>
      <c r="G1132" t="s">
        <v>41</v>
      </c>
      <c r="H1132" t="s">
        <v>42</v>
      </c>
      <c r="I1132" t="s">
        <v>43</v>
      </c>
      <c r="J1132">
        <v>6304.11</v>
      </c>
      <c r="K1132">
        <v>11</v>
      </c>
      <c r="L1132" t="s">
        <v>36</v>
      </c>
      <c r="M1132" t="s">
        <v>25</v>
      </c>
      <c r="N1132" t="s">
        <v>55</v>
      </c>
      <c r="O1132" t="s">
        <v>56</v>
      </c>
      <c r="P1132" t="s">
        <v>28</v>
      </c>
      <c r="Q1132">
        <v>5</v>
      </c>
      <c r="R1132">
        <v>1447.8</v>
      </c>
      <c r="S1132" t="s">
        <v>29</v>
      </c>
    </row>
    <row r="1133" spans="1:19" x14ac:dyDescent="0.3">
      <c r="A1133" t="s">
        <v>1203</v>
      </c>
      <c r="B1133">
        <v>64</v>
      </c>
      <c r="C1133" t="s">
        <v>19</v>
      </c>
      <c r="D1133" t="s">
        <v>66</v>
      </c>
      <c r="E1133" s="1">
        <v>45721</v>
      </c>
      <c r="F1133" s="3">
        <v>45733</v>
      </c>
      <c r="G1133" t="s">
        <v>74</v>
      </c>
      <c r="H1133" t="s">
        <v>75</v>
      </c>
      <c r="I1133" t="s">
        <v>81</v>
      </c>
      <c r="J1133">
        <v>6449.15</v>
      </c>
      <c r="K1133">
        <v>12</v>
      </c>
      <c r="L1133" t="s">
        <v>24</v>
      </c>
      <c r="M1133" t="s">
        <v>25</v>
      </c>
      <c r="N1133" t="s">
        <v>55</v>
      </c>
      <c r="O1133" t="s">
        <v>56</v>
      </c>
      <c r="P1133" t="s">
        <v>38</v>
      </c>
      <c r="Q1133">
        <v>9</v>
      </c>
      <c r="R1133">
        <v>1866.57</v>
      </c>
      <c r="S1133" t="s">
        <v>29</v>
      </c>
    </row>
    <row r="1134" spans="1:19" x14ac:dyDescent="0.3">
      <c r="A1134" t="s">
        <v>1204</v>
      </c>
      <c r="B1134">
        <v>45</v>
      </c>
      <c r="C1134" t="s">
        <v>19</v>
      </c>
      <c r="D1134" t="s">
        <v>66</v>
      </c>
      <c r="E1134" s="1">
        <v>45417</v>
      </c>
      <c r="F1134" s="3">
        <v>45436</v>
      </c>
      <c r="G1134" t="s">
        <v>41</v>
      </c>
      <c r="H1134" t="s">
        <v>42</v>
      </c>
      <c r="I1134" t="s">
        <v>54</v>
      </c>
      <c r="J1134">
        <v>8201.74</v>
      </c>
      <c r="K1134">
        <v>19</v>
      </c>
      <c r="L1134" t="s">
        <v>36</v>
      </c>
      <c r="M1134" t="s">
        <v>25</v>
      </c>
      <c r="N1134" t="s">
        <v>44</v>
      </c>
      <c r="O1134" t="s">
        <v>56</v>
      </c>
      <c r="P1134" t="s">
        <v>38</v>
      </c>
      <c r="Q1134">
        <v>12</v>
      </c>
      <c r="R1134">
        <v>1978.07</v>
      </c>
      <c r="S1134" t="s">
        <v>29</v>
      </c>
    </row>
    <row r="1135" spans="1:19" x14ac:dyDescent="0.3">
      <c r="A1135" t="s">
        <v>1205</v>
      </c>
      <c r="B1135">
        <v>29</v>
      </c>
      <c r="C1135" t="s">
        <v>31</v>
      </c>
      <c r="D1135" t="s">
        <v>32</v>
      </c>
      <c r="E1135" s="1">
        <v>45807</v>
      </c>
      <c r="F1135" s="3">
        <v>45826</v>
      </c>
      <c r="G1135" t="s">
        <v>33</v>
      </c>
      <c r="H1135" t="s">
        <v>34</v>
      </c>
      <c r="I1135" t="s">
        <v>81</v>
      </c>
      <c r="J1135">
        <v>7811.78</v>
      </c>
      <c r="K1135">
        <v>19</v>
      </c>
      <c r="L1135" t="s">
        <v>36</v>
      </c>
      <c r="M1135" t="s">
        <v>25</v>
      </c>
      <c r="N1135" t="s">
        <v>26</v>
      </c>
      <c r="O1135" t="s">
        <v>37</v>
      </c>
      <c r="P1135" t="s">
        <v>50</v>
      </c>
      <c r="Q1135">
        <v>13</v>
      </c>
      <c r="R1135">
        <v>1693.84</v>
      </c>
      <c r="S1135" t="s">
        <v>29</v>
      </c>
    </row>
    <row r="1136" spans="1:19" x14ac:dyDescent="0.3">
      <c r="A1136" t="s">
        <v>1206</v>
      </c>
      <c r="B1136">
        <v>31</v>
      </c>
      <c r="C1136" t="s">
        <v>31</v>
      </c>
      <c r="D1136" t="s">
        <v>32</v>
      </c>
      <c r="E1136" s="1">
        <v>45795</v>
      </c>
      <c r="F1136" s="3">
        <v>45807</v>
      </c>
      <c r="G1136" t="s">
        <v>52</v>
      </c>
      <c r="H1136" t="s">
        <v>53</v>
      </c>
      <c r="I1136" t="s">
        <v>35</v>
      </c>
      <c r="J1136">
        <v>5765.22</v>
      </c>
      <c r="K1136">
        <v>12</v>
      </c>
      <c r="L1136" t="s">
        <v>36</v>
      </c>
      <c r="M1136" t="s">
        <v>25</v>
      </c>
      <c r="N1136" t="s">
        <v>55</v>
      </c>
      <c r="O1136" t="s">
        <v>56</v>
      </c>
      <c r="P1136" t="s">
        <v>50</v>
      </c>
      <c r="Q1136">
        <v>3</v>
      </c>
      <c r="R1136">
        <v>1638.18</v>
      </c>
      <c r="S1136" t="s">
        <v>29</v>
      </c>
    </row>
    <row r="1137" spans="1:19" x14ac:dyDescent="0.3">
      <c r="A1137" t="s">
        <v>1207</v>
      </c>
      <c r="B1137">
        <v>57</v>
      </c>
      <c r="C1137" t="s">
        <v>19</v>
      </c>
      <c r="D1137" t="s">
        <v>47</v>
      </c>
      <c r="E1137" s="1">
        <v>45470</v>
      </c>
      <c r="F1137" s="3">
        <v>45475</v>
      </c>
      <c r="G1137" t="s">
        <v>52</v>
      </c>
      <c r="H1137" t="s">
        <v>53</v>
      </c>
      <c r="I1137" t="s">
        <v>91</v>
      </c>
      <c r="J1137">
        <v>8271.6299999999992</v>
      </c>
      <c r="K1137">
        <v>5</v>
      </c>
      <c r="L1137" t="s">
        <v>36</v>
      </c>
      <c r="M1137" t="s">
        <v>25</v>
      </c>
      <c r="N1137" t="s">
        <v>44</v>
      </c>
      <c r="O1137" t="s">
        <v>49</v>
      </c>
      <c r="P1137" t="s">
        <v>38</v>
      </c>
      <c r="Q1137">
        <v>13</v>
      </c>
      <c r="R1137">
        <v>1836.52</v>
      </c>
      <c r="S1137" t="s">
        <v>29</v>
      </c>
    </row>
    <row r="1138" spans="1:19" x14ac:dyDescent="0.3">
      <c r="A1138" t="s">
        <v>1208</v>
      </c>
      <c r="B1138">
        <v>32</v>
      </c>
      <c r="C1138" t="s">
        <v>19</v>
      </c>
      <c r="D1138" t="s">
        <v>70</v>
      </c>
      <c r="E1138" s="1">
        <v>45102</v>
      </c>
      <c r="F1138" s="3">
        <v>45119</v>
      </c>
      <c r="G1138" t="s">
        <v>33</v>
      </c>
      <c r="H1138" t="s">
        <v>34</v>
      </c>
      <c r="I1138" t="s">
        <v>54</v>
      </c>
      <c r="J1138">
        <v>15458.66</v>
      </c>
      <c r="K1138">
        <v>17</v>
      </c>
      <c r="L1138" t="s">
        <v>36</v>
      </c>
      <c r="M1138" t="s">
        <v>76</v>
      </c>
      <c r="N1138" t="s">
        <v>55</v>
      </c>
      <c r="O1138" t="s">
        <v>49</v>
      </c>
      <c r="P1138" t="s">
        <v>28</v>
      </c>
      <c r="Q1138">
        <v>2</v>
      </c>
      <c r="R1138">
        <v>5754.66</v>
      </c>
      <c r="S1138" t="s">
        <v>29</v>
      </c>
    </row>
    <row r="1139" spans="1:19" x14ac:dyDescent="0.3">
      <c r="A1139" t="s">
        <v>1209</v>
      </c>
      <c r="B1139">
        <v>86</v>
      </c>
      <c r="C1139" t="s">
        <v>19</v>
      </c>
      <c r="D1139" t="s">
        <v>32</v>
      </c>
      <c r="E1139" s="1">
        <v>45892</v>
      </c>
      <c r="F1139" s="3">
        <v>45898</v>
      </c>
      <c r="G1139" t="s">
        <v>52</v>
      </c>
      <c r="H1139" t="s">
        <v>53</v>
      </c>
      <c r="I1139" t="s">
        <v>23</v>
      </c>
      <c r="J1139">
        <v>5412.34</v>
      </c>
      <c r="K1139">
        <v>6</v>
      </c>
      <c r="L1139" t="s">
        <v>36</v>
      </c>
      <c r="M1139" t="s">
        <v>25</v>
      </c>
      <c r="N1139" t="s">
        <v>55</v>
      </c>
      <c r="O1139" t="s">
        <v>56</v>
      </c>
      <c r="P1139" t="s">
        <v>45</v>
      </c>
      <c r="Q1139">
        <v>6</v>
      </c>
      <c r="R1139">
        <v>944.66</v>
      </c>
      <c r="S1139" t="s">
        <v>29</v>
      </c>
    </row>
    <row r="1140" spans="1:19" x14ac:dyDescent="0.3">
      <c r="A1140" t="s">
        <v>1210</v>
      </c>
      <c r="B1140">
        <v>31</v>
      </c>
      <c r="C1140" t="s">
        <v>31</v>
      </c>
      <c r="D1140" t="s">
        <v>70</v>
      </c>
      <c r="E1140" s="1">
        <v>45358</v>
      </c>
      <c r="F1140" s="3">
        <v>45369</v>
      </c>
      <c r="G1140" t="s">
        <v>62</v>
      </c>
      <c r="H1140" t="s">
        <v>63</v>
      </c>
      <c r="I1140" t="s">
        <v>54</v>
      </c>
      <c r="J1140">
        <v>5361.97</v>
      </c>
      <c r="K1140">
        <v>11</v>
      </c>
      <c r="L1140" t="s">
        <v>36</v>
      </c>
      <c r="M1140" t="s">
        <v>59</v>
      </c>
      <c r="N1140" t="s">
        <v>26</v>
      </c>
      <c r="O1140" t="s">
        <v>37</v>
      </c>
      <c r="P1140" t="s">
        <v>28</v>
      </c>
      <c r="Q1140">
        <v>4</v>
      </c>
      <c r="R1140">
        <v>1881.1</v>
      </c>
      <c r="S1140" t="s">
        <v>29</v>
      </c>
    </row>
    <row r="1141" spans="1:19" x14ac:dyDescent="0.3">
      <c r="A1141" t="s">
        <v>1211</v>
      </c>
      <c r="B1141">
        <v>72</v>
      </c>
      <c r="C1141" t="s">
        <v>31</v>
      </c>
      <c r="D1141" t="s">
        <v>66</v>
      </c>
      <c r="E1141" s="1">
        <v>45281</v>
      </c>
      <c r="F1141" s="3">
        <v>45289</v>
      </c>
      <c r="G1141" t="s">
        <v>21</v>
      </c>
      <c r="H1141" t="s">
        <v>22</v>
      </c>
      <c r="I1141" t="s">
        <v>23</v>
      </c>
      <c r="J1141">
        <v>6450.56</v>
      </c>
      <c r="K1141">
        <v>8</v>
      </c>
      <c r="L1141" t="s">
        <v>24</v>
      </c>
      <c r="M1141" t="s">
        <v>25</v>
      </c>
      <c r="N1141" t="s">
        <v>26</v>
      </c>
      <c r="O1141" t="s">
        <v>56</v>
      </c>
      <c r="P1141" t="s">
        <v>38</v>
      </c>
      <c r="Q1141">
        <v>5</v>
      </c>
      <c r="R1141">
        <v>1779.59</v>
      </c>
      <c r="S1141" t="s">
        <v>29</v>
      </c>
    </row>
    <row r="1142" spans="1:19" x14ac:dyDescent="0.3">
      <c r="A1142" t="s">
        <v>1212</v>
      </c>
      <c r="B1142">
        <v>83</v>
      </c>
      <c r="C1142" t="s">
        <v>31</v>
      </c>
      <c r="D1142" t="s">
        <v>47</v>
      </c>
      <c r="E1142" s="1">
        <v>45288</v>
      </c>
      <c r="F1142" s="3">
        <v>45305</v>
      </c>
      <c r="G1142" t="s">
        <v>93</v>
      </c>
      <c r="H1142" t="s">
        <v>72</v>
      </c>
      <c r="I1142" t="s">
        <v>43</v>
      </c>
      <c r="J1142">
        <v>10826.55</v>
      </c>
      <c r="K1142">
        <v>17</v>
      </c>
      <c r="L1142" t="s">
        <v>24</v>
      </c>
      <c r="M1142" t="s">
        <v>25</v>
      </c>
      <c r="N1142" t="s">
        <v>44</v>
      </c>
      <c r="O1142" t="s">
        <v>27</v>
      </c>
      <c r="P1142" t="s">
        <v>28</v>
      </c>
      <c r="Q1142">
        <v>3</v>
      </c>
      <c r="R1142">
        <v>3885.11</v>
      </c>
      <c r="S1142" t="s">
        <v>29</v>
      </c>
    </row>
    <row r="1143" spans="1:19" x14ac:dyDescent="0.3">
      <c r="A1143" t="s">
        <v>1213</v>
      </c>
      <c r="B1143">
        <v>43</v>
      </c>
      <c r="C1143" t="s">
        <v>31</v>
      </c>
      <c r="D1143" t="s">
        <v>47</v>
      </c>
      <c r="E1143" s="1">
        <v>45722</v>
      </c>
      <c r="F1143" s="3">
        <v>45736</v>
      </c>
      <c r="G1143" t="s">
        <v>41</v>
      </c>
      <c r="H1143" t="s">
        <v>42</v>
      </c>
      <c r="I1143" t="s">
        <v>35</v>
      </c>
      <c r="J1143">
        <v>9398.48</v>
      </c>
      <c r="K1143">
        <v>14</v>
      </c>
      <c r="L1143" t="s">
        <v>24</v>
      </c>
      <c r="M1143" t="s">
        <v>25</v>
      </c>
      <c r="N1143" t="s">
        <v>26</v>
      </c>
      <c r="O1143" t="s">
        <v>49</v>
      </c>
      <c r="P1143" t="s">
        <v>50</v>
      </c>
      <c r="Q1143">
        <v>9</v>
      </c>
      <c r="R1143">
        <v>3323.95</v>
      </c>
      <c r="S1143" t="s">
        <v>29</v>
      </c>
    </row>
    <row r="1144" spans="1:19" x14ac:dyDescent="0.3">
      <c r="A1144" t="s">
        <v>1214</v>
      </c>
      <c r="B1144">
        <v>51</v>
      </c>
      <c r="C1144" t="s">
        <v>19</v>
      </c>
      <c r="D1144" t="s">
        <v>89</v>
      </c>
      <c r="E1144" s="1">
        <v>45335</v>
      </c>
      <c r="F1144" s="3">
        <v>45342</v>
      </c>
      <c r="G1144" t="s">
        <v>52</v>
      </c>
      <c r="H1144" t="s">
        <v>53</v>
      </c>
      <c r="I1144" t="s">
        <v>23</v>
      </c>
      <c r="J1144">
        <v>10874.17</v>
      </c>
      <c r="K1144">
        <v>7</v>
      </c>
      <c r="L1144" t="s">
        <v>24</v>
      </c>
      <c r="M1144" t="s">
        <v>101</v>
      </c>
      <c r="N1144" t="s">
        <v>55</v>
      </c>
      <c r="O1144" t="s">
        <v>49</v>
      </c>
      <c r="P1144" t="s">
        <v>50</v>
      </c>
      <c r="Q1144">
        <v>15</v>
      </c>
      <c r="R1144">
        <v>4094.1</v>
      </c>
      <c r="S1144" t="s">
        <v>29</v>
      </c>
    </row>
    <row r="1145" spans="1:19" x14ac:dyDescent="0.3">
      <c r="A1145" t="s">
        <v>1215</v>
      </c>
      <c r="B1145">
        <v>25</v>
      </c>
      <c r="C1145" t="s">
        <v>19</v>
      </c>
      <c r="D1145" t="s">
        <v>66</v>
      </c>
      <c r="E1145" s="1">
        <v>45890</v>
      </c>
      <c r="F1145" s="3">
        <v>45901</v>
      </c>
      <c r="G1145" t="s">
        <v>71</v>
      </c>
      <c r="H1145" t="s">
        <v>72</v>
      </c>
      <c r="I1145" t="s">
        <v>54</v>
      </c>
      <c r="J1145">
        <v>5358.47</v>
      </c>
      <c r="K1145">
        <v>11</v>
      </c>
      <c r="L1145" t="s">
        <v>24</v>
      </c>
      <c r="M1145" t="s">
        <v>25</v>
      </c>
      <c r="N1145" t="s">
        <v>26</v>
      </c>
      <c r="O1145" t="s">
        <v>27</v>
      </c>
      <c r="P1145" t="s">
        <v>50</v>
      </c>
      <c r="Q1145">
        <v>2</v>
      </c>
      <c r="R1145">
        <v>2053.12</v>
      </c>
      <c r="S1145" t="s">
        <v>29</v>
      </c>
    </row>
    <row r="1146" spans="1:19" x14ac:dyDescent="0.3">
      <c r="A1146" t="s">
        <v>1216</v>
      </c>
      <c r="B1146">
        <v>74</v>
      </c>
      <c r="C1146" t="s">
        <v>31</v>
      </c>
      <c r="D1146" t="s">
        <v>47</v>
      </c>
      <c r="E1146" s="1">
        <v>45668</v>
      </c>
      <c r="F1146" s="3">
        <v>45683</v>
      </c>
      <c r="G1146" t="s">
        <v>21</v>
      </c>
      <c r="H1146" t="s">
        <v>22</v>
      </c>
      <c r="I1146" t="s">
        <v>83</v>
      </c>
      <c r="J1146">
        <v>3162.34</v>
      </c>
      <c r="K1146">
        <v>15</v>
      </c>
      <c r="L1146" t="s">
        <v>36</v>
      </c>
      <c r="M1146" t="s">
        <v>25</v>
      </c>
      <c r="N1146" t="s">
        <v>44</v>
      </c>
      <c r="O1146" t="s">
        <v>37</v>
      </c>
      <c r="P1146" t="s">
        <v>50</v>
      </c>
      <c r="Q1146">
        <v>14</v>
      </c>
      <c r="R1146">
        <v>591.12</v>
      </c>
      <c r="S1146" t="s">
        <v>39</v>
      </c>
    </row>
    <row r="1147" spans="1:19" x14ac:dyDescent="0.3">
      <c r="A1147" t="s">
        <v>1217</v>
      </c>
      <c r="B1147">
        <v>67</v>
      </c>
      <c r="C1147" t="s">
        <v>31</v>
      </c>
      <c r="D1147" t="s">
        <v>61</v>
      </c>
      <c r="E1147" s="1">
        <v>45883</v>
      </c>
      <c r="F1147" s="3">
        <v>45892</v>
      </c>
      <c r="G1147" t="s">
        <v>33</v>
      </c>
      <c r="H1147" t="s">
        <v>34</v>
      </c>
      <c r="I1147" t="s">
        <v>54</v>
      </c>
      <c r="J1147">
        <v>10321.030000000001</v>
      </c>
      <c r="K1147">
        <v>9</v>
      </c>
      <c r="L1147" t="s">
        <v>36</v>
      </c>
      <c r="M1147" t="s">
        <v>25</v>
      </c>
      <c r="N1147" t="s">
        <v>44</v>
      </c>
      <c r="O1147" t="s">
        <v>49</v>
      </c>
      <c r="P1147" t="s">
        <v>28</v>
      </c>
      <c r="Q1147">
        <v>14</v>
      </c>
      <c r="R1147">
        <v>3965.93</v>
      </c>
      <c r="S1147" t="s">
        <v>29</v>
      </c>
    </row>
    <row r="1148" spans="1:19" x14ac:dyDescent="0.3">
      <c r="A1148" t="s">
        <v>1218</v>
      </c>
      <c r="B1148">
        <v>40</v>
      </c>
      <c r="C1148" t="s">
        <v>19</v>
      </c>
      <c r="D1148" t="s">
        <v>89</v>
      </c>
      <c r="E1148" s="1">
        <v>45166</v>
      </c>
      <c r="F1148" s="3">
        <v>45168</v>
      </c>
      <c r="G1148" t="s">
        <v>71</v>
      </c>
      <c r="H1148" t="s">
        <v>72</v>
      </c>
      <c r="I1148" t="s">
        <v>91</v>
      </c>
      <c r="J1148">
        <v>3637.99</v>
      </c>
      <c r="K1148">
        <v>2</v>
      </c>
      <c r="L1148" t="s">
        <v>24</v>
      </c>
      <c r="M1148" t="s">
        <v>25</v>
      </c>
      <c r="N1148" t="s">
        <v>44</v>
      </c>
      <c r="O1148" t="s">
        <v>37</v>
      </c>
      <c r="P1148" t="s">
        <v>28</v>
      </c>
      <c r="Q1148">
        <v>2</v>
      </c>
      <c r="R1148">
        <v>864.89</v>
      </c>
      <c r="S1148" t="s">
        <v>29</v>
      </c>
    </row>
    <row r="1149" spans="1:19" x14ac:dyDescent="0.3">
      <c r="A1149" t="s">
        <v>1219</v>
      </c>
      <c r="B1149">
        <v>77</v>
      </c>
      <c r="C1149" t="s">
        <v>19</v>
      </c>
      <c r="D1149" t="s">
        <v>32</v>
      </c>
      <c r="E1149" s="1">
        <v>45200</v>
      </c>
      <c r="F1149" s="3">
        <v>45203</v>
      </c>
      <c r="G1149" t="s">
        <v>93</v>
      </c>
      <c r="H1149" t="s">
        <v>72</v>
      </c>
      <c r="I1149" t="s">
        <v>91</v>
      </c>
      <c r="J1149">
        <v>1292.0999999999999</v>
      </c>
      <c r="K1149">
        <v>3</v>
      </c>
      <c r="L1149" t="s">
        <v>24</v>
      </c>
      <c r="M1149" t="s">
        <v>101</v>
      </c>
      <c r="N1149" t="s">
        <v>44</v>
      </c>
      <c r="O1149" t="s">
        <v>27</v>
      </c>
      <c r="P1149" t="s">
        <v>45</v>
      </c>
      <c r="Q1149">
        <v>11</v>
      </c>
      <c r="R1149">
        <v>401.31</v>
      </c>
      <c r="S1149" t="s">
        <v>29</v>
      </c>
    </row>
    <row r="1150" spans="1:19" x14ac:dyDescent="0.3">
      <c r="A1150" t="s">
        <v>1220</v>
      </c>
      <c r="B1150">
        <v>24</v>
      </c>
      <c r="C1150" t="s">
        <v>31</v>
      </c>
      <c r="D1150" t="s">
        <v>47</v>
      </c>
      <c r="E1150" s="1">
        <v>44993</v>
      </c>
      <c r="F1150" s="3">
        <v>45018</v>
      </c>
      <c r="G1150" t="s">
        <v>41</v>
      </c>
      <c r="H1150" t="s">
        <v>42</v>
      </c>
      <c r="I1150" t="s">
        <v>83</v>
      </c>
      <c r="J1150">
        <v>10878.82</v>
      </c>
      <c r="K1150">
        <v>25</v>
      </c>
      <c r="L1150" t="s">
        <v>24</v>
      </c>
      <c r="M1150" t="s">
        <v>25</v>
      </c>
      <c r="N1150" t="s">
        <v>26</v>
      </c>
      <c r="O1150" t="s">
        <v>49</v>
      </c>
      <c r="P1150" t="s">
        <v>38</v>
      </c>
      <c r="Q1150">
        <v>14</v>
      </c>
      <c r="R1150">
        <v>3023</v>
      </c>
      <c r="S1150" t="s">
        <v>29</v>
      </c>
    </row>
    <row r="1151" spans="1:19" x14ac:dyDescent="0.3">
      <c r="A1151" t="s">
        <v>1221</v>
      </c>
      <c r="B1151">
        <v>44</v>
      </c>
      <c r="C1151" t="s">
        <v>31</v>
      </c>
      <c r="D1151" t="s">
        <v>32</v>
      </c>
      <c r="E1151" s="1">
        <v>44999</v>
      </c>
      <c r="F1151" s="3">
        <v>45003</v>
      </c>
      <c r="G1151" t="s">
        <v>41</v>
      </c>
      <c r="H1151" t="s">
        <v>42</v>
      </c>
      <c r="I1151" t="s">
        <v>43</v>
      </c>
      <c r="J1151">
        <v>7363.43</v>
      </c>
      <c r="K1151">
        <v>4</v>
      </c>
      <c r="L1151" t="s">
        <v>24</v>
      </c>
      <c r="M1151" t="s">
        <v>25</v>
      </c>
      <c r="N1151" t="s">
        <v>55</v>
      </c>
      <c r="O1151" t="s">
        <v>49</v>
      </c>
      <c r="P1151" t="s">
        <v>38</v>
      </c>
      <c r="Q1151">
        <v>13</v>
      </c>
      <c r="R1151">
        <v>2257.92</v>
      </c>
      <c r="S1151" t="s">
        <v>29</v>
      </c>
    </row>
    <row r="1152" spans="1:19" x14ac:dyDescent="0.3">
      <c r="A1152" t="s">
        <v>1222</v>
      </c>
      <c r="B1152">
        <v>81</v>
      </c>
      <c r="C1152" t="s">
        <v>19</v>
      </c>
      <c r="D1152" t="s">
        <v>89</v>
      </c>
      <c r="E1152" s="1">
        <v>44955</v>
      </c>
      <c r="F1152" s="3">
        <v>44965</v>
      </c>
      <c r="G1152" t="s">
        <v>67</v>
      </c>
      <c r="H1152" t="s">
        <v>42</v>
      </c>
      <c r="I1152" t="s">
        <v>35</v>
      </c>
      <c r="J1152">
        <v>6111.06</v>
      </c>
      <c r="K1152">
        <v>10</v>
      </c>
      <c r="L1152" t="s">
        <v>36</v>
      </c>
      <c r="M1152" t="s">
        <v>25</v>
      </c>
      <c r="N1152" t="s">
        <v>55</v>
      </c>
      <c r="O1152" t="s">
        <v>27</v>
      </c>
      <c r="P1152" t="s">
        <v>38</v>
      </c>
      <c r="Q1152">
        <v>13</v>
      </c>
      <c r="R1152">
        <v>1733.61</v>
      </c>
      <c r="S1152" t="s">
        <v>29</v>
      </c>
    </row>
    <row r="1153" spans="1:19" x14ac:dyDescent="0.3">
      <c r="A1153" t="s">
        <v>1223</v>
      </c>
      <c r="B1153">
        <v>47</v>
      </c>
      <c r="C1153" t="s">
        <v>19</v>
      </c>
      <c r="D1153" t="s">
        <v>89</v>
      </c>
      <c r="E1153" s="1">
        <v>45219</v>
      </c>
      <c r="F1153" s="3">
        <v>45235</v>
      </c>
      <c r="G1153" t="s">
        <v>48</v>
      </c>
      <c r="H1153" t="s">
        <v>22</v>
      </c>
      <c r="I1153" t="s">
        <v>91</v>
      </c>
      <c r="J1153">
        <v>7841.08</v>
      </c>
      <c r="K1153">
        <v>16</v>
      </c>
      <c r="L1153" t="s">
        <v>24</v>
      </c>
      <c r="M1153" t="s">
        <v>25</v>
      </c>
      <c r="N1153" t="s">
        <v>44</v>
      </c>
      <c r="O1153" t="s">
        <v>27</v>
      </c>
      <c r="P1153" t="s">
        <v>28</v>
      </c>
      <c r="Q1153">
        <v>3</v>
      </c>
      <c r="R1153">
        <v>1631.03</v>
      </c>
      <c r="S1153" t="s">
        <v>29</v>
      </c>
    </row>
    <row r="1154" spans="1:19" x14ac:dyDescent="0.3">
      <c r="A1154" t="s">
        <v>1224</v>
      </c>
      <c r="B1154">
        <v>45</v>
      </c>
      <c r="C1154" t="s">
        <v>31</v>
      </c>
      <c r="D1154" t="s">
        <v>79</v>
      </c>
      <c r="E1154" s="1">
        <v>45213</v>
      </c>
      <c r="F1154" s="3">
        <v>45224</v>
      </c>
      <c r="G1154" t="s">
        <v>71</v>
      </c>
      <c r="H1154" t="s">
        <v>72</v>
      </c>
      <c r="I1154" t="s">
        <v>35</v>
      </c>
      <c r="J1154">
        <v>11719.49</v>
      </c>
      <c r="K1154">
        <v>11</v>
      </c>
      <c r="L1154" t="s">
        <v>36</v>
      </c>
      <c r="M1154" t="s">
        <v>59</v>
      </c>
      <c r="N1154" t="s">
        <v>26</v>
      </c>
      <c r="O1154" t="s">
        <v>49</v>
      </c>
      <c r="P1154" t="s">
        <v>38</v>
      </c>
      <c r="Q1154">
        <v>9</v>
      </c>
      <c r="R1154">
        <v>2952.5</v>
      </c>
      <c r="S1154" t="s">
        <v>29</v>
      </c>
    </row>
    <row r="1155" spans="1:19" x14ac:dyDescent="0.3">
      <c r="A1155" t="s">
        <v>1225</v>
      </c>
      <c r="B1155">
        <v>25</v>
      </c>
      <c r="C1155" t="s">
        <v>31</v>
      </c>
      <c r="D1155" t="s">
        <v>89</v>
      </c>
      <c r="E1155" s="1">
        <v>45857</v>
      </c>
      <c r="F1155" s="3">
        <v>45874</v>
      </c>
      <c r="G1155" t="s">
        <v>74</v>
      </c>
      <c r="H1155" t="s">
        <v>75</v>
      </c>
      <c r="I1155" t="s">
        <v>83</v>
      </c>
      <c r="J1155">
        <v>7062.52</v>
      </c>
      <c r="K1155">
        <v>17</v>
      </c>
      <c r="L1155" t="s">
        <v>24</v>
      </c>
      <c r="M1155" t="s">
        <v>25</v>
      </c>
      <c r="N1155" t="s">
        <v>55</v>
      </c>
      <c r="O1155" t="s">
        <v>37</v>
      </c>
      <c r="P1155" t="s">
        <v>50</v>
      </c>
      <c r="Q1155">
        <v>3</v>
      </c>
      <c r="R1155">
        <v>1162.5899999999999</v>
      </c>
      <c r="S1155" t="s">
        <v>29</v>
      </c>
    </row>
    <row r="1156" spans="1:19" x14ac:dyDescent="0.3">
      <c r="A1156" t="s">
        <v>1226</v>
      </c>
      <c r="B1156">
        <v>47</v>
      </c>
      <c r="C1156" t="s">
        <v>31</v>
      </c>
      <c r="D1156" t="s">
        <v>47</v>
      </c>
      <c r="E1156" s="1">
        <v>45675</v>
      </c>
      <c r="F1156" s="3">
        <v>45689</v>
      </c>
      <c r="G1156" t="s">
        <v>62</v>
      </c>
      <c r="H1156" t="s">
        <v>63</v>
      </c>
      <c r="I1156" t="s">
        <v>58</v>
      </c>
      <c r="J1156">
        <v>11618.47</v>
      </c>
      <c r="K1156">
        <v>14</v>
      </c>
      <c r="L1156" t="s">
        <v>24</v>
      </c>
      <c r="M1156" t="s">
        <v>59</v>
      </c>
      <c r="N1156" t="s">
        <v>26</v>
      </c>
      <c r="O1156" t="s">
        <v>37</v>
      </c>
      <c r="P1156" t="s">
        <v>28</v>
      </c>
      <c r="Q1156">
        <v>2</v>
      </c>
      <c r="R1156">
        <v>3927.3</v>
      </c>
      <c r="S1156" t="s">
        <v>29</v>
      </c>
    </row>
    <row r="1157" spans="1:19" x14ac:dyDescent="0.3">
      <c r="A1157" t="s">
        <v>1227</v>
      </c>
      <c r="B1157">
        <v>74</v>
      </c>
      <c r="C1157" t="s">
        <v>31</v>
      </c>
      <c r="D1157" t="s">
        <v>61</v>
      </c>
      <c r="E1157" s="1">
        <v>45104</v>
      </c>
      <c r="F1157" s="3">
        <v>45111</v>
      </c>
      <c r="G1157" t="s">
        <v>74</v>
      </c>
      <c r="H1157" t="s">
        <v>75</v>
      </c>
      <c r="I1157" t="s">
        <v>81</v>
      </c>
      <c r="J1157">
        <v>6655.62</v>
      </c>
      <c r="K1157">
        <v>7</v>
      </c>
      <c r="L1157" t="s">
        <v>24</v>
      </c>
      <c r="M1157" t="s">
        <v>25</v>
      </c>
      <c r="N1157" t="s">
        <v>26</v>
      </c>
      <c r="O1157" t="s">
        <v>56</v>
      </c>
      <c r="P1157" t="s">
        <v>28</v>
      </c>
      <c r="Q1157">
        <v>3</v>
      </c>
      <c r="R1157">
        <v>2295.69</v>
      </c>
      <c r="S1157" t="s">
        <v>29</v>
      </c>
    </row>
    <row r="1158" spans="1:19" x14ac:dyDescent="0.3">
      <c r="A1158" t="s">
        <v>1228</v>
      </c>
      <c r="B1158">
        <v>30</v>
      </c>
      <c r="C1158" t="s">
        <v>19</v>
      </c>
      <c r="D1158" t="s">
        <v>79</v>
      </c>
      <c r="E1158" s="1">
        <v>45091</v>
      </c>
      <c r="F1158" s="3">
        <v>45102</v>
      </c>
      <c r="G1158" t="s">
        <v>21</v>
      </c>
      <c r="H1158" t="s">
        <v>22</v>
      </c>
      <c r="I1158" t="s">
        <v>91</v>
      </c>
      <c r="J1158">
        <v>8199.8700000000008</v>
      </c>
      <c r="K1158">
        <v>11</v>
      </c>
      <c r="L1158" t="s">
        <v>24</v>
      </c>
      <c r="M1158" t="s">
        <v>25</v>
      </c>
      <c r="N1158" t="s">
        <v>44</v>
      </c>
      <c r="O1158" t="s">
        <v>27</v>
      </c>
      <c r="P1158" t="s">
        <v>50</v>
      </c>
      <c r="Q1158">
        <v>9</v>
      </c>
      <c r="R1158">
        <v>2758.55</v>
      </c>
      <c r="S1158" t="s">
        <v>29</v>
      </c>
    </row>
    <row r="1159" spans="1:19" x14ac:dyDescent="0.3">
      <c r="A1159" t="s">
        <v>1229</v>
      </c>
      <c r="B1159">
        <v>61</v>
      </c>
      <c r="C1159" t="s">
        <v>19</v>
      </c>
      <c r="D1159" t="s">
        <v>89</v>
      </c>
      <c r="E1159" s="1">
        <v>45482</v>
      </c>
      <c r="F1159" s="3">
        <v>45501</v>
      </c>
      <c r="G1159" t="s">
        <v>71</v>
      </c>
      <c r="H1159" t="s">
        <v>72</v>
      </c>
      <c r="I1159" t="s">
        <v>58</v>
      </c>
      <c r="J1159">
        <v>16159.41</v>
      </c>
      <c r="K1159">
        <v>19</v>
      </c>
      <c r="L1159" t="s">
        <v>36</v>
      </c>
      <c r="M1159" t="s">
        <v>25</v>
      </c>
      <c r="N1159" t="s">
        <v>44</v>
      </c>
      <c r="O1159" t="s">
        <v>49</v>
      </c>
      <c r="P1159" t="s">
        <v>45</v>
      </c>
      <c r="Q1159">
        <v>11</v>
      </c>
      <c r="R1159">
        <v>3634.77</v>
      </c>
      <c r="S1159" t="s">
        <v>29</v>
      </c>
    </row>
    <row r="1160" spans="1:19" x14ac:dyDescent="0.3">
      <c r="A1160" t="s">
        <v>1230</v>
      </c>
      <c r="B1160">
        <v>48</v>
      </c>
      <c r="C1160" t="s">
        <v>19</v>
      </c>
      <c r="D1160" t="s">
        <v>79</v>
      </c>
      <c r="E1160" s="1">
        <v>45453</v>
      </c>
      <c r="F1160" s="3">
        <v>45454</v>
      </c>
      <c r="G1160" t="s">
        <v>67</v>
      </c>
      <c r="H1160" t="s">
        <v>42</v>
      </c>
      <c r="I1160" t="s">
        <v>35</v>
      </c>
      <c r="J1160">
        <v>979.87</v>
      </c>
      <c r="K1160">
        <v>1</v>
      </c>
      <c r="L1160" t="s">
        <v>24</v>
      </c>
      <c r="M1160" t="s">
        <v>59</v>
      </c>
      <c r="N1160" t="s">
        <v>26</v>
      </c>
      <c r="O1160" t="s">
        <v>56</v>
      </c>
      <c r="P1160" t="s">
        <v>45</v>
      </c>
      <c r="Q1160">
        <v>15</v>
      </c>
      <c r="R1160">
        <v>359.35</v>
      </c>
      <c r="S1160" t="s">
        <v>29</v>
      </c>
    </row>
    <row r="1161" spans="1:19" x14ac:dyDescent="0.3">
      <c r="A1161" t="s">
        <v>1231</v>
      </c>
      <c r="B1161">
        <v>90</v>
      </c>
      <c r="C1161" t="s">
        <v>19</v>
      </c>
      <c r="D1161" t="s">
        <v>20</v>
      </c>
      <c r="E1161" s="1">
        <v>45186</v>
      </c>
      <c r="F1161" s="3">
        <v>45192</v>
      </c>
      <c r="G1161" t="s">
        <v>21</v>
      </c>
      <c r="H1161" t="s">
        <v>22</v>
      </c>
      <c r="I1161" t="s">
        <v>54</v>
      </c>
      <c r="J1161">
        <v>5331.11</v>
      </c>
      <c r="K1161">
        <v>6</v>
      </c>
      <c r="L1161" t="s">
        <v>36</v>
      </c>
      <c r="M1161" t="s">
        <v>25</v>
      </c>
      <c r="N1161" t="s">
        <v>55</v>
      </c>
      <c r="O1161" t="s">
        <v>56</v>
      </c>
      <c r="P1161" t="s">
        <v>38</v>
      </c>
      <c r="Q1161">
        <v>11</v>
      </c>
      <c r="R1161">
        <v>2070.83</v>
      </c>
      <c r="S1161" t="s">
        <v>29</v>
      </c>
    </row>
    <row r="1162" spans="1:19" x14ac:dyDescent="0.3">
      <c r="A1162" t="s">
        <v>1232</v>
      </c>
      <c r="B1162">
        <v>90</v>
      </c>
      <c r="C1162" t="s">
        <v>31</v>
      </c>
      <c r="D1162" t="s">
        <v>79</v>
      </c>
      <c r="E1162" s="1">
        <v>45905</v>
      </c>
      <c r="F1162" s="3">
        <v>45919</v>
      </c>
      <c r="G1162" t="s">
        <v>74</v>
      </c>
      <c r="H1162" t="s">
        <v>75</v>
      </c>
      <c r="I1162" t="s">
        <v>23</v>
      </c>
      <c r="J1162">
        <v>8564.9599999999991</v>
      </c>
      <c r="K1162">
        <v>14</v>
      </c>
      <c r="L1162" t="s">
        <v>24</v>
      </c>
      <c r="M1162" t="s">
        <v>25</v>
      </c>
      <c r="N1162" t="s">
        <v>44</v>
      </c>
      <c r="O1162" t="s">
        <v>27</v>
      </c>
      <c r="P1162" t="s">
        <v>38</v>
      </c>
      <c r="Q1162">
        <v>12</v>
      </c>
      <c r="R1162">
        <v>2811.22</v>
      </c>
      <c r="S1162" t="s">
        <v>29</v>
      </c>
    </row>
    <row r="1163" spans="1:19" x14ac:dyDescent="0.3">
      <c r="A1163" t="s">
        <v>1233</v>
      </c>
      <c r="B1163">
        <v>40</v>
      </c>
      <c r="C1163" t="s">
        <v>31</v>
      </c>
      <c r="D1163" t="s">
        <v>47</v>
      </c>
      <c r="E1163" s="1">
        <v>45368</v>
      </c>
      <c r="F1163" s="3">
        <v>45378</v>
      </c>
      <c r="G1163" t="s">
        <v>41</v>
      </c>
      <c r="H1163" t="s">
        <v>42</v>
      </c>
      <c r="I1163" t="s">
        <v>43</v>
      </c>
      <c r="J1163">
        <v>4811.76</v>
      </c>
      <c r="K1163">
        <v>10</v>
      </c>
      <c r="L1163" t="s">
        <v>24</v>
      </c>
      <c r="M1163" t="s">
        <v>25</v>
      </c>
      <c r="N1163" t="s">
        <v>55</v>
      </c>
      <c r="O1163" t="s">
        <v>27</v>
      </c>
      <c r="P1163" t="s">
        <v>45</v>
      </c>
      <c r="Q1163">
        <v>11</v>
      </c>
      <c r="R1163">
        <v>1770.11</v>
      </c>
      <c r="S1163" t="s">
        <v>29</v>
      </c>
    </row>
    <row r="1164" spans="1:19" x14ac:dyDescent="0.3">
      <c r="A1164" t="s">
        <v>1234</v>
      </c>
      <c r="B1164">
        <v>38</v>
      </c>
      <c r="C1164" t="s">
        <v>19</v>
      </c>
      <c r="D1164" t="s">
        <v>32</v>
      </c>
      <c r="E1164" s="1">
        <v>45160</v>
      </c>
      <c r="F1164" s="3">
        <v>45177</v>
      </c>
      <c r="G1164" t="s">
        <v>41</v>
      </c>
      <c r="H1164" t="s">
        <v>42</v>
      </c>
      <c r="I1164" t="s">
        <v>54</v>
      </c>
      <c r="J1164">
        <v>8677.26</v>
      </c>
      <c r="K1164">
        <v>17</v>
      </c>
      <c r="L1164" t="s">
        <v>36</v>
      </c>
      <c r="M1164" t="s">
        <v>25</v>
      </c>
      <c r="N1164" t="s">
        <v>26</v>
      </c>
      <c r="O1164" t="s">
        <v>56</v>
      </c>
      <c r="P1164" t="s">
        <v>38</v>
      </c>
      <c r="Q1164">
        <v>4</v>
      </c>
      <c r="R1164">
        <v>3148.1</v>
      </c>
      <c r="S1164" t="s">
        <v>29</v>
      </c>
    </row>
    <row r="1165" spans="1:19" x14ac:dyDescent="0.3">
      <c r="A1165" t="s">
        <v>1235</v>
      </c>
      <c r="B1165">
        <v>82</v>
      </c>
      <c r="C1165" t="s">
        <v>19</v>
      </c>
      <c r="D1165" t="s">
        <v>79</v>
      </c>
      <c r="E1165" s="1">
        <v>45781</v>
      </c>
      <c r="F1165" s="3">
        <v>45789</v>
      </c>
      <c r="G1165" t="s">
        <v>21</v>
      </c>
      <c r="H1165" t="s">
        <v>22</v>
      </c>
      <c r="I1165" t="s">
        <v>35</v>
      </c>
      <c r="J1165">
        <v>7030.16</v>
      </c>
      <c r="K1165">
        <v>8</v>
      </c>
      <c r="L1165" t="s">
        <v>36</v>
      </c>
      <c r="M1165" t="s">
        <v>25</v>
      </c>
      <c r="N1165" t="s">
        <v>26</v>
      </c>
      <c r="O1165" t="s">
        <v>37</v>
      </c>
      <c r="P1165" t="s">
        <v>45</v>
      </c>
      <c r="Q1165">
        <v>11</v>
      </c>
      <c r="R1165">
        <v>2240.7600000000002</v>
      </c>
      <c r="S1165" t="s">
        <v>29</v>
      </c>
    </row>
    <row r="1166" spans="1:19" x14ac:dyDescent="0.3">
      <c r="A1166" t="s">
        <v>1236</v>
      </c>
      <c r="B1166">
        <v>64</v>
      </c>
      <c r="C1166" t="s">
        <v>19</v>
      </c>
      <c r="D1166" t="s">
        <v>70</v>
      </c>
      <c r="E1166" s="1">
        <v>45112</v>
      </c>
      <c r="F1166" s="3">
        <v>45117</v>
      </c>
      <c r="G1166" t="s">
        <v>48</v>
      </c>
      <c r="H1166" t="s">
        <v>22</v>
      </c>
      <c r="I1166" t="s">
        <v>58</v>
      </c>
      <c r="J1166">
        <v>3582.19</v>
      </c>
      <c r="K1166">
        <v>5</v>
      </c>
      <c r="L1166" t="s">
        <v>24</v>
      </c>
      <c r="M1166" t="s">
        <v>25</v>
      </c>
      <c r="N1166" t="s">
        <v>44</v>
      </c>
      <c r="O1166" t="s">
        <v>37</v>
      </c>
      <c r="P1166" t="s">
        <v>45</v>
      </c>
      <c r="Q1166">
        <v>10</v>
      </c>
      <c r="R1166">
        <v>773.08</v>
      </c>
      <c r="S1166" t="s">
        <v>39</v>
      </c>
    </row>
    <row r="1167" spans="1:19" x14ac:dyDescent="0.3">
      <c r="A1167" t="s">
        <v>1237</v>
      </c>
      <c r="B1167">
        <v>68</v>
      </c>
      <c r="C1167" t="s">
        <v>31</v>
      </c>
      <c r="D1167" t="s">
        <v>89</v>
      </c>
      <c r="E1167" s="1">
        <v>45838</v>
      </c>
      <c r="F1167" s="3">
        <v>45852</v>
      </c>
      <c r="G1167" t="s">
        <v>52</v>
      </c>
      <c r="H1167" t="s">
        <v>53</v>
      </c>
      <c r="I1167" t="s">
        <v>23</v>
      </c>
      <c r="J1167">
        <v>2955.99</v>
      </c>
      <c r="K1167">
        <v>14</v>
      </c>
      <c r="L1167" t="s">
        <v>36</v>
      </c>
      <c r="M1167" t="s">
        <v>25</v>
      </c>
      <c r="N1167" t="s">
        <v>26</v>
      </c>
      <c r="O1167" t="s">
        <v>37</v>
      </c>
      <c r="P1167" t="s">
        <v>45</v>
      </c>
      <c r="Q1167">
        <v>10</v>
      </c>
      <c r="R1167">
        <v>710.75</v>
      </c>
      <c r="S1167" t="s">
        <v>39</v>
      </c>
    </row>
    <row r="1168" spans="1:19" x14ac:dyDescent="0.3">
      <c r="A1168" t="s">
        <v>1238</v>
      </c>
      <c r="B1168">
        <v>76</v>
      </c>
      <c r="C1168" t="s">
        <v>19</v>
      </c>
      <c r="D1168" t="s">
        <v>70</v>
      </c>
      <c r="E1168" s="1">
        <v>45865</v>
      </c>
      <c r="F1168" s="3">
        <v>45877</v>
      </c>
      <c r="G1168" t="s">
        <v>52</v>
      </c>
      <c r="H1168" t="s">
        <v>53</v>
      </c>
      <c r="I1168" t="s">
        <v>58</v>
      </c>
      <c r="J1168">
        <v>7957.7</v>
      </c>
      <c r="K1168">
        <v>12</v>
      </c>
      <c r="L1168" t="s">
        <v>24</v>
      </c>
      <c r="M1168" t="s">
        <v>25</v>
      </c>
      <c r="N1168" t="s">
        <v>26</v>
      </c>
      <c r="O1168" t="s">
        <v>49</v>
      </c>
      <c r="P1168" t="s">
        <v>28</v>
      </c>
      <c r="Q1168">
        <v>4</v>
      </c>
      <c r="R1168">
        <v>2840.32</v>
      </c>
      <c r="S1168" t="s">
        <v>29</v>
      </c>
    </row>
    <row r="1169" spans="1:19" x14ac:dyDescent="0.3">
      <c r="A1169" t="s">
        <v>1239</v>
      </c>
      <c r="B1169">
        <v>74</v>
      </c>
      <c r="C1169" t="s">
        <v>31</v>
      </c>
      <c r="D1169" t="s">
        <v>47</v>
      </c>
      <c r="E1169" s="1">
        <v>45505</v>
      </c>
      <c r="F1169" s="3">
        <v>45524</v>
      </c>
      <c r="G1169" t="s">
        <v>41</v>
      </c>
      <c r="H1169" t="s">
        <v>42</v>
      </c>
      <c r="I1169" t="s">
        <v>43</v>
      </c>
      <c r="J1169">
        <v>5371</v>
      </c>
      <c r="K1169">
        <v>19</v>
      </c>
      <c r="L1169" t="s">
        <v>36</v>
      </c>
      <c r="M1169" t="s">
        <v>25</v>
      </c>
      <c r="N1169" t="s">
        <v>26</v>
      </c>
      <c r="O1169" t="s">
        <v>27</v>
      </c>
      <c r="P1169" t="s">
        <v>50</v>
      </c>
      <c r="Q1169">
        <v>4</v>
      </c>
      <c r="R1169">
        <v>1533.32</v>
      </c>
      <c r="S1169" t="s">
        <v>29</v>
      </c>
    </row>
    <row r="1170" spans="1:19" x14ac:dyDescent="0.3">
      <c r="A1170" t="s">
        <v>1240</v>
      </c>
      <c r="B1170">
        <v>66</v>
      </c>
      <c r="C1170" t="s">
        <v>31</v>
      </c>
      <c r="D1170" t="s">
        <v>89</v>
      </c>
      <c r="E1170" s="1">
        <v>45264</v>
      </c>
      <c r="F1170" s="3">
        <v>45283</v>
      </c>
      <c r="G1170" t="s">
        <v>93</v>
      </c>
      <c r="H1170" t="s">
        <v>72</v>
      </c>
      <c r="I1170" t="s">
        <v>81</v>
      </c>
      <c r="J1170">
        <v>8910.44</v>
      </c>
      <c r="K1170">
        <v>19</v>
      </c>
      <c r="L1170" t="s">
        <v>36</v>
      </c>
      <c r="M1170" t="s">
        <v>25</v>
      </c>
      <c r="N1170" t="s">
        <v>26</v>
      </c>
      <c r="O1170" t="s">
        <v>56</v>
      </c>
      <c r="P1170" t="s">
        <v>28</v>
      </c>
      <c r="Q1170">
        <v>1</v>
      </c>
      <c r="R1170">
        <v>2202.86</v>
      </c>
      <c r="S1170" t="s">
        <v>29</v>
      </c>
    </row>
    <row r="1171" spans="1:19" x14ac:dyDescent="0.3">
      <c r="A1171" t="s">
        <v>1241</v>
      </c>
      <c r="B1171">
        <v>41</v>
      </c>
      <c r="C1171" t="s">
        <v>31</v>
      </c>
      <c r="D1171" t="s">
        <v>66</v>
      </c>
      <c r="E1171" s="1">
        <v>45515</v>
      </c>
      <c r="F1171" s="3">
        <v>45525</v>
      </c>
      <c r="G1171" t="s">
        <v>33</v>
      </c>
      <c r="H1171" t="s">
        <v>34</v>
      </c>
      <c r="I1171" t="s">
        <v>83</v>
      </c>
      <c r="J1171">
        <v>4045.58</v>
      </c>
      <c r="K1171">
        <v>10</v>
      </c>
      <c r="L1171" t="s">
        <v>24</v>
      </c>
      <c r="M1171" t="s">
        <v>25</v>
      </c>
      <c r="N1171" t="s">
        <v>44</v>
      </c>
      <c r="O1171" t="s">
        <v>27</v>
      </c>
      <c r="P1171" t="s">
        <v>50</v>
      </c>
      <c r="Q1171">
        <v>13</v>
      </c>
      <c r="R1171">
        <v>1049.03</v>
      </c>
      <c r="S1171" t="s">
        <v>39</v>
      </c>
    </row>
    <row r="1172" spans="1:19" x14ac:dyDescent="0.3">
      <c r="A1172" t="s">
        <v>1242</v>
      </c>
      <c r="B1172">
        <v>58</v>
      </c>
      <c r="C1172" t="s">
        <v>31</v>
      </c>
      <c r="D1172" t="s">
        <v>66</v>
      </c>
      <c r="E1172" s="1">
        <v>45581</v>
      </c>
      <c r="F1172" s="3">
        <v>45586</v>
      </c>
      <c r="G1172" t="s">
        <v>33</v>
      </c>
      <c r="H1172" t="s">
        <v>34</v>
      </c>
      <c r="I1172" t="s">
        <v>54</v>
      </c>
      <c r="J1172">
        <v>2739.95</v>
      </c>
      <c r="K1172">
        <v>5</v>
      </c>
      <c r="L1172" t="s">
        <v>36</v>
      </c>
      <c r="M1172" t="s">
        <v>25</v>
      </c>
      <c r="N1172" t="s">
        <v>44</v>
      </c>
      <c r="O1172" t="s">
        <v>56</v>
      </c>
      <c r="P1172" t="s">
        <v>38</v>
      </c>
      <c r="Q1172">
        <v>4</v>
      </c>
      <c r="R1172">
        <v>772.05</v>
      </c>
      <c r="S1172" t="s">
        <v>29</v>
      </c>
    </row>
    <row r="1173" spans="1:19" x14ac:dyDescent="0.3">
      <c r="A1173" t="s">
        <v>1243</v>
      </c>
      <c r="B1173">
        <v>25</v>
      </c>
      <c r="C1173" t="s">
        <v>19</v>
      </c>
      <c r="D1173" t="s">
        <v>20</v>
      </c>
      <c r="E1173" s="1">
        <v>45053</v>
      </c>
      <c r="F1173" s="3">
        <v>45069</v>
      </c>
      <c r="G1173" t="s">
        <v>62</v>
      </c>
      <c r="H1173" t="s">
        <v>63</v>
      </c>
      <c r="I1173" t="s">
        <v>43</v>
      </c>
      <c r="J1173">
        <v>4882.55</v>
      </c>
      <c r="K1173">
        <v>16</v>
      </c>
      <c r="L1173" t="s">
        <v>36</v>
      </c>
      <c r="M1173" t="s">
        <v>25</v>
      </c>
      <c r="N1173" t="s">
        <v>26</v>
      </c>
      <c r="O1173" t="s">
        <v>37</v>
      </c>
      <c r="P1173" t="s">
        <v>28</v>
      </c>
      <c r="Q1173">
        <v>9</v>
      </c>
      <c r="R1173">
        <v>892.3</v>
      </c>
      <c r="S1173" t="s">
        <v>29</v>
      </c>
    </row>
    <row r="1174" spans="1:19" x14ac:dyDescent="0.3">
      <c r="A1174" t="s">
        <v>1244</v>
      </c>
      <c r="B1174">
        <v>61</v>
      </c>
      <c r="C1174" t="s">
        <v>19</v>
      </c>
      <c r="D1174" t="s">
        <v>47</v>
      </c>
      <c r="E1174" s="1">
        <v>45045</v>
      </c>
      <c r="F1174" s="3">
        <v>45059</v>
      </c>
      <c r="G1174" t="s">
        <v>71</v>
      </c>
      <c r="H1174" t="s">
        <v>72</v>
      </c>
      <c r="I1174" t="s">
        <v>91</v>
      </c>
      <c r="J1174">
        <v>4090.69</v>
      </c>
      <c r="K1174">
        <v>14</v>
      </c>
      <c r="L1174" t="s">
        <v>36</v>
      </c>
      <c r="M1174" t="s">
        <v>25</v>
      </c>
      <c r="N1174" t="s">
        <v>55</v>
      </c>
      <c r="O1174" t="s">
        <v>37</v>
      </c>
      <c r="P1174" t="s">
        <v>45</v>
      </c>
      <c r="Q1174">
        <v>2</v>
      </c>
      <c r="R1174">
        <v>875.63</v>
      </c>
      <c r="S1174" t="s">
        <v>29</v>
      </c>
    </row>
    <row r="1175" spans="1:19" x14ac:dyDescent="0.3">
      <c r="A1175" t="s">
        <v>1245</v>
      </c>
      <c r="B1175">
        <v>36</v>
      </c>
      <c r="C1175" t="s">
        <v>19</v>
      </c>
      <c r="D1175" t="s">
        <v>79</v>
      </c>
      <c r="E1175" s="1">
        <v>45674</v>
      </c>
      <c r="F1175" s="3">
        <v>45682</v>
      </c>
      <c r="G1175" t="s">
        <v>48</v>
      </c>
      <c r="H1175" t="s">
        <v>22</v>
      </c>
      <c r="I1175" t="s">
        <v>83</v>
      </c>
      <c r="J1175">
        <v>6097.63</v>
      </c>
      <c r="K1175">
        <v>8</v>
      </c>
      <c r="L1175" t="s">
        <v>36</v>
      </c>
      <c r="M1175" t="s">
        <v>25</v>
      </c>
      <c r="N1175" t="s">
        <v>26</v>
      </c>
      <c r="O1175" t="s">
        <v>27</v>
      </c>
      <c r="P1175" t="s">
        <v>28</v>
      </c>
      <c r="Q1175">
        <v>7</v>
      </c>
      <c r="R1175">
        <v>1158.67</v>
      </c>
      <c r="S1175" t="s">
        <v>29</v>
      </c>
    </row>
    <row r="1176" spans="1:19" x14ac:dyDescent="0.3">
      <c r="A1176" t="s">
        <v>1246</v>
      </c>
      <c r="B1176">
        <v>87</v>
      </c>
      <c r="C1176" t="s">
        <v>19</v>
      </c>
      <c r="D1176" t="s">
        <v>89</v>
      </c>
      <c r="E1176" s="1">
        <v>44970</v>
      </c>
      <c r="F1176" s="3">
        <v>44972</v>
      </c>
      <c r="G1176" t="s">
        <v>33</v>
      </c>
      <c r="H1176" t="s">
        <v>34</v>
      </c>
      <c r="I1176" t="s">
        <v>81</v>
      </c>
      <c r="J1176">
        <v>3725.03</v>
      </c>
      <c r="K1176">
        <v>2</v>
      </c>
      <c r="L1176" t="s">
        <v>24</v>
      </c>
      <c r="M1176" t="s">
        <v>101</v>
      </c>
      <c r="N1176" t="s">
        <v>26</v>
      </c>
      <c r="O1176" t="s">
        <v>56</v>
      </c>
      <c r="P1176" t="s">
        <v>28</v>
      </c>
      <c r="Q1176">
        <v>5</v>
      </c>
      <c r="R1176">
        <v>765</v>
      </c>
      <c r="S1176" t="s">
        <v>29</v>
      </c>
    </row>
    <row r="1177" spans="1:19" x14ac:dyDescent="0.3">
      <c r="A1177" t="s">
        <v>1247</v>
      </c>
      <c r="B1177">
        <v>28</v>
      </c>
      <c r="C1177" t="s">
        <v>19</v>
      </c>
      <c r="D1177" t="s">
        <v>79</v>
      </c>
      <c r="E1177" s="1">
        <v>45666</v>
      </c>
      <c r="F1177" s="3">
        <v>45678</v>
      </c>
      <c r="G1177" t="s">
        <v>48</v>
      </c>
      <c r="H1177" t="s">
        <v>22</v>
      </c>
      <c r="I1177" t="s">
        <v>35</v>
      </c>
      <c r="J1177">
        <v>9985.2800000000007</v>
      </c>
      <c r="K1177">
        <v>12</v>
      </c>
      <c r="L1177" t="s">
        <v>24</v>
      </c>
      <c r="M1177" t="s">
        <v>25</v>
      </c>
      <c r="N1177" t="s">
        <v>26</v>
      </c>
      <c r="O1177" t="s">
        <v>56</v>
      </c>
      <c r="P1177" t="s">
        <v>28</v>
      </c>
      <c r="Q1177">
        <v>7</v>
      </c>
      <c r="R1177">
        <v>1874.48</v>
      </c>
      <c r="S1177" t="s">
        <v>29</v>
      </c>
    </row>
    <row r="1178" spans="1:19" x14ac:dyDescent="0.3">
      <c r="A1178" t="s">
        <v>1248</v>
      </c>
      <c r="B1178">
        <v>72</v>
      </c>
      <c r="C1178" t="s">
        <v>31</v>
      </c>
      <c r="D1178" t="s">
        <v>61</v>
      </c>
      <c r="E1178" s="1">
        <v>45178</v>
      </c>
      <c r="F1178" s="3">
        <v>45186</v>
      </c>
      <c r="G1178" t="s">
        <v>33</v>
      </c>
      <c r="H1178" t="s">
        <v>34</v>
      </c>
      <c r="I1178" t="s">
        <v>83</v>
      </c>
      <c r="J1178">
        <v>5437.4</v>
      </c>
      <c r="K1178">
        <v>8</v>
      </c>
      <c r="L1178" t="s">
        <v>24</v>
      </c>
      <c r="M1178" t="s">
        <v>25</v>
      </c>
      <c r="N1178" t="s">
        <v>26</v>
      </c>
      <c r="O1178" t="s">
        <v>37</v>
      </c>
      <c r="P1178" t="s">
        <v>50</v>
      </c>
      <c r="Q1178">
        <v>5</v>
      </c>
      <c r="R1178">
        <v>886.7</v>
      </c>
      <c r="S1178" t="s">
        <v>29</v>
      </c>
    </row>
    <row r="1179" spans="1:19" x14ac:dyDescent="0.3">
      <c r="A1179" t="s">
        <v>1249</v>
      </c>
      <c r="B1179">
        <v>82</v>
      </c>
      <c r="C1179" t="s">
        <v>19</v>
      </c>
      <c r="D1179" t="s">
        <v>79</v>
      </c>
      <c r="E1179" s="1">
        <v>45100</v>
      </c>
      <c r="F1179" s="3">
        <v>45105</v>
      </c>
      <c r="G1179" t="s">
        <v>74</v>
      </c>
      <c r="H1179" t="s">
        <v>75</v>
      </c>
      <c r="I1179" t="s">
        <v>35</v>
      </c>
      <c r="J1179">
        <v>3846.52</v>
      </c>
      <c r="K1179">
        <v>5</v>
      </c>
      <c r="L1179" t="s">
        <v>24</v>
      </c>
      <c r="M1179" t="s">
        <v>25</v>
      </c>
      <c r="N1179" t="s">
        <v>26</v>
      </c>
      <c r="O1179" t="s">
        <v>27</v>
      </c>
      <c r="P1179" t="s">
        <v>50</v>
      </c>
      <c r="Q1179">
        <v>8</v>
      </c>
      <c r="R1179">
        <v>1438.26</v>
      </c>
      <c r="S1179" t="s">
        <v>29</v>
      </c>
    </row>
    <row r="1180" spans="1:19" x14ac:dyDescent="0.3">
      <c r="A1180" t="s">
        <v>1250</v>
      </c>
      <c r="B1180">
        <v>90</v>
      </c>
      <c r="C1180" t="s">
        <v>19</v>
      </c>
      <c r="D1180" t="s">
        <v>79</v>
      </c>
      <c r="E1180" s="1">
        <v>45569</v>
      </c>
      <c r="F1180" s="3">
        <v>45578</v>
      </c>
      <c r="G1180" t="s">
        <v>71</v>
      </c>
      <c r="H1180" t="s">
        <v>72</v>
      </c>
      <c r="I1180" t="s">
        <v>58</v>
      </c>
      <c r="J1180">
        <v>10056.85</v>
      </c>
      <c r="K1180">
        <v>9</v>
      </c>
      <c r="L1180" t="s">
        <v>24</v>
      </c>
      <c r="M1180" t="s">
        <v>25</v>
      </c>
      <c r="N1180" t="s">
        <v>26</v>
      </c>
      <c r="O1180" t="s">
        <v>49</v>
      </c>
      <c r="P1180" t="s">
        <v>45</v>
      </c>
      <c r="Q1180">
        <v>5</v>
      </c>
      <c r="R1180">
        <v>3020.52</v>
      </c>
      <c r="S1180" t="s">
        <v>29</v>
      </c>
    </row>
    <row r="1181" spans="1:19" x14ac:dyDescent="0.3">
      <c r="A1181" t="s">
        <v>1251</v>
      </c>
      <c r="B1181">
        <v>29</v>
      </c>
      <c r="C1181" t="s">
        <v>31</v>
      </c>
      <c r="D1181" t="s">
        <v>70</v>
      </c>
      <c r="E1181" s="1">
        <v>45391</v>
      </c>
      <c r="F1181" s="3">
        <v>45398</v>
      </c>
      <c r="G1181" t="s">
        <v>67</v>
      </c>
      <c r="H1181" t="s">
        <v>42</v>
      </c>
      <c r="I1181" t="s">
        <v>81</v>
      </c>
      <c r="J1181">
        <v>4919.22</v>
      </c>
      <c r="K1181">
        <v>7</v>
      </c>
      <c r="L1181" t="s">
        <v>24</v>
      </c>
      <c r="M1181" t="s">
        <v>25</v>
      </c>
      <c r="N1181" t="s">
        <v>44</v>
      </c>
      <c r="O1181" t="s">
        <v>37</v>
      </c>
      <c r="P1181" t="s">
        <v>28</v>
      </c>
      <c r="Q1181">
        <v>15</v>
      </c>
      <c r="R1181">
        <v>1028.1300000000001</v>
      </c>
      <c r="S1181" t="s">
        <v>29</v>
      </c>
    </row>
    <row r="1182" spans="1:19" x14ac:dyDescent="0.3">
      <c r="A1182" t="s">
        <v>1252</v>
      </c>
      <c r="B1182">
        <v>20</v>
      </c>
      <c r="C1182" t="s">
        <v>31</v>
      </c>
      <c r="D1182" t="s">
        <v>70</v>
      </c>
      <c r="E1182" s="1">
        <v>45867</v>
      </c>
      <c r="F1182" s="3">
        <v>45892</v>
      </c>
      <c r="G1182" t="s">
        <v>48</v>
      </c>
      <c r="H1182" t="s">
        <v>22</v>
      </c>
      <c r="I1182" t="s">
        <v>23</v>
      </c>
      <c r="J1182">
        <v>17119.48</v>
      </c>
      <c r="K1182">
        <v>25</v>
      </c>
      <c r="L1182" t="s">
        <v>36</v>
      </c>
      <c r="M1182" t="s">
        <v>25</v>
      </c>
      <c r="N1182" t="s">
        <v>44</v>
      </c>
      <c r="O1182" t="s">
        <v>49</v>
      </c>
      <c r="P1182" t="s">
        <v>28</v>
      </c>
      <c r="Q1182">
        <v>13</v>
      </c>
      <c r="R1182">
        <v>2730.16</v>
      </c>
      <c r="S1182" t="s">
        <v>29</v>
      </c>
    </row>
    <row r="1183" spans="1:19" x14ac:dyDescent="0.3">
      <c r="A1183" t="s">
        <v>1253</v>
      </c>
      <c r="B1183">
        <v>60</v>
      </c>
      <c r="C1183" t="s">
        <v>31</v>
      </c>
      <c r="D1183" t="s">
        <v>32</v>
      </c>
      <c r="E1183" s="1">
        <v>45656</v>
      </c>
      <c r="F1183" s="3">
        <v>45672</v>
      </c>
      <c r="G1183" t="s">
        <v>52</v>
      </c>
      <c r="H1183" t="s">
        <v>53</v>
      </c>
      <c r="I1183" t="s">
        <v>58</v>
      </c>
      <c r="J1183">
        <v>8254.39</v>
      </c>
      <c r="K1183">
        <v>16</v>
      </c>
      <c r="L1183" t="s">
        <v>24</v>
      </c>
      <c r="M1183" t="s">
        <v>25</v>
      </c>
      <c r="N1183" t="s">
        <v>55</v>
      </c>
      <c r="O1183" t="s">
        <v>37</v>
      </c>
      <c r="P1183" t="s">
        <v>38</v>
      </c>
      <c r="Q1183">
        <v>15</v>
      </c>
      <c r="R1183">
        <v>2986.79</v>
      </c>
      <c r="S1183" t="s">
        <v>29</v>
      </c>
    </row>
    <row r="1184" spans="1:19" x14ac:dyDescent="0.3">
      <c r="A1184" t="s">
        <v>1254</v>
      </c>
      <c r="B1184">
        <v>64</v>
      </c>
      <c r="C1184" t="s">
        <v>19</v>
      </c>
      <c r="D1184" t="s">
        <v>61</v>
      </c>
      <c r="E1184" s="1">
        <v>45217</v>
      </c>
      <c r="F1184" s="3">
        <v>45231</v>
      </c>
      <c r="G1184" t="s">
        <v>62</v>
      </c>
      <c r="H1184" t="s">
        <v>63</v>
      </c>
      <c r="I1184" t="s">
        <v>91</v>
      </c>
      <c r="J1184">
        <v>11256.77</v>
      </c>
      <c r="K1184">
        <v>14</v>
      </c>
      <c r="L1184" t="s">
        <v>24</v>
      </c>
      <c r="M1184" t="s">
        <v>25</v>
      </c>
      <c r="N1184" t="s">
        <v>44</v>
      </c>
      <c r="O1184" t="s">
        <v>27</v>
      </c>
      <c r="P1184" t="s">
        <v>28</v>
      </c>
      <c r="Q1184">
        <v>14</v>
      </c>
      <c r="R1184">
        <v>1869.93</v>
      </c>
      <c r="S1184" t="s">
        <v>29</v>
      </c>
    </row>
    <row r="1185" spans="1:19" x14ac:dyDescent="0.3">
      <c r="A1185" t="s">
        <v>1255</v>
      </c>
      <c r="B1185">
        <v>84</v>
      </c>
      <c r="C1185" t="s">
        <v>31</v>
      </c>
      <c r="D1185" t="s">
        <v>32</v>
      </c>
      <c r="E1185" s="1">
        <v>45600</v>
      </c>
      <c r="F1185" s="3">
        <v>45606</v>
      </c>
      <c r="G1185" t="s">
        <v>67</v>
      </c>
      <c r="H1185" t="s">
        <v>42</v>
      </c>
      <c r="I1185" t="s">
        <v>23</v>
      </c>
      <c r="J1185">
        <v>4496.7299999999996</v>
      </c>
      <c r="K1185">
        <v>6</v>
      </c>
      <c r="L1185" t="s">
        <v>36</v>
      </c>
      <c r="M1185" t="s">
        <v>59</v>
      </c>
      <c r="N1185" t="s">
        <v>55</v>
      </c>
      <c r="O1185" t="s">
        <v>27</v>
      </c>
      <c r="P1185" t="s">
        <v>38</v>
      </c>
      <c r="Q1185">
        <v>5</v>
      </c>
      <c r="R1185">
        <v>1043.8499999999999</v>
      </c>
      <c r="S1185" t="s">
        <v>29</v>
      </c>
    </row>
    <row r="1186" spans="1:19" x14ac:dyDescent="0.3">
      <c r="A1186" t="s">
        <v>1256</v>
      </c>
      <c r="B1186">
        <v>67</v>
      </c>
      <c r="C1186" t="s">
        <v>19</v>
      </c>
      <c r="D1186" t="s">
        <v>70</v>
      </c>
      <c r="E1186" s="1">
        <v>45599</v>
      </c>
      <c r="F1186" s="3">
        <v>45618</v>
      </c>
      <c r="G1186" t="s">
        <v>74</v>
      </c>
      <c r="H1186" t="s">
        <v>75</v>
      </c>
      <c r="I1186" t="s">
        <v>23</v>
      </c>
      <c r="J1186">
        <v>5369.65</v>
      </c>
      <c r="K1186">
        <v>19</v>
      </c>
      <c r="L1186" t="s">
        <v>36</v>
      </c>
      <c r="M1186" t="s">
        <v>25</v>
      </c>
      <c r="N1186" t="s">
        <v>55</v>
      </c>
      <c r="O1186" t="s">
        <v>27</v>
      </c>
      <c r="P1186" t="s">
        <v>38</v>
      </c>
      <c r="Q1186">
        <v>5</v>
      </c>
      <c r="R1186">
        <v>1748.34</v>
      </c>
      <c r="S1186" t="s">
        <v>39</v>
      </c>
    </row>
    <row r="1187" spans="1:19" x14ac:dyDescent="0.3">
      <c r="A1187" t="s">
        <v>1257</v>
      </c>
      <c r="B1187">
        <v>33</v>
      </c>
      <c r="C1187" t="s">
        <v>31</v>
      </c>
      <c r="D1187" t="s">
        <v>32</v>
      </c>
      <c r="E1187" s="1">
        <v>45427</v>
      </c>
      <c r="F1187" s="3">
        <v>45454</v>
      </c>
      <c r="G1187" t="s">
        <v>52</v>
      </c>
      <c r="H1187" t="s">
        <v>53</v>
      </c>
      <c r="I1187" t="s">
        <v>81</v>
      </c>
      <c r="J1187">
        <v>15099.42</v>
      </c>
      <c r="K1187">
        <v>27</v>
      </c>
      <c r="L1187" t="s">
        <v>24</v>
      </c>
      <c r="M1187" t="s">
        <v>25</v>
      </c>
      <c r="N1187" t="s">
        <v>55</v>
      </c>
      <c r="O1187" t="s">
        <v>49</v>
      </c>
      <c r="P1187" t="s">
        <v>45</v>
      </c>
      <c r="Q1187">
        <v>10</v>
      </c>
      <c r="R1187">
        <v>5975.83</v>
      </c>
      <c r="S1187" t="s">
        <v>29</v>
      </c>
    </row>
    <row r="1188" spans="1:19" x14ac:dyDescent="0.3">
      <c r="A1188" t="s">
        <v>1258</v>
      </c>
      <c r="B1188">
        <v>20</v>
      </c>
      <c r="C1188" t="s">
        <v>31</v>
      </c>
      <c r="D1188" t="s">
        <v>20</v>
      </c>
      <c r="E1188" s="1">
        <v>45636</v>
      </c>
      <c r="F1188" s="3">
        <v>45640</v>
      </c>
      <c r="G1188" t="s">
        <v>93</v>
      </c>
      <c r="H1188" t="s">
        <v>72</v>
      </c>
      <c r="I1188" t="s">
        <v>58</v>
      </c>
      <c r="J1188">
        <v>2130.67</v>
      </c>
      <c r="K1188">
        <v>4</v>
      </c>
      <c r="L1188" t="s">
        <v>24</v>
      </c>
      <c r="M1188" t="s">
        <v>25</v>
      </c>
      <c r="N1188" t="s">
        <v>55</v>
      </c>
      <c r="O1188" t="s">
        <v>56</v>
      </c>
      <c r="P1188" t="s">
        <v>38</v>
      </c>
      <c r="Q1188">
        <v>6</v>
      </c>
      <c r="R1188">
        <v>761.36</v>
      </c>
      <c r="S1188" t="s">
        <v>29</v>
      </c>
    </row>
    <row r="1189" spans="1:19" x14ac:dyDescent="0.3">
      <c r="A1189" t="s">
        <v>1259</v>
      </c>
      <c r="B1189">
        <v>18</v>
      </c>
      <c r="C1189" t="s">
        <v>19</v>
      </c>
      <c r="D1189" t="s">
        <v>20</v>
      </c>
      <c r="E1189" s="1">
        <v>45076</v>
      </c>
      <c r="F1189" s="3">
        <v>45081</v>
      </c>
      <c r="G1189" t="s">
        <v>62</v>
      </c>
      <c r="H1189" t="s">
        <v>63</v>
      </c>
      <c r="I1189" t="s">
        <v>43</v>
      </c>
      <c r="J1189">
        <v>9794.7999999999993</v>
      </c>
      <c r="K1189">
        <v>5</v>
      </c>
      <c r="L1189" t="s">
        <v>24</v>
      </c>
      <c r="M1189" t="s">
        <v>76</v>
      </c>
      <c r="N1189" t="s">
        <v>55</v>
      </c>
      <c r="O1189" t="s">
        <v>49</v>
      </c>
      <c r="P1189" t="s">
        <v>50</v>
      </c>
      <c r="Q1189">
        <v>7</v>
      </c>
      <c r="R1189">
        <v>2811.19</v>
      </c>
      <c r="S1189" t="s">
        <v>29</v>
      </c>
    </row>
    <row r="1190" spans="1:19" x14ac:dyDescent="0.3">
      <c r="A1190" t="s">
        <v>1260</v>
      </c>
      <c r="B1190">
        <v>23</v>
      </c>
      <c r="C1190" t="s">
        <v>31</v>
      </c>
      <c r="D1190" t="s">
        <v>89</v>
      </c>
      <c r="E1190" s="1">
        <v>45891</v>
      </c>
      <c r="F1190" s="3">
        <v>45894</v>
      </c>
      <c r="G1190" t="s">
        <v>62</v>
      </c>
      <c r="H1190" t="s">
        <v>63</v>
      </c>
      <c r="I1190" t="s">
        <v>23</v>
      </c>
      <c r="J1190">
        <v>7564.02</v>
      </c>
      <c r="K1190">
        <v>3</v>
      </c>
      <c r="L1190" t="s">
        <v>36</v>
      </c>
      <c r="M1190" t="s">
        <v>25</v>
      </c>
      <c r="N1190" t="s">
        <v>26</v>
      </c>
      <c r="O1190" t="s">
        <v>49</v>
      </c>
      <c r="P1190" t="s">
        <v>28</v>
      </c>
      <c r="Q1190">
        <v>15</v>
      </c>
      <c r="R1190">
        <v>2939.14</v>
      </c>
      <c r="S1190" t="s">
        <v>29</v>
      </c>
    </row>
    <row r="1191" spans="1:19" x14ac:dyDescent="0.3">
      <c r="A1191" t="s">
        <v>1261</v>
      </c>
      <c r="B1191">
        <v>35</v>
      </c>
      <c r="C1191" t="s">
        <v>19</v>
      </c>
      <c r="D1191" t="s">
        <v>32</v>
      </c>
      <c r="E1191" s="1">
        <v>44994</v>
      </c>
      <c r="F1191" s="3">
        <v>45011</v>
      </c>
      <c r="G1191" t="s">
        <v>71</v>
      </c>
      <c r="H1191" t="s">
        <v>72</v>
      </c>
      <c r="I1191" t="s">
        <v>23</v>
      </c>
      <c r="J1191">
        <v>11542.04</v>
      </c>
      <c r="K1191">
        <v>17</v>
      </c>
      <c r="L1191" t="s">
        <v>24</v>
      </c>
      <c r="M1191" t="s">
        <v>25</v>
      </c>
      <c r="N1191" t="s">
        <v>55</v>
      </c>
      <c r="O1191" t="s">
        <v>49</v>
      </c>
      <c r="P1191" t="s">
        <v>28</v>
      </c>
      <c r="Q1191">
        <v>1</v>
      </c>
      <c r="R1191">
        <v>2837.59</v>
      </c>
      <c r="S1191" t="s">
        <v>29</v>
      </c>
    </row>
    <row r="1192" spans="1:19" x14ac:dyDescent="0.3">
      <c r="A1192" t="s">
        <v>1262</v>
      </c>
      <c r="B1192">
        <v>46</v>
      </c>
      <c r="C1192" t="s">
        <v>19</v>
      </c>
      <c r="D1192" t="s">
        <v>79</v>
      </c>
      <c r="E1192" s="1">
        <v>45232</v>
      </c>
      <c r="F1192" s="3">
        <v>45241</v>
      </c>
      <c r="G1192" t="s">
        <v>33</v>
      </c>
      <c r="H1192" t="s">
        <v>34</v>
      </c>
      <c r="I1192" t="s">
        <v>91</v>
      </c>
      <c r="J1192">
        <v>13205.94</v>
      </c>
      <c r="K1192">
        <v>9</v>
      </c>
      <c r="L1192" t="s">
        <v>36</v>
      </c>
      <c r="M1192" t="s">
        <v>59</v>
      </c>
      <c r="N1192" t="s">
        <v>44</v>
      </c>
      <c r="O1192" t="s">
        <v>49</v>
      </c>
      <c r="P1192" t="s">
        <v>50</v>
      </c>
      <c r="Q1192">
        <v>6</v>
      </c>
      <c r="R1192">
        <v>3237.34</v>
      </c>
      <c r="S1192" t="s">
        <v>29</v>
      </c>
    </row>
    <row r="1193" spans="1:19" x14ac:dyDescent="0.3">
      <c r="A1193" t="s">
        <v>1263</v>
      </c>
      <c r="B1193">
        <v>45</v>
      </c>
      <c r="C1193" t="s">
        <v>19</v>
      </c>
      <c r="D1193" t="s">
        <v>20</v>
      </c>
      <c r="E1193" s="1">
        <v>45341</v>
      </c>
      <c r="F1193" s="3">
        <v>45352</v>
      </c>
      <c r="G1193" t="s">
        <v>48</v>
      </c>
      <c r="H1193" t="s">
        <v>22</v>
      </c>
      <c r="I1193" t="s">
        <v>81</v>
      </c>
      <c r="J1193">
        <v>5144.71</v>
      </c>
      <c r="K1193">
        <v>11</v>
      </c>
      <c r="L1193" t="s">
        <v>36</v>
      </c>
      <c r="M1193" t="s">
        <v>25</v>
      </c>
      <c r="N1193" t="s">
        <v>55</v>
      </c>
      <c r="O1193" t="s">
        <v>27</v>
      </c>
      <c r="P1193" t="s">
        <v>50</v>
      </c>
      <c r="Q1193">
        <v>9</v>
      </c>
      <c r="R1193">
        <v>1272.8900000000001</v>
      </c>
      <c r="S1193" t="s">
        <v>29</v>
      </c>
    </row>
    <row r="1194" spans="1:19" x14ac:dyDescent="0.3">
      <c r="A1194" t="s">
        <v>1264</v>
      </c>
      <c r="B1194">
        <v>36</v>
      </c>
      <c r="C1194" t="s">
        <v>19</v>
      </c>
      <c r="D1194" t="s">
        <v>47</v>
      </c>
      <c r="E1194" s="1">
        <v>45499</v>
      </c>
      <c r="F1194" s="3">
        <v>45510</v>
      </c>
      <c r="G1194" t="s">
        <v>67</v>
      </c>
      <c r="H1194" t="s">
        <v>42</v>
      </c>
      <c r="I1194" t="s">
        <v>58</v>
      </c>
      <c r="J1194">
        <v>5083.25</v>
      </c>
      <c r="K1194">
        <v>11</v>
      </c>
      <c r="L1194" t="s">
        <v>24</v>
      </c>
      <c r="M1194" t="s">
        <v>25</v>
      </c>
      <c r="N1194" t="s">
        <v>55</v>
      </c>
      <c r="O1194" t="s">
        <v>27</v>
      </c>
      <c r="P1194" t="s">
        <v>50</v>
      </c>
      <c r="Q1194">
        <v>6</v>
      </c>
      <c r="R1194">
        <v>1401.75</v>
      </c>
      <c r="S1194" t="s">
        <v>29</v>
      </c>
    </row>
    <row r="1195" spans="1:19" x14ac:dyDescent="0.3">
      <c r="A1195" t="s">
        <v>1265</v>
      </c>
      <c r="B1195">
        <v>53</v>
      </c>
      <c r="C1195" t="s">
        <v>31</v>
      </c>
      <c r="D1195" t="s">
        <v>20</v>
      </c>
      <c r="E1195" s="1">
        <v>45372</v>
      </c>
      <c r="F1195" s="3">
        <v>45385</v>
      </c>
      <c r="G1195" t="s">
        <v>67</v>
      </c>
      <c r="H1195" t="s">
        <v>42</v>
      </c>
      <c r="I1195" t="s">
        <v>43</v>
      </c>
      <c r="J1195">
        <v>7432.27</v>
      </c>
      <c r="K1195">
        <v>13</v>
      </c>
      <c r="L1195" t="s">
        <v>36</v>
      </c>
      <c r="M1195" t="s">
        <v>25</v>
      </c>
      <c r="N1195" t="s">
        <v>26</v>
      </c>
      <c r="O1195" t="s">
        <v>37</v>
      </c>
      <c r="P1195" t="s">
        <v>28</v>
      </c>
      <c r="Q1195">
        <v>6</v>
      </c>
      <c r="R1195">
        <v>2247.11</v>
      </c>
      <c r="S1195" t="s">
        <v>29</v>
      </c>
    </row>
    <row r="1196" spans="1:19" x14ac:dyDescent="0.3">
      <c r="A1196" t="s">
        <v>1266</v>
      </c>
      <c r="B1196">
        <v>46</v>
      </c>
      <c r="C1196" t="s">
        <v>19</v>
      </c>
      <c r="D1196" t="s">
        <v>32</v>
      </c>
      <c r="E1196" s="1">
        <v>45632</v>
      </c>
      <c r="F1196" s="3">
        <v>45652</v>
      </c>
      <c r="G1196" t="s">
        <v>41</v>
      </c>
      <c r="H1196" t="s">
        <v>42</v>
      </c>
      <c r="I1196" t="s">
        <v>81</v>
      </c>
      <c r="J1196">
        <v>10370.290000000001</v>
      </c>
      <c r="K1196">
        <v>20</v>
      </c>
      <c r="L1196" t="s">
        <v>24</v>
      </c>
      <c r="M1196" t="s">
        <v>59</v>
      </c>
      <c r="N1196" t="s">
        <v>55</v>
      </c>
      <c r="O1196" t="s">
        <v>56</v>
      </c>
      <c r="P1196" t="s">
        <v>45</v>
      </c>
      <c r="Q1196">
        <v>6</v>
      </c>
      <c r="R1196">
        <v>1601.37</v>
      </c>
      <c r="S1196" t="s">
        <v>39</v>
      </c>
    </row>
    <row r="1197" spans="1:19" x14ac:dyDescent="0.3">
      <c r="A1197" t="s">
        <v>1267</v>
      </c>
      <c r="B1197">
        <v>54</v>
      </c>
      <c r="C1197" t="s">
        <v>19</v>
      </c>
      <c r="D1197" t="s">
        <v>20</v>
      </c>
      <c r="E1197" s="1">
        <v>45458</v>
      </c>
      <c r="F1197" s="3">
        <v>45469</v>
      </c>
      <c r="G1197" t="s">
        <v>74</v>
      </c>
      <c r="H1197" t="s">
        <v>75</v>
      </c>
      <c r="I1197" t="s">
        <v>43</v>
      </c>
      <c r="J1197">
        <v>8565.3700000000008</v>
      </c>
      <c r="K1197">
        <v>11</v>
      </c>
      <c r="L1197" t="s">
        <v>36</v>
      </c>
      <c r="M1197" t="s">
        <v>59</v>
      </c>
      <c r="N1197" t="s">
        <v>44</v>
      </c>
      <c r="O1197" t="s">
        <v>37</v>
      </c>
      <c r="P1197" t="s">
        <v>28</v>
      </c>
      <c r="Q1197">
        <v>15</v>
      </c>
      <c r="R1197">
        <v>1369.55</v>
      </c>
      <c r="S1197" t="s">
        <v>29</v>
      </c>
    </row>
    <row r="1198" spans="1:19" x14ac:dyDescent="0.3">
      <c r="A1198" t="s">
        <v>1268</v>
      </c>
      <c r="B1198">
        <v>79</v>
      </c>
      <c r="C1198" t="s">
        <v>19</v>
      </c>
      <c r="D1198" t="s">
        <v>66</v>
      </c>
      <c r="E1198" s="1">
        <v>45430</v>
      </c>
      <c r="F1198" s="3">
        <v>45457</v>
      </c>
      <c r="G1198" t="s">
        <v>67</v>
      </c>
      <c r="H1198" t="s">
        <v>42</v>
      </c>
      <c r="I1198" t="s">
        <v>43</v>
      </c>
      <c r="J1198">
        <v>21067.17</v>
      </c>
      <c r="K1198">
        <v>27</v>
      </c>
      <c r="L1198" t="s">
        <v>24</v>
      </c>
      <c r="M1198" t="s">
        <v>59</v>
      </c>
      <c r="N1198" t="s">
        <v>44</v>
      </c>
      <c r="O1198" t="s">
        <v>49</v>
      </c>
      <c r="P1198" t="s">
        <v>38</v>
      </c>
      <c r="Q1198">
        <v>14</v>
      </c>
      <c r="R1198">
        <v>7196.12</v>
      </c>
      <c r="S1198" t="s">
        <v>29</v>
      </c>
    </row>
    <row r="1199" spans="1:19" x14ac:dyDescent="0.3">
      <c r="A1199" t="s">
        <v>1269</v>
      </c>
      <c r="B1199">
        <v>87</v>
      </c>
      <c r="C1199" t="s">
        <v>19</v>
      </c>
      <c r="D1199" t="s">
        <v>70</v>
      </c>
      <c r="E1199" s="1">
        <v>45697</v>
      </c>
      <c r="F1199" s="3">
        <v>45710</v>
      </c>
      <c r="G1199" t="s">
        <v>33</v>
      </c>
      <c r="H1199" t="s">
        <v>34</v>
      </c>
      <c r="I1199" t="s">
        <v>83</v>
      </c>
      <c r="J1199">
        <v>10241.620000000001</v>
      </c>
      <c r="K1199">
        <v>13</v>
      </c>
      <c r="L1199" t="s">
        <v>36</v>
      </c>
      <c r="M1199" t="s">
        <v>25</v>
      </c>
      <c r="N1199" t="s">
        <v>44</v>
      </c>
      <c r="O1199" t="s">
        <v>56</v>
      </c>
      <c r="P1199" t="s">
        <v>38</v>
      </c>
      <c r="Q1199">
        <v>15</v>
      </c>
      <c r="R1199">
        <v>2472.46</v>
      </c>
      <c r="S1199" t="s">
        <v>39</v>
      </c>
    </row>
    <row r="1200" spans="1:19" x14ac:dyDescent="0.3">
      <c r="A1200" t="s">
        <v>1270</v>
      </c>
      <c r="B1200">
        <v>28</v>
      </c>
      <c r="C1200" t="s">
        <v>31</v>
      </c>
      <c r="D1200" t="s">
        <v>66</v>
      </c>
      <c r="E1200" s="1">
        <v>45068</v>
      </c>
      <c r="F1200" s="3">
        <v>45097</v>
      </c>
      <c r="G1200" t="s">
        <v>33</v>
      </c>
      <c r="H1200" t="s">
        <v>34</v>
      </c>
      <c r="I1200" t="s">
        <v>35</v>
      </c>
      <c r="J1200">
        <v>14501.72</v>
      </c>
      <c r="K1200">
        <v>29</v>
      </c>
      <c r="L1200" t="s">
        <v>24</v>
      </c>
      <c r="M1200" t="s">
        <v>25</v>
      </c>
      <c r="N1200" t="s">
        <v>26</v>
      </c>
      <c r="O1200" t="s">
        <v>49</v>
      </c>
      <c r="P1200" t="s">
        <v>28</v>
      </c>
      <c r="Q1200">
        <v>5</v>
      </c>
      <c r="R1200">
        <v>3036.66</v>
      </c>
      <c r="S1200" t="s">
        <v>29</v>
      </c>
    </row>
    <row r="1201" spans="1:19" x14ac:dyDescent="0.3">
      <c r="A1201" t="s">
        <v>1271</v>
      </c>
      <c r="B1201">
        <v>66</v>
      </c>
      <c r="C1201" t="s">
        <v>31</v>
      </c>
      <c r="D1201" t="s">
        <v>79</v>
      </c>
      <c r="E1201" s="1">
        <v>45735</v>
      </c>
      <c r="F1201" s="3">
        <v>45739</v>
      </c>
      <c r="G1201" t="s">
        <v>33</v>
      </c>
      <c r="H1201" t="s">
        <v>34</v>
      </c>
      <c r="I1201" t="s">
        <v>58</v>
      </c>
      <c r="J1201">
        <v>7719.33</v>
      </c>
      <c r="K1201">
        <v>4</v>
      </c>
      <c r="L1201" t="s">
        <v>24</v>
      </c>
      <c r="M1201" t="s">
        <v>25</v>
      </c>
      <c r="N1201" t="s">
        <v>44</v>
      </c>
      <c r="O1201" t="s">
        <v>49</v>
      </c>
      <c r="P1201" t="s">
        <v>50</v>
      </c>
      <c r="Q1201">
        <v>12</v>
      </c>
      <c r="R1201">
        <v>1256.42</v>
      </c>
      <c r="S1201" t="s">
        <v>29</v>
      </c>
    </row>
    <row r="1202" spans="1:19" x14ac:dyDescent="0.3">
      <c r="A1202" t="s">
        <v>1272</v>
      </c>
      <c r="B1202">
        <v>90</v>
      </c>
      <c r="C1202" t="s">
        <v>19</v>
      </c>
      <c r="D1202" t="s">
        <v>66</v>
      </c>
      <c r="E1202" s="1">
        <v>45562</v>
      </c>
      <c r="F1202" s="3">
        <v>45564</v>
      </c>
      <c r="G1202" t="s">
        <v>21</v>
      </c>
      <c r="H1202" t="s">
        <v>22</v>
      </c>
      <c r="I1202" t="s">
        <v>83</v>
      </c>
      <c r="J1202">
        <v>1949.2</v>
      </c>
      <c r="K1202">
        <v>2</v>
      </c>
      <c r="L1202" t="s">
        <v>24</v>
      </c>
      <c r="M1202" t="s">
        <v>25</v>
      </c>
      <c r="N1202" t="s">
        <v>26</v>
      </c>
      <c r="O1202" t="s">
        <v>56</v>
      </c>
      <c r="P1202" t="s">
        <v>45</v>
      </c>
      <c r="Q1202">
        <v>14</v>
      </c>
      <c r="R1202">
        <v>748.75</v>
      </c>
      <c r="S1202" t="s">
        <v>39</v>
      </c>
    </row>
    <row r="1203" spans="1:19" x14ac:dyDescent="0.3">
      <c r="A1203" t="s">
        <v>1273</v>
      </c>
      <c r="B1203">
        <v>46</v>
      </c>
      <c r="C1203" t="s">
        <v>19</v>
      </c>
      <c r="D1203" t="s">
        <v>32</v>
      </c>
      <c r="E1203" s="1">
        <v>45697</v>
      </c>
      <c r="F1203" s="3">
        <v>45708</v>
      </c>
      <c r="G1203" t="s">
        <v>48</v>
      </c>
      <c r="H1203" t="s">
        <v>22</v>
      </c>
      <c r="I1203" t="s">
        <v>23</v>
      </c>
      <c r="J1203">
        <v>8542.1299999999992</v>
      </c>
      <c r="K1203">
        <v>11</v>
      </c>
      <c r="L1203" t="s">
        <v>24</v>
      </c>
      <c r="M1203" t="s">
        <v>59</v>
      </c>
      <c r="N1203" t="s">
        <v>55</v>
      </c>
      <c r="O1203" t="s">
        <v>37</v>
      </c>
      <c r="P1203" t="s">
        <v>28</v>
      </c>
      <c r="Q1203">
        <v>13</v>
      </c>
      <c r="R1203">
        <v>2588.65</v>
      </c>
      <c r="S1203" t="s">
        <v>29</v>
      </c>
    </row>
    <row r="1204" spans="1:19" x14ac:dyDescent="0.3">
      <c r="A1204" t="s">
        <v>1274</v>
      </c>
      <c r="B1204">
        <v>89</v>
      </c>
      <c r="C1204" t="s">
        <v>19</v>
      </c>
      <c r="D1204" t="s">
        <v>32</v>
      </c>
      <c r="E1204" s="1">
        <v>45202</v>
      </c>
      <c r="F1204" s="3">
        <v>45211</v>
      </c>
      <c r="G1204" t="s">
        <v>48</v>
      </c>
      <c r="H1204" t="s">
        <v>22</v>
      </c>
      <c r="I1204" t="s">
        <v>91</v>
      </c>
      <c r="J1204">
        <v>6878.89</v>
      </c>
      <c r="K1204">
        <v>9</v>
      </c>
      <c r="L1204" t="s">
        <v>36</v>
      </c>
      <c r="M1204" t="s">
        <v>25</v>
      </c>
      <c r="N1204" t="s">
        <v>55</v>
      </c>
      <c r="O1204" t="s">
        <v>56</v>
      </c>
      <c r="P1204" t="s">
        <v>28</v>
      </c>
      <c r="Q1204">
        <v>15</v>
      </c>
      <c r="R1204">
        <v>1228.93</v>
      </c>
      <c r="S1204" t="s">
        <v>29</v>
      </c>
    </row>
    <row r="1205" spans="1:19" x14ac:dyDescent="0.3">
      <c r="A1205" t="s">
        <v>1275</v>
      </c>
      <c r="B1205">
        <v>70</v>
      </c>
      <c r="C1205" t="s">
        <v>31</v>
      </c>
      <c r="D1205" t="s">
        <v>20</v>
      </c>
      <c r="E1205" s="1">
        <v>45686</v>
      </c>
      <c r="F1205" s="3">
        <v>45695</v>
      </c>
      <c r="G1205" t="s">
        <v>74</v>
      </c>
      <c r="H1205" t="s">
        <v>75</v>
      </c>
      <c r="I1205" t="s">
        <v>35</v>
      </c>
      <c r="J1205">
        <v>5414.7</v>
      </c>
      <c r="K1205">
        <v>9</v>
      </c>
      <c r="L1205" t="s">
        <v>24</v>
      </c>
      <c r="M1205" t="s">
        <v>59</v>
      </c>
      <c r="N1205" t="s">
        <v>55</v>
      </c>
      <c r="O1205" t="s">
        <v>56</v>
      </c>
      <c r="P1205" t="s">
        <v>50</v>
      </c>
      <c r="Q1205">
        <v>11</v>
      </c>
      <c r="R1205">
        <v>1494.01</v>
      </c>
      <c r="S1205" t="s">
        <v>29</v>
      </c>
    </row>
    <row r="1206" spans="1:19" x14ac:dyDescent="0.3">
      <c r="A1206" t="s">
        <v>1276</v>
      </c>
      <c r="B1206">
        <v>59</v>
      </c>
      <c r="C1206" t="s">
        <v>31</v>
      </c>
      <c r="D1206" t="s">
        <v>47</v>
      </c>
      <c r="E1206" s="1">
        <v>45744</v>
      </c>
      <c r="F1206" s="3">
        <v>45748</v>
      </c>
      <c r="G1206" t="s">
        <v>41</v>
      </c>
      <c r="H1206" t="s">
        <v>42</v>
      </c>
      <c r="I1206" t="s">
        <v>58</v>
      </c>
      <c r="J1206">
        <v>3356.19</v>
      </c>
      <c r="K1206">
        <v>4</v>
      </c>
      <c r="L1206" t="s">
        <v>36</v>
      </c>
      <c r="M1206" t="s">
        <v>25</v>
      </c>
      <c r="N1206" t="s">
        <v>26</v>
      </c>
      <c r="O1206" t="s">
        <v>37</v>
      </c>
      <c r="P1206" t="s">
        <v>38</v>
      </c>
      <c r="Q1206">
        <v>9</v>
      </c>
      <c r="R1206">
        <v>1246.3499999999999</v>
      </c>
      <c r="S1206" t="s">
        <v>29</v>
      </c>
    </row>
    <row r="1207" spans="1:19" x14ac:dyDescent="0.3">
      <c r="A1207" t="s">
        <v>1277</v>
      </c>
      <c r="B1207">
        <v>83</v>
      </c>
      <c r="C1207" t="s">
        <v>19</v>
      </c>
      <c r="D1207" t="s">
        <v>89</v>
      </c>
      <c r="E1207" s="1">
        <v>44981</v>
      </c>
      <c r="F1207" s="3">
        <v>45000</v>
      </c>
      <c r="G1207" t="s">
        <v>41</v>
      </c>
      <c r="H1207" t="s">
        <v>42</v>
      </c>
      <c r="I1207" t="s">
        <v>91</v>
      </c>
      <c r="J1207">
        <v>10972.99</v>
      </c>
      <c r="K1207">
        <v>19</v>
      </c>
      <c r="L1207" t="s">
        <v>24</v>
      </c>
      <c r="M1207" t="s">
        <v>25</v>
      </c>
      <c r="N1207" t="s">
        <v>44</v>
      </c>
      <c r="O1207" t="s">
        <v>49</v>
      </c>
      <c r="P1207" t="s">
        <v>45</v>
      </c>
      <c r="Q1207">
        <v>14</v>
      </c>
      <c r="R1207">
        <v>2950.35</v>
      </c>
      <c r="S1207" t="s">
        <v>29</v>
      </c>
    </row>
    <row r="1208" spans="1:19" x14ac:dyDescent="0.3">
      <c r="A1208" t="s">
        <v>1278</v>
      </c>
      <c r="B1208">
        <v>65</v>
      </c>
      <c r="C1208" t="s">
        <v>19</v>
      </c>
      <c r="D1208" t="s">
        <v>89</v>
      </c>
      <c r="E1208" s="1">
        <v>45538</v>
      </c>
      <c r="F1208" s="3">
        <v>45550</v>
      </c>
      <c r="G1208" t="s">
        <v>74</v>
      </c>
      <c r="H1208" t="s">
        <v>75</v>
      </c>
      <c r="I1208" t="s">
        <v>91</v>
      </c>
      <c r="J1208">
        <v>4197.26</v>
      </c>
      <c r="K1208">
        <v>12</v>
      </c>
      <c r="L1208" t="s">
        <v>36</v>
      </c>
      <c r="M1208" t="s">
        <v>59</v>
      </c>
      <c r="N1208" t="s">
        <v>44</v>
      </c>
      <c r="O1208" t="s">
        <v>37</v>
      </c>
      <c r="P1208" t="s">
        <v>50</v>
      </c>
      <c r="Q1208">
        <v>12</v>
      </c>
      <c r="R1208">
        <v>1051.32</v>
      </c>
      <c r="S1208" t="s">
        <v>29</v>
      </c>
    </row>
    <row r="1209" spans="1:19" x14ac:dyDescent="0.3">
      <c r="A1209" t="s">
        <v>1279</v>
      </c>
      <c r="B1209">
        <v>78</v>
      </c>
      <c r="C1209" t="s">
        <v>19</v>
      </c>
      <c r="D1209" t="s">
        <v>70</v>
      </c>
      <c r="E1209" s="1">
        <v>45251</v>
      </c>
      <c r="F1209" s="3">
        <v>45269</v>
      </c>
      <c r="G1209" t="s">
        <v>33</v>
      </c>
      <c r="H1209" t="s">
        <v>34</v>
      </c>
      <c r="I1209" t="s">
        <v>43</v>
      </c>
      <c r="J1209">
        <v>8119.55</v>
      </c>
      <c r="K1209">
        <v>18</v>
      </c>
      <c r="L1209" t="s">
        <v>36</v>
      </c>
      <c r="M1209" t="s">
        <v>25</v>
      </c>
      <c r="N1209" t="s">
        <v>26</v>
      </c>
      <c r="O1209" t="s">
        <v>27</v>
      </c>
      <c r="P1209" t="s">
        <v>28</v>
      </c>
      <c r="Q1209">
        <v>15</v>
      </c>
      <c r="R1209">
        <v>1871.22</v>
      </c>
      <c r="S1209" t="s">
        <v>29</v>
      </c>
    </row>
    <row r="1210" spans="1:19" x14ac:dyDescent="0.3">
      <c r="A1210" t="s">
        <v>1280</v>
      </c>
      <c r="B1210">
        <v>62</v>
      </c>
      <c r="C1210" t="s">
        <v>31</v>
      </c>
      <c r="D1210" t="s">
        <v>61</v>
      </c>
      <c r="E1210" s="1">
        <v>45564</v>
      </c>
      <c r="F1210" s="3">
        <v>45584</v>
      </c>
      <c r="G1210" t="s">
        <v>52</v>
      </c>
      <c r="H1210" t="s">
        <v>53</v>
      </c>
      <c r="I1210" t="s">
        <v>81</v>
      </c>
      <c r="J1210">
        <v>20401.43</v>
      </c>
      <c r="K1210">
        <v>20</v>
      </c>
      <c r="L1210" t="s">
        <v>24</v>
      </c>
      <c r="M1210" t="s">
        <v>25</v>
      </c>
      <c r="N1210" t="s">
        <v>55</v>
      </c>
      <c r="O1210" t="s">
        <v>49</v>
      </c>
      <c r="P1210" t="s">
        <v>38</v>
      </c>
      <c r="Q1210">
        <v>4</v>
      </c>
      <c r="R1210">
        <v>5362.54</v>
      </c>
      <c r="S1210" t="s">
        <v>29</v>
      </c>
    </row>
    <row r="1211" spans="1:19" x14ac:dyDescent="0.3">
      <c r="A1211" t="s">
        <v>1281</v>
      </c>
      <c r="B1211">
        <v>59</v>
      </c>
      <c r="C1211" t="s">
        <v>31</v>
      </c>
      <c r="D1211" t="s">
        <v>61</v>
      </c>
      <c r="E1211" s="1">
        <v>45172</v>
      </c>
      <c r="F1211" s="3">
        <v>45184</v>
      </c>
      <c r="G1211" t="s">
        <v>21</v>
      </c>
      <c r="H1211" t="s">
        <v>22</v>
      </c>
      <c r="I1211" t="s">
        <v>58</v>
      </c>
      <c r="J1211">
        <v>2427.4499999999998</v>
      </c>
      <c r="K1211">
        <v>12</v>
      </c>
      <c r="L1211" t="s">
        <v>36</v>
      </c>
      <c r="M1211" t="s">
        <v>25</v>
      </c>
      <c r="N1211" t="s">
        <v>55</v>
      </c>
      <c r="O1211" t="s">
        <v>56</v>
      </c>
      <c r="P1211" t="s">
        <v>28</v>
      </c>
      <c r="Q1211">
        <v>2</v>
      </c>
      <c r="R1211">
        <v>419.88</v>
      </c>
      <c r="S1211" t="s">
        <v>29</v>
      </c>
    </row>
    <row r="1212" spans="1:19" x14ac:dyDescent="0.3">
      <c r="A1212" t="s">
        <v>1282</v>
      </c>
      <c r="B1212">
        <v>89</v>
      </c>
      <c r="C1212" t="s">
        <v>31</v>
      </c>
      <c r="D1212" t="s">
        <v>32</v>
      </c>
      <c r="E1212" s="1">
        <v>45032</v>
      </c>
      <c r="F1212" s="3">
        <v>45050</v>
      </c>
      <c r="G1212" t="s">
        <v>71</v>
      </c>
      <c r="H1212" t="s">
        <v>72</v>
      </c>
      <c r="I1212" t="s">
        <v>91</v>
      </c>
      <c r="J1212">
        <v>11117.86</v>
      </c>
      <c r="K1212">
        <v>18</v>
      </c>
      <c r="L1212" t="s">
        <v>36</v>
      </c>
      <c r="M1212" t="s">
        <v>101</v>
      </c>
      <c r="N1212" t="s">
        <v>26</v>
      </c>
      <c r="O1212" t="s">
        <v>27</v>
      </c>
      <c r="P1212" t="s">
        <v>38</v>
      </c>
      <c r="Q1212">
        <v>6</v>
      </c>
      <c r="R1212">
        <v>3130.44</v>
      </c>
      <c r="S1212" t="s">
        <v>29</v>
      </c>
    </row>
    <row r="1213" spans="1:19" x14ac:dyDescent="0.3">
      <c r="A1213" t="s">
        <v>1283</v>
      </c>
      <c r="B1213">
        <v>58</v>
      </c>
      <c r="C1213" t="s">
        <v>19</v>
      </c>
      <c r="D1213" t="s">
        <v>61</v>
      </c>
      <c r="E1213" s="1">
        <v>45011</v>
      </c>
      <c r="F1213" s="3">
        <v>45019</v>
      </c>
      <c r="G1213" t="s">
        <v>67</v>
      </c>
      <c r="H1213" t="s">
        <v>42</v>
      </c>
      <c r="I1213" t="s">
        <v>91</v>
      </c>
      <c r="J1213">
        <v>2884.82</v>
      </c>
      <c r="K1213">
        <v>8</v>
      </c>
      <c r="L1213" t="s">
        <v>36</v>
      </c>
      <c r="M1213" t="s">
        <v>25</v>
      </c>
      <c r="N1213" t="s">
        <v>44</v>
      </c>
      <c r="O1213" t="s">
        <v>37</v>
      </c>
      <c r="P1213" t="s">
        <v>50</v>
      </c>
      <c r="Q1213">
        <v>13</v>
      </c>
      <c r="R1213">
        <v>999.12</v>
      </c>
      <c r="S1213" t="s">
        <v>29</v>
      </c>
    </row>
    <row r="1214" spans="1:19" x14ac:dyDescent="0.3">
      <c r="A1214" t="s">
        <v>1284</v>
      </c>
      <c r="B1214">
        <v>25</v>
      </c>
      <c r="C1214" t="s">
        <v>31</v>
      </c>
      <c r="D1214" t="s">
        <v>70</v>
      </c>
      <c r="E1214" s="1">
        <v>45397</v>
      </c>
      <c r="F1214" s="3">
        <v>45401</v>
      </c>
      <c r="G1214" t="s">
        <v>48</v>
      </c>
      <c r="H1214" t="s">
        <v>22</v>
      </c>
      <c r="I1214" t="s">
        <v>83</v>
      </c>
      <c r="J1214">
        <v>1916.15</v>
      </c>
      <c r="K1214">
        <v>4</v>
      </c>
      <c r="L1214" t="s">
        <v>36</v>
      </c>
      <c r="M1214" t="s">
        <v>25</v>
      </c>
      <c r="N1214" t="s">
        <v>55</v>
      </c>
      <c r="O1214" t="s">
        <v>37</v>
      </c>
      <c r="P1214" t="s">
        <v>28</v>
      </c>
      <c r="Q1214">
        <v>4</v>
      </c>
      <c r="R1214">
        <v>450.96</v>
      </c>
      <c r="S1214" t="s">
        <v>29</v>
      </c>
    </row>
    <row r="1215" spans="1:19" x14ac:dyDescent="0.3">
      <c r="A1215" t="s">
        <v>1285</v>
      </c>
      <c r="B1215">
        <v>68</v>
      </c>
      <c r="C1215" t="s">
        <v>31</v>
      </c>
      <c r="D1215" t="s">
        <v>61</v>
      </c>
      <c r="E1215" s="1">
        <v>45288</v>
      </c>
      <c r="F1215" s="3">
        <v>45290</v>
      </c>
      <c r="G1215" t="s">
        <v>74</v>
      </c>
      <c r="H1215" t="s">
        <v>75</v>
      </c>
      <c r="I1215" t="s">
        <v>81</v>
      </c>
      <c r="J1215">
        <v>3469.19</v>
      </c>
      <c r="K1215">
        <v>2</v>
      </c>
      <c r="L1215" t="s">
        <v>24</v>
      </c>
      <c r="M1215" t="s">
        <v>25</v>
      </c>
      <c r="N1215" t="s">
        <v>44</v>
      </c>
      <c r="O1215" t="s">
        <v>37</v>
      </c>
      <c r="P1215" t="s">
        <v>38</v>
      </c>
      <c r="Q1215">
        <v>4</v>
      </c>
      <c r="R1215">
        <v>1262.94</v>
      </c>
      <c r="S1215" t="s">
        <v>39</v>
      </c>
    </row>
    <row r="1216" spans="1:19" x14ac:dyDescent="0.3">
      <c r="A1216" t="s">
        <v>1286</v>
      </c>
      <c r="B1216">
        <v>60</v>
      </c>
      <c r="C1216" t="s">
        <v>31</v>
      </c>
      <c r="D1216" t="s">
        <v>70</v>
      </c>
      <c r="E1216" s="1">
        <v>45545</v>
      </c>
      <c r="F1216" s="3">
        <v>45567</v>
      </c>
      <c r="G1216" t="s">
        <v>41</v>
      </c>
      <c r="H1216" t="s">
        <v>42</v>
      </c>
      <c r="I1216" t="s">
        <v>83</v>
      </c>
      <c r="J1216">
        <v>14685.63</v>
      </c>
      <c r="K1216">
        <v>22</v>
      </c>
      <c r="L1216" t="s">
        <v>24</v>
      </c>
      <c r="M1216" t="s">
        <v>25</v>
      </c>
      <c r="N1216" t="s">
        <v>44</v>
      </c>
      <c r="O1216" t="s">
        <v>49</v>
      </c>
      <c r="P1216" t="s">
        <v>50</v>
      </c>
      <c r="Q1216">
        <v>12</v>
      </c>
      <c r="R1216">
        <v>5408.19</v>
      </c>
      <c r="S1216" t="s">
        <v>39</v>
      </c>
    </row>
    <row r="1217" spans="1:19" x14ac:dyDescent="0.3">
      <c r="A1217" t="s">
        <v>1287</v>
      </c>
      <c r="B1217">
        <v>63</v>
      </c>
      <c r="C1217" t="s">
        <v>31</v>
      </c>
      <c r="D1217" t="s">
        <v>47</v>
      </c>
      <c r="E1217" s="1">
        <v>45882</v>
      </c>
      <c r="F1217" s="3">
        <v>45885</v>
      </c>
      <c r="G1217" t="s">
        <v>62</v>
      </c>
      <c r="H1217" t="s">
        <v>63</v>
      </c>
      <c r="I1217" t="s">
        <v>91</v>
      </c>
      <c r="J1217">
        <v>4505.32</v>
      </c>
      <c r="K1217">
        <v>3</v>
      </c>
      <c r="L1217" t="s">
        <v>24</v>
      </c>
      <c r="M1217" t="s">
        <v>59</v>
      </c>
      <c r="N1217" t="s">
        <v>44</v>
      </c>
      <c r="O1217" t="s">
        <v>56</v>
      </c>
      <c r="P1217" t="s">
        <v>50</v>
      </c>
      <c r="Q1217">
        <v>10</v>
      </c>
      <c r="R1217">
        <v>1246.47</v>
      </c>
      <c r="S1217" t="s">
        <v>29</v>
      </c>
    </row>
    <row r="1218" spans="1:19" x14ac:dyDescent="0.3">
      <c r="A1218" t="s">
        <v>1288</v>
      </c>
      <c r="B1218">
        <v>60</v>
      </c>
      <c r="C1218" t="s">
        <v>31</v>
      </c>
      <c r="D1218" t="s">
        <v>32</v>
      </c>
      <c r="E1218" s="1">
        <v>45106</v>
      </c>
      <c r="F1218" s="3">
        <v>45107</v>
      </c>
      <c r="G1218" t="s">
        <v>33</v>
      </c>
      <c r="H1218" t="s">
        <v>34</v>
      </c>
      <c r="I1218" t="s">
        <v>43</v>
      </c>
      <c r="J1218">
        <v>1589.91</v>
      </c>
      <c r="K1218">
        <v>1</v>
      </c>
      <c r="L1218" t="s">
        <v>24</v>
      </c>
      <c r="M1218" t="s">
        <v>59</v>
      </c>
      <c r="N1218" t="s">
        <v>44</v>
      </c>
      <c r="O1218" t="s">
        <v>27</v>
      </c>
      <c r="P1218" t="s">
        <v>45</v>
      </c>
      <c r="Q1218">
        <v>4</v>
      </c>
      <c r="R1218">
        <v>451.02</v>
      </c>
      <c r="S1218" t="s">
        <v>29</v>
      </c>
    </row>
    <row r="1219" spans="1:19" x14ac:dyDescent="0.3">
      <c r="A1219" t="s">
        <v>1289</v>
      </c>
      <c r="B1219">
        <v>24</v>
      </c>
      <c r="C1219" t="s">
        <v>31</v>
      </c>
      <c r="D1219" t="s">
        <v>32</v>
      </c>
      <c r="E1219" s="1">
        <v>45082</v>
      </c>
      <c r="F1219" s="3">
        <v>45091</v>
      </c>
      <c r="G1219" t="s">
        <v>67</v>
      </c>
      <c r="H1219" t="s">
        <v>42</v>
      </c>
      <c r="I1219" t="s">
        <v>23</v>
      </c>
      <c r="J1219">
        <v>4277.04</v>
      </c>
      <c r="K1219">
        <v>9</v>
      </c>
      <c r="L1219" t="s">
        <v>36</v>
      </c>
      <c r="M1219" t="s">
        <v>25</v>
      </c>
      <c r="N1219" t="s">
        <v>44</v>
      </c>
      <c r="O1219" t="s">
        <v>37</v>
      </c>
      <c r="P1219" t="s">
        <v>38</v>
      </c>
      <c r="Q1219">
        <v>5</v>
      </c>
      <c r="R1219">
        <v>675.77</v>
      </c>
      <c r="S1219" t="s">
        <v>29</v>
      </c>
    </row>
    <row r="1220" spans="1:19" x14ac:dyDescent="0.3">
      <c r="A1220" t="s">
        <v>1290</v>
      </c>
      <c r="B1220">
        <v>31</v>
      </c>
      <c r="C1220" t="s">
        <v>31</v>
      </c>
      <c r="D1220" t="s">
        <v>61</v>
      </c>
      <c r="E1220" s="1">
        <v>45274</v>
      </c>
      <c r="F1220" s="3">
        <v>45279</v>
      </c>
      <c r="G1220" t="s">
        <v>52</v>
      </c>
      <c r="H1220" t="s">
        <v>53</v>
      </c>
      <c r="I1220" t="s">
        <v>35</v>
      </c>
      <c r="J1220">
        <v>7599.46</v>
      </c>
      <c r="K1220">
        <v>5</v>
      </c>
      <c r="L1220" t="s">
        <v>36</v>
      </c>
      <c r="M1220" t="s">
        <v>25</v>
      </c>
      <c r="N1220" t="s">
        <v>55</v>
      </c>
      <c r="O1220" t="s">
        <v>49</v>
      </c>
      <c r="P1220" t="s">
        <v>28</v>
      </c>
      <c r="Q1220">
        <v>1</v>
      </c>
      <c r="R1220">
        <v>1491.32</v>
      </c>
      <c r="S1220" t="s">
        <v>29</v>
      </c>
    </row>
    <row r="1221" spans="1:19" x14ac:dyDescent="0.3">
      <c r="A1221" t="s">
        <v>1291</v>
      </c>
      <c r="B1221">
        <v>45</v>
      </c>
      <c r="C1221" t="s">
        <v>19</v>
      </c>
      <c r="D1221" t="s">
        <v>89</v>
      </c>
      <c r="E1221" s="1">
        <v>45814</v>
      </c>
      <c r="F1221" s="3">
        <v>45841</v>
      </c>
      <c r="G1221" t="s">
        <v>21</v>
      </c>
      <c r="H1221" t="s">
        <v>22</v>
      </c>
      <c r="I1221" t="s">
        <v>54</v>
      </c>
      <c r="J1221">
        <v>18274.32</v>
      </c>
      <c r="K1221">
        <v>27</v>
      </c>
      <c r="L1221" t="s">
        <v>36</v>
      </c>
      <c r="M1221" t="s">
        <v>25</v>
      </c>
      <c r="N1221" t="s">
        <v>55</v>
      </c>
      <c r="O1221" t="s">
        <v>49</v>
      </c>
      <c r="P1221" t="s">
        <v>28</v>
      </c>
      <c r="Q1221">
        <v>4</v>
      </c>
      <c r="R1221">
        <v>7068.72</v>
      </c>
      <c r="S1221" t="s">
        <v>29</v>
      </c>
    </row>
    <row r="1222" spans="1:19" x14ac:dyDescent="0.3">
      <c r="A1222" t="s">
        <v>1292</v>
      </c>
      <c r="B1222">
        <v>41</v>
      </c>
      <c r="C1222" t="s">
        <v>19</v>
      </c>
      <c r="D1222" t="s">
        <v>47</v>
      </c>
      <c r="E1222" s="1">
        <v>44997</v>
      </c>
      <c r="F1222" s="3">
        <v>45014</v>
      </c>
      <c r="G1222" t="s">
        <v>48</v>
      </c>
      <c r="H1222" t="s">
        <v>22</v>
      </c>
      <c r="I1222" t="s">
        <v>91</v>
      </c>
      <c r="J1222">
        <v>11137.4</v>
      </c>
      <c r="K1222">
        <v>17</v>
      </c>
      <c r="L1222" t="s">
        <v>36</v>
      </c>
      <c r="M1222" t="s">
        <v>25</v>
      </c>
      <c r="N1222" t="s">
        <v>55</v>
      </c>
      <c r="O1222" t="s">
        <v>37</v>
      </c>
      <c r="P1222" t="s">
        <v>45</v>
      </c>
      <c r="Q1222">
        <v>13</v>
      </c>
      <c r="R1222">
        <v>2970.91</v>
      </c>
      <c r="S1222" t="s">
        <v>39</v>
      </c>
    </row>
    <row r="1223" spans="1:19" x14ac:dyDescent="0.3">
      <c r="A1223" t="s">
        <v>1293</v>
      </c>
      <c r="B1223">
        <v>36</v>
      </c>
      <c r="C1223" t="s">
        <v>19</v>
      </c>
      <c r="D1223" t="s">
        <v>20</v>
      </c>
      <c r="E1223" s="1">
        <v>45221</v>
      </c>
      <c r="F1223" s="3">
        <v>45224</v>
      </c>
      <c r="G1223" t="s">
        <v>93</v>
      </c>
      <c r="H1223" t="s">
        <v>72</v>
      </c>
      <c r="I1223" t="s">
        <v>58</v>
      </c>
      <c r="J1223">
        <v>3017.49</v>
      </c>
      <c r="K1223">
        <v>3</v>
      </c>
      <c r="L1223" t="s">
        <v>36</v>
      </c>
      <c r="M1223" t="s">
        <v>76</v>
      </c>
      <c r="N1223" t="s">
        <v>55</v>
      </c>
      <c r="O1223" t="s">
        <v>56</v>
      </c>
      <c r="P1223" t="s">
        <v>50</v>
      </c>
      <c r="Q1223">
        <v>14</v>
      </c>
      <c r="R1223">
        <v>1151.26</v>
      </c>
      <c r="S1223" t="s">
        <v>29</v>
      </c>
    </row>
    <row r="1224" spans="1:19" x14ac:dyDescent="0.3">
      <c r="A1224" t="s">
        <v>1294</v>
      </c>
      <c r="B1224">
        <v>43</v>
      </c>
      <c r="C1224" t="s">
        <v>19</v>
      </c>
      <c r="D1224" t="s">
        <v>32</v>
      </c>
      <c r="E1224" s="1">
        <v>44947</v>
      </c>
      <c r="F1224" s="3">
        <v>44952</v>
      </c>
      <c r="G1224" t="s">
        <v>48</v>
      </c>
      <c r="H1224" t="s">
        <v>22</v>
      </c>
      <c r="I1224" t="s">
        <v>54</v>
      </c>
      <c r="J1224">
        <v>2789.68</v>
      </c>
      <c r="K1224">
        <v>5</v>
      </c>
      <c r="L1224" t="s">
        <v>36</v>
      </c>
      <c r="M1224" t="s">
        <v>25</v>
      </c>
      <c r="N1224" t="s">
        <v>55</v>
      </c>
      <c r="O1224" t="s">
        <v>27</v>
      </c>
      <c r="P1224" t="s">
        <v>50</v>
      </c>
      <c r="Q1224">
        <v>1</v>
      </c>
      <c r="R1224">
        <v>597.16999999999996</v>
      </c>
      <c r="S1224" t="s">
        <v>29</v>
      </c>
    </row>
    <row r="1225" spans="1:19" x14ac:dyDescent="0.3">
      <c r="A1225" t="s">
        <v>1295</v>
      </c>
      <c r="B1225">
        <v>32</v>
      </c>
      <c r="C1225" t="s">
        <v>31</v>
      </c>
      <c r="D1225" t="s">
        <v>70</v>
      </c>
      <c r="E1225" s="1">
        <v>45510</v>
      </c>
      <c r="F1225" s="3">
        <v>45522</v>
      </c>
      <c r="G1225" t="s">
        <v>67</v>
      </c>
      <c r="H1225" t="s">
        <v>42</v>
      </c>
      <c r="I1225" t="s">
        <v>43</v>
      </c>
      <c r="J1225">
        <v>4943.22</v>
      </c>
      <c r="K1225">
        <v>12</v>
      </c>
      <c r="L1225" t="s">
        <v>24</v>
      </c>
      <c r="M1225" t="s">
        <v>25</v>
      </c>
      <c r="N1225" t="s">
        <v>26</v>
      </c>
      <c r="O1225" t="s">
        <v>27</v>
      </c>
      <c r="P1225" t="s">
        <v>45</v>
      </c>
      <c r="Q1225">
        <v>11</v>
      </c>
      <c r="R1225">
        <v>1626.58</v>
      </c>
      <c r="S1225" t="s">
        <v>29</v>
      </c>
    </row>
    <row r="1226" spans="1:19" x14ac:dyDescent="0.3">
      <c r="A1226" t="s">
        <v>1296</v>
      </c>
      <c r="B1226">
        <v>34</v>
      </c>
      <c r="C1226" t="s">
        <v>19</v>
      </c>
      <c r="D1226" t="s">
        <v>20</v>
      </c>
      <c r="E1226" s="1">
        <v>45339</v>
      </c>
      <c r="F1226" s="3">
        <v>45346</v>
      </c>
      <c r="G1226" t="s">
        <v>62</v>
      </c>
      <c r="H1226" t="s">
        <v>63</v>
      </c>
      <c r="I1226" t="s">
        <v>54</v>
      </c>
      <c r="J1226">
        <v>7228.06</v>
      </c>
      <c r="K1226">
        <v>7</v>
      </c>
      <c r="L1226" t="s">
        <v>24</v>
      </c>
      <c r="M1226" t="s">
        <v>25</v>
      </c>
      <c r="N1226" t="s">
        <v>44</v>
      </c>
      <c r="O1226" t="s">
        <v>49</v>
      </c>
      <c r="P1226" t="s">
        <v>50</v>
      </c>
      <c r="Q1226">
        <v>3</v>
      </c>
      <c r="R1226">
        <v>2386.19</v>
      </c>
      <c r="S1226" t="s">
        <v>29</v>
      </c>
    </row>
    <row r="1227" spans="1:19" x14ac:dyDescent="0.3">
      <c r="A1227" t="s">
        <v>1297</v>
      </c>
      <c r="B1227">
        <v>42</v>
      </c>
      <c r="C1227" t="s">
        <v>19</v>
      </c>
      <c r="D1227" t="s">
        <v>89</v>
      </c>
      <c r="E1227" s="1">
        <v>45270</v>
      </c>
      <c r="F1227" s="3">
        <v>45281</v>
      </c>
      <c r="G1227" t="s">
        <v>62</v>
      </c>
      <c r="H1227" t="s">
        <v>63</v>
      </c>
      <c r="I1227" t="s">
        <v>43</v>
      </c>
      <c r="J1227">
        <v>8379.11</v>
      </c>
      <c r="K1227">
        <v>11</v>
      </c>
      <c r="L1227" t="s">
        <v>36</v>
      </c>
      <c r="M1227" t="s">
        <v>25</v>
      </c>
      <c r="N1227" t="s">
        <v>55</v>
      </c>
      <c r="O1227" t="s">
        <v>56</v>
      </c>
      <c r="P1227" t="s">
        <v>45</v>
      </c>
      <c r="Q1227">
        <v>11</v>
      </c>
      <c r="R1227">
        <v>3165.89</v>
      </c>
      <c r="S1227" t="s">
        <v>29</v>
      </c>
    </row>
    <row r="1228" spans="1:19" x14ac:dyDescent="0.3">
      <c r="A1228" t="s">
        <v>1298</v>
      </c>
      <c r="B1228">
        <v>72</v>
      </c>
      <c r="C1228" t="s">
        <v>31</v>
      </c>
      <c r="D1228" t="s">
        <v>47</v>
      </c>
      <c r="E1228" s="1">
        <v>45805</v>
      </c>
      <c r="F1228" s="3">
        <v>45810</v>
      </c>
      <c r="G1228" t="s">
        <v>62</v>
      </c>
      <c r="H1228" t="s">
        <v>63</v>
      </c>
      <c r="I1228" t="s">
        <v>81</v>
      </c>
      <c r="J1228">
        <v>1945.24</v>
      </c>
      <c r="K1228">
        <v>5</v>
      </c>
      <c r="L1228" t="s">
        <v>36</v>
      </c>
      <c r="M1228" t="s">
        <v>101</v>
      </c>
      <c r="N1228" t="s">
        <v>55</v>
      </c>
      <c r="O1228" t="s">
        <v>27</v>
      </c>
      <c r="P1228" t="s">
        <v>45</v>
      </c>
      <c r="Q1228">
        <v>10</v>
      </c>
      <c r="R1228">
        <v>689.57</v>
      </c>
      <c r="S1228" t="s">
        <v>29</v>
      </c>
    </row>
    <row r="1229" spans="1:19" x14ac:dyDescent="0.3">
      <c r="A1229" t="s">
        <v>1299</v>
      </c>
      <c r="B1229">
        <v>27</v>
      </c>
      <c r="C1229" t="s">
        <v>19</v>
      </c>
      <c r="D1229" t="s">
        <v>70</v>
      </c>
      <c r="E1229" s="1">
        <v>45275</v>
      </c>
      <c r="F1229" s="3">
        <v>45283</v>
      </c>
      <c r="G1229" t="s">
        <v>67</v>
      </c>
      <c r="H1229" t="s">
        <v>42</v>
      </c>
      <c r="I1229" t="s">
        <v>43</v>
      </c>
      <c r="J1229">
        <v>3204.13</v>
      </c>
      <c r="K1229">
        <v>8</v>
      </c>
      <c r="L1229" t="s">
        <v>24</v>
      </c>
      <c r="M1229" t="s">
        <v>101</v>
      </c>
      <c r="N1229" t="s">
        <v>44</v>
      </c>
      <c r="O1229" t="s">
        <v>56</v>
      </c>
      <c r="P1229" t="s">
        <v>50</v>
      </c>
      <c r="Q1229">
        <v>1</v>
      </c>
      <c r="R1229">
        <v>1258.8</v>
      </c>
      <c r="S1229" t="s">
        <v>29</v>
      </c>
    </row>
    <row r="1230" spans="1:19" x14ac:dyDescent="0.3">
      <c r="A1230" t="s">
        <v>1300</v>
      </c>
      <c r="B1230">
        <v>69</v>
      </c>
      <c r="C1230" t="s">
        <v>19</v>
      </c>
      <c r="D1230" t="s">
        <v>70</v>
      </c>
      <c r="E1230" s="1">
        <v>45688</v>
      </c>
      <c r="F1230" s="3">
        <v>45689</v>
      </c>
      <c r="G1230" t="s">
        <v>74</v>
      </c>
      <c r="H1230" t="s">
        <v>75</v>
      </c>
      <c r="I1230" t="s">
        <v>43</v>
      </c>
      <c r="J1230">
        <v>1310.1300000000001</v>
      </c>
      <c r="K1230">
        <v>1</v>
      </c>
      <c r="L1230" t="s">
        <v>36</v>
      </c>
      <c r="M1230" t="s">
        <v>59</v>
      </c>
      <c r="N1230" t="s">
        <v>44</v>
      </c>
      <c r="O1230" t="s">
        <v>56</v>
      </c>
      <c r="P1230" t="s">
        <v>28</v>
      </c>
      <c r="Q1230">
        <v>11</v>
      </c>
      <c r="R1230">
        <v>408.13</v>
      </c>
      <c r="S1230" t="s">
        <v>29</v>
      </c>
    </row>
    <row r="1231" spans="1:19" x14ac:dyDescent="0.3">
      <c r="A1231" t="s">
        <v>1301</v>
      </c>
      <c r="B1231">
        <v>22</v>
      </c>
      <c r="C1231" t="s">
        <v>19</v>
      </c>
      <c r="D1231" t="s">
        <v>47</v>
      </c>
      <c r="E1231" s="1">
        <v>45678</v>
      </c>
      <c r="F1231" s="3">
        <v>45687</v>
      </c>
      <c r="G1231" t="s">
        <v>74</v>
      </c>
      <c r="H1231" t="s">
        <v>75</v>
      </c>
      <c r="I1231" t="s">
        <v>54</v>
      </c>
      <c r="J1231">
        <v>5188.95</v>
      </c>
      <c r="K1231">
        <v>9</v>
      </c>
      <c r="L1231" t="s">
        <v>24</v>
      </c>
      <c r="M1231" t="s">
        <v>25</v>
      </c>
      <c r="N1231" t="s">
        <v>55</v>
      </c>
      <c r="O1231" t="s">
        <v>27</v>
      </c>
      <c r="P1231" t="s">
        <v>50</v>
      </c>
      <c r="Q1231">
        <v>5</v>
      </c>
      <c r="R1231">
        <v>1751.63</v>
      </c>
      <c r="S1231" t="s">
        <v>29</v>
      </c>
    </row>
    <row r="1232" spans="1:19" x14ac:dyDescent="0.3">
      <c r="A1232" t="s">
        <v>1302</v>
      </c>
      <c r="B1232">
        <v>59</v>
      </c>
      <c r="C1232" t="s">
        <v>19</v>
      </c>
      <c r="D1232" t="s">
        <v>89</v>
      </c>
      <c r="E1232" s="1">
        <v>45562</v>
      </c>
      <c r="F1232" s="3">
        <v>45580</v>
      </c>
      <c r="G1232" t="s">
        <v>41</v>
      </c>
      <c r="H1232" t="s">
        <v>42</v>
      </c>
      <c r="I1232" t="s">
        <v>83</v>
      </c>
      <c r="J1232">
        <v>15350.22</v>
      </c>
      <c r="K1232">
        <v>18</v>
      </c>
      <c r="L1232" t="s">
        <v>36</v>
      </c>
      <c r="M1232" t="s">
        <v>25</v>
      </c>
      <c r="N1232" t="s">
        <v>55</v>
      </c>
      <c r="O1232" t="s">
        <v>49</v>
      </c>
      <c r="P1232" t="s">
        <v>45</v>
      </c>
      <c r="Q1232">
        <v>15</v>
      </c>
      <c r="R1232">
        <v>5216.8999999999996</v>
      </c>
      <c r="S1232" t="s">
        <v>29</v>
      </c>
    </row>
    <row r="1233" spans="1:19" x14ac:dyDescent="0.3">
      <c r="A1233" t="s">
        <v>1303</v>
      </c>
      <c r="B1233">
        <v>69</v>
      </c>
      <c r="C1233" t="s">
        <v>19</v>
      </c>
      <c r="D1233" t="s">
        <v>89</v>
      </c>
      <c r="E1233" s="1">
        <v>45053</v>
      </c>
      <c r="F1233" s="3">
        <v>45056</v>
      </c>
      <c r="G1233" t="s">
        <v>93</v>
      </c>
      <c r="H1233" t="s">
        <v>72</v>
      </c>
      <c r="I1233" t="s">
        <v>35</v>
      </c>
      <c r="J1233">
        <v>7580.58</v>
      </c>
      <c r="K1233">
        <v>3</v>
      </c>
      <c r="L1233" t="s">
        <v>24</v>
      </c>
      <c r="M1233" t="s">
        <v>25</v>
      </c>
      <c r="N1233" t="s">
        <v>55</v>
      </c>
      <c r="O1233" t="s">
        <v>49</v>
      </c>
      <c r="P1233" t="s">
        <v>38</v>
      </c>
      <c r="Q1233">
        <v>9</v>
      </c>
      <c r="R1233">
        <v>1241.0899999999999</v>
      </c>
      <c r="S1233" t="s">
        <v>29</v>
      </c>
    </row>
    <row r="1234" spans="1:19" x14ac:dyDescent="0.3">
      <c r="A1234" t="s">
        <v>1304</v>
      </c>
      <c r="B1234">
        <v>65</v>
      </c>
      <c r="C1234" t="s">
        <v>31</v>
      </c>
      <c r="D1234" t="s">
        <v>66</v>
      </c>
      <c r="E1234" s="1">
        <v>45715</v>
      </c>
      <c r="F1234" s="3">
        <v>45735</v>
      </c>
      <c r="G1234" t="s">
        <v>48</v>
      </c>
      <c r="H1234" t="s">
        <v>22</v>
      </c>
      <c r="I1234" t="s">
        <v>43</v>
      </c>
      <c r="J1234">
        <v>13543.96</v>
      </c>
      <c r="K1234">
        <v>20</v>
      </c>
      <c r="L1234" t="s">
        <v>24</v>
      </c>
      <c r="M1234" t="s">
        <v>25</v>
      </c>
      <c r="N1234" t="s">
        <v>44</v>
      </c>
      <c r="O1234" t="s">
        <v>37</v>
      </c>
      <c r="P1234" t="s">
        <v>38</v>
      </c>
      <c r="Q1234">
        <v>9</v>
      </c>
      <c r="R1234">
        <v>2355.09</v>
      </c>
      <c r="S1234" t="s">
        <v>29</v>
      </c>
    </row>
    <row r="1235" spans="1:19" x14ac:dyDescent="0.3">
      <c r="A1235" t="s">
        <v>1305</v>
      </c>
      <c r="B1235">
        <v>63</v>
      </c>
      <c r="C1235" t="s">
        <v>19</v>
      </c>
      <c r="D1235" t="s">
        <v>20</v>
      </c>
      <c r="E1235" s="1">
        <v>45222</v>
      </c>
      <c r="F1235" s="3">
        <v>45231</v>
      </c>
      <c r="G1235" t="s">
        <v>33</v>
      </c>
      <c r="H1235" t="s">
        <v>34</v>
      </c>
      <c r="I1235" t="s">
        <v>81</v>
      </c>
      <c r="J1235">
        <v>6241.26</v>
      </c>
      <c r="K1235">
        <v>9</v>
      </c>
      <c r="L1235" t="s">
        <v>24</v>
      </c>
      <c r="M1235" t="s">
        <v>25</v>
      </c>
      <c r="N1235" t="s">
        <v>55</v>
      </c>
      <c r="O1235" t="s">
        <v>27</v>
      </c>
      <c r="P1235" t="s">
        <v>28</v>
      </c>
      <c r="Q1235">
        <v>1</v>
      </c>
      <c r="R1235">
        <v>2060.3000000000002</v>
      </c>
      <c r="S1235" t="s">
        <v>29</v>
      </c>
    </row>
    <row r="1236" spans="1:19" x14ac:dyDescent="0.3">
      <c r="A1236" t="s">
        <v>1306</v>
      </c>
      <c r="B1236">
        <v>21</v>
      </c>
      <c r="C1236" t="s">
        <v>19</v>
      </c>
      <c r="D1236" t="s">
        <v>79</v>
      </c>
      <c r="E1236" s="1">
        <v>45498</v>
      </c>
      <c r="F1236" s="3">
        <v>45515</v>
      </c>
      <c r="G1236" t="s">
        <v>74</v>
      </c>
      <c r="H1236" t="s">
        <v>75</v>
      </c>
      <c r="I1236" t="s">
        <v>81</v>
      </c>
      <c r="J1236">
        <v>6699.23</v>
      </c>
      <c r="K1236">
        <v>17</v>
      </c>
      <c r="L1236" t="s">
        <v>24</v>
      </c>
      <c r="M1236" t="s">
        <v>25</v>
      </c>
      <c r="N1236" t="s">
        <v>55</v>
      </c>
      <c r="O1236" t="s">
        <v>37</v>
      </c>
      <c r="P1236" t="s">
        <v>45</v>
      </c>
      <c r="Q1236">
        <v>4</v>
      </c>
      <c r="R1236">
        <v>1632.72</v>
      </c>
      <c r="S1236" t="s">
        <v>29</v>
      </c>
    </row>
    <row r="1237" spans="1:19" x14ac:dyDescent="0.3">
      <c r="A1237" t="s">
        <v>1307</v>
      </c>
      <c r="B1237">
        <v>87</v>
      </c>
      <c r="C1237" t="s">
        <v>31</v>
      </c>
      <c r="D1237" t="s">
        <v>20</v>
      </c>
      <c r="E1237" s="1">
        <v>45645</v>
      </c>
      <c r="F1237" s="3">
        <v>45674</v>
      </c>
      <c r="G1237" t="s">
        <v>67</v>
      </c>
      <c r="H1237" t="s">
        <v>42</v>
      </c>
      <c r="I1237" t="s">
        <v>43</v>
      </c>
      <c r="J1237">
        <v>16178.42</v>
      </c>
      <c r="K1237">
        <v>29</v>
      </c>
      <c r="L1237" t="s">
        <v>36</v>
      </c>
      <c r="M1237" t="s">
        <v>25</v>
      </c>
      <c r="N1237" t="s">
        <v>26</v>
      </c>
      <c r="O1237" t="s">
        <v>49</v>
      </c>
      <c r="P1237" t="s">
        <v>50</v>
      </c>
      <c r="Q1237">
        <v>1</v>
      </c>
      <c r="R1237">
        <v>2629.79</v>
      </c>
      <c r="S1237" t="s">
        <v>39</v>
      </c>
    </row>
    <row r="1238" spans="1:19" x14ac:dyDescent="0.3">
      <c r="A1238" t="s">
        <v>1308</v>
      </c>
      <c r="B1238">
        <v>80</v>
      </c>
      <c r="C1238" t="s">
        <v>19</v>
      </c>
      <c r="D1238" t="s">
        <v>70</v>
      </c>
      <c r="E1238" s="1">
        <v>45031</v>
      </c>
      <c r="F1238" s="3">
        <v>45054</v>
      </c>
      <c r="G1238" t="s">
        <v>41</v>
      </c>
      <c r="H1238" t="s">
        <v>42</v>
      </c>
      <c r="I1238" t="s">
        <v>83</v>
      </c>
      <c r="J1238">
        <v>17503.11</v>
      </c>
      <c r="K1238">
        <v>23</v>
      </c>
      <c r="L1238" t="s">
        <v>36</v>
      </c>
      <c r="M1238" t="s">
        <v>25</v>
      </c>
      <c r="N1238" t="s">
        <v>55</v>
      </c>
      <c r="O1238" t="s">
        <v>49</v>
      </c>
      <c r="P1238" t="s">
        <v>38</v>
      </c>
      <c r="Q1238">
        <v>14</v>
      </c>
      <c r="R1238">
        <v>6809.72</v>
      </c>
      <c r="S1238" t="s">
        <v>29</v>
      </c>
    </row>
    <row r="1239" spans="1:19" x14ac:dyDescent="0.3">
      <c r="A1239" t="s">
        <v>1309</v>
      </c>
      <c r="B1239">
        <v>77</v>
      </c>
      <c r="C1239" t="s">
        <v>31</v>
      </c>
      <c r="D1239" t="s">
        <v>66</v>
      </c>
      <c r="E1239" s="1">
        <v>45680</v>
      </c>
      <c r="F1239" s="3">
        <v>45696</v>
      </c>
      <c r="G1239" t="s">
        <v>93</v>
      </c>
      <c r="H1239" t="s">
        <v>72</v>
      </c>
      <c r="I1239" t="s">
        <v>83</v>
      </c>
      <c r="J1239">
        <v>9430.23</v>
      </c>
      <c r="K1239">
        <v>16</v>
      </c>
      <c r="L1239" t="s">
        <v>24</v>
      </c>
      <c r="M1239" t="s">
        <v>25</v>
      </c>
      <c r="N1239" t="s">
        <v>55</v>
      </c>
      <c r="O1239" t="s">
        <v>27</v>
      </c>
      <c r="P1239" t="s">
        <v>45</v>
      </c>
      <c r="Q1239">
        <v>1</v>
      </c>
      <c r="R1239">
        <v>3233.2</v>
      </c>
      <c r="S1239" t="s">
        <v>29</v>
      </c>
    </row>
    <row r="1240" spans="1:19" x14ac:dyDescent="0.3">
      <c r="A1240" t="s">
        <v>1310</v>
      </c>
      <c r="B1240">
        <v>51</v>
      </c>
      <c r="C1240" t="s">
        <v>31</v>
      </c>
      <c r="D1240" t="s">
        <v>70</v>
      </c>
      <c r="E1240" s="1">
        <v>45129</v>
      </c>
      <c r="F1240" s="3">
        <v>45148</v>
      </c>
      <c r="G1240" t="s">
        <v>48</v>
      </c>
      <c r="H1240" t="s">
        <v>22</v>
      </c>
      <c r="I1240" t="s">
        <v>54</v>
      </c>
      <c r="J1240">
        <v>12794.67</v>
      </c>
      <c r="K1240">
        <v>19</v>
      </c>
      <c r="L1240" t="s">
        <v>36</v>
      </c>
      <c r="M1240" t="s">
        <v>25</v>
      </c>
      <c r="N1240" t="s">
        <v>44</v>
      </c>
      <c r="O1240" t="s">
        <v>27</v>
      </c>
      <c r="P1240" t="s">
        <v>45</v>
      </c>
      <c r="Q1240">
        <v>15</v>
      </c>
      <c r="R1240">
        <v>4201.55</v>
      </c>
      <c r="S1240" t="s">
        <v>29</v>
      </c>
    </row>
    <row r="1241" spans="1:19" x14ac:dyDescent="0.3">
      <c r="A1241" t="s">
        <v>1311</v>
      </c>
      <c r="B1241">
        <v>60</v>
      </c>
      <c r="C1241" t="s">
        <v>19</v>
      </c>
      <c r="D1241" t="s">
        <v>47</v>
      </c>
      <c r="E1241" s="1">
        <v>45357</v>
      </c>
      <c r="F1241" s="3">
        <v>45367</v>
      </c>
      <c r="G1241" t="s">
        <v>21</v>
      </c>
      <c r="H1241" t="s">
        <v>22</v>
      </c>
      <c r="I1241" t="s">
        <v>81</v>
      </c>
      <c r="J1241">
        <v>4804.3900000000003</v>
      </c>
      <c r="K1241">
        <v>10</v>
      </c>
      <c r="L1241" t="s">
        <v>24</v>
      </c>
      <c r="M1241" t="s">
        <v>25</v>
      </c>
      <c r="N1241" t="s">
        <v>55</v>
      </c>
      <c r="O1241" t="s">
        <v>37</v>
      </c>
      <c r="P1241" t="s">
        <v>38</v>
      </c>
      <c r="Q1241">
        <v>7</v>
      </c>
      <c r="R1241">
        <v>766.68</v>
      </c>
      <c r="S1241" t="s">
        <v>29</v>
      </c>
    </row>
    <row r="1242" spans="1:19" x14ac:dyDescent="0.3">
      <c r="A1242" t="s">
        <v>1312</v>
      </c>
      <c r="B1242">
        <v>65</v>
      </c>
      <c r="C1242" t="s">
        <v>31</v>
      </c>
      <c r="D1242" t="s">
        <v>70</v>
      </c>
      <c r="E1242" s="1">
        <v>45370</v>
      </c>
      <c r="F1242" s="3">
        <v>45381</v>
      </c>
      <c r="G1242" t="s">
        <v>52</v>
      </c>
      <c r="H1242" t="s">
        <v>53</v>
      </c>
      <c r="I1242" t="s">
        <v>58</v>
      </c>
      <c r="J1242">
        <v>2364.36</v>
      </c>
      <c r="K1242">
        <v>11</v>
      </c>
      <c r="L1242" t="s">
        <v>36</v>
      </c>
      <c r="M1242" t="s">
        <v>25</v>
      </c>
      <c r="N1242" t="s">
        <v>55</v>
      </c>
      <c r="O1242" t="s">
        <v>27</v>
      </c>
      <c r="P1242" t="s">
        <v>28</v>
      </c>
      <c r="Q1242">
        <v>15</v>
      </c>
      <c r="R1242">
        <v>929.56</v>
      </c>
      <c r="S1242" t="s">
        <v>29</v>
      </c>
    </row>
    <row r="1243" spans="1:19" x14ac:dyDescent="0.3">
      <c r="A1243" t="s">
        <v>1313</v>
      </c>
      <c r="B1243">
        <v>45</v>
      </c>
      <c r="C1243" t="s">
        <v>31</v>
      </c>
      <c r="D1243" t="s">
        <v>66</v>
      </c>
      <c r="E1243" s="1">
        <v>45918</v>
      </c>
      <c r="F1243" s="3">
        <v>45947</v>
      </c>
      <c r="G1243" t="s">
        <v>93</v>
      </c>
      <c r="H1243" t="s">
        <v>72</v>
      </c>
      <c r="I1243" t="s">
        <v>54</v>
      </c>
      <c r="J1243">
        <v>24949.68</v>
      </c>
      <c r="K1243">
        <v>29</v>
      </c>
      <c r="L1243" t="s">
        <v>36</v>
      </c>
      <c r="M1243" t="s">
        <v>25</v>
      </c>
      <c r="N1243" t="s">
        <v>55</v>
      </c>
      <c r="O1243" t="s">
        <v>49</v>
      </c>
      <c r="P1243" t="s">
        <v>50</v>
      </c>
      <c r="Q1243">
        <v>8</v>
      </c>
      <c r="R1243">
        <v>4052.94</v>
      </c>
      <c r="S1243" t="s">
        <v>29</v>
      </c>
    </row>
    <row r="1244" spans="1:19" x14ac:dyDescent="0.3">
      <c r="A1244" t="s">
        <v>1314</v>
      </c>
      <c r="B1244">
        <v>85</v>
      </c>
      <c r="C1244" t="s">
        <v>19</v>
      </c>
      <c r="D1244" t="s">
        <v>47</v>
      </c>
      <c r="E1244" s="1">
        <v>45449</v>
      </c>
      <c r="F1244" s="3">
        <v>45454</v>
      </c>
      <c r="G1244" t="s">
        <v>48</v>
      </c>
      <c r="H1244" t="s">
        <v>22</v>
      </c>
      <c r="I1244" t="s">
        <v>91</v>
      </c>
      <c r="J1244">
        <v>8061.72</v>
      </c>
      <c r="K1244">
        <v>5</v>
      </c>
      <c r="L1244" t="s">
        <v>36</v>
      </c>
      <c r="M1244" t="s">
        <v>59</v>
      </c>
      <c r="N1244" t="s">
        <v>44</v>
      </c>
      <c r="O1244" t="s">
        <v>49</v>
      </c>
      <c r="P1244" t="s">
        <v>38</v>
      </c>
      <c r="Q1244">
        <v>12</v>
      </c>
      <c r="R1244">
        <v>1638.84</v>
      </c>
      <c r="S1244" t="s">
        <v>39</v>
      </c>
    </row>
    <row r="1245" spans="1:19" x14ac:dyDescent="0.3">
      <c r="A1245" t="s">
        <v>1315</v>
      </c>
      <c r="B1245">
        <v>31</v>
      </c>
      <c r="C1245" t="s">
        <v>31</v>
      </c>
      <c r="D1245" t="s">
        <v>32</v>
      </c>
      <c r="E1245" s="1">
        <v>45861</v>
      </c>
      <c r="F1245" s="3">
        <v>45876</v>
      </c>
      <c r="G1245" t="s">
        <v>74</v>
      </c>
      <c r="H1245" t="s">
        <v>75</v>
      </c>
      <c r="I1245" t="s">
        <v>43</v>
      </c>
      <c r="J1245">
        <v>11447.94</v>
      </c>
      <c r="K1245">
        <v>15</v>
      </c>
      <c r="L1245" t="s">
        <v>24</v>
      </c>
      <c r="M1245" t="s">
        <v>25</v>
      </c>
      <c r="N1245" t="s">
        <v>26</v>
      </c>
      <c r="O1245" t="s">
        <v>49</v>
      </c>
      <c r="P1245" t="s">
        <v>38</v>
      </c>
      <c r="Q1245">
        <v>3</v>
      </c>
      <c r="R1245">
        <v>3581.86</v>
      </c>
      <c r="S1245" t="s">
        <v>29</v>
      </c>
    </row>
    <row r="1246" spans="1:19" x14ac:dyDescent="0.3">
      <c r="A1246" t="s">
        <v>1316</v>
      </c>
      <c r="B1246">
        <v>64</v>
      </c>
      <c r="C1246" t="s">
        <v>19</v>
      </c>
      <c r="D1246" t="s">
        <v>89</v>
      </c>
      <c r="E1246" s="1">
        <v>45183</v>
      </c>
      <c r="F1246" s="3">
        <v>45196</v>
      </c>
      <c r="G1246" t="s">
        <v>71</v>
      </c>
      <c r="H1246" t="s">
        <v>72</v>
      </c>
      <c r="I1246" t="s">
        <v>83</v>
      </c>
      <c r="J1246">
        <v>12886.45</v>
      </c>
      <c r="K1246">
        <v>13</v>
      </c>
      <c r="L1246" t="s">
        <v>24</v>
      </c>
      <c r="M1246" t="s">
        <v>25</v>
      </c>
      <c r="N1246" t="s">
        <v>26</v>
      </c>
      <c r="O1246" t="s">
        <v>49</v>
      </c>
      <c r="P1246" t="s">
        <v>45</v>
      </c>
      <c r="Q1246">
        <v>11</v>
      </c>
      <c r="R1246">
        <v>5052.75</v>
      </c>
      <c r="S1246" t="s">
        <v>29</v>
      </c>
    </row>
    <row r="1247" spans="1:19" x14ac:dyDescent="0.3">
      <c r="A1247" t="s">
        <v>1317</v>
      </c>
      <c r="B1247">
        <v>53</v>
      </c>
      <c r="C1247" t="s">
        <v>19</v>
      </c>
      <c r="D1247" t="s">
        <v>66</v>
      </c>
      <c r="E1247" s="1">
        <v>45054</v>
      </c>
      <c r="F1247" s="3">
        <v>45055</v>
      </c>
      <c r="G1247" t="s">
        <v>62</v>
      </c>
      <c r="H1247" t="s">
        <v>63</v>
      </c>
      <c r="I1247" t="s">
        <v>83</v>
      </c>
      <c r="J1247">
        <v>2221.87</v>
      </c>
      <c r="K1247">
        <v>1</v>
      </c>
      <c r="L1247" t="s">
        <v>36</v>
      </c>
      <c r="M1247" t="s">
        <v>25</v>
      </c>
      <c r="N1247" t="s">
        <v>55</v>
      </c>
      <c r="O1247" t="s">
        <v>27</v>
      </c>
      <c r="P1247" t="s">
        <v>50</v>
      </c>
      <c r="Q1247">
        <v>15</v>
      </c>
      <c r="R1247">
        <v>394.53</v>
      </c>
      <c r="S1247" t="s">
        <v>29</v>
      </c>
    </row>
    <row r="1248" spans="1:19" x14ac:dyDescent="0.3">
      <c r="A1248" t="s">
        <v>1318</v>
      </c>
      <c r="B1248">
        <v>20</v>
      </c>
      <c r="C1248" t="s">
        <v>31</v>
      </c>
      <c r="D1248" t="s">
        <v>32</v>
      </c>
      <c r="E1248" s="1">
        <v>44962</v>
      </c>
      <c r="F1248" s="3">
        <v>44975</v>
      </c>
      <c r="G1248" t="s">
        <v>74</v>
      </c>
      <c r="H1248" t="s">
        <v>75</v>
      </c>
      <c r="I1248" t="s">
        <v>23</v>
      </c>
      <c r="J1248">
        <v>4391.8999999999996</v>
      </c>
      <c r="K1248">
        <v>13</v>
      </c>
      <c r="L1248" t="s">
        <v>24</v>
      </c>
      <c r="M1248" t="s">
        <v>25</v>
      </c>
      <c r="N1248" t="s">
        <v>55</v>
      </c>
      <c r="O1248" t="s">
        <v>37</v>
      </c>
      <c r="P1248" t="s">
        <v>38</v>
      </c>
      <c r="Q1248">
        <v>7</v>
      </c>
      <c r="R1248">
        <v>957.18</v>
      </c>
      <c r="S1248" t="s">
        <v>29</v>
      </c>
    </row>
    <row r="1249" spans="1:19" x14ac:dyDescent="0.3">
      <c r="A1249" t="s">
        <v>1319</v>
      </c>
      <c r="B1249">
        <v>47</v>
      </c>
      <c r="C1249" t="s">
        <v>31</v>
      </c>
      <c r="D1249" t="s">
        <v>47</v>
      </c>
      <c r="E1249" s="1">
        <v>45346</v>
      </c>
      <c r="F1249" s="3">
        <v>45374</v>
      </c>
      <c r="G1249" t="s">
        <v>21</v>
      </c>
      <c r="H1249" t="s">
        <v>22</v>
      </c>
      <c r="I1249" t="s">
        <v>43</v>
      </c>
      <c r="J1249">
        <v>21600.6</v>
      </c>
      <c r="K1249">
        <v>28</v>
      </c>
      <c r="L1249" t="s">
        <v>24</v>
      </c>
      <c r="M1249" t="s">
        <v>25</v>
      </c>
      <c r="N1249" t="s">
        <v>44</v>
      </c>
      <c r="O1249" t="s">
        <v>49</v>
      </c>
      <c r="P1249" t="s">
        <v>38</v>
      </c>
      <c r="Q1249">
        <v>9</v>
      </c>
      <c r="R1249">
        <v>5910.75</v>
      </c>
      <c r="S1249" t="s">
        <v>29</v>
      </c>
    </row>
    <row r="1250" spans="1:19" x14ac:dyDescent="0.3">
      <c r="A1250" t="s">
        <v>1320</v>
      </c>
      <c r="B1250">
        <v>24</v>
      </c>
      <c r="C1250" t="s">
        <v>19</v>
      </c>
      <c r="D1250" t="s">
        <v>66</v>
      </c>
      <c r="E1250" s="1">
        <v>45451</v>
      </c>
      <c r="F1250" s="3">
        <v>45471</v>
      </c>
      <c r="G1250" t="s">
        <v>52</v>
      </c>
      <c r="H1250" t="s">
        <v>53</v>
      </c>
      <c r="I1250" t="s">
        <v>35</v>
      </c>
      <c r="J1250">
        <v>6030.43</v>
      </c>
      <c r="K1250">
        <v>20</v>
      </c>
      <c r="L1250" t="s">
        <v>36</v>
      </c>
      <c r="M1250" t="s">
        <v>25</v>
      </c>
      <c r="N1250" t="s">
        <v>55</v>
      </c>
      <c r="O1250" t="s">
        <v>56</v>
      </c>
      <c r="P1250" t="s">
        <v>28</v>
      </c>
      <c r="Q1250">
        <v>7</v>
      </c>
      <c r="R1250">
        <v>2023.43</v>
      </c>
      <c r="S1250" t="s">
        <v>39</v>
      </c>
    </row>
    <row r="1251" spans="1:19" x14ac:dyDescent="0.3">
      <c r="A1251" t="s">
        <v>1321</v>
      </c>
      <c r="B1251">
        <v>61</v>
      </c>
      <c r="C1251" t="s">
        <v>31</v>
      </c>
      <c r="D1251" t="s">
        <v>61</v>
      </c>
      <c r="E1251" s="1">
        <v>45265</v>
      </c>
      <c r="F1251" s="3">
        <v>45274</v>
      </c>
      <c r="G1251" t="s">
        <v>93</v>
      </c>
      <c r="H1251" t="s">
        <v>72</v>
      </c>
      <c r="I1251" t="s">
        <v>35</v>
      </c>
      <c r="J1251">
        <v>5299.41</v>
      </c>
      <c r="K1251">
        <v>9</v>
      </c>
      <c r="L1251" t="s">
        <v>36</v>
      </c>
      <c r="M1251" t="s">
        <v>59</v>
      </c>
      <c r="N1251" t="s">
        <v>26</v>
      </c>
      <c r="O1251" t="s">
        <v>27</v>
      </c>
      <c r="P1251" t="s">
        <v>28</v>
      </c>
      <c r="Q1251">
        <v>9</v>
      </c>
      <c r="R1251">
        <v>1942.14</v>
      </c>
      <c r="S1251" t="s">
        <v>29</v>
      </c>
    </row>
    <row r="1252" spans="1:19" x14ac:dyDescent="0.3">
      <c r="A1252" t="s">
        <v>1322</v>
      </c>
      <c r="B1252">
        <v>62</v>
      </c>
      <c r="C1252" t="s">
        <v>31</v>
      </c>
      <c r="D1252" t="s">
        <v>47</v>
      </c>
      <c r="E1252" s="1">
        <v>45667</v>
      </c>
      <c r="F1252" s="3">
        <v>45682</v>
      </c>
      <c r="G1252" t="s">
        <v>41</v>
      </c>
      <c r="H1252" t="s">
        <v>42</v>
      </c>
      <c r="I1252" t="s">
        <v>81</v>
      </c>
      <c r="J1252">
        <v>4312.0600000000004</v>
      </c>
      <c r="K1252">
        <v>15</v>
      </c>
      <c r="L1252" t="s">
        <v>36</v>
      </c>
      <c r="M1252" t="s">
        <v>25</v>
      </c>
      <c r="N1252" t="s">
        <v>55</v>
      </c>
      <c r="O1252" t="s">
        <v>37</v>
      </c>
      <c r="P1252" t="s">
        <v>28</v>
      </c>
      <c r="Q1252">
        <v>13</v>
      </c>
      <c r="R1252">
        <v>1075.0899999999999</v>
      </c>
      <c r="S1252" t="s">
        <v>29</v>
      </c>
    </row>
    <row r="1253" spans="1:19" x14ac:dyDescent="0.3">
      <c r="A1253" t="s">
        <v>1323</v>
      </c>
      <c r="B1253">
        <v>57</v>
      </c>
      <c r="C1253" t="s">
        <v>19</v>
      </c>
      <c r="D1253" t="s">
        <v>47</v>
      </c>
      <c r="E1253" s="1">
        <v>44995</v>
      </c>
      <c r="F1253" s="3">
        <v>45010</v>
      </c>
      <c r="G1253" t="s">
        <v>48</v>
      </c>
      <c r="H1253" t="s">
        <v>22</v>
      </c>
      <c r="I1253" t="s">
        <v>81</v>
      </c>
      <c r="J1253">
        <v>16754.41</v>
      </c>
      <c r="K1253">
        <v>15</v>
      </c>
      <c r="L1253" t="s">
        <v>36</v>
      </c>
      <c r="M1253" t="s">
        <v>25</v>
      </c>
      <c r="N1253" t="s">
        <v>44</v>
      </c>
      <c r="O1253" t="s">
        <v>49</v>
      </c>
      <c r="P1253" t="s">
        <v>45</v>
      </c>
      <c r="Q1253">
        <v>12</v>
      </c>
      <c r="R1253">
        <v>4750.26</v>
      </c>
      <c r="S1253" t="s">
        <v>29</v>
      </c>
    </row>
    <row r="1254" spans="1:19" x14ac:dyDescent="0.3">
      <c r="A1254" t="s">
        <v>1324</v>
      </c>
      <c r="B1254">
        <v>22</v>
      </c>
      <c r="C1254" t="s">
        <v>19</v>
      </c>
      <c r="D1254" t="s">
        <v>20</v>
      </c>
      <c r="E1254" s="1">
        <v>45223</v>
      </c>
      <c r="F1254" s="3">
        <v>45234</v>
      </c>
      <c r="G1254" t="s">
        <v>71</v>
      </c>
      <c r="H1254" t="s">
        <v>72</v>
      </c>
      <c r="I1254" t="s">
        <v>58</v>
      </c>
      <c r="J1254">
        <v>13805.35</v>
      </c>
      <c r="K1254">
        <v>11</v>
      </c>
      <c r="L1254" t="s">
        <v>24</v>
      </c>
      <c r="M1254" t="s">
        <v>25</v>
      </c>
      <c r="N1254" t="s">
        <v>55</v>
      </c>
      <c r="O1254" t="s">
        <v>49</v>
      </c>
      <c r="P1254" t="s">
        <v>28</v>
      </c>
      <c r="Q1254">
        <v>6</v>
      </c>
      <c r="R1254">
        <v>4572.91</v>
      </c>
      <c r="S1254" t="s">
        <v>29</v>
      </c>
    </row>
    <row r="1255" spans="1:19" x14ac:dyDescent="0.3">
      <c r="A1255" t="s">
        <v>1325</v>
      </c>
      <c r="B1255">
        <v>49</v>
      </c>
      <c r="C1255" t="s">
        <v>19</v>
      </c>
      <c r="D1255" t="s">
        <v>61</v>
      </c>
      <c r="E1255" s="1">
        <v>45780</v>
      </c>
      <c r="F1255" s="3">
        <v>45799</v>
      </c>
      <c r="G1255" t="s">
        <v>48</v>
      </c>
      <c r="H1255" t="s">
        <v>22</v>
      </c>
      <c r="I1255" t="s">
        <v>23</v>
      </c>
      <c r="J1255">
        <v>15290.2</v>
      </c>
      <c r="K1255">
        <v>19</v>
      </c>
      <c r="L1255" t="s">
        <v>36</v>
      </c>
      <c r="M1255" t="s">
        <v>25</v>
      </c>
      <c r="N1255" t="s">
        <v>44</v>
      </c>
      <c r="O1255" t="s">
        <v>56</v>
      </c>
      <c r="P1255" t="s">
        <v>28</v>
      </c>
      <c r="Q1255">
        <v>7</v>
      </c>
      <c r="R1255">
        <v>5631.7</v>
      </c>
      <c r="S1255" t="s">
        <v>29</v>
      </c>
    </row>
    <row r="1256" spans="1:19" x14ac:dyDescent="0.3">
      <c r="A1256" t="s">
        <v>1326</v>
      </c>
      <c r="B1256">
        <v>75</v>
      </c>
      <c r="C1256" t="s">
        <v>19</v>
      </c>
      <c r="D1256" t="s">
        <v>70</v>
      </c>
      <c r="E1256" s="1">
        <v>45866</v>
      </c>
      <c r="F1256" s="3">
        <v>45886</v>
      </c>
      <c r="G1256" t="s">
        <v>52</v>
      </c>
      <c r="H1256" t="s">
        <v>53</v>
      </c>
      <c r="I1256" t="s">
        <v>81</v>
      </c>
      <c r="J1256">
        <v>12683.23</v>
      </c>
      <c r="K1256">
        <v>20</v>
      </c>
      <c r="L1256" t="s">
        <v>24</v>
      </c>
      <c r="M1256" t="s">
        <v>25</v>
      </c>
      <c r="N1256" t="s">
        <v>26</v>
      </c>
      <c r="O1256" t="s">
        <v>27</v>
      </c>
      <c r="P1256" t="s">
        <v>45</v>
      </c>
      <c r="Q1256">
        <v>4</v>
      </c>
      <c r="R1256">
        <v>3402.66</v>
      </c>
      <c r="S1256" t="s">
        <v>29</v>
      </c>
    </row>
    <row r="1257" spans="1:19" x14ac:dyDescent="0.3">
      <c r="A1257" t="s">
        <v>1327</v>
      </c>
      <c r="B1257">
        <v>31</v>
      </c>
      <c r="C1257" t="s">
        <v>19</v>
      </c>
      <c r="D1257" t="s">
        <v>32</v>
      </c>
      <c r="E1257" s="1">
        <v>45601</v>
      </c>
      <c r="F1257" s="3">
        <v>45603</v>
      </c>
      <c r="G1257" t="s">
        <v>52</v>
      </c>
      <c r="H1257" t="s">
        <v>53</v>
      </c>
      <c r="I1257" t="s">
        <v>91</v>
      </c>
      <c r="J1257">
        <v>2147.92</v>
      </c>
      <c r="K1257">
        <v>2</v>
      </c>
      <c r="L1257" t="s">
        <v>36</v>
      </c>
      <c r="M1257" t="s">
        <v>25</v>
      </c>
      <c r="N1257" t="s">
        <v>55</v>
      </c>
      <c r="O1257" t="s">
        <v>27</v>
      </c>
      <c r="P1257" t="s">
        <v>28</v>
      </c>
      <c r="Q1257">
        <v>6</v>
      </c>
      <c r="R1257">
        <v>612.47</v>
      </c>
      <c r="S1257" t="s">
        <v>29</v>
      </c>
    </row>
    <row r="1258" spans="1:19" x14ac:dyDescent="0.3">
      <c r="A1258" t="s">
        <v>1328</v>
      </c>
      <c r="B1258">
        <v>67</v>
      </c>
      <c r="C1258" t="s">
        <v>19</v>
      </c>
      <c r="D1258" t="s">
        <v>66</v>
      </c>
      <c r="E1258" s="1">
        <v>44967</v>
      </c>
      <c r="F1258" s="3">
        <v>44968</v>
      </c>
      <c r="G1258" t="s">
        <v>33</v>
      </c>
      <c r="H1258" t="s">
        <v>34</v>
      </c>
      <c r="I1258" t="s">
        <v>58</v>
      </c>
      <c r="J1258">
        <v>941.84</v>
      </c>
      <c r="K1258">
        <v>1</v>
      </c>
      <c r="L1258" t="s">
        <v>36</v>
      </c>
      <c r="M1258" t="s">
        <v>25</v>
      </c>
      <c r="N1258" t="s">
        <v>44</v>
      </c>
      <c r="O1258" t="s">
        <v>27</v>
      </c>
      <c r="P1258" t="s">
        <v>28</v>
      </c>
      <c r="Q1258">
        <v>13</v>
      </c>
      <c r="R1258">
        <v>273.26</v>
      </c>
      <c r="S1258" t="s">
        <v>39</v>
      </c>
    </row>
    <row r="1259" spans="1:19" x14ac:dyDescent="0.3">
      <c r="A1259" t="s">
        <v>1329</v>
      </c>
      <c r="B1259">
        <v>42</v>
      </c>
      <c r="C1259" t="s">
        <v>31</v>
      </c>
      <c r="D1259" t="s">
        <v>61</v>
      </c>
      <c r="E1259" s="1">
        <v>45047</v>
      </c>
      <c r="F1259" s="3">
        <v>45050</v>
      </c>
      <c r="G1259" t="s">
        <v>52</v>
      </c>
      <c r="H1259" t="s">
        <v>53</v>
      </c>
      <c r="I1259" t="s">
        <v>43</v>
      </c>
      <c r="J1259">
        <v>3433.09</v>
      </c>
      <c r="K1259">
        <v>3</v>
      </c>
      <c r="L1259" t="s">
        <v>24</v>
      </c>
      <c r="M1259" t="s">
        <v>25</v>
      </c>
      <c r="N1259" t="s">
        <v>55</v>
      </c>
      <c r="O1259" t="s">
        <v>56</v>
      </c>
      <c r="P1259" t="s">
        <v>28</v>
      </c>
      <c r="Q1259">
        <v>4</v>
      </c>
      <c r="R1259">
        <v>1020.91</v>
      </c>
      <c r="S1259" t="s">
        <v>29</v>
      </c>
    </row>
    <row r="1260" spans="1:19" x14ac:dyDescent="0.3">
      <c r="A1260" t="s">
        <v>1330</v>
      </c>
      <c r="B1260">
        <v>32</v>
      </c>
      <c r="C1260" t="s">
        <v>19</v>
      </c>
      <c r="D1260" t="s">
        <v>47</v>
      </c>
      <c r="E1260" s="1">
        <v>45178</v>
      </c>
      <c r="F1260" s="3">
        <v>45193</v>
      </c>
      <c r="G1260" t="s">
        <v>52</v>
      </c>
      <c r="H1260" t="s">
        <v>53</v>
      </c>
      <c r="I1260" t="s">
        <v>83</v>
      </c>
      <c r="J1260">
        <v>10661.12</v>
      </c>
      <c r="K1260">
        <v>15</v>
      </c>
      <c r="L1260" t="s">
        <v>36</v>
      </c>
      <c r="M1260" t="s">
        <v>25</v>
      </c>
      <c r="N1260" t="s">
        <v>55</v>
      </c>
      <c r="O1260" t="s">
        <v>56</v>
      </c>
      <c r="P1260" t="s">
        <v>45</v>
      </c>
      <c r="Q1260">
        <v>12</v>
      </c>
      <c r="R1260">
        <v>2786.45</v>
      </c>
      <c r="S1260" t="s">
        <v>29</v>
      </c>
    </row>
    <row r="1261" spans="1:19" x14ac:dyDescent="0.3">
      <c r="A1261" t="s">
        <v>1331</v>
      </c>
      <c r="B1261">
        <v>85</v>
      </c>
      <c r="C1261" t="s">
        <v>31</v>
      </c>
      <c r="D1261" t="s">
        <v>61</v>
      </c>
      <c r="E1261" s="1">
        <v>44940</v>
      </c>
      <c r="F1261" s="3">
        <v>44952</v>
      </c>
      <c r="G1261" t="s">
        <v>52</v>
      </c>
      <c r="H1261" t="s">
        <v>53</v>
      </c>
      <c r="I1261" t="s">
        <v>58</v>
      </c>
      <c r="J1261">
        <v>9303.0300000000007</v>
      </c>
      <c r="K1261">
        <v>12</v>
      </c>
      <c r="L1261" t="s">
        <v>36</v>
      </c>
      <c r="M1261" t="s">
        <v>25</v>
      </c>
      <c r="N1261" t="s">
        <v>44</v>
      </c>
      <c r="O1261" t="s">
        <v>49</v>
      </c>
      <c r="P1261" t="s">
        <v>45</v>
      </c>
      <c r="Q1261">
        <v>8</v>
      </c>
      <c r="R1261">
        <v>1412.04</v>
      </c>
      <c r="S1261" t="s">
        <v>29</v>
      </c>
    </row>
    <row r="1262" spans="1:19" x14ac:dyDescent="0.3">
      <c r="A1262" t="s">
        <v>1332</v>
      </c>
      <c r="B1262">
        <v>42</v>
      </c>
      <c r="C1262" t="s">
        <v>31</v>
      </c>
      <c r="D1262" t="s">
        <v>20</v>
      </c>
      <c r="E1262" s="1">
        <v>45794</v>
      </c>
      <c r="F1262" s="3">
        <v>45804</v>
      </c>
      <c r="G1262" t="s">
        <v>93</v>
      </c>
      <c r="H1262" t="s">
        <v>72</v>
      </c>
      <c r="I1262" t="s">
        <v>54</v>
      </c>
      <c r="J1262">
        <v>4993.17</v>
      </c>
      <c r="K1262">
        <v>10</v>
      </c>
      <c r="L1262" t="s">
        <v>36</v>
      </c>
      <c r="M1262" t="s">
        <v>25</v>
      </c>
      <c r="N1262" t="s">
        <v>44</v>
      </c>
      <c r="O1262" t="s">
        <v>27</v>
      </c>
      <c r="P1262" t="s">
        <v>50</v>
      </c>
      <c r="Q1262">
        <v>14</v>
      </c>
      <c r="R1262">
        <v>905.05</v>
      </c>
      <c r="S1262" t="s">
        <v>29</v>
      </c>
    </row>
    <row r="1263" spans="1:19" x14ac:dyDescent="0.3">
      <c r="A1263" t="s">
        <v>1333</v>
      </c>
      <c r="B1263">
        <v>70</v>
      </c>
      <c r="C1263" t="s">
        <v>19</v>
      </c>
      <c r="D1263" t="s">
        <v>89</v>
      </c>
      <c r="E1263" s="1">
        <v>45077</v>
      </c>
      <c r="F1263" s="3">
        <v>45080</v>
      </c>
      <c r="G1263" t="s">
        <v>74</v>
      </c>
      <c r="H1263" t="s">
        <v>75</v>
      </c>
      <c r="I1263" t="s">
        <v>43</v>
      </c>
      <c r="J1263">
        <v>2491.64</v>
      </c>
      <c r="K1263">
        <v>3</v>
      </c>
      <c r="L1263" t="s">
        <v>24</v>
      </c>
      <c r="M1263" t="s">
        <v>25</v>
      </c>
      <c r="N1263" t="s">
        <v>26</v>
      </c>
      <c r="O1263" t="s">
        <v>27</v>
      </c>
      <c r="P1263" t="s">
        <v>50</v>
      </c>
      <c r="Q1263">
        <v>2</v>
      </c>
      <c r="R1263">
        <v>644.71</v>
      </c>
      <c r="S1263" t="s">
        <v>39</v>
      </c>
    </row>
    <row r="1264" spans="1:19" x14ac:dyDescent="0.3">
      <c r="A1264" t="s">
        <v>1334</v>
      </c>
      <c r="B1264">
        <v>84</v>
      </c>
      <c r="C1264" t="s">
        <v>19</v>
      </c>
      <c r="D1264" t="s">
        <v>20</v>
      </c>
      <c r="E1264" s="1">
        <v>45135</v>
      </c>
      <c r="F1264" s="3">
        <v>45155</v>
      </c>
      <c r="G1264" t="s">
        <v>41</v>
      </c>
      <c r="H1264" t="s">
        <v>42</v>
      </c>
      <c r="I1264" t="s">
        <v>83</v>
      </c>
      <c r="J1264">
        <v>9834.06</v>
      </c>
      <c r="K1264">
        <v>20</v>
      </c>
      <c r="L1264" t="s">
        <v>24</v>
      </c>
      <c r="M1264" t="s">
        <v>25</v>
      </c>
      <c r="N1264" t="s">
        <v>26</v>
      </c>
      <c r="O1264" t="s">
        <v>49</v>
      </c>
      <c r="P1264" t="s">
        <v>38</v>
      </c>
      <c r="Q1264">
        <v>15</v>
      </c>
      <c r="R1264">
        <v>3282.13</v>
      </c>
      <c r="S1264" t="s">
        <v>29</v>
      </c>
    </row>
    <row r="1265" spans="1:19" x14ac:dyDescent="0.3">
      <c r="A1265" t="s">
        <v>1335</v>
      </c>
      <c r="B1265">
        <v>59</v>
      </c>
      <c r="C1265" t="s">
        <v>31</v>
      </c>
      <c r="D1265" t="s">
        <v>66</v>
      </c>
      <c r="E1265" s="1">
        <v>45141</v>
      </c>
      <c r="F1265" s="3">
        <v>45156</v>
      </c>
      <c r="G1265" t="s">
        <v>52</v>
      </c>
      <c r="H1265" t="s">
        <v>53</v>
      </c>
      <c r="I1265" t="s">
        <v>43</v>
      </c>
      <c r="J1265">
        <v>5708.79</v>
      </c>
      <c r="K1265">
        <v>15</v>
      </c>
      <c r="L1265" t="s">
        <v>36</v>
      </c>
      <c r="M1265" t="s">
        <v>25</v>
      </c>
      <c r="N1265" t="s">
        <v>55</v>
      </c>
      <c r="O1265" t="s">
        <v>37</v>
      </c>
      <c r="P1265" t="s">
        <v>38</v>
      </c>
      <c r="Q1265">
        <v>4</v>
      </c>
      <c r="R1265">
        <v>1957.83</v>
      </c>
      <c r="S1265" t="s">
        <v>29</v>
      </c>
    </row>
    <row r="1266" spans="1:19" x14ac:dyDescent="0.3">
      <c r="A1266" t="s">
        <v>1336</v>
      </c>
      <c r="B1266">
        <v>19</v>
      </c>
      <c r="C1266" t="s">
        <v>19</v>
      </c>
      <c r="D1266" t="s">
        <v>70</v>
      </c>
      <c r="E1266" s="1">
        <v>45347</v>
      </c>
      <c r="F1266" s="3">
        <v>45355</v>
      </c>
      <c r="G1266" t="s">
        <v>74</v>
      </c>
      <c r="H1266" t="s">
        <v>75</v>
      </c>
      <c r="I1266" t="s">
        <v>23</v>
      </c>
      <c r="J1266">
        <v>4900.5</v>
      </c>
      <c r="K1266">
        <v>8</v>
      </c>
      <c r="L1266" t="s">
        <v>24</v>
      </c>
      <c r="M1266" t="s">
        <v>25</v>
      </c>
      <c r="N1266" t="s">
        <v>55</v>
      </c>
      <c r="O1266" t="s">
        <v>37</v>
      </c>
      <c r="P1266" t="s">
        <v>45</v>
      </c>
      <c r="Q1266">
        <v>9</v>
      </c>
      <c r="R1266">
        <v>1558.29</v>
      </c>
      <c r="S1266" t="s">
        <v>39</v>
      </c>
    </row>
    <row r="1267" spans="1:19" x14ac:dyDescent="0.3">
      <c r="A1267" t="s">
        <v>1337</v>
      </c>
      <c r="B1267">
        <v>67</v>
      </c>
      <c r="C1267" t="s">
        <v>19</v>
      </c>
      <c r="D1267" t="s">
        <v>79</v>
      </c>
      <c r="E1267" s="1">
        <v>45328</v>
      </c>
      <c r="F1267" s="3">
        <v>45331</v>
      </c>
      <c r="G1267" t="s">
        <v>67</v>
      </c>
      <c r="H1267" t="s">
        <v>42</v>
      </c>
      <c r="I1267" t="s">
        <v>54</v>
      </c>
      <c r="J1267">
        <v>3163.91</v>
      </c>
      <c r="K1267">
        <v>3</v>
      </c>
      <c r="L1267" t="s">
        <v>24</v>
      </c>
      <c r="M1267" t="s">
        <v>25</v>
      </c>
      <c r="N1267" t="s">
        <v>26</v>
      </c>
      <c r="O1267" t="s">
        <v>56</v>
      </c>
      <c r="P1267" t="s">
        <v>45</v>
      </c>
      <c r="Q1267">
        <v>7</v>
      </c>
      <c r="R1267">
        <v>591.55999999999995</v>
      </c>
      <c r="S1267" t="s">
        <v>29</v>
      </c>
    </row>
    <row r="1268" spans="1:19" x14ac:dyDescent="0.3">
      <c r="A1268" t="s">
        <v>1338</v>
      </c>
      <c r="B1268">
        <v>67</v>
      </c>
      <c r="C1268" t="s">
        <v>19</v>
      </c>
      <c r="D1268" t="s">
        <v>79</v>
      </c>
      <c r="E1268" s="1">
        <v>45653</v>
      </c>
      <c r="F1268" s="3">
        <v>45674</v>
      </c>
      <c r="G1268" t="s">
        <v>71</v>
      </c>
      <c r="H1268" t="s">
        <v>72</v>
      </c>
      <c r="I1268" t="s">
        <v>58</v>
      </c>
      <c r="J1268">
        <v>12081.69</v>
      </c>
      <c r="K1268">
        <v>21</v>
      </c>
      <c r="L1268" t="s">
        <v>36</v>
      </c>
      <c r="M1268" t="s">
        <v>25</v>
      </c>
      <c r="N1268" t="s">
        <v>44</v>
      </c>
      <c r="O1268" t="s">
        <v>49</v>
      </c>
      <c r="P1268" t="s">
        <v>45</v>
      </c>
      <c r="Q1268">
        <v>4</v>
      </c>
      <c r="R1268">
        <v>3232.37</v>
      </c>
      <c r="S1268" t="s">
        <v>29</v>
      </c>
    </row>
    <row r="1269" spans="1:19" x14ac:dyDescent="0.3">
      <c r="A1269" t="s">
        <v>1339</v>
      </c>
      <c r="B1269">
        <v>31</v>
      </c>
      <c r="C1269" t="s">
        <v>19</v>
      </c>
      <c r="D1269" t="s">
        <v>61</v>
      </c>
      <c r="E1269" s="1">
        <v>45833</v>
      </c>
      <c r="F1269" s="3">
        <v>45850</v>
      </c>
      <c r="G1269" t="s">
        <v>52</v>
      </c>
      <c r="H1269" t="s">
        <v>53</v>
      </c>
      <c r="I1269" t="s">
        <v>54</v>
      </c>
      <c r="J1269">
        <v>7523.99</v>
      </c>
      <c r="K1269">
        <v>17</v>
      </c>
      <c r="L1269" t="s">
        <v>24</v>
      </c>
      <c r="M1269" t="s">
        <v>59</v>
      </c>
      <c r="N1269" t="s">
        <v>26</v>
      </c>
      <c r="O1269" t="s">
        <v>27</v>
      </c>
      <c r="P1269" t="s">
        <v>28</v>
      </c>
      <c r="Q1269">
        <v>10</v>
      </c>
      <c r="R1269">
        <v>2966.78</v>
      </c>
      <c r="S1269" t="s">
        <v>29</v>
      </c>
    </row>
    <row r="1270" spans="1:19" x14ac:dyDescent="0.3">
      <c r="A1270" t="s">
        <v>1340</v>
      </c>
      <c r="B1270">
        <v>44</v>
      </c>
      <c r="C1270" t="s">
        <v>19</v>
      </c>
      <c r="D1270" t="s">
        <v>61</v>
      </c>
      <c r="E1270" s="1">
        <v>45481</v>
      </c>
      <c r="F1270" s="3">
        <v>45485</v>
      </c>
      <c r="G1270" t="s">
        <v>62</v>
      </c>
      <c r="H1270" t="s">
        <v>63</v>
      </c>
      <c r="I1270" t="s">
        <v>91</v>
      </c>
      <c r="J1270">
        <v>4839.99</v>
      </c>
      <c r="K1270">
        <v>4</v>
      </c>
      <c r="L1270" t="s">
        <v>36</v>
      </c>
      <c r="M1270" t="s">
        <v>25</v>
      </c>
      <c r="N1270" t="s">
        <v>44</v>
      </c>
      <c r="O1270" t="s">
        <v>37</v>
      </c>
      <c r="P1270" t="s">
        <v>38</v>
      </c>
      <c r="Q1270">
        <v>9</v>
      </c>
      <c r="R1270">
        <v>1259.92</v>
      </c>
      <c r="S1270" t="s">
        <v>29</v>
      </c>
    </row>
    <row r="1271" spans="1:19" x14ac:dyDescent="0.3">
      <c r="A1271" t="s">
        <v>1341</v>
      </c>
      <c r="B1271">
        <v>32</v>
      </c>
      <c r="C1271" t="s">
        <v>19</v>
      </c>
      <c r="D1271" t="s">
        <v>70</v>
      </c>
      <c r="E1271" s="1">
        <v>45584</v>
      </c>
      <c r="F1271" s="3">
        <v>45596</v>
      </c>
      <c r="G1271" t="s">
        <v>21</v>
      </c>
      <c r="H1271" t="s">
        <v>22</v>
      </c>
      <c r="I1271" t="s">
        <v>81</v>
      </c>
      <c r="J1271">
        <v>5632.7</v>
      </c>
      <c r="K1271">
        <v>12</v>
      </c>
      <c r="L1271" t="s">
        <v>24</v>
      </c>
      <c r="M1271" t="s">
        <v>59</v>
      </c>
      <c r="N1271" t="s">
        <v>26</v>
      </c>
      <c r="O1271" t="s">
        <v>56</v>
      </c>
      <c r="P1271" t="s">
        <v>38</v>
      </c>
      <c r="Q1271">
        <v>15</v>
      </c>
      <c r="R1271">
        <v>1851.32</v>
      </c>
      <c r="S1271" t="s">
        <v>29</v>
      </c>
    </row>
    <row r="1272" spans="1:19" x14ac:dyDescent="0.3">
      <c r="A1272" t="s">
        <v>1342</v>
      </c>
      <c r="B1272">
        <v>23</v>
      </c>
      <c r="C1272" t="s">
        <v>19</v>
      </c>
      <c r="D1272" t="s">
        <v>47</v>
      </c>
      <c r="E1272" s="1">
        <v>45364</v>
      </c>
      <c r="F1272" s="3">
        <v>45365</v>
      </c>
      <c r="G1272" t="s">
        <v>67</v>
      </c>
      <c r="H1272" t="s">
        <v>42</v>
      </c>
      <c r="I1272" t="s">
        <v>54</v>
      </c>
      <c r="J1272">
        <v>2957.53</v>
      </c>
      <c r="K1272">
        <v>1</v>
      </c>
      <c r="L1272" t="s">
        <v>24</v>
      </c>
      <c r="M1272" t="s">
        <v>59</v>
      </c>
      <c r="N1272" t="s">
        <v>55</v>
      </c>
      <c r="O1272" t="s">
        <v>27</v>
      </c>
      <c r="P1272" t="s">
        <v>45</v>
      </c>
      <c r="Q1272">
        <v>11</v>
      </c>
      <c r="R1272">
        <v>589.05999999999995</v>
      </c>
      <c r="S1272" t="s">
        <v>29</v>
      </c>
    </row>
    <row r="1273" spans="1:19" x14ac:dyDescent="0.3">
      <c r="A1273" t="s">
        <v>1343</v>
      </c>
      <c r="B1273">
        <v>76</v>
      </c>
      <c r="C1273" t="s">
        <v>19</v>
      </c>
      <c r="D1273" t="s">
        <v>66</v>
      </c>
      <c r="E1273" s="1">
        <v>45449</v>
      </c>
      <c r="F1273" s="3">
        <v>45466</v>
      </c>
      <c r="G1273" t="s">
        <v>67</v>
      </c>
      <c r="H1273" t="s">
        <v>42</v>
      </c>
      <c r="I1273" t="s">
        <v>35</v>
      </c>
      <c r="J1273">
        <v>7946.79</v>
      </c>
      <c r="K1273">
        <v>17</v>
      </c>
      <c r="L1273" t="s">
        <v>24</v>
      </c>
      <c r="M1273" t="s">
        <v>25</v>
      </c>
      <c r="N1273" t="s">
        <v>55</v>
      </c>
      <c r="O1273" t="s">
        <v>56</v>
      </c>
      <c r="P1273" t="s">
        <v>28</v>
      </c>
      <c r="Q1273">
        <v>9</v>
      </c>
      <c r="R1273">
        <v>1303.6300000000001</v>
      </c>
      <c r="S1273" t="s">
        <v>29</v>
      </c>
    </row>
    <row r="1274" spans="1:19" x14ac:dyDescent="0.3">
      <c r="A1274" t="s">
        <v>1344</v>
      </c>
      <c r="B1274">
        <v>39</v>
      </c>
      <c r="C1274" t="s">
        <v>19</v>
      </c>
      <c r="D1274" t="s">
        <v>70</v>
      </c>
      <c r="E1274" s="1">
        <v>45169</v>
      </c>
      <c r="F1274" s="3">
        <v>45198</v>
      </c>
      <c r="G1274" t="s">
        <v>41</v>
      </c>
      <c r="H1274" t="s">
        <v>42</v>
      </c>
      <c r="I1274" t="s">
        <v>43</v>
      </c>
      <c r="J1274">
        <v>10949.11</v>
      </c>
      <c r="K1274">
        <v>29</v>
      </c>
      <c r="L1274" t="s">
        <v>36</v>
      </c>
      <c r="M1274" t="s">
        <v>25</v>
      </c>
      <c r="N1274" t="s">
        <v>26</v>
      </c>
      <c r="O1274" t="s">
        <v>49</v>
      </c>
      <c r="P1274" t="s">
        <v>45</v>
      </c>
      <c r="Q1274">
        <v>14</v>
      </c>
      <c r="R1274">
        <v>3145.1</v>
      </c>
      <c r="S1274" t="s">
        <v>29</v>
      </c>
    </row>
    <row r="1275" spans="1:19" x14ac:dyDescent="0.3">
      <c r="A1275" t="s">
        <v>1345</v>
      </c>
      <c r="B1275">
        <v>21</v>
      </c>
      <c r="C1275" t="s">
        <v>19</v>
      </c>
      <c r="D1275" t="s">
        <v>66</v>
      </c>
      <c r="E1275" s="1">
        <v>45587</v>
      </c>
      <c r="F1275" s="3">
        <v>45592</v>
      </c>
      <c r="G1275" t="s">
        <v>93</v>
      </c>
      <c r="H1275" t="s">
        <v>72</v>
      </c>
      <c r="I1275" t="s">
        <v>58</v>
      </c>
      <c r="J1275">
        <v>3469.88</v>
      </c>
      <c r="K1275">
        <v>5</v>
      </c>
      <c r="L1275" t="s">
        <v>36</v>
      </c>
      <c r="M1275" t="s">
        <v>25</v>
      </c>
      <c r="N1275" t="s">
        <v>26</v>
      </c>
      <c r="O1275" t="s">
        <v>37</v>
      </c>
      <c r="P1275" t="s">
        <v>28</v>
      </c>
      <c r="Q1275">
        <v>3</v>
      </c>
      <c r="R1275">
        <v>582.41</v>
      </c>
      <c r="S1275" t="s">
        <v>29</v>
      </c>
    </row>
    <row r="1276" spans="1:19" x14ac:dyDescent="0.3">
      <c r="A1276" t="s">
        <v>1346</v>
      </c>
      <c r="B1276">
        <v>59</v>
      </c>
      <c r="C1276" t="s">
        <v>19</v>
      </c>
      <c r="D1276" t="s">
        <v>70</v>
      </c>
      <c r="E1276" s="1">
        <v>45023</v>
      </c>
      <c r="F1276" s="3">
        <v>45029</v>
      </c>
      <c r="G1276" t="s">
        <v>67</v>
      </c>
      <c r="H1276" t="s">
        <v>42</v>
      </c>
      <c r="I1276" t="s">
        <v>35</v>
      </c>
      <c r="J1276">
        <v>4356.75</v>
      </c>
      <c r="K1276">
        <v>6</v>
      </c>
      <c r="L1276" t="s">
        <v>24</v>
      </c>
      <c r="M1276" t="s">
        <v>59</v>
      </c>
      <c r="N1276" t="s">
        <v>55</v>
      </c>
      <c r="O1276" t="s">
        <v>56</v>
      </c>
      <c r="P1276" t="s">
        <v>28</v>
      </c>
      <c r="Q1276">
        <v>6</v>
      </c>
      <c r="R1276">
        <v>1048.6199999999999</v>
      </c>
      <c r="S1276" t="s">
        <v>29</v>
      </c>
    </row>
    <row r="1277" spans="1:19" x14ac:dyDescent="0.3">
      <c r="A1277" t="s">
        <v>1347</v>
      </c>
      <c r="B1277">
        <v>34</v>
      </c>
      <c r="C1277" t="s">
        <v>19</v>
      </c>
      <c r="D1277" t="s">
        <v>79</v>
      </c>
      <c r="E1277" s="1">
        <v>45172</v>
      </c>
      <c r="F1277" s="3">
        <v>45182</v>
      </c>
      <c r="G1277" t="s">
        <v>33</v>
      </c>
      <c r="H1277" t="s">
        <v>34</v>
      </c>
      <c r="I1277" t="s">
        <v>91</v>
      </c>
      <c r="J1277">
        <v>14311.26</v>
      </c>
      <c r="K1277">
        <v>10</v>
      </c>
      <c r="L1277" t="s">
        <v>36</v>
      </c>
      <c r="M1277" t="s">
        <v>25</v>
      </c>
      <c r="N1277" t="s">
        <v>55</v>
      </c>
      <c r="O1277" t="s">
        <v>49</v>
      </c>
      <c r="P1277" t="s">
        <v>28</v>
      </c>
      <c r="Q1277">
        <v>9</v>
      </c>
      <c r="R1277">
        <v>3431.15</v>
      </c>
      <c r="S1277" t="s">
        <v>29</v>
      </c>
    </row>
    <row r="1278" spans="1:19" x14ac:dyDescent="0.3">
      <c r="A1278" t="s">
        <v>1348</v>
      </c>
      <c r="B1278">
        <v>24</v>
      </c>
      <c r="C1278" t="s">
        <v>19</v>
      </c>
      <c r="D1278" t="s">
        <v>61</v>
      </c>
      <c r="E1278" s="1">
        <v>44942</v>
      </c>
      <c r="F1278" s="3">
        <v>44953</v>
      </c>
      <c r="G1278" t="s">
        <v>48</v>
      </c>
      <c r="H1278" t="s">
        <v>22</v>
      </c>
      <c r="I1278" t="s">
        <v>43</v>
      </c>
      <c r="J1278">
        <v>8560.26</v>
      </c>
      <c r="K1278">
        <v>11</v>
      </c>
      <c r="L1278" t="s">
        <v>24</v>
      </c>
      <c r="M1278" t="s">
        <v>25</v>
      </c>
      <c r="N1278" t="s">
        <v>55</v>
      </c>
      <c r="O1278" t="s">
        <v>37</v>
      </c>
      <c r="P1278" t="s">
        <v>38</v>
      </c>
      <c r="Q1278">
        <v>7</v>
      </c>
      <c r="R1278">
        <v>1496.21</v>
      </c>
      <c r="S1278" t="s">
        <v>29</v>
      </c>
    </row>
    <row r="1279" spans="1:19" x14ac:dyDescent="0.3">
      <c r="A1279" t="s">
        <v>1349</v>
      </c>
      <c r="B1279">
        <v>89</v>
      </c>
      <c r="C1279" t="s">
        <v>19</v>
      </c>
      <c r="D1279" t="s">
        <v>79</v>
      </c>
      <c r="E1279" s="1">
        <v>45221</v>
      </c>
      <c r="F1279" s="3">
        <v>45233</v>
      </c>
      <c r="G1279" t="s">
        <v>48</v>
      </c>
      <c r="H1279" t="s">
        <v>22</v>
      </c>
      <c r="I1279" t="s">
        <v>91</v>
      </c>
      <c r="J1279">
        <v>10554.12</v>
      </c>
      <c r="K1279">
        <v>12</v>
      </c>
      <c r="L1279" t="s">
        <v>24</v>
      </c>
      <c r="M1279" t="s">
        <v>25</v>
      </c>
      <c r="N1279" t="s">
        <v>44</v>
      </c>
      <c r="O1279" t="s">
        <v>37</v>
      </c>
      <c r="P1279" t="s">
        <v>50</v>
      </c>
      <c r="Q1279">
        <v>13</v>
      </c>
      <c r="R1279">
        <v>2460.25</v>
      </c>
      <c r="S1279" t="s">
        <v>29</v>
      </c>
    </row>
    <row r="1280" spans="1:19" x14ac:dyDescent="0.3">
      <c r="A1280" t="s">
        <v>1350</v>
      </c>
      <c r="B1280">
        <v>79</v>
      </c>
      <c r="C1280" t="s">
        <v>31</v>
      </c>
      <c r="D1280" t="s">
        <v>70</v>
      </c>
      <c r="E1280" s="1">
        <v>45844</v>
      </c>
      <c r="F1280" s="3">
        <v>45861</v>
      </c>
      <c r="G1280" t="s">
        <v>74</v>
      </c>
      <c r="H1280" t="s">
        <v>75</v>
      </c>
      <c r="I1280" t="s">
        <v>81</v>
      </c>
      <c r="J1280">
        <v>5980.47</v>
      </c>
      <c r="K1280">
        <v>17</v>
      </c>
      <c r="L1280" t="s">
        <v>24</v>
      </c>
      <c r="M1280" t="s">
        <v>25</v>
      </c>
      <c r="N1280" t="s">
        <v>44</v>
      </c>
      <c r="O1280" t="s">
        <v>27</v>
      </c>
      <c r="P1280" t="s">
        <v>38</v>
      </c>
      <c r="Q1280">
        <v>6</v>
      </c>
      <c r="R1280">
        <v>947.07</v>
      </c>
      <c r="S1280" t="s">
        <v>29</v>
      </c>
    </row>
    <row r="1281" spans="1:19" x14ac:dyDescent="0.3">
      <c r="A1281" t="s">
        <v>1351</v>
      </c>
      <c r="B1281">
        <v>60</v>
      </c>
      <c r="C1281" t="s">
        <v>19</v>
      </c>
      <c r="D1281" t="s">
        <v>66</v>
      </c>
      <c r="E1281" s="1">
        <v>45379</v>
      </c>
      <c r="F1281" s="3">
        <v>45384</v>
      </c>
      <c r="G1281" t="s">
        <v>33</v>
      </c>
      <c r="H1281" t="s">
        <v>34</v>
      </c>
      <c r="I1281" t="s">
        <v>43</v>
      </c>
      <c r="J1281">
        <v>7150.46</v>
      </c>
      <c r="K1281">
        <v>5</v>
      </c>
      <c r="L1281" t="s">
        <v>24</v>
      </c>
      <c r="M1281" t="s">
        <v>25</v>
      </c>
      <c r="N1281" t="s">
        <v>26</v>
      </c>
      <c r="O1281" t="s">
        <v>49</v>
      </c>
      <c r="P1281" t="s">
        <v>28</v>
      </c>
      <c r="Q1281">
        <v>10</v>
      </c>
      <c r="R1281">
        <v>1629.82</v>
      </c>
      <c r="S1281" t="s">
        <v>29</v>
      </c>
    </row>
    <row r="1282" spans="1:19" x14ac:dyDescent="0.3">
      <c r="A1282" t="s">
        <v>1352</v>
      </c>
      <c r="B1282">
        <v>50</v>
      </c>
      <c r="C1282" t="s">
        <v>19</v>
      </c>
      <c r="D1282" t="s">
        <v>89</v>
      </c>
      <c r="E1282" s="1">
        <v>45482</v>
      </c>
      <c r="F1282" s="3">
        <v>45499</v>
      </c>
      <c r="G1282" t="s">
        <v>74</v>
      </c>
      <c r="H1282" t="s">
        <v>75</v>
      </c>
      <c r="I1282" t="s">
        <v>81</v>
      </c>
      <c r="J1282">
        <v>18049.48</v>
      </c>
      <c r="K1282">
        <v>17</v>
      </c>
      <c r="L1282" t="s">
        <v>36</v>
      </c>
      <c r="M1282" t="s">
        <v>25</v>
      </c>
      <c r="N1282" t="s">
        <v>44</v>
      </c>
      <c r="O1282" t="s">
        <v>49</v>
      </c>
      <c r="P1282" t="s">
        <v>50</v>
      </c>
      <c r="Q1282">
        <v>7</v>
      </c>
      <c r="R1282">
        <v>5424.64</v>
      </c>
      <c r="S1282" t="s">
        <v>39</v>
      </c>
    </row>
    <row r="1283" spans="1:19" x14ac:dyDescent="0.3">
      <c r="A1283" t="s">
        <v>1353</v>
      </c>
      <c r="B1283">
        <v>53</v>
      </c>
      <c r="C1283" t="s">
        <v>19</v>
      </c>
      <c r="D1283" t="s">
        <v>66</v>
      </c>
      <c r="E1283" s="1">
        <v>45075</v>
      </c>
      <c r="F1283" s="3">
        <v>45091</v>
      </c>
      <c r="G1283" t="s">
        <v>33</v>
      </c>
      <c r="H1283" t="s">
        <v>34</v>
      </c>
      <c r="I1283" t="s">
        <v>54</v>
      </c>
      <c r="J1283">
        <v>4856.04</v>
      </c>
      <c r="K1283">
        <v>16</v>
      </c>
      <c r="L1283" t="s">
        <v>36</v>
      </c>
      <c r="M1283" t="s">
        <v>25</v>
      </c>
      <c r="N1283" t="s">
        <v>55</v>
      </c>
      <c r="O1283" t="s">
        <v>56</v>
      </c>
      <c r="P1283" t="s">
        <v>28</v>
      </c>
      <c r="Q1283">
        <v>11</v>
      </c>
      <c r="R1283">
        <v>1580.13</v>
      </c>
      <c r="S1283" t="s">
        <v>29</v>
      </c>
    </row>
    <row r="1284" spans="1:19" x14ac:dyDescent="0.3">
      <c r="A1284" t="s">
        <v>1354</v>
      </c>
      <c r="B1284">
        <v>81</v>
      </c>
      <c r="C1284" t="s">
        <v>31</v>
      </c>
      <c r="D1284" t="s">
        <v>32</v>
      </c>
      <c r="E1284" s="1">
        <v>45012</v>
      </c>
      <c r="F1284" s="3">
        <v>45035</v>
      </c>
      <c r="G1284" t="s">
        <v>74</v>
      </c>
      <c r="H1284" t="s">
        <v>75</v>
      </c>
      <c r="I1284" t="s">
        <v>35</v>
      </c>
      <c r="J1284">
        <v>19157.310000000001</v>
      </c>
      <c r="K1284">
        <v>23</v>
      </c>
      <c r="L1284" t="s">
        <v>24</v>
      </c>
      <c r="M1284" t="s">
        <v>25</v>
      </c>
      <c r="N1284" t="s">
        <v>55</v>
      </c>
      <c r="O1284" t="s">
        <v>49</v>
      </c>
      <c r="P1284" t="s">
        <v>50</v>
      </c>
      <c r="Q1284">
        <v>9</v>
      </c>
      <c r="R1284">
        <v>7395.51</v>
      </c>
      <c r="S1284" t="s">
        <v>39</v>
      </c>
    </row>
    <row r="1285" spans="1:19" x14ac:dyDescent="0.3">
      <c r="A1285" t="s">
        <v>1355</v>
      </c>
      <c r="B1285">
        <v>69</v>
      </c>
      <c r="C1285" t="s">
        <v>31</v>
      </c>
      <c r="D1285" t="s">
        <v>61</v>
      </c>
      <c r="E1285" s="1">
        <v>45463</v>
      </c>
      <c r="F1285" s="3">
        <v>45470</v>
      </c>
      <c r="G1285" t="s">
        <v>93</v>
      </c>
      <c r="H1285" t="s">
        <v>72</v>
      </c>
      <c r="I1285" t="s">
        <v>54</v>
      </c>
      <c r="J1285">
        <v>5468.28</v>
      </c>
      <c r="K1285">
        <v>7</v>
      </c>
      <c r="L1285" t="s">
        <v>24</v>
      </c>
      <c r="M1285" t="s">
        <v>101</v>
      </c>
      <c r="N1285" t="s">
        <v>55</v>
      </c>
      <c r="O1285" t="s">
        <v>27</v>
      </c>
      <c r="P1285" t="s">
        <v>45</v>
      </c>
      <c r="Q1285">
        <v>11</v>
      </c>
      <c r="R1285">
        <v>1553.41</v>
      </c>
      <c r="S1285" t="s">
        <v>29</v>
      </c>
    </row>
    <row r="1286" spans="1:19" x14ac:dyDescent="0.3">
      <c r="A1286" t="s">
        <v>1356</v>
      </c>
      <c r="B1286">
        <v>18</v>
      </c>
      <c r="C1286" t="s">
        <v>19</v>
      </c>
      <c r="D1286" t="s">
        <v>20</v>
      </c>
      <c r="E1286" s="1">
        <v>45017</v>
      </c>
      <c r="F1286" s="3">
        <v>45024</v>
      </c>
      <c r="G1286" t="s">
        <v>67</v>
      </c>
      <c r="H1286" t="s">
        <v>42</v>
      </c>
      <c r="I1286" t="s">
        <v>43</v>
      </c>
      <c r="J1286">
        <v>3080.27</v>
      </c>
      <c r="K1286">
        <v>7</v>
      </c>
      <c r="L1286" t="s">
        <v>24</v>
      </c>
      <c r="M1286" t="s">
        <v>25</v>
      </c>
      <c r="N1286" t="s">
        <v>26</v>
      </c>
      <c r="O1286" t="s">
        <v>27</v>
      </c>
      <c r="P1286" t="s">
        <v>45</v>
      </c>
      <c r="Q1286">
        <v>7</v>
      </c>
      <c r="R1286">
        <v>1221.25</v>
      </c>
      <c r="S1286" t="s">
        <v>29</v>
      </c>
    </row>
    <row r="1287" spans="1:19" x14ac:dyDescent="0.3">
      <c r="A1287" t="s">
        <v>1357</v>
      </c>
      <c r="B1287">
        <v>78</v>
      </c>
      <c r="C1287" t="s">
        <v>19</v>
      </c>
      <c r="D1287" t="s">
        <v>20</v>
      </c>
      <c r="E1287" s="1">
        <v>45879</v>
      </c>
      <c r="F1287" s="3">
        <v>45882</v>
      </c>
      <c r="G1287" t="s">
        <v>21</v>
      </c>
      <c r="H1287" t="s">
        <v>22</v>
      </c>
      <c r="I1287" t="s">
        <v>81</v>
      </c>
      <c r="J1287">
        <v>3790.91</v>
      </c>
      <c r="K1287">
        <v>3</v>
      </c>
      <c r="L1287" t="s">
        <v>24</v>
      </c>
      <c r="M1287" t="s">
        <v>25</v>
      </c>
      <c r="N1287" t="s">
        <v>26</v>
      </c>
      <c r="O1287" t="s">
        <v>27</v>
      </c>
      <c r="P1287" t="s">
        <v>50</v>
      </c>
      <c r="Q1287">
        <v>11</v>
      </c>
      <c r="R1287">
        <v>902.34</v>
      </c>
      <c r="S1287" t="s">
        <v>29</v>
      </c>
    </row>
    <row r="1288" spans="1:19" x14ac:dyDescent="0.3">
      <c r="A1288" t="s">
        <v>1358</v>
      </c>
      <c r="B1288">
        <v>19</v>
      </c>
      <c r="C1288" t="s">
        <v>19</v>
      </c>
      <c r="D1288" t="s">
        <v>47</v>
      </c>
      <c r="E1288" s="1">
        <v>45832</v>
      </c>
      <c r="F1288" s="3">
        <v>45848</v>
      </c>
      <c r="G1288" t="s">
        <v>41</v>
      </c>
      <c r="H1288" t="s">
        <v>42</v>
      </c>
      <c r="I1288" t="s">
        <v>23</v>
      </c>
      <c r="J1288">
        <v>17494.97</v>
      </c>
      <c r="K1288">
        <v>16</v>
      </c>
      <c r="L1288" t="s">
        <v>24</v>
      </c>
      <c r="M1288" t="s">
        <v>59</v>
      </c>
      <c r="N1288" t="s">
        <v>55</v>
      </c>
      <c r="O1288" t="s">
        <v>49</v>
      </c>
      <c r="P1288" t="s">
        <v>50</v>
      </c>
      <c r="Q1288">
        <v>8</v>
      </c>
      <c r="R1288">
        <v>5559.17</v>
      </c>
      <c r="S1288" t="s">
        <v>39</v>
      </c>
    </row>
    <row r="1289" spans="1:19" x14ac:dyDescent="0.3">
      <c r="A1289" t="s">
        <v>1359</v>
      </c>
      <c r="B1289">
        <v>83</v>
      </c>
      <c r="C1289" t="s">
        <v>31</v>
      </c>
      <c r="D1289" t="s">
        <v>70</v>
      </c>
      <c r="E1289" s="1">
        <v>45058</v>
      </c>
      <c r="F1289" s="3">
        <v>45071</v>
      </c>
      <c r="G1289" t="s">
        <v>62</v>
      </c>
      <c r="H1289" t="s">
        <v>63</v>
      </c>
      <c r="I1289" t="s">
        <v>35</v>
      </c>
      <c r="J1289">
        <v>5752.98</v>
      </c>
      <c r="K1289">
        <v>13</v>
      </c>
      <c r="L1289" t="s">
        <v>36</v>
      </c>
      <c r="M1289" t="s">
        <v>59</v>
      </c>
      <c r="N1289" t="s">
        <v>44</v>
      </c>
      <c r="O1289" t="s">
        <v>56</v>
      </c>
      <c r="P1289" t="s">
        <v>28</v>
      </c>
      <c r="Q1289">
        <v>2</v>
      </c>
      <c r="R1289">
        <v>1873.12</v>
      </c>
      <c r="S1289" t="s">
        <v>29</v>
      </c>
    </row>
    <row r="1290" spans="1:19" x14ac:dyDescent="0.3">
      <c r="A1290" t="s">
        <v>1360</v>
      </c>
      <c r="B1290">
        <v>19</v>
      </c>
      <c r="C1290" t="s">
        <v>31</v>
      </c>
      <c r="D1290" t="s">
        <v>20</v>
      </c>
      <c r="E1290" s="1">
        <v>45096</v>
      </c>
      <c r="F1290" s="3">
        <v>45114</v>
      </c>
      <c r="G1290" t="s">
        <v>41</v>
      </c>
      <c r="H1290" t="s">
        <v>42</v>
      </c>
      <c r="I1290" t="s">
        <v>58</v>
      </c>
      <c r="J1290">
        <v>14355.92</v>
      </c>
      <c r="K1290">
        <v>18</v>
      </c>
      <c r="L1290" t="s">
        <v>24</v>
      </c>
      <c r="M1290" t="s">
        <v>25</v>
      </c>
      <c r="N1290" t="s">
        <v>55</v>
      </c>
      <c r="O1290" t="s">
        <v>49</v>
      </c>
      <c r="P1290" t="s">
        <v>38</v>
      </c>
      <c r="Q1290">
        <v>14</v>
      </c>
      <c r="R1290">
        <v>5712.41</v>
      </c>
      <c r="S1290" t="s">
        <v>29</v>
      </c>
    </row>
    <row r="1291" spans="1:19" x14ac:dyDescent="0.3">
      <c r="A1291" t="s">
        <v>1361</v>
      </c>
      <c r="B1291">
        <v>46</v>
      </c>
      <c r="C1291" t="s">
        <v>19</v>
      </c>
      <c r="D1291" t="s">
        <v>47</v>
      </c>
      <c r="E1291" s="1">
        <v>45814</v>
      </c>
      <c r="F1291" s="3">
        <v>45825</v>
      </c>
      <c r="G1291" t="s">
        <v>71</v>
      </c>
      <c r="H1291" t="s">
        <v>72</v>
      </c>
      <c r="I1291" t="s">
        <v>91</v>
      </c>
      <c r="J1291">
        <v>5164.3</v>
      </c>
      <c r="K1291">
        <v>11</v>
      </c>
      <c r="L1291" t="s">
        <v>36</v>
      </c>
      <c r="M1291" t="s">
        <v>25</v>
      </c>
      <c r="N1291" t="s">
        <v>26</v>
      </c>
      <c r="O1291" t="s">
        <v>56</v>
      </c>
      <c r="P1291" t="s">
        <v>50</v>
      </c>
      <c r="Q1291">
        <v>5</v>
      </c>
      <c r="R1291">
        <v>1117.96</v>
      </c>
      <c r="S1291" t="s">
        <v>29</v>
      </c>
    </row>
    <row r="1292" spans="1:19" x14ac:dyDescent="0.3">
      <c r="A1292" t="s">
        <v>1362</v>
      </c>
      <c r="B1292">
        <v>60</v>
      </c>
      <c r="C1292" t="s">
        <v>31</v>
      </c>
      <c r="D1292" t="s">
        <v>79</v>
      </c>
      <c r="E1292" s="1">
        <v>45671</v>
      </c>
      <c r="F1292" s="3">
        <v>45679</v>
      </c>
      <c r="G1292" t="s">
        <v>21</v>
      </c>
      <c r="H1292" t="s">
        <v>22</v>
      </c>
      <c r="I1292" t="s">
        <v>58</v>
      </c>
      <c r="J1292">
        <v>4356.2700000000004</v>
      </c>
      <c r="K1292">
        <v>8</v>
      </c>
      <c r="L1292" t="s">
        <v>36</v>
      </c>
      <c r="M1292" t="s">
        <v>25</v>
      </c>
      <c r="N1292" t="s">
        <v>44</v>
      </c>
      <c r="O1292" t="s">
        <v>56</v>
      </c>
      <c r="P1292" t="s">
        <v>38</v>
      </c>
      <c r="Q1292">
        <v>9</v>
      </c>
      <c r="R1292">
        <v>1408.47</v>
      </c>
      <c r="S1292" t="s">
        <v>29</v>
      </c>
    </row>
    <row r="1293" spans="1:19" x14ac:dyDescent="0.3">
      <c r="A1293" t="s">
        <v>1363</v>
      </c>
      <c r="B1293">
        <v>66</v>
      </c>
      <c r="C1293" t="s">
        <v>19</v>
      </c>
      <c r="D1293" t="s">
        <v>20</v>
      </c>
      <c r="E1293" s="1">
        <v>45800</v>
      </c>
      <c r="F1293" s="3">
        <v>45810</v>
      </c>
      <c r="G1293" t="s">
        <v>62</v>
      </c>
      <c r="H1293" t="s">
        <v>63</v>
      </c>
      <c r="I1293" t="s">
        <v>83</v>
      </c>
      <c r="J1293">
        <v>6480.72</v>
      </c>
      <c r="K1293">
        <v>10</v>
      </c>
      <c r="L1293" t="s">
        <v>36</v>
      </c>
      <c r="M1293" t="s">
        <v>101</v>
      </c>
      <c r="N1293" t="s">
        <v>55</v>
      </c>
      <c r="O1293" t="s">
        <v>56</v>
      </c>
      <c r="P1293" t="s">
        <v>38</v>
      </c>
      <c r="Q1293">
        <v>6</v>
      </c>
      <c r="R1293">
        <v>2513.67</v>
      </c>
      <c r="S1293" t="s">
        <v>29</v>
      </c>
    </row>
    <row r="1294" spans="1:19" x14ac:dyDescent="0.3">
      <c r="A1294" t="s">
        <v>1364</v>
      </c>
      <c r="B1294">
        <v>45</v>
      </c>
      <c r="C1294" t="s">
        <v>31</v>
      </c>
      <c r="D1294" t="s">
        <v>61</v>
      </c>
      <c r="E1294" s="1">
        <v>45253</v>
      </c>
      <c r="F1294" s="3">
        <v>45259</v>
      </c>
      <c r="G1294" t="s">
        <v>71</v>
      </c>
      <c r="H1294" t="s">
        <v>72</v>
      </c>
      <c r="I1294" t="s">
        <v>54</v>
      </c>
      <c r="J1294">
        <v>3155.85</v>
      </c>
      <c r="K1294">
        <v>6</v>
      </c>
      <c r="L1294" t="s">
        <v>24</v>
      </c>
      <c r="M1294" t="s">
        <v>25</v>
      </c>
      <c r="N1294" t="s">
        <v>55</v>
      </c>
      <c r="O1294" t="s">
        <v>37</v>
      </c>
      <c r="P1294" t="s">
        <v>28</v>
      </c>
      <c r="Q1294">
        <v>8</v>
      </c>
      <c r="R1294">
        <v>616.92999999999995</v>
      </c>
      <c r="S1294" t="s">
        <v>29</v>
      </c>
    </row>
    <row r="1295" spans="1:19" x14ac:dyDescent="0.3">
      <c r="A1295" t="s">
        <v>1365</v>
      </c>
      <c r="B1295">
        <v>54</v>
      </c>
      <c r="C1295" t="s">
        <v>19</v>
      </c>
      <c r="D1295" t="s">
        <v>61</v>
      </c>
      <c r="E1295" s="1">
        <v>45780</v>
      </c>
      <c r="F1295" s="3">
        <v>45794</v>
      </c>
      <c r="G1295" t="s">
        <v>52</v>
      </c>
      <c r="H1295" t="s">
        <v>53</v>
      </c>
      <c r="I1295" t="s">
        <v>35</v>
      </c>
      <c r="J1295">
        <v>8216.66</v>
      </c>
      <c r="K1295">
        <v>14</v>
      </c>
      <c r="L1295" t="s">
        <v>24</v>
      </c>
      <c r="M1295" t="s">
        <v>25</v>
      </c>
      <c r="N1295" t="s">
        <v>55</v>
      </c>
      <c r="O1295" t="s">
        <v>37</v>
      </c>
      <c r="P1295" t="s">
        <v>50</v>
      </c>
      <c r="Q1295">
        <v>11</v>
      </c>
      <c r="R1295">
        <v>1762.2</v>
      </c>
      <c r="S1295" t="s">
        <v>29</v>
      </c>
    </row>
    <row r="1296" spans="1:19" x14ac:dyDescent="0.3">
      <c r="A1296" t="s">
        <v>1366</v>
      </c>
      <c r="B1296">
        <v>32</v>
      </c>
      <c r="C1296" t="s">
        <v>31</v>
      </c>
      <c r="D1296" t="s">
        <v>32</v>
      </c>
      <c r="E1296" s="1">
        <v>45318</v>
      </c>
      <c r="F1296" s="3">
        <v>45336</v>
      </c>
      <c r="G1296" t="s">
        <v>41</v>
      </c>
      <c r="H1296" t="s">
        <v>42</v>
      </c>
      <c r="I1296" t="s">
        <v>43</v>
      </c>
      <c r="J1296">
        <v>12613.13</v>
      </c>
      <c r="K1296">
        <v>18</v>
      </c>
      <c r="L1296" t="s">
        <v>24</v>
      </c>
      <c r="M1296" t="s">
        <v>25</v>
      </c>
      <c r="N1296" t="s">
        <v>26</v>
      </c>
      <c r="O1296" t="s">
        <v>37</v>
      </c>
      <c r="P1296" t="s">
        <v>45</v>
      </c>
      <c r="Q1296">
        <v>15</v>
      </c>
      <c r="R1296">
        <v>4225.04</v>
      </c>
      <c r="S1296" t="s">
        <v>29</v>
      </c>
    </row>
    <row r="1297" spans="1:19" x14ac:dyDescent="0.3">
      <c r="A1297" t="s">
        <v>1367</v>
      </c>
      <c r="B1297">
        <v>79</v>
      </c>
      <c r="C1297" t="s">
        <v>31</v>
      </c>
      <c r="D1297" t="s">
        <v>66</v>
      </c>
      <c r="E1297" s="1">
        <v>45350</v>
      </c>
      <c r="F1297" s="3">
        <v>45367</v>
      </c>
      <c r="G1297" t="s">
        <v>62</v>
      </c>
      <c r="H1297" t="s">
        <v>63</v>
      </c>
      <c r="I1297" t="s">
        <v>91</v>
      </c>
      <c r="J1297">
        <v>12337.08</v>
      </c>
      <c r="K1297">
        <v>17</v>
      </c>
      <c r="L1297" t="s">
        <v>24</v>
      </c>
      <c r="M1297" t="s">
        <v>25</v>
      </c>
      <c r="N1297" t="s">
        <v>26</v>
      </c>
      <c r="O1297" t="s">
        <v>49</v>
      </c>
      <c r="P1297" t="s">
        <v>28</v>
      </c>
      <c r="Q1297">
        <v>12</v>
      </c>
      <c r="R1297">
        <v>2798.93</v>
      </c>
      <c r="S1297" t="s">
        <v>29</v>
      </c>
    </row>
    <row r="1298" spans="1:19" x14ac:dyDescent="0.3">
      <c r="A1298" t="s">
        <v>1368</v>
      </c>
      <c r="B1298">
        <v>65</v>
      </c>
      <c r="C1298" t="s">
        <v>19</v>
      </c>
      <c r="D1298" t="s">
        <v>66</v>
      </c>
      <c r="E1298" s="1">
        <v>45598</v>
      </c>
      <c r="F1298" s="3">
        <v>45620</v>
      </c>
      <c r="G1298" t="s">
        <v>62</v>
      </c>
      <c r="H1298" t="s">
        <v>63</v>
      </c>
      <c r="I1298" t="s">
        <v>35</v>
      </c>
      <c r="J1298">
        <v>16066.69</v>
      </c>
      <c r="K1298">
        <v>22</v>
      </c>
      <c r="L1298" t="s">
        <v>24</v>
      </c>
      <c r="M1298" t="s">
        <v>25</v>
      </c>
      <c r="N1298" t="s">
        <v>26</v>
      </c>
      <c r="O1298" t="s">
        <v>49</v>
      </c>
      <c r="P1298" t="s">
        <v>45</v>
      </c>
      <c r="Q1298">
        <v>5</v>
      </c>
      <c r="R1298">
        <v>4611.72</v>
      </c>
      <c r="S1298" t="s">
        <v>29</v>
      </c>
    </row>
    <row r="1299" spans="1:19" x14ac:dyDescent="0.3">
      <c r="A1299" t="s">
        <v>1369</v>
      </c>
      <c r="B1299">
        <v>40</v>
      </c>
      <c r="C1299" t="s">
        <v>31</v>
      </c>
      <c r="D1299" t="s">
        <v>89</v>
      </c>
      <c r="E1299" s="1">
        <v>45852</v>
      </c>
      <c r="F1299" s="3">
        <v>45871</v>
      </c>
      <c r="G1299" t="s">
        <v>74</v>
      </c>
      <c r="H1299" t="s">
        <v>75</v>
      </c>
      <c r="I1299" t="s">
        <v>35</v>
      </c>
      <c r="J1299">
        <v>14170.17</v>
      </c>
      <c r="K1299">
        <v>19</v>
      </c>
      <c r="L1299" t="s">
        <v>36</v>
      </c>
      <c r="M1299" t="s">
        <v>25</v>
      </c>
      <c r="N1299" t="s">
        <v>55</v>
      </c>
      <c r="O1299" t="s">
        <v>27</v>
      </c>
      <c r="P1299" t="s">
        <v>28</v>
      </c>
      <c r="Q1299">
        <v>10</v>
      </c>
      <c r="R1299">
        <v>2343.08</v>
      </c>
      <c r="S1299" t="s">
        <v>29</v>
      </c>
    </row>
    <row r="1300" spans="1:19" x14ac:dyDescent="0.3">
      <c r="A1300" t="s">
        <v>1370</v>
      </c>
      <c r="B1300">
        <v>74</v>
      </c>
      <c r="C1300" t="s">
        <v>19</v>
      </c>
      <c r="D1300" t="s">
        <v>32</v>
      </c>
      <c r="E1300" s="1">
        <v>44957</v>
      </c>
      <c r="F1300" s="3">
        <v>44964</v>
      </c>
      <c r="G1300" t="s">
        <v>21</v>
      </c>
      <c r="H1300" t="s">
        <v>22</v>
      </c>
      <c r="I1300" t="s">
        <v>23</v>
      </c>
      <c r="J1300">
        <v>5100.71</v>
      </c>
      <c r="K1300">
        <v>7</v>
      </c>
      <c r="L1300" t="s">
        <v>24</v>
      </c>
      <c r="M1300" t="s">
        <v>25</v>
      </c>
      <c r="N1300" t="s">
        <v>44</v>
      </c>
      <c r="O1300" t="s">
        <v>56</v>
      </c>
      <c r="P1300" t="s">
        <v>45</v>
      </c>
      <c r="Q1300">
        <v>8</v>
      </c>
      <c r="R1300">
        <v>1642.03</v>
      </c>
      <c r="S1300" t="s">
        <v>29</v>
      </c>
    </row>
    <row r="1301" spans="1:19" x14ac:dyDescent="0.3">
      <c r="A1301" t="s">
        <v>1371</v>
      </c>
      <c r="B1301">
        <v>86</v>
      </c>
      <c r="C1301" t="s">
        <v>19</v>
      </c>
      <c r="D1301" t="s">
        <v>61</v>
      </c>
      <c r="E1301" s="1">
        <v>45228</v>
      </c>
      <c r="F1301" s="3">
        <v>45230</v>
      </c>
      <c r="G1301" t="s">
        <v>74</v>
      </c>
      <c r="H1301" t="s">
        <v>75</v>
      </c>
      <c r="I1301" t="s">
        <v>81</v>
      </c>
      <c r="J1301">
        <v>3310.41</v>
      </c>
      <c r="K1301">
        <v>2</v>
      </c>
      <c r="L1301" t="s">
        <v>24</v>
      </c>
      <c r="M1301" t="s">
        <v>59</v>
      </c>
      <c r="N1301" t="s">
        <v>44</v>
      </c>
      <c r="O1301" t="s">
        <v>37</v>
      </c>
      <c r="P1301" t="s">
        <v>45</v>
      </c>
      <c r="Q1301">
        <v>15</v>
      </c>
      <c r="R1301">
        <v>670.89</v>
      </c>
      <c r="S1301" t="s">
        <v>29</v>
      </c>
    </row>
    <row r="1302" spans="1:19" x14ac:dyDescent="0.3">
      <c r="A1302" t="s">
        <v>1372</v>
      </c>
      <c r="B1302">
        <v>20</v>
      </c>
      <c r="C1302" t="s">
        <v>31</v>
      </c>
      <c r="D1302" t="s">
        <v>47</v>
      </c>
      <c r="E1302" s="1">
        <v>45107</v>
      </c>
      <c r="F1302" s="3">
        <v>45115</v>
      </c>
      <c r="G1302" t="s">
        <v>33</v>
      </c>
      <c r="H1302" t="s">
        <v>34</v>
      </c>
      <c r="I1302" t="s">
        <v>54</v>
      </c>
      <c r="J1302">
        <v>12372.81</v>
      </c>
      <c r="K1302">
        <v>8</v>
      </c>
      <c r="L1302" t="s">
        <v>36</v>
      </c>
      <c r="M1302" t="s">
        <v>25</v>
      </c>
      <c r="N1302" t="s">
        <v>55</v>
      </c>
      <c r="O1302" t="s">
        <v>49</v>
      </c>
      <c r="P1302" t="s">
        <v>28</v>
      </c>
      <c r="Q1302">
        <v>7</v>
      </c>
      <c r="R1302">
        <v>2263.4899999999998</v>
      </c>
      <c r="S1302" t="s">
        <v>29</v>
      </c>
    </row>
    <row r="1303" spans="1:19" x14ac:dyDescent="0.3">
      <c r="A1303" t="s">
        <v>1373</v>
      </c>
      <c r="B1303">
        <v>33</v>
      </c>
      <c r="C1303" t="s">
        <v>19</v>
      </c>
      <c r="D1303" t="s">
        <v>20</v>
      </c>
      <c r="E1303" s="1">
        <v>45075</v>
      </c>
      <c r="F1303" s="3">
        <v>45077</v>
      </c>
      <c r="G1303" t="s">
        <v>93</v>
      </c>
      <c r="H1303" t="s">
        <v>72</v>
      </c>
      <c r="I1303" t="s">
        <v>35</v>
      </c>
      <c r="J1303">
        <v>1195.93</v>
      </c>
      <c r="K1303">
        <v>2</v>
      </c>
      <c r="L1303" t="s">
        <v>36</v>
      </c>
      <c r="M1303" t="s">
        <v>25</v>
      </c>
      <c r="N1303" t="s">
        <v>55</v>
      </c>
      <c r="O1303" t="s">
        <v>37</v>
      </c>
      <c r="P1303" t="s">
        <v>45</v>
      </c>
      <c r="Q1303">
        <v>6</v>
      </c>
      <c r="R1303">
        <v>453.41</v>
      </c>
      <c r="S1303" t="s">
        <v>29</v>
      </c>
    </row>
    <row r="1304" spans="1:19" x14ac:dyDescent="0.3">
      <c r="A1304" t="s">
        <v>1374</v>
      </c>
      <c r="B1304">
        <v>59</v>
      </c>
      <c r="C1304" t="s">
        <v>19</v>
      </c>
      <c r="D1304" t="s">
        <v>47</v>
      </c>
      <c r="E1304" s="1">
        <v>45569</v>
      </c>
      <c r="F1304" s="3">
        <v>45585</v>
      </c>
      <c r="G1304" t="s">
        <v>48</v>
      </c>
      <c r="H1304" t="s">
        <v>22</v>
      </c>
      <c r="I1304" t="s">
        <v>81</v>
      </c>
      <c r="J1304">
        <v>10282.01</v>
      </c>
      <c r="K1304">
        <v>16</v>
      </c>
      <c r="L1304" t="s">
        <v>36</v>
      </c>
      <c r="M1304" t="s">
        <v>25</v>
      </c>
      <c r="N1304" t="s">
        <v>26</v>
      </c>
      <c r="O1304" t="s">
        <v>27</v>
      </c>
      <c r="P1304" t="s">
        <v>45</v>
      </c>
      <c r="Q1304">
        <v>6</v>
      </c>
      <c r="R1304">
        <v>4018.18</v>
      </c>
      <c r="S1304" t="s">
        <v>29</v>
      </c>
    </row>
    <row r="1305" spans="1:19" x14ac:dyDescent="0.3">
      <c r="A1305" t="s">
        <v>1375</v>
      </c>
      <c r="B1305">
        <v>83</v>
      </c>
      <c r="C1305" t="s">
        <v>19</v>
      </c>
      <c r="D1305" t="s">
        <v>66</v>
      </c>
      <c r="E1305" s="1">
        <v>45405</v>
      </c>
      <c r="F1305" s="3">
        <v>45422</v>
      </c>
      <c r="G1305" t="s">
        <v>71</v>
      </c>
      <c r="H1305" t="s">
        <v>72</v>
      </c>
      <c r="I1305" t="s">
        <v>43</v>
      </c>
      <c r="J1305">
        <v>9362.01</v>
      </c>
      <c r="K1305">
        <v>17</v>
      </c>
      <c r="L1305" t="s">
        <v>24</v>
      </c>
      <c r="M1305" t="s">
        <v>25</v>
      </c>
      <c r="N1305" t="s">
        <v>44</v>
      </c>
      <c r="O1305" t="s">
        <v>27</v>
      </c>
      <c r="P1305" t="s">
        <v>28</v>
      </c>
      <c r="Q1305">
        <v>9</v>
      </c>
      <c r="R1305">
        <v>1579.18</v>
      </c>
      <c r="S1305" t="s">
        <v>29</v>
      </c>
    </row>
    <row r="1306" spans="1:19" x14ac:dyDescent="0.3">
      <c r="A1306" t="s">
        <v>1376</v>
      </c>
      <c r="B1306">
        <v>75</v>
      </c>
      <c r="C1306" t="s">
        <v>31</v>
      </c>
      <c r="D1306" t="s">
        <v>20</v>
      </c>
      <c r="E1306" s="1">
        <v>45297</v>
      </c>
      <c r="F1306" s="3">
        <v>45306</v>
      </c>
      <c r="G1306" t="s">
        <v>71</v>
      </c>
      <c r="H1306" t="s">
        <v>72</v>
      </c>
      <c r="I1306" t="s">
        <v>81</v>
      </c>
      <c r="J1306">
        <v>7952.74</v>
      </c>
      <c r="K1306">
        <v>9</v>
      </c>
      <c r="L1306" t="s">
        <v>24</v>
      </c>
      <c r="M1306" t="s">
        <v>25</v>
      </c>
      <c r="N1306" t="s">
        <v>44</v>
      </c>
      <c r="O1306" t="s">
        <v>49</v>
      </c>
      <c r="P1306" t="s">
        <v>28</v>
      </c>
      <c r="Q1306">
        <v>3</v>
      </c>
      <c r="R1306">
        <v>1358.39</v>
      </c>
      <c r="S1306" t="s">
        <v>29</v>
      </c>
    </row>
    <row r="1307" spans="1:19" x14ac:dyDescent="0.3">
      <c r="A1307" t="s">
        <v>1377</v>
      </c>
      <c r="B1307">
        <v>45</v>
      </c>
      <c r="C1307" t="s">
        <v>19</v>
      </c>
      <c r="D1307" t="s">
        <v>79</v>
      </c>
      <c r="E1307" s="1">
        <v>45484</v>
      </c>
      <c r="F1307" s="3">
        <v>45500</v>
      </c>
      <c r="G1307" t="s">
        <v>52</v>
      </c>
      <c r="H1307" t="s">
        <v>53</v>
      </c>
      <c r="I1307" t="s">
        <v>43</v>
      </c>
      <c r="J1307">
        <v>12275.43</v>
      </c>
      <c r="K1307">
        <v>16</v>
      </c>
      <c r="L1307" t="s">
        <v>24</v>
      </c>
      <c r="M1307" t="s">
        <v>101</v>
      </c>
      <c r="N1307" t="s">
        <v>55</v>
      </c>
      <c r="O1307" t="s">
        <v>49</v>
      </c>
      <c r="P1307" t="s">
        <v>45</v>
      </c>
      <c r="Q1307">
        <v>1</v>
      </c>
      <c r="R1307">
        <v>2229.6999999999998</v>
      </c>
      <c r="S1307" t="s">
        <v>29</v>
      </c>
    </row>
    <row r="1308" spans="1:19" x14ac:dyDescent="0.3">
      <c r="A1308" t="s">
        <v>1378</v>
      </c>
      <c r="B1308">
        <v>32</v>
      </c>
      <c r="C1308" t="s">
        <v>31</v>
      </c>
      <c r="D1308" t="s">
        <v>61</v>
      </c>
      <c r="E1308" s="1">
        <v>45027</v>
      </c>
      <c r="F1308" s="3">
        <v>45038</v>
      </c>
      <c r="G1308" t="s">
        <v>48</v>
      </c>
      <c r="H1308" t="s">
        <v>22</v>
      </c>
      <c r="I1308" t="s">
        <v>43</v>
      </c>
      <c r="J1308">
        <v>6772.12</v>
      </c>
      <c r="K1308">
        <v>11</v>
      </c>
      <c r="L1308" t="s">
        <v>24</v>
      </c>
      <c r="M1308" t="s">
        <v>25</v>
      </c>
      <c r="N1308" t="s">
        <v>55</v>
      </c>
      <c r="O1308" t="s">
        <v>56</v>
      </c>
      <c r="P1308" t="s">
        <v>50</v>
      </c>
      <c r="Q1308">
        <v>3</v>
      </c>
      <c r="R1308">
        <v>1902.39</v>
      </c>
      <c r="S1308" t="s">
        <v>29</v>
      </c>
    </row>
    <row r="1309" spans="1:19" x14ac:dyDescent="0.3">
      <c r="A1309" t="s">
        <v>1379</v>
      </c>
      <c r="B1309">
        <v>23</v>
      </c>
      <c r="C1309" t="s">
        <v>31</v>
      </c>
      <c r="D1309" t="s">
        <v>47</v>
      </c>
      <c r="E1309" s="1">
        <v>45831</v>
      </c>
      <c r="F1309" s="3">
        <v>45840</v>
      </c>
      <c r="G1309" t="s">
        <v>52</v>
      </c>
      <c r="H1309" t="s">
        <v>53</v>
      </c>
      <c r="I1309" t="s">
        <v>58</v>
      </c>
      <c r="J1309">
        <v>9137.09</v>
      </c>
      <c r="K1309">
        <v>9</v>
      </c>
      <c r="L1309" t="s">
        <v>36</v>
      </c>
      <c r="M1309" t="s">
        <v>59</v>
      </c>
      <c r="N1309" t="s">
        <v>55</v>
      </c>
      <c r="O1309" t="s">
        <v>49</v>
      </c>
      <c r="P1309" t="s">
        <v>38</v>
      </c>
      <c r="Q1309">
        <v>5</v>
      </c>
      <c r="R1309">
        <v>3062.41</v>
      </c>
      <c r="S1309" t="s">
        <v>29</v>
      </c>
    </row>
    <row r="1310" spans="1:19" x14ac:dyDescent="0.3">
      <c r="A1310" t="s">
        <v>1380</v>
      </c>
      <c r="B1310">
        <v>69</v>
      </c>
      <c r="C1310" t="s">
        <v>19</v>
      </c>
      <c r="D1310" t="s">
        <v>20</v>
      </c>
      <c r="E1310" s="1">
        <v>45458</v>
      </c>
      <c r="F1310" s="3">
        <v>45459</v>
      </c>
      <c r="G1310" t="s">
        <v>33</v>
      </c>
      <c r="H1310" t="s">
        <v>34</v>
      </c>
      <c r="I1310" t="s">
        <v>91</v>
      </c>
      <c r="J1310">
        <v>2854.66</v>
      </c>
      <c r="K1310">
        <v>1</v>
      </c>
      <c r="L1310" t="s">
        <v>36</v>
      </c>
      <c r="M1310" t="s">
        <v>25</v>
      </c>
      <c r="N1310" t="s">
        <v>26</v>
      </c>
      <c r="O1310" t="s">
        <v>56</v>
      </c>
      <c r="P1310" t="s">
        <v>50</v>
      </c>
      <c r="Q1310">
        <v>14</v>
      </c>
      <c r="R1310">
        <v>553.04999999999995</v>
      </c>
      <c r="S1310" t="s">
        <v>29</v>
      </c>
    </row>
    <row r="1311" spans="1:19" x14ac:dyDescent="0.3">
      <c r="A1311" t="s">
        <v>1381</v>
      </c>
      <c r="B1311">
        <v>33</v>
      </c>
      <c r="C1311" t="s">
        <v>19</v>
      </c>
      <c r="D1311" t="s">
        <v>66</v>
      </c>
      <c r="E1311" s="1">
        <v>45774</v>
      </c>
      <c r="F1311" s="3">
        <v>45780</v>
      </c>
      <c r="G1311" t="s">
        <v>62</v>
      </c>
      <c r="H1311" t="s">
        <v>63</v>
      </c>
      <c r="I1311" t="s">
        <v>23</v>
      </c>
      <c r="J1311">
        <v>3729.12</v>
      </c>
      <c r="K1311">
        <v>6</v>
      </c>
      <c r="L1311" t="s">
        <v>36</v>
      </c>
      <c r="M1311" t="s">
        <v>59</v>
      </c>
      <c r="N1311" t="s">
        <v>55</v>
      </c>
      <c r="O1311" t="s">
        <v>56</v>
      </c>
      <c r="P1311" t="s">
        <v>28</v>
      </c>
      <c r="Q1311">
        <v>13</v>
      </c>
      <c r="R1311">
        <v>680.57</v>
      </c>
      <c r="S1311" t="s">
        <v>29</v>
      </c>
    </row>
    <row r="1312" spans="1:19" x14ac:dyDescent="0.3">
      <c r="A1312" t="s">
        <v>1382</v>
      </c>
      <c r="B1312">
        <v>36</v>
      </c>
      <c r="C1312" t="s">
        <v>19</v>
      </c>
      <c r="D1312" t="s">
        <v>66</v>
      </c>
      <c r="E1312" s="1">
        <v>45523</v>
      </c>
      <c r="F1312" s="3">
        <v>45527</v>
      </c>
      <c r="G1312" t="s">
        <v>41</v>
      </c>
      <c r="H1312" t="s">
        <v>42</v>
      </c>
      <c r="I1312" t="s">
        <v>91</v>
      </c>
      <c r="J1312">
        <v>1704.14</v>
      </c>
      <c r="K1312">
        <v>4</v>
      </c>
      <c r="L1312" t="s">
        <v>24</v>
      </c>
      <c r="M1312" t="s">
        <v>25</v>
      </c>
      <c r="N1312" t="s">
        <v>26</v>
      </c>
      <c r="O1312" t="s">
        <v>56</v>
      </c>
      <c r="P1312" t="s">
        <v>28</v>
      </c>
      <c r="Q1312">
        <v>15</v>
      </c>
      <c r="R1312">
        <v>331.92</v>
      </c>
      <c r="S1312" t="s">
        <v>39</v>
      </c>
    </row>
    <row r="1313" spans="1:19" x14ac:dyDescent="0.3">
      <c r="A1313" t="s">
        <v>1383</v>
      </c>
      <c r="B1313">
        <v>21</v>
      </c>
      <c r="C1313" t="s">
        <v>31</v>
      </c>
      <c r="D1313" t="s">
        <v>20</v>
      </c>
      <c r="E1313" s="1">
        <v>45761</v>
      </c>
      <c r="F1313" s="3">
        <v>45772</v>
      </c>
      <c r="G1313" t="s">
        <v>21</v>
      </c>
      <c r="H1313" t="s">
        <v>22</v>
      </c>
      <c r="I1313" t="s">
        <v>81</v>
      </c>
      <c r="J1313">
        <v>4479.3999999999996</v>
      </c>
      <c r="K1313">
        <v>11</v>
      </c>
      <c r="L1313" t="s">
        <v>36</v>
      </c>
      <c r="M1313" t="s">
        <v>25</v>
      </c>
      <c r="N1313" t="s">
        <v>55</v>
      </c>
      <c r="O1313" t="s">
        <v>27</v>
      </c>
      <c r="P1313" t="s">
        <v>45</v>
      </c>
      <c r="Q1313">
        <v>12</v>
      </c>
      <c r="R1313">
        <v>1692.59</v>
      </c>
      <c r="S1313" t="s">
        <v>29</v>
      </c>
    </row>
    <row r="1314" spans="1:19" x14ac:dyDescent="0.3">
      <c r="A1314" t="s">
        <v>1384</v>
      </c>
      <c r="B1314">
        <v>28</v>
      </c>
      <c r="C1314" t="s">
        <v>19</v>
      </c>
      <c r="D1314" t="s">
        <v>70</v>
      </c>
      <c r="E1314" s="1">
        <v>45340</v>
      </c>
      <c r="F1314" s="3">
        <v>45359</v>
      </c>
      <c r="G1314" t="s">
        <v>71</v>
      </c>
      <c r="H1314" t="s">
        <v>72</v>
      </c>
      <c r="I1314" t="s">
        <v>23</v>
      </c>
      <c r="J1314">
        <v>10358.540000000001</v>
      </c>
      <c r="K1314">
        <v>19</v>
      </c>
      <c r="L1314" t="s">
        <v>36</v>
      </c>
      <c r="M1314" t="s">
        <v>59</v>
      </c>
      <c r="N1314" t="s">
        <v>55</v>
      </c>
      <c r="O1314" t="s">
        <v>27</v>
      </c>
      <c r="P1314" t="s">
        <v>38</v>
      </c>
      <c r="Q1314">
        <v>15</v>
      </c>
      <c r="R1314">
        <v>3348.29</v>
      </c>
      <c r="S1314" t="s">
        <v>29</v>
      </c>
    </row>
    <row r="1315" spans="1:19" x14ac:dyDescent="0.3">
      <c r="A1315" t="s">
        <v>1385</v>
      </c>
      <c r="B1315">
        <v>37</v>
      </c>
      <c r="C1315" t="s">
        <v>19</v>
      </c>
      <c r="D1315" t="s">
        <v>20</v>
      </c>
      <c r="E1315" s="1">
        <v>45423</v>
      </c>
      <c r="F1315" s="3">
        <v>45440</v>
      </c>
      <c r="G1315" t="s">
        <v>21</v>
      </c>
      <c r="H1315" t="s">
        <v>22</v>
      </c>
      <c r="I1315" t="s">
        <v>23</v>
      </c>
      <c r="J1315">
        <v>6920.14</v>
      </c>
      <c r="K1315">
        <v>17</v>
      </c>
      <c r="L1315" t="s">
        <v>36</v>
      </c>
      <c r="M1315" t="s">
        <v>25</v>
      </c>
      <c r="N1315" t="s">
        <v>55</v>
      </c>
      <c r="O1315" t="s">
        <v>56</v>
      </c>
      <c r="P1315" t="s">
        <v>45</v>
      </c>
      <c r="Q1315">
        <v>7</v>
      </c>
      <c r="R1315">
        <v>1642.91</v>
      </c>
      <c r="S1315" t="s">
        <v>29</v>
      </c>
    </row>
    <row r="1316" spans="1:19" x14ac:dyDescent="0.3">
      <c r="A1316" t="s">
        <v>1386</v>
      </c>
      <c r="B1316">
        <v>53</v>
      </c>
      <c r="C1316" t="s">
        <v>31</v>
      </c>
      <c r="D1316" t="s">
        <v>32</v>
      </c>
      <c r="E1316" s="1">
        <v>45255</v>
      </c>
      <c r="F1316" s="3">
        <v>45275</v>
      </c>
      <c r="G1316" t="s">
        <v>67</v>
      </c>
      <c r="H1316" t="s">
        <v>42</v>
      </c>
      <c r="I1316" t="s">
        <v>35</v>
      </c>
      <c r="J1316">
        <v>6632.17</v>
      </c>
      <c r="K1316">
        <v>20</v>
      </c>
      <c r="L1316" t="s">
        <v>24</v>
      </c>
      <c r="M1316" t="s">
        <v>25</v>
      </c>
      <c r="N1316" t="s">
        <v>44</v>
      </c>
      <c r="O1316" t="s">
        <v>37</v>
      </c>
      <c r="P1316" t="s">
        <v>28</v>
      </c>
      <c r="Q1316">
        <v>13</v>
      </c>
      <c r="R1316">
        <v>1583.58</v>
      </c>
      <c r="S1316" t="s">
        <v>29</v>
      </c>
    </row>
    <row r="1317" spans="1:19" x14ac:dyDescent="0.3">
      <c r="A1317" t="s">
        <v>1387</v>
      </c>
      <c r="B1317">
        <v>53</v>
      </c>
      <c r="C1317" t="s">
        <v>19</v>
      </c>
      <c r="D1317" t="s">
        <v>66</v>
      </c>
      <c r="E1317" s="1">
        <v>45034</v>
      </c>
      <c r="F1317" s="3">
        <v>45058</v>
      </c>
      <c r="G1317" t="s">
        <v>52</v>
      </c>
      <c r="H1317" t="s">
        <v>53</v>
      </c>
      <c r="I1317" t="s">
        <v>83</v>
      </c>
      <c r="J1317">
        <v>10729.59</v>
      </c>
      <c r="K1317">
        <v>24</v>
      </c>
      <c r="L1317" t="s">
        <v>36</v>
      </c>
      <c r="M1317" t="s">
        <v>25</v>
      </c>
      <c r="N1317" t="s">
        <v>55</v>
      </c>
      <c r="O1317" t="s">
        <v>49</v>
      </c>
      <c r="P1317" t="s">
        <v>28</v>
      </c>
      <c r="Q1317">
        <v>2</v>
      </c>
      <c r="R1317">
        <v>3876.48</v>
      </c>
      <c r="S1317" t="s">
        <v>29</v>
      </c>
    </row>
    <row r="1318" spans="1:19" x14ac:dyDescent="0.3">
      <c r="A1318" t="s">
        <v>1388</v>
      </c>
      <c r="B1318">
        <v>57</v>
      </c>
      <c r="C1318" t="s">
        <v>19</v>
      </c>
      <c r="D1318" t="s">
        <v>61</v>
      </c>
      <c r="E1318" s="1">
        <v>45885</v>
      </c>
      <c r="F1318" s="3">
        <v>45893</v>
      </c>
      <c r="G1318" t="s">
        <v>33</v>
      </c>
      <c r="H1318" t="s">
        <v>34</v>
      </c>
      <c r="I1318" t="s">
        <v>23</v>
      </c>
      <c r="J1318">
        <v>3726.14</v>
      </c>
      <c r="K1318">
        <v>8</v>
      </c>
      <c r="L1318" t="s">
        <v>24</v>
      </c>
      <c r="M1318" t="s">
        <v>25</v>
      </c>
      <c r="N1318" t="s">
        <v>55</v>
      </c>
      <c r="O1318" t="s">
        <v>56</v>
      </c>
      <c r="P1318" t="s">
        <v>45</v>
      </c>
      <c r="Q1318">
        <v>9</v>
      </c>
      <c r="R1318">
        <v>1373.76</v>
      </c>
      <c r="S1318" t="s">
        <v>29</v>
      </c>
    </row>
    <row r="1319" spans="1:19" x14ac:dyDescent="0.3">
      <c r="A1319" t="s">
        <v>1389</v>
      </c>
      <c r="B1319">
        <v>31</v>
      </c>
      <c r="C1319" t="s">
        <v>31</v>
      </c>
      <c r="D1319" t="s">
        <v>89</v>
      </c>
      <c r="E1319" s="1">
        <v>45436</v>
      </c>
      <c r="F1319" s="3">
        <v>45441</v>
      </c>
      <c r="G1319" t="s">
        <v>74</v>
      </c>
      <c r="H1319" t="s">
        <v>75</v>
      </c>
      <c r="I1319" t="s">
        <v>58</v>
      </c>
      <c r="J1319">
        <v>2086.64</v>
      </c>
      <c r="K1319">
        <v>5</v>
      </c>
      <c r="L1319" t="s">
        <v>36</v>
      </c>
      <c r="M1319" t="s">
        <v>25</v>
      </c>
      <c r="N1319" t="s">
        <v>44</v>
      </c>
      <c r="O1319" t="s">
        <v>56</v>
      </c>
      <c r="P1319" t="s">
        <v>45</v>
      </c>
      <c r="Q1319">
        <v>13</v>
      </c>
      <c r="R1319">
        <v>814.01</v>
      </c>
      <c r="S1319" t="s">
        <v>29</v>
      </c>
    </row>
    <row r="1320" spans="1:19" x14ac:dyDescent="0.3">
      <c r="A1320" t="s">
        <v>1390</v>
      </c>
      <c r="B1320">
        <v>77</v>
      </c>
      <c r="C1320" t="s">
        <v>31</v>
      </c>
      <c r="D1320" t="s">
        <v>32</v>
      </c>
      <c r="E1320" s="1">
        <v>45512</v>
      </c>
      <c r="F1320" s="3">
        <v>45532</v>
      </c>
      <c r="G1320" t="s">
        <v>62</v>
      </c>
      <c r="H1320" t="s">
        <v>63</v>
      </c>
      <c r="I1320" t="s">
        <v>54</v>
      </c>
      <c r="J1320">
        <v>7562.25</v>
      </c>
      <c r="K1320">
        <v>20</v>
      </c>
      <c r="L1320" t="s">
        <v>24</v>
      </c>
      <c r="M1320" t="s">
        <v>59</v>
      </c>
      <c r="N1320" t="s">
        <v>55</v>
      </c>
      <c r="O1320" t="s">
        <v>37</v>
      </c>
      <c r="P1320" t="s">
        <v>38</v>
      </c>
      <c r="Q1320">
        <v>9</v>
      </c>
      <c r="R1320">
        <v>2577.71</v>
      </c>
      <c r="S1320" t="s">
        <v>29</v>
      </c>
    </row>
    <row r="1321" spans="1:19" x14ac:dyDescent="0.3">
      <c r="A1321" t="s">
        <v>1391</v>
      </c>
      <c r="B1321">
        <v>78</v>
      </c>
      <c r="C1321" t="s">
        <v>19</v>
      </c>
      <c r="D1321" t="s">
        <v>89</v>
      </c>
      <c r="E1321" s="1">
        <v>45179</v>
      </c>
      <c r="F1321" s="3">
        <v>45181</v>
      </c>
      <c r="G1321" t="s">
        <v>74</v>
      </c>
      <c r="H1321" t="s">
        <v>75</v>
      </c>
      <c r="I1321" t="s">
        <v>43</v>
      </c>
      <c r="J1321">
        <v>2023.45</v>
      </c>
      <c r="K1321">
        <v>2</v>
      </c>
      <c r="L1321" t="s">
        <v>24</v>
      </c>
      <c r="M1321" t="s">
        <v>25</v>
      </c>
      <c r="N1321" t="s">
        <v>55</v>
      </c>
      <c r="O1321" t="s">
        <v>56</v>
      </c>
      <c r="P1321" t="s">
        <v>38</v>
      </c>
      <c r="Q1321">
        <v>10</v>
      </c>
      <c r="R1321">
        <v>630.71</v>
      </c>
      <c r="S1321" t="s">
        <v>29</v>
      </c>
    </row>
    <row r="1322" spans="1:19" x14ac:dyDescent="0.3">
      <c r="A1322" t="s">
        <v>1392</v>
      </c>
      <c r="B1322">
        <v>23</v>
      </c>
      <c r="C1322" t="s">
        <v>31</v>
      </c>
      <c r="D1322" t="s">
        <v>79</v>
      </c>
      <c r="E1322" s="1">
        <v>45920</v>
      </c>
      <c r="F1322" s="3">
        <v>45938</v>
      </c>
      <c r="G1322" t="s">
        <v>21</v>
      </c>
      <c r="H1322" t="s">
        <v>22</v>
      </c>
      <c r="I1322" t="s">
        <v>35</v>
      </c>
      <c r="J1322">
        <v>9875.66</v>
      </c>
      <c r="K1322">
        <v>18</v>
      </c>
      <c r="L1322" t="s">
        <v>24</v>
      </c>
      <c r="M1322" t="s">
        <v>59</v>
      </c>
      <c r="N1322" t="s">
        <v>26</v>
      </c>
      <c r="O1322" t="s">
        <v>27</v>
      </c>
      <c r="P1322" t="s">
        <v>45</v>
      </c>
      <c r="Q1322">
        <v>5</v>
      </c>
      <c r="R1322">
        <v>2921.53</v>
      </c>
      <c r="S1322" t="s">
        <v>29</v>
      </c>
    </row>
    <row r="1323" spans="1:19" x14ac:dyDescent="0.3">
      <c r="A1323" t="s">
        <v>1393</v>
      </c>
      <c r="B1323">
        <v>31</v>
      </c>
      <c r="C1323" t="s">
        <v>31</v>
      </c>
      <c r="D1323" t="s">
        <v>79</v>
      </c>
      <c r="E1323" s="1">
        <v>44965</v>
      </c>
      <c r="F1323" s="3">
        <v>44989</v>
      </c>
      <c r="G1323" t="s">
        <v>67</v>
      </c>
      <c r="H1323" t="s">
        <v>42</v>
      </c>
      <c r="I1323" t="s">
        <v>23</v>
      </c>
      <c r="J1323">
        <v>19588.29</v>
      </c>
      <c r="K1323">
        <v>24</v>
      </c>
      <c r="L1323" t="s">
        <v>36</v>
      </c>
      <c r="M1323" t="s">
        <v>25</v>
      </c>
      <c r="N1323" t="s">
        <v>55</v>
      </c>
      <c r="O1323" t="s">
        <v>49</v>
      </c>
      <c r="P1323" t="s">
        <v>45</v>
      </c>
      <c r="Q1323">
        <v>11</v>
      </c>
      <c r="R1323">
        <v>3574.66</v>
      </c>
      <c r="S1323" t="s">
        <v>29</v>
      </c>
    </row>
    <row r="1324" spans="1:19" x14ac:dyDescent="0.3">
      <c r="A1324" t="s">
        <v>1394</v>
      </c>
      <c r="B1324">
        <v>18</v>
      </c>
      <c r="C1324" t="s">
        <v>19</v>
      </c>
      <c r="D1324" t="s">
        <v>79</v>
      </c>
      <c r="E1324" s="1">
        <v>44929</v>
      </c>
      <c r="F1324" s="3">
        <v>44939</v>
      </c>
      <c r="G1324" t="s">
        <v>48</v>
      </c>
      <c r="H1324" t="s">
        <v>22</v>
      </c>
      <c r="I1324" t="s">
        <v>43</v>
      </c>
      <c r="J1324">
        <v>4680.95</v>
      </c>
      <c r="K1324">
        <v>10</v>
      </c>
      <c r="L1324" t="s">
        <v>24</v>
      </c>
      <c r="M1324" t="s">
        <v>25</v>
      </c>
      <c r="N1324" t="s">
        <v>26</v>
      </c>
      <c r="O1324" t="s">
        <v>56</v>
      </c>
      <c r="P1324" t="s">
        <v>45</v>
      </c>
      <c r="Q1324">
        <v>7</v>
      </c>
      <c r="R1324">
        <v>774.73</v>
      </c>
      <c r="S1324" t="s">
        <v>29</v>
      </c>
    </row>
    <row r="1325" spans="1:19" x14ac:dyDescent="0.3">
      <c r="A1325" t="s">
        <v>1395</v>
      </c>
      <c r="B1325">
        <v>43</v>
      </c>
      <c r="C1325" t="s">
        <v>19</v>
      </c>
      <c r="D1325" t="s">
        <v>89</v>
      </c>
      <c r="E1325" s="1">
        <v>45088</v>
      </c>
      <c r="F1325" s="3">
        <v>45093</v>
      </c>
      <c r="G1325" t="s">
        <v>21</v>
      </c>
      <c r="H1325" t="s">
        <v>22</v>
      </c>
      <c r="I1325" t="s">
        <v>58</v>
      </c>
      <c r="J1325">
        <v>6338.73</v>
      </c>
      <c r="K1325">
        <v>5</v>
      </c>
      <c r="L1325" t="s">
        <v>36</v>
      </c>
      <c r="M1325" t="s">
        <v>76</v>
      </c>
      <c r="N1325" t="s">
        <v>55</v>
      </c>
      <c r="O1325" t="s">
        <v>37</v>
      </c>
      <c r="P1325" t="s">
        <v>50</v>
      </c>
      <c r="Q1325">
        <v>9</v>
      </c>
      <c r="R1325">
        <v>1009.46</v>
      </c>
      <c r="S1325" t="s">
        <v>39</v>
      </c>
    </row>
    <row r="1326" spans="1:19" x14ac:dyDescent="0.3">
      <c r="A1326" t="s">
        <v>1396</v>
      </c>
      <c r="B1326">
        <v>28</v>
      </c>
      <c r="C1326" t="s">
        <v>31</v>
      </c>
      <c r="D1326" t="s">
        <v>70</v>
      </c>
      <c r="E1326" s="1">
        <v>45637</v>
      </c>
      <c r="F1326" s="3">
        <v>45645</v>
      </c>
      <c r="G1326" t="s">
        <v>21</v>
      </c>
      <c r="H1326" t="s">
        <v>22</v>
      </c>
      <c r="I1326" t="s">
        <v>23</v>
      </c>
      <c r="J1326">
        <v>6644.85</v>
      </c>
      <c r="K1326">
        <v>8</v>
      </c>
      <c r="L1326" t="s">
        <v>36</v>
      </c>
      <c r="M1326" t="s">
        <v>25</v>
      </c>
      <c r="N1326" t="s">
        <v>44</v>
      </c>
      <c r="O1326" t="s">
        <v>56</v>
      </c>
      <c r="P1326" t="s">
        <v>45</v>
      </c>
      <c r="Q1326">
        <v>3</v>
      </c>
      <c r="R1326">
        <v>2107.0100000000002</v>
      </c>
      <c r="S1326" t="s">
        <v>29</v>
      </c>
    </row>
    <row r="1327" spans="1:19" x14ac:dyDescent="0.3">
      <c r="A1327" t="s">
        <v>1397</v>
      </c>
      <c r="B1327">
        <v>63</v>
      </c>
      <c r="C1327" t="s">
        <v>19</v>
      </c>
      <c r="D1327" t="s">
        <v>89</v>
      </c>
      <c r="E1327" s="1">
        <v>45082</v>
      </c>
      <c r="F1327" s="3">
        <v>45084</v>
      </c>
      <c r="G1327" t="s">
        <v>21</v>
      </c>
      <c r="H1327" t="s">
        <v>22</v>
      </c>
      <c r="I1327" t="s">
        <v>91</v>
      </c>
      <c r="J1327">
        <v>2041.32</v>
      </c>
      <c r="K1327">
        <v>2</v>
      </c>
      <c r="L1327" t="s">
        <v>24</v>
      </c>
      <c r="M1327" t="s">
        <v>25</v>
      </c>
      <c r="N1327" t="s">
        <v>26</v>
      </c>
      <c r="O1327" t="s">
        <v>56</v>
      </c>
      <c r="P1327" t="s">
        <v>28</v>
      </c>
      <c r="Q1327">
        <v>4</v>
      </c>
      <c r="R1327">
        <v>576.55999999999995</v>
      </c>
      <c r="S1327" t="s">
        <v>29</v>
      </c>
    </row>
    <row r="1328" spans="1:19" x14ac:dyDescent="0.3">
      <c r="A1328" t="s">
        <v>1398</v>
      </c>
      <c r="B1328">
        <v>64</v>
      </c>
      <c r="C1328" t="s">
        <v>31</v>
      </c>
      <c r="D1328" t="s">
        <v>70</v>
      </c>
      <c r="E1328" s="1">
        <v>45425</v>
      </c>
      <c r="F1328" s="3">
        <v>45438</v>
      </c>
      <c r="G1328" t="s">
        <v>93</v>
      </c>
      <c r="H1328" t="s">
        <v>72</v>
      </c>
      <c r="I1328" t="s">
        <v>35</v>
      </c>
      <c r="J1328">
        <v>2785.35</v>
      </c>
      <c r="K1328">
        <v>13</v>
      </c>
      <c r="L1328" t="s">
        <v>36</v>
      </c>
      <c r="M1328" t="s">
        <v>25</v>
      </c>
      <c r="N1328" t="s">
        <v>26</v>
      </c>
      <c r="O1328" t="s">
        <v>37</v>
      </c>
      <c r="P1328" t="s">
        <v>50</v>
      </c>
      <c r="Q1328">
        <v>4</v>
      </c>
      <c r="R1328">
        <v>646.22</v>
      </c>
      <c r="S1328" t="s">
        <v>29</v>
      </c>
    </row>
    <row r="1329" spans="1:19" x14ac:dyDescent="0.3">
      <c r="A1329" t="s">
        <v>1399</v>
      </c>
      <c r="B1329">
        <v>56</v>
      </c>
      <c r="C1329" t="s">
        <v>19</v>
      </c>
      <c r="D1329" t="s">
        <v>61</v>
      </c>
      <c r="E1329" s="1">
        <v>45083</v>
      </c>
      <c r="F1329" s="3">
        <v>45103</v>
      </c>
      <c r="G1329" t="s">
        <v>74</v>
      </c>
      <c r="H1329" t="s">
        <v>75</v>
      </c>
      <c r="I1329" t="s">
        <v>83</v>
      </c>
      <c r="J1329">
        <v>11811.87</v>
      </c>
      <c r="K1329">
        <v>20</v>
      </c>
      <c r="L1329" t="s">
        <v>36</v>
      </c>
      <c r="M1329" t="s">
        <v>25</v>
      </c>
      <c r="N1329" t="s">
        <v>44</v>
      </c>
      <c r="O1329" t="s">
        <v>37</v>
      </c>
      <c r="P1329" t="s">
        <v>45</v>
      </c>
      <c r="Q1329">
        <v>10</v>
      </c>
      <c r="R1329">
        <v>2835.26</v>
      </c>
      <c r="S1329" t="s">
        <v>29</v>
      </c>
    </row>
    <row r="1330" spans="1:19" x14ac:dyDescent="0.3">
      <c r="A1330" t="s">
        <v>1400</v>
      </c>
      <c r="B1330">
        <v>80</v>
      </c>
      <c r="C1330" t="s">
        <v>19</v>
      </c>
      <c r="D1330" t="s">
        <v>79</v>
      </c>
      <c r="E1330" s="1">
        <v>45514</v>
      </c>
      <c r="F1330" s="3">
        <v>45533</v>
      </c>
      <c r="G1330" t="s">
        <v>71</v>
      </c>
      <c r="H1330" t="s">
        <v>72</v>
      </c>
      <c r="I1330" t="s">
        <v>54</v>
      </c>
      <c r="J1330">
        <v>13376</v>
      </c>
      <c r="K1330">
        <v>19</v>
      </c>
      <c r="L1330" t="s">
        <v>24</v>
      </c>
      <c r="M1330" t="s">
        <v>25</v>
      </c>
      <c r="N1330" t="s">
        <v>44</v>
      </c>
      <c r="O1330" t="s">
        <v>37</v>
      </c>
      <c r="P1330" t="s">
        <v>45</v>
      </c>
      <c r="Q1330">
        <v>6</v>
      </c>
      <c r="R1330">
        <v>3814.1</v>
      </c>
      <c r="S1330" t="s">
        <v>29</v>
      </c>
    </row>
    <row r="1331" spans="1:19" x14ac:dyDescent="0.3">
      <c r="A1331" t="s">
        <v>1401</v>
      </c>
      <c r="B1331">
        <v>31</v>
      </c>
      <c r="C1331" t="s">
        <v>19</v>
      </c>
      <c r="D1331" t="s">
        <v>70</v>
      </c>
      <c r="E1331" s="1">
        <v>45411</v>
      </c>
      <c r="F1331" s="3">
        <v>45424</v>
      </c>
      <c r="G1331" t="s">
        <v>67</v>
      </c>
      <c r="H1331" t="s">
        <v>42</v>
      </c>
      <c r="I1331" t="s">
        <v>54</v>
      </c>
      <c r="J1331">
        <v>2584.84</v>
      </c>
      <c r="K1331">
        <v>13</v>
      </c>
      <c r="L1331" t="s">
        <v>36</v>
      </c>
      <c r="M1331" t="s">
        <v>25</v>
      </c>
      <c r="N1331" t="s">
        <v>44</v>
      </c>
      <c r="O1331" t="s">
        <v>56</v>
      </c>
      <c r="P1331" t="s">
        <v>45</v>
      </c>
      <c r="Q1331">
        <v>5</v>
      </c>
      <c r="R1331">
        <v>950</v>
      </c>
      <c r="S1331" t="s">
        <v>29</v>
      </c>
    </row>
    <row r="1332" spans="1:19" x14ac:dyDescent="0.3">
      <c r="A1332" t="s">
        <v>1402</v>
      </c>
      <c r="B1332">
        <v>40</v>
      </c>
      <c r="C1332" t="s">
        <v>31</v>
      </c>
      <c r="D1332" t="s">
        <v>61</v>
      </c>
      <c r="E1332" s="1">
        <v>45299</v>
      </c>
      <c r="F1332" s="3">
        <v>45316</v>
      </c>
      <c r="G1332" t="s">
        <v>93</v>
      </c>
      <c r="H1332" t="s">
        <v>72</v>
      </c>
      <c r="I1332" t="s">
        <v>83</v>
      </c>
      <c r="J1332">
        <v>12804.72</v>
      </c>
      <c r="K1332">
        <v>17</v>
      </c>
      <c r="L1332" t="s">
        <v>24</v>
      </c>
      <c r="M1332" t="s">
        <v>25</v>
      </c>
      <c r="N1332" t="s">
        <v>44</v>
      </c>
      <c r="O1332" t="s">
        <v>49</v>
      </c>
      <c r="P1332" t="s">
        <v>50</v>
      </c>
      <c r="Q1332">
        <v>15</v>
      </c>
      <c r="R1332">
        <v>4358.13</v>
      </c>
      <c r="S1332" t="s">
        <v>29</v>
      </c>
    </row>
    <row r="1333" spans="1:19" x14ac:dyDescent="0.3">
      <c r="A1333" t="s">
        <v>1403</v>
      </c>
      <c r="B1333">
        <v>73</v>
      </c>
      <c r="C1333" t="s">
        <v>19</v>
      </c>
      <c r="D1333" t="s">
        <v>47</v>
      </c>
      <c r="E1333" s="1">
        <v>45588</v>
      </c>
      <c r="F1333" s="3">
        <v>45604</v>
      </c>
      <c r="G1333" t="s">
        <v>48</v>
      </c>
      <c r="H1333" t="s">
        <v>22</v>
      </c>
      <c r="I1333" t="s">
        <v>43</v>
      </c>
      <c r="J1333">
        <v>12933.98</v>
      </c>
      <c r="K1333">
        <v>16</v>
      </c>
      <c r="L1333" t="s">
        <v>36</v>
      </c>
      <c r="M1333" t="s">
        <v>25</v>
      </c>
      <c r="N1333" t="s">
        <v>26</v>
      </c>
      <c r="O1333" t="s">
        <v>37</v>
      </c>
      <c r="P1333" t="s">
        <v>50</v>
      </c>
      <c r="Q1333">
        <v>12</v>
      </c>
      <c r="R1333">
        <v>3479.16</v>
      </c>
      <c r="S1333" t="s">
        <v>29</v>
      </c>
    </row>
    <row r="1334" spans="1:19" x14ac:dyDescent="0.3">
      <c r="A1334" t="s">
        <v>1404</v>
      </c>
      <c r="B1334">
        <v>46</v>
      </c>
      <c r="C1334" t="s">
        <v>19</v>
      </c>
      <c r="D1334" t="s">
        <v>70</v>
      </c>
      <c r="E1334" s="1">
        <v>45696</v>
      </c>
      <c r="F1334" s="3">
        <v>45706</v>
      </c>
      <c r="G1334" t="s">
        <v>48</v>
      </c>
      <c r="H1334" t="s">
        <v>22</v>
      </c>
      <c r="I1334" t="s">
        <v>91</v>
      </c>
      <c r="J1334">
        <v>5789.46</v>
      </c>
      <c r="K1334">
        <v>10</v>
      </c>
      <c r="L1334" t="s">
        <v>24</v>
      </c>
      <c r="M1334" t="s">
        <v>59</v>
      </c>
      <c r="N1334" t="s">
        <v>44</v>
      </c>
      <c r="O1334" t="s">
        <v>37</v>
      </c>
      <c r="P1334" t="s">
        <v>50</v>
      </c>
      <c r="Q1334">
        <v>12</v>
      </c>
      <c r="R1334">
        <v>1098.08</v>
      </c>
      <c r="S1334" t="s">
        <v>39</v>
      </c>
    </row>
    <row r="1335" spans="1:19" x14ac:dyDescent="0.3">
      <c r="A1335" t="s">
        <v>1405</v>
      </c>
      <c r="B1335">
        <v>90</v>
      </c>
      <c r="C1335" t="s">
        <v>31</v>
      </c>
      <c r="D1335" t="s">
        <v>20</v>
      </c>
      <c r="E1335" s="1">
        <v>45110</v>
      </c>
      <c r="F1335" s="3">
        <v>45132</v>
      </c>
      <c r="G1335" t="s">
        <v>74</v>
      </c>
      <c r="H1335" t="s">
        <v>75</v>
      </c>
      <c r="I1335" t="s">
        <v>83</v>
      </c>
      <c r="J1335">
        <v>15096.15</v>
      </c>
      <c r="K1335">
        <v>22</v>
      </c>
      <c r="L1335" t="s">
        <v>36</v>
      </c>
      <c r="M1335" t="s">
        <v>25</v>
      </c>
      <c r="N1335" t="s">
        <v>26</v>
      </c>
      <c r="O1335" t="s">
        <v>49</v>
      </c>
      <c r="P1335" t="s">
        <v>28</v>
      </c>
      <c r="Q1335">
        <v>2</v>
      </c>
      <c r="R1335">
        <v>3761.54</v>
      </c>
      <c r="S1335" t="s">
        <v>39</v>
      </c>
    </row>
    <row r="1336" spans="1:19" x14ac:dyDescent="0.3">
      <c r="A1336" t="s">
        <v>1406</v>
      </c>
      <c r="B1336">
        <v>72</v>
      </c>
      <c r="C1336" t="s">
        <v>31</v>
      </c>
      <c r="D1336" t="s">
        <v>89</v>
      </c>
      <c r="E1336" s="1">
        <v>45303</v>
      </c>
      <c r="F1336" s="3">
        <v>45310</v>
      </c>
      <c r="G1336" t="s">
        <v>41</v>
      </c>
      <c r="H1336" t="s">
        <v>42</v>
      </c>
      <c r="I1336" t="s">
        <v>58</v>
      </c>
      <c r="J1336">
        <v>3882.23</v>
      </c>
      <c r="K1336">
        <v>7</v>
      </c>
      <c r="L1336" t="s">
        <v>24</v>
      </c>
      <c r="M1336" t="s">
        <v>25</v>
      </c>
      <c r="N1336" t="s">
        <v>55</v>
      </c>
      <c r="O1336" t="s">
        <v>37</v>
      </c>
      <c r="P1336" t="s">
        <v>28</v>
      </c>
      <c r="Q1336">
        <v>12</v>
      </c>
      <c r="R1336">
        <v>1000.01</v>
      </c>
      <c r="S1336" t="s">
        <v>29</v>
      </c>
    </row>
    <row r="1337" spans="1:19" x14ac:dyDescent="0.3">
      <c r="A1337" t="s">
        <v>1407</v>
      </c>
      <c r="B1337">
        <v>32</v>
      </c>
      <c r="C1337" t="s">
        <v>31</v>
      </c>
      <c r="D1337" t="s">
        <v>20</v>
      </c>
      <c r="E1337" s="1">
        <v>45233</v>
      </c>
      <c r="F1337" s="3">
        <v>45240</v>
      </c>
      <c r="G1337" t="s">
        <v>71</v>
      </c>
      <c r="H1337" t="s">
        <v>72</v>
      </c>
      <c r="I1337" t="s">
        <v>58</v>
      </c>
      <c r="J1337">
        <v>6045.38</v>
      </c>
      <c r="K1337">
        <v>7</v>
      </c>
      <c r="L1337" t="s">
        <v>36</v>
      </c>
      <c r="M1337" t="s">
        <v>25</v>
      </c>
      <c r="N1337" t="s">
        <v>55</v>
      </c>
      <c r="O1337" t="s">
        <v>56</v>
      </c>
      <c r="P1337" t="s">
        <v>45</v>
      </c>
      <c r="Q1337">
        <v>5</v>
      </c>
      <c r="R1337">
        <v>2122.56</v>
      </c>
      <c r="S1337" t="s">
        <v>29</v>
      </c>
    </row>
    <row r="1338" spans="1:19" x14ac:dyDescent="0.3">
      <c r="A1338" t="s">
        <v>1408</v>
      </c>
      <c r="B1338">
        <v>53</v>
      </c>
      <c r="C1338" t="s">
        <v>31</v>
      </c>
      <c r="D1338" t="s">
        <v>61</v>
      </c>
      <c r="E1338" s="1">
        <v>45014</v>
      </c>
      <c r="F1338" s="3">
        <v>45021</v>
      </c>
      <c r="G1338" t="s">
        <v>74</v>
      </c>
      <c r="H1338" t="s">
        <v>75</v>
      </c>
      <c r="I1338" t="s">
        <v>58</v>
      </c>
      <c r="J1338">
        <v>2690.77</v>
      </c>
      <c r="K1338">
        <v>7</v>
      </c>
      <c r="L1338" t="s">
        <v>36</v>
      </c>
      <c r="M1338" t="s">
        <v>25</v>
      </c>
      <c r="N1338" t="s">
        <v>26</v>
      </c>
      <c r="O1338" t="s">
        <v>37</v>
      </c>
      <c r="P1338" t="s">
        <v>28</v>
      </c>
      <c r="Q1338">
        <v>6</v>
      </c>
      <c r="R1338">
        <v>972.32</v>
      </c>
      <c r="S1338" t="s">
        <v>29</v>
      </c>
    </row>
    <row r="1339" spans="1:19" x14ac:dyDescent="0.3">
      <c r="A1339" t="s">
        <v>1409</v>
      </c>
      <c r="B1339">
        <v>70</v>
      </c>
      <c r="C1339" t="s">
        <v>31</v>
      </c>
      <c r="D1339" t="s">
        <v>20</v>
      </c>
      <c r="E1339" s="1">
        <v>45347</v>
      </c>
      <c r="F1339" s="3">
        <v>45360</v>
      </c>
      <c r="G1339" t="s">
        <v>93</v>
      </c>
      <c r="H1339" t="s">
        <v>72</v>
      </c>
      <c r="I1339" t="s">
        <v>83</v>
      </c>
      <c r="J1339">
        <v>7258.77</v>
      </c>
      <c r="K1339">
        <v>13</v>
      </c>
      <c r="L1339" t="s">
        <v>24</v>
      </c>
      <c r="M1339" t="s">
        <v>25</v>
      </c>
      <c r="N1339" t="s">
        <v>26</v>
      </c>
      <c r="O1339" t="s">
        <v>27</v>
      </c>
      <c r="P1339" t="s">
        <v>45</v>
      </c>
      <c r="Q1339">
        <v>4</v>
      </c>
      <c r="R1339">
        <v>1105.1199999999999</v>
      </c>
      <c r="S1339" t="s">
        <v>39</v>
      </c>
    </row>
    <row r="1340" spans="1:19" x14ac:dyDescent="0.3">
      <c r="A1340" t="s">
        <v>1410</v>
      </c>
      <c r="B1340">
        <v>67</v>
      </c>
      <c r="C1340" t="s">
        <v>31</v>
      </c>
      <c r="D1340" t="s">
        <v>66</v>
      </c>
      <c r="E1340" s="1">
        <v>45443</v>
      </c>
      <c r="F1340" s="3">
        <v>45458</v>
      </c>
      <c r="G1340" t="s">
        <v>71</v>
      </c>
      <c r="H1340" t="s">
        <v>72</v>
      </c>
      <c r="I1340" t="s">
        <v>81</v>
      </c>
      <c r="J1340">
        <v>7206.69</v>
      </c>
      <c r="K1340">
        <v>15</v>
      </c>
      <c r="L1340" t="s">
        <v>24</v>
      </c>
      <c r="M1340" t="s">
        <v>25</v>
      </c>
      <c r="N1340" t="s">
        <v>55</v>
      </c>
      <c r="O1340" t="s">
        <v>27</v>
      </c>
      <c r="P1340" t="s">
        <v>50</v>
      </c>
      <c r="Q1340">
        <v>3</v>
      </c>
      <c r="R1340">
        <v>1438.87</v>
      </c>
      <c r="S1340" t="s">
        <v>29</v>
      </c>
    </row>
    <row r="1341" spans="1:19" x14ac:dyDescent="0.3">
      <c r="A1341" t="s">
        <v>1411</v>
      </c>
      <c r="B1341">
        <v>30</v>
      </c>
      <c r="C1341" t="s">
        <v>31</v>
      </c>
      <c r="D1341" t="s">
        <v>79</v>
      </c>
      <c r="E1341" s="1">
        <v>45307</v>
      </c>
      <c r="F1341" s="3">
        <v>45310</v>
      </c>
      <c r="G1341" t="s">
        <v>71</v>
      </c>
      <c r="H1341" t="s">
        <v>72</v>
      </c>
      <c r="I1341" t="s">
        <v>43</v>
      </c>
      <c r="J1341">
        <v>1593</v>
      </c>
      <c r="K1341">
        <v>3</v>
      </c>
      <c r="L1341" t="s">
        <v>24</v>
      </c>
      <c r="M1341" t="s">
        <v>25</v>
      </c>
      <c r="N1341" t="s">
        <v>55</v>
      </c>
      <c r="O1341" t="s">
        <v>56</v>
      </c>
      <c r="P1341" t="s">
        <v>45</v>
      </c>
      <c r="Q1341">
        <v>7</v>
      </c>
      <c r="R1341">
        <v>485.45</v>
      </c>
      <c r="S1341" t="s">
        <v>29</v>
      </c>
    </row>
    <row r="1342" spans="1:19" x14ac:dyDescent="0.3">
      <c r="A1342" t="s">
        <v>1412</v>
      </c>
      <c r="B1342">
        <v>20</v>
      </c>
      <c r="C1342" t="s">
        <v>31</v>
      </c>
      <c r="D1342" t="s">
        <v>70</v>
      </c>
      <c r="E1342" s="1">
        <v>45610</v>
      </c>
      <c r="F1342" s="3">
        <v>45623</v>
      </c>
      <c r="G1342" t="s">
        <v>21</v>
      </c>
      <c r="H1342" t="s">
        <v>22</v>
      </c>
      <c r="I1342" t="s">
        <v>81</v>
      </c>
      <c r="J1342">
        <v>4505.41</v>
      </c>
      <c r="K1342">
        <v>13</v>
      </c>
      <c r="L1342" t="s">
        <v>24</v>
      </c>
      <c r="M1342" t="s">
        <v>25</v>
      </c>
      <c r="N1342" t="s">
        <v>44</v>
      </c>
      <c r="O1342" t="s">
        <v>37</v>
      </c>
      <c r="P1342" t="s">
        <v>45</v>
      </c>
      <c r="Q1342">
        <v>3</v>
      </c>
      <c r="R1342">
        <v>749.78</v>
      </c>
      <c r="S1342" t="s">
        <v>29</v>
      </c>
    </row>
    <row r="1343" spans="1:19" x14ac:dyDescent="0.3">
      <c r="A1343" t="s">
        <v>1413</v>
      </c>
      <c r="B1343">
        <v>23</v>
      </c>
      <c r="C1343" t="s">
        <v>19</v>
      </c>
      <c r="D1343" t="s">
        <v>61</v>
      </c>
      <c r="E1343" s="1">
        <v>45829</v>
      </c>
      <c r="F1343" s="3">
        <v>45835</v>
      </c>
      <c r="G1343" t="s">
        <v>74</v>
      </c>
      <c r="H1343" t="s">
        <v>75</v>
      </c>
      <c r="I1343" t="s">
        <v>35</v>
      </c>
      <c r="J1343">
        <v>4279.4799999999996</v>
      </c>
      <c r="K1343">
        <v>6</v>
      </c>
      <c r="L1343" t="s">
        <v>36</v>
      </c>
      <c r="M1343" t="s">
        <v>59</v>
      </c>
      <c r="N1343" t="s">
        <v>55</v>
      </c>
      <c r="O1343" t="s">
        <v>27</v>
      </c>
      <c r="P1343" t="s">
        <v>28</v>
      </c>
      <c r="Q1343">
        <v>5</v>
      </c>
      <c r="R1343">
        <v>766.7</v>
      </c>
      <c r="S1343" t="s">
        <v>29</v>
      </c>
    </row>
    <row r="1344" spans="1:19" x14ac:dyDescent="0.3">
      <c r="A1344" t="s">
        <v>1414</v>
      </c>
      <c r="B1344">
        <v>69</v>
      </c>
      <c r="C1344" t="s">
        <v>31</v>
      </c>
      <c r="D1344" t="s">
        <v>61</v>
      </c>
      <c r="E1344" s="1">
        <v>45219</v>
      </c>
      <c r="F1344" s="3">
        <v>45226</v>
      </c>
      <c r="G1344" t="s">
        <v>33</v>
      </c>
      <c r="H1344" t="s">
        <v>34</v>
      </c>
      <c r="I1344" t="s">
        <v>23</v>
      </c>
      <c r="J1344">
        <v>5404.2</v>
      </c>
      <c r="K1344">
        <v>7</v>
      </c>
      <c r="L1344" t="s">
        <v>24</v>
      </c>
      <c r="M1344" t="s">
        <v>59</v>
      </c>
      <c r="N1344" t="s">
        <v>44</v>
      </c>
      <c r="O1344" t="s">
        <v>27</v>
      </c>
      <c r="P1344" t="s">
        <v>45</v>
      </c>
      <c r="Q1344">
        <v>4</v>
      </c>
      <c r="R1344">
        <v>1178.47</v>
      </c>
      <c r="S1344" t="s">
        <v>29</v>
      </c>
    </row>
    <row r="1345" spans="1:19" x14ac:dyDescent="0.3">
      <c r="A1345" t="s">
        <v>1415</v>
      </c>
      <c r="B1345">
        <v>43</v>
      </c>
      <c r="C1345" t="s">
        <v>19</v>
      </c>
      <c r="D1345" t="s">
        <v>70</v>
      </c>
      <c r="E1345" s="1">
        <v>45127</v>
      </c>
      <c r="F1345" s="3">
        <v>45132</v>
      </c>
      <c r="G1345" t="s">
        <v>74</v>
      </c>
      <c r="H1345" t="s">
        <v>75</v>
      </c>
      <c r="I1345" t="s">
        <v>43</v>
      </c>
      <c r="J1345">
        <v>5334.45</v>
      </c>
      <c r="K1345">
        <v>5</v>
      </c>
      <c r="L1345" t="s">
        <v>36</v>
      </c>
      <c r="M1345" t="s">
        <v>25</v>
      </c>
      <c r="N1345" t="s">
        <v>44</v>
      </c>
      <c r="O1345" t="s">
        <v>27</v>
      </c>
      <c r="P1345" t="s">
        <v>38</v>
      </c>
      <c r="Q1345">
        <v>3</v>
      </c>
      <c r="R1345">
        <v>808.55</v>
      </c>
      <c r="S1345" t="s">
        <v>29</v>
      </c>
    </row>
    <row r="1346" spans="1:19" x14ac:dyDescent="0.3">
      <c r="A1346" t="s">
        <v>1416</v>
      </c>
      <c r="B1346">
        <v>27</v>
      </c>
      <c r="C1346" t="s">
        <v>19</v>
      </c>
      <c r="D1346" t="s">
        <v>47</v>
      </c>
      <c r="E1346" s="1">
        <v>45914</v>
      </c>
      <c r="F1346" s="3">
        <v>45930</v>
      </c>
      <c r="G1346" t="s">
        <v>48</v>
      </c>
      <c r="H1346" t="s">
        <v>22</v>
      </c>
      <c r="I1346" t="s">
        <v>91</v>
      </c>
      <c r="J1346">
        <v>5337.35</v>
      </c>
      <c r="K1346">
        <v>16</v>
      </c>
      <c r="L1346" t="s">
        <v>24</v>
      </c>
      <c r="M1346" t="s">
        <v>25</v>
      </c>
      <c r="N1346" t="s">
        <v>55</v>
      </c>
      <c r="O1346" t="s">
        <v>56</v>
      </c>
      <c r="P1346" t="s">
        <v>28</v>
      </c>
      <c r="Q1346">
        <v>4</v>
      </c>
      <c r="R1346">
        <v>1248.1199999999999</v>
      </c>
      <c r="S1346" t="s">
        <v>29</v>
      </c>
    </row>
    <row r="1347" spans="1:19" x14ac:dyDescent="0.3">
      <c r="A1347" t="s">
        <v>1417</v>
      </c>
      <c r="B1347">
        <v>85</v>
      </c>
      <c r="C1347" t="s">
        <v>19</v>
      </c>
      <c r="D1347" t="s">
        <v>66</v>
      </c>
      <c r="E1347" s="1">
        <v>45857</v>
      </c>
      <c r="F1347" s="3">
        <v>45878</v>
      </c>
      <c r="G1347" t="s">
        <v>74</v>
      </c>
      <c r="H1347" t="s">
        <v>75</v>
      </c>
      <c r="I1347" t="s">
        <v>58</v>
      </c>
      <c r="J1347">
        <v>19398.16</v>
      </c>
      <c r="K1347">
        <v>21</v>
      </c>
      <c r="L1347" t="s">
        <v>36</v>
      </c>
      <c r="M1347" t="s">
        <v>25</v>
      </c>
      <c r="N1347" t="s">
        <v>26</v>
      </c>
      <c r="O1347" t="s">
        <v>49</v>
      </c>
      <c r="P1347" t="s">
        <v>28</v>
      </c>
      <c r="Q1347">
        <v>14</v>
      </c>
      <c r="R1347">
        <v>7186.28</v>
      </c>
      <c r="S1347" t="s">
        <v>39</v>
      </c>
    </row>
    <row r="1348" spans="1:19" x14ac:dyDescent="0.3">
      <c r="A1348" t="s">
        <v>1418</v>
      </c>
      <c r="B1348">
        <v>79</v>
      </c>
      <c r="C1348" t="s">
        <v>19</v>
      </c>
      <c r="D1348" t="s">
        <v>79</v>
      </c>
      <c r="E1348" s="1">
        <v>45637</v>
      </c>
      <c r="F1348" s="3">
        <v>45653</v>
      </c>
      <c r="G1348" t="s">
        <v>62</v>
      </c>
      <c r="H1348" t="s">
        <v>63</v>
      </c>
      <c r="I1348" t="s">
        <v>83</v>
      </c>
      <c r="J1348">
        <v>10175.1</v>
      </c>
      <c r="K1348">
        <v>16</v>
      </c>
      <c r="L1348" t="s">
        <v>24</v>
      </c>
      <c r="M1348" t="s">
        <v>25</v>
      </c>
      <c r="N1348" t="s">
        <v>26</v>
      </c>
      <c r="O1348" t="s">
        <v>27</v>
      </c>
      <c r="P1348" t="s">
        <v>28</v>
      </c>
      <c r="Q1348">
        <v>3</v>
      </c>
      <c r="R1348">
        <v>3727.41</v>
      </c>
      <c r="S1348" t="s">
        <v>29</v>
      </c>
    </row>
    <row r="1349" spans="1:19" x14ac:dyDescent="0.3">
      <c r="A1349" t="s">
        <v>1419</v>
      </c>
      <c r="B1349">
        <v>76</v>
      </c>
      <c r="C1349" t="s">
        <v>19</v>
      </c>
      <c r="D1349" t="s">
        <v>89</v>
      </c>
      <c r="E1349" s="1">
        <v>44927</v>
      </c>
      <c r="F1349" s="3">
        <v>44943</v>
      </c>
      <c r="G1349" t="s">
        <v>33</v>
      </c>
      <c r="H1349" t="s">
        <v>34</v>
      </c>
      <c r="I1349" t="s">
        <v>81</v>
      </c>
      <c r="J1349">
        <v>12289.68</v>
      </c>
      <c r="K1349">
        <v>16</v>
      </c>
      <c r="L1349" t="s">
        <v>24</v>
      </c>
      <c r="M1349" t="s">
        <v>25</v>
      </c>
      <c r="N1349" t="s">
        <v>26</v>
      </c>
      <c r="O1349" t="s">
        <v>37</v>
      </c>
      <c r="P1349" t="s">
        <v>45</v>
      </c>
      <c r="Q1349">
        <v>14</v>
      </c>
      <c r="R1349">
        <v>2029.33</v>
      </c>
      <c r="S1349" t="s">
        <v>29</v>
      </c>
    </row>
    <row r="1350" spans="1:19" x14ac:dyDescent="0.3">
      <c r="A1350" t="s">
        <v>1420</v>
      </c>
      <c r="B1350">
        <v>81</v>
      </c>
      <c r="C1350" t="s">
        <v>19</v>
      </c>
      <c r="D1350" t="s">
        <v>66</v>
      </c>
      <c r="E1350" s="1">
        <v>45304</v>
      </c>
      <c r="F1350" s="3">
        <v>45316</v>
      </c>
      <c r="G1350" t="s">
        <v>67</v>
      </c>
      <c r="H1350" t="s">
        <v>42</v>
      </c>
      <c r="I1350" t="s">
        <v>23</v>
      </c>
      <c r="J1350">
        <v>6396.64</v>
      </c>
      <c r="K1350">
        <v>12</v>
      </c>
      <c r="L1350" t="s">
        <v>36</v>
      </c>
      <c r="M1350" t="s">
        <v>25</v>
      </c>
      <c r="N1350" t="s">
        <v>55</v>
      </c>
      <c r="O1350" t="s">
        <v>27</v>
      </c>
      <c r="P1350" t="s">
        <v>45</v>
      </c>
      <c r="Q1350">
        <v>2</v>
      </c>
      <c r="R1350">
        <v>1512.17</v>
      </c>
      <c r="S1350" t="s">
        <v>29</v>
      </c>
    </row>
    <row r="1351" spans="1:19" x14ac:dyDescent="0.3">
      <c r="A1351" t="s">
        <v>1421</v>
      </c>
      <c r="B1351">
        <v>74</v>
      </c>
      <c r="C1351" t="s">
        <v>31</v>
      </c>
      <c r="D1351" t="s">
        <v>66</v>
      </c>
      <c r="E1351" s="1">
        <v>45009</v>
      </c>
      <c r="F1351" s="3">
        <v>45010</v>
      </c>
      <c r="G1351" t="s">
        <v>67</v>
      </c>
      <c r="H1351" t="s">
        <v>42</v>
      </c>
      <c r="I1351" t="s">
        <v>81</v>
      </c>
      <c r="J1351">
        <v>1035.3900000000001</v>
      </c>
      <c r="K1351">
        <v>1</v>
      </c>
      <c r="L1351" t="s">
        <v>36</v>
      </c>
      <c r="M1351" t="s">
        <v>59</v>
      </c>
      <c r="N1351" t="s">
        <v>26</v>
      </c>
      <c r="O1351" t="s">
        <v>27</v>
      </c>
      <c r="P1351" t="s">
        <v>50</v>
      </c>
      <c r="Q1351">
        <v>1</v>
      </c>
      <c r="R1351">
        <v>355.49</v>
      </c>
      <c r="S1351" t="s">
        <v>29</v>
      </c>
    </row>
    <row r="1352" spans="1:19" x14ac:dyDescent="0.3">
      <c r="A1352" t="s">
        <v>1422</v>
      </c>
      <c r="B1352">
        <v>85</v>
      </c>
      <c r="C1352" t="s">
        <v>31</v>
      </c>
      <c r="D1352" t="s">
        <v>70</v>
      </c>
      <c r="E1352" s="1">
        <v>44958</v>
      </c>
      <c r="F1352" s="3">
        <v>44979</v>
      </c>
      <c r="G1352" t="s">
        <v>41</v>
      </c>
      <c r="H1352" t="s">
        <v>42</v>
      </c>
      <c r="I1352" t="s">
        <v>81</v>
      </c>
      <c r="J1352">
        <v>12881.15</v>
      </c>
      <c r="K1352">
        <v>21</v>
      </c>
      <c r="L1352" t="s">
        <v>24</v>
      </c>
      <c r="M1352" t="s">
        <v>25</v>
      </c>
      <c r="N1352" t="s">
        <v>44</v>
      </c>
      <c r="O1352" t="s">
        <v>49</v>
      </c>
      <c r="P1352" t="s">
        <v>50</v>
      </c>
      <c r="Q1352">
        <v>15</v>
      </c>
      <c r="R1352">
        <v>2804.57</v>
      </c>
      <c r="S1352" t="s">
        <v>29</v>
      </c>
    </row>
    <row r="1353" spans="1:19" x14ac:dyDescent="0.3">
      <c r="A1353" t="s">
        <v>1423</v>
      </c>
      <c r="B1353">
        <v>89</v>
      </c>
      <c r="C1353" t="s">
        <v>19</v>
      </c>
      <c r="D1353" t="s">
        <v>47</v>
      </c>
      <c r="E1353" s="1">
        <v>45545</v>
      </c>
      <c r="F1353" s="3">
        <v>45553</v>
      </c>
      <c r="G1353" t="s">
        <v>33</v>
      </c>
      <c r="H1353" t="s">
        <v>34</v>
      </c>
      <c r="I1353" t="s">
        <v>91</v>
      </c>
      <c r="J1353">
        <v>4975.05</v>
      </c>
      <c r="K1353">
        <v>8</v>
      </c>
      <c r="L1353" t="s">
        <v>24</v>
      </c>
      <c r="M1353" t="s">
        <v>25</v>
      </c>
      <c r="N1353" t="s">
        <v>44</v>
      </c>
      <c r="O1353" t="s">
        <v>56</v>
      </c>
      <c r="P1353" t="s">
        <v>45</v>
      </c>
      <c r="Q1353">
        <v>14</v>
      </c>
      <c r="R1353">
        <v>1114.28</v>
      </c>
      <c r="S1353" t="s">
        <v>29</v>
      </c>
    </row>
    <row r="1354" spans="1:19" x14ac:dyDescent="0.3">
      <c r="A1354" t="s">
        <v>1424</v>
      </c>
      <c r="B1354">
        <v>26</v>
      </c>
      <c r="C1354" t="s">
        <v>19</v>
      </c>
      <c r="D1354" t="s">
        <v>47</v>
      </c>
      <c r="E1354" s="1">
        <v>45405</v>
      </c>
      <c r="F1354" s="3">
        <v>45421</v>
      </c>
      <c r="G1354" t="s">
        <v>33</v>
      </c>
      <c r="H1354" t="s">
        <v>34</v>
      </c>
      <c r="I1354" t="s">
        <v>91</v>
      </c>
      <c r="J1354">
        <v>10792.75</v>
      </c>
      <c r="K1354">
        <v>16</v>
      </c>
      <c r="L1354" t="s">
        <v>36</v>
      </c>
      <c r="M1354" t="s">
        <v>25</v>
      </c>
      <c r="N1354" t="s">
        <v>44</v>
      </c>
      <c r="O1354" t="s">
        <v>37</v>
      </c>
      <c r="P1354" t="s">
        <v>28</v>
      </c>
      <c r="Q1354">
        <v>9</v>
      </c>
      <c r="R1354">
        <v>3243.51</v>
      </c>
      <c r="S1354" t="s">
        <v>29</v>
      </c>
    </row>
    <row r="1355" spans="1:19" x14ac:dyDescent="0.3">
      <c r="A1355" t="s">
        <v>1425</v>
      </c>
      <c r="B1355">
        <v>27</v>
      </c>
      <c r="C1355" t="s">
        <v>31</v>
      </c>
      <c r="D1355" t="s">
        <v>47</v>
      </c>
      <c r="E1355" s="1">
        <v>45596</v>
      </c>
      <c r="F1355" s="3">
        <v>45616</v>
      </c>
      <c r="G1355" t="s">
        <v>52</v>
      </c>
      <c r="H1355" t="s">
        <v>53</v>
      </c>
      <c r="I1355" t="s">
        <v>23</v>
      </c>
      <c r="J1355">
        <v>5776.94</v>
      </c>
      <c r="K1355">
        <v>20</v>
      </c>
      <c r="L1355" t="s">
        <v>24</v>
      </c>
      <c r="M1355" t="s">
        <v>25</v>
      </c>
      <c r="N1355" t="s">
        <v>44</v>
      </c>
      <c r="O1355" t="s">
        <v>27</v>
      </c>
      <c r="P1355" t="s">
        <v>38</v>
      </c>
      <c r="Q1355">
        <v>15</v>
      </c>
      <c r="R1355">
        <v>1841.75</v>
      </c>
      <c r="S1355" t="s">
        <v>29</v>
      </c>
    </row>
    <row r="1356" spans="1:19" x14ac:dyDescent="0.3">
      <c r="A1356" t="s">
        <v>1426</v>
      </c>
      <c r="B1356">
        <v>75</v>
      </c>
      <c r="C1356" t="s">
        <v>19</v>
      </c>
      <c r="D1356" t="s">
        <v>61</v>
      </c>
      <c r="E1356" s="1">
        <v>45595</v>
      </c>
      <c r="F1356" s="3">
        <v>45602</v>
      </c>
      <c r="G1356" t="s">
        <v>62</v>
      </c>
      <c r="H1356" t="s">
        <v>63</v>
      </c>
      <c r="I1356" t="s">
        <v>81</v>
      </c>
      <c r="J1356">
        <v>7082.49</v>
      </c>
      <c r="K1356">
        <v>7</v>
      </c>
      <c r="L1356" t="s">
        <v>36</v>
      </c>
      <c r="M1356" t="s">
        <v>25</v>
      </c>
      <c r="N1356" t="s">
        <v>26</v>
      </c>
      <c r="O1356" t="s">
        <v>49</v>
      </c>
      <c r="P1356" t="s">
        <v>38</v>
      </c>
      <c r="Q1356">
        <v>8</v>
      </c>
      <c r="R1356">
        <v>1897.95</v>
      </c>
      <c r="S1356" t="s">
        <v>39</v>
      </c>
    </row>
    <row r="1357" spans="1:19" x14ac:dyDescent="0.3">
      <c r="A1357" t="s">
        <v>1427</v>
      </c>
      <c r="B1357">
        <v>40</v>
      </c>
      <c r="C1357" t="s">
        <v>31</v>
      </c>
      <c r="D1357" t="s">
        <v>47</v>
      </c>
      <c r="E1357" s="1">
        <v>45402</v>
      </c>
      <c r="F1357" s="3">
        <v>45420</v>
      </c>
      <c r="G1357" t="s">
        <v>52</v>
      </c>
      <c r="H1357" t="s">
        <v>53</v>
      </c>
      <c r="I1357" t="s">
        <v>91</v>
      </c>
      <c r="J1357">
        <v>14017.47</v>
      </c>
      <c r="K1357">
        <v>18</v>
      </c>
      <c r="L1357" t="s">
        <v>36</v>
      </c>
      <c r="M1357" t="s">
        <v>25</v>
      </c>
      <c r="N1357" t="s">
        <v>26</v>
      </c>
      <c r="O1357" t="s">
        <v>37</v>
      </c>
      <c r="P1357" t="s">
        <v>38</v>
      </c>
      <c r="Q1357">
        <v>6</v>
      </c>
      <c r="R1357">
        <v>4899.1899999999996</v>
      </c>
      <c r="S1357" t="s">
        <v>29</v>
      </c>
    </row>
    <row r="1358" spans="1:19" x14ac:dyDescent="0.3">
      <c r="A1358" t="s">
        <v>1428</v>
      </c>
      <c r="B1358">
        <v>75</v>
      </c>
      <c r="C1358" t="s">
        <v>19</v>
      </c>
      <c r="D1358" t="s">
        <v>20</v>
      </c>
      <c r="E1358" s="1">
        <v>45882</v>
      </c>
      <c r="F1358" s="3">
        <v>45886</v>
      </c>
      <c r="G1358" t="s">
        <v>33</v>
      </c>
      <c r="H1358" t="s">
        <v>34</v>
      </c>
      <c r="I1358" t="s">
        <v>35</v>
      </c>
      <c r="J1358">
        <v>2996.12</v>
      </c>
      <c r="K1358">
        <v>4</v>
      </c>
      <c r="L1358" t="s">
        <v>24</v>
      </c>
      <c r="M1358" t="s">
        <v>25</v>
      </c>
      <c r="N1358" t="s">
        <v>44</v>
      </c>
      <c r="O1358" t="s">
        <v>37</v>
      </c>
      <c r="P1358" t="s">
        <v>45</v>
      </c>
      <c r="Q1358">
        <v>1</v>
      </c>
      <c r="R1358">
        <v>652.94000000000005</v>
      </c>
      <c r="S1358" t="s">
        <v>29</v>
      </c>
    </row>
    <row r="1359" spans="1:19" x14ac:dyDescent="0.3">
      <c r="A1359" t="s">
        <v>1429</v>
      </c>
      <c r="B1359">
        <v>88</v>
      </c>
      <c r="C1359" t="s">
        <v>31</v>
      </c>
      <c r="D1359" t="s">
        <v>89</v>
      </c>
      <c r="E1359" s="1">
        <v>45602</v>
      </c>
      <c r="F1359" s="3">
        <v>45619</v>
      </c>
      <c r="G1359" t="s">
        <v>93</v>
      </c>
      <c r="H1359" t="s">
        <v>72</v>
      </c>
      <c r="I1359" t="s">
        <v>83</v>
      </c>
      <c r="J1359">
        <v>9727.52</v>
      </c>
      <c r="K1359">
        <v>17</v>
      </c>
      <c r="L1359" t="s">
        <v>24</v>
      </c>
      <c r="M1359" t="s">
        <v>25</v>
      </c>
      <c r="N1359" t="s">
        <v>55</v>
      </c>
      <c r="O1359" t="s">
        <v>37</v>
      </c>
      <c r="P1359" t="s">
        <v>50</v>
      </c>
      <c r="Q1359">
        <v>13</v>
      </c>
      <c r="R1359">
        <v>1672.74</v>
      </c>
      <c r="S1359" t="s">
        <v>29</v>
      </c>
    </row>
    <row r="1360" spans="1:19" x14ac:dyDescent="0.3">
      <c r="A1360" t="s">
        <v>1430</v>
      </c>
      <c r="B1360">
        <v>72</v>
      </c>
      <c r="C1360" t="s">
        <v>19</v>
      </c>
      <c r="D1360" t="s">
        <v>89</v>
      </c>
      <c r="E1360" s="1">
        <v>45250</v>
      </c>
      <c r="F1360" s="3">
        <v>45262</v>
      </c>
      <c r="G1360" t="s">
        <v>48</v>
      </c>
      <c r="H1360" t="s">
        <v>22</v>
      </c>
      <c r="I1360" t="s">
        <v>35</v>
      </c>
      <c r="J1360">
        <v>5210.1400000000003</v>
      </c>
      <c r="K1360">
        <v>12</v>
      </c>
      <c r="L1360" t="s">
        <v>36</v>
      </c>
      <c r="M1360" t="s">
        <v>25</v>
      </c>
      <c r="N1360" t="s">
        <v>55</v>
      </c>
      <c r="O1360" t="s">
        <v>56</v>
      </c>
      <c r="P1360" t="s">
        <v>38</v>
      </c>
      <c r="Q1360">
        <v>9</v>
      </c>
      <c r="R1360">
        <v>1283.6199999999999</v>
      </c>
      <c r="S1360" t="s">
        <v>29</v>
      </c>
    </row>
    <row r="1361" spans="1:19" x14ac:dyDescent="0.3">
      <c r="A1361" t="s">
        <v>1431</v>
      </c>
      <c r="B1361">
        <v>66</v>
      </c>
      <c r="C1361" t="s">
        <v>19</v>
      </c>
      <c r="D1361" t="s">
        <v>89</v>
      </c>
      <c r="E1361" s="1">
        <v>45368</v>
      </c>
      <c r="F1361" s="3">
        <v>45373</v>
      </c>
      <c r="G1361" t="s">
        <v>33</v>
      </c>
      <c r="H1361" t="s">
        <v>34</v>
      </c>
      <c r="I1361" t="s">
        <v>58</v>
      </c>
      <c r="J1361">
        <v>2976.94</v>
      </c>
      <c r="K1361">
        <v>5</v>
      </c>
      <c r="L1361" t="s">
        <v>36</v>
      </c>
      <c r="M1361" t="s">
        <v>59</v>
      </c>
      <c r="N1361" t="s">
        <v>44</v>
      </c>
      <c r="O1361" t="s">
        <v>56</v>
      </c>
      <c r="P1361" t="s">
        <v>50</v>
      </c>
      <c r="Q1361">
        <v>8</v>
      </c>
      <c r="R1361">
        <v>639.74</v>
      </c>
      <c r="S1361" t="s">
        <v>29</v>
      </c>
    </row>
    <row r="1362" spans="1:19" x14ac:dyDescent="0.3">
      <c r="A1362" t="s">
        <v>1432</v>
      </c>
      <c r="B1362">
        <v>28</v>
      </c>
      <c r="C1362" t="s">
        <v>31</v>
      </c>
      <c r="D1362" t="s">
        <v>20</v>
      </c>
      <c r="E1362" s="1">
        <v>45894</v>
      </c>
      <c r="F1362" s="3">
        <v>45899</v>
      </c>
      <c r="G1362" t="s">
        <v>93</v>
      </c>
      <c r="H1362" t="s">
        <v>72</v>
      </c>
      <c r="I1362" t="s">
        <v>43</v>
      </c>
      <c r="J1362">
        <v>3433.23</v>
      </c>
      <c r="K1362">
        <v>5</v>
      </c>
      <c r="L1362" t="s">
        <v>24</v>
      </c>
      <c r="M1362" t="s">
        <v>25</v>
      </c>
      <c r="N1362" t="s">
        <v>55</v>
      </c>
      <c r="O1362" t="s">
        <v>56</v>
      </c>
      <c r="P1362" t="s">
        <v>45</v>
      </c>
      <c r="Q1362">
        <v>15</v>
      </c>
      <c r="R1362">
        <v>1152.77</v>
      </c>
      <c r="S1362" t="s">
        <v>39</v>
      </c>
    </row>
    <row r="1363" spans="1:19" x14ac:dyDescent="0.3">
      <c r="A1363" t="s">
        <v>1433</v>
      </c>
      <c r="B1363">
        <v>66</v>
      </c>
      <c r="C1363" t="s">
        <v>19</v>
      </c>
      <c r="D1363" t="s">
        <v>61</v>
      </c>
      <c r="E1363" s="1">
        <v>45909</v>
      </c>
      <c r="F1363" s="3">
        <v>45915</v>
      </c>
      <c r="G1363" t="s">
        <v>52</v>
      </c>
      <c r="H1363" t="s">
        <v>53</v>
      </c>
      <c r="I1363" t="s">
        <v>54</v>
      </c>
      <c r="J1363">
        <v>4864.92</v>
      </c>
      <c r="K1363">
        <v>6</v>
      </c>
      <c r="L1363" t="s">
        <v>36</v>
      </c>
      <c r="M1363" t="s">
        <v>25</v>
      </c>
      <c r="N1363" t="s">
        <v>55</v>
      </c>
      <c r="O1363" t="s">
        <v>37</v>
      </c>
      <c r="P1363" t="s">
        <v>45</v>
      </c>
      <c r="Q1363">
        <v>9</v>
      </c>
      <c r="R1363">
        <v>1131.5999999999999</v>
      </c>
      <c r="S1363" t="s">
        <v>29</v>
      </c>
    </row>
    <row r="1364" spans="1:19" x14ac:dyDescent="0.3">
      <c r="A1364" t="s">
        <v>1434</v>
      </c>
      <c r="B1364">
        <v>57</v>
      </c>
      <c r="C1364" t="s">
        <v>31</v>
      </c>
      <c r="D1364" t="s">
        <v>47</v>
      </c>
      <c r="E1364" s="1">
        <v>45864</v>
      </c>
      <c r="F1364" s="3">
        <v>45881</v>
      </c>
      <c r="G1364" t="s">
        <v>21</v>
      </c>
      <c r="H1364" t="s">
        <v>22</v>
      </c>
      <c r="I1364" t="s">
        <v>81</v>
      </c>
      <c r="J1364">
        <v>10754.11</v>
      </c>
      <c r="K1364">
        <v>17</v>
      </c>
      <c r="L1364" t="s">
        <v>24</v>
      </c>
      <c r="M1364" t="s">
        <v>25</v>
      </c>
      <c r="N1364" t="s">
        <v>26</v>
      </c>
      <c r="O1364" t="s">
        <v>37</v>
      </c>
      <c r="P1364" t="s">
        <v>45</v>
      </c>
      <c r="Q1364">
        <v>10</v>
      </c>
      <c r="R1364">
        <v>4007.78</v>
      </c>
      <c r="S1364" t="s">
        <v>29</v>
      </c>
    </row>
    <row r="1365" spans="1:19" x14ac:dyDescent="0.3">
      <c r="A1365" t="s">
        <v>1435</v>
      </c>
      <c r="B1365">
        <v>55</v>
      </c>
      <c r="C1365" t="s">
        <v>19</v>
      </c>
      <c r="D1365" t="s">
        <v>66</v>
      </c>
      <c r="E1365" s="1">
        <v>45744</v>
      </c>
      <c r="F1365" s="3">
        <v>45764</v>
      </c>
      <c r="G1365" t="s">
        <v>67</v>
      </c>
      <c r="H1365" t="s">
        <v>42</v>
      </c>
      <c r="I1365" t="s">
        <v>58</v>
      </c>
      <c r="J1365">
        <v>10632.36</v>
      </c>
      <c r="K1365">
        <v>20</v>
      </c>
      <c r="L1365" t="s">
        <v>36</v>
      </c>
      <c r="M1365" t="s">
        <v>25</v>
      </c>
      <c r="N1365" t="s">
        <v>55</v>
      </c>
      <c r="O1365" t="s">
        <v>49</v>
      </c>
      <c r="P1365" t="s">
        <v>28</v>
      </c>
      <c r="Q1365">
        <v>15</v>
      </c>
      <c r="R1365">
        <v>3002.65</v>
      </c>
      <c r="S1365" t="s">
        <v>29</v>
      </c>
    </row>
    <row r="1366" spans="1:19" x14ac:dyDescent="0.3">
      <c r="A1366" t="s">
        <v>1436</v>
      </c>
      <c r="B1366">
        <v>31</v>
      </c>
      <c r="C1366" t="s">
        <v>19</v>
      </c>
      <c r="D1366" t="s">
        <v>32</v>
      </c>
      <c r="E1366" s="1">
        <v>45822</v>
      </c>
      <c r="F1366" s="3">
        <v>45840</v>
      </c>
      <c r="G1366" t="s">
        <v>21</v>
      </c>
      <c r="H1366" t="s">
        <v>22</v>
      </c>
      <c r="I1366" t="s">
        <v>81</v>
      </c>
      <c r="J1366">
        <v>5848.94</v>
      </c>
      <c r="K1366">
        <v>18</v>
      </c>
      <c r="L1366" t="s">
        <v>24</v>
      </c>
      <c r="M1366" t="s">
        <v>25</v>
      </c>
      <c r="N1366" t="s">
        <v>55</v>
      </c>
      <c r="O1366" t="s">
        <v>27</v>
      </c>
      <c r="P1366" t="s">
        <v>38</v>
      </c>
      <c r="Q1366">
        <v>5</v>
      </c>
      <c r="R1366">
        <v>1273.5</v>
      </c>
      <c r="S1366" t="s">
        <v>29</v>
      </c>
    </row>
    <row r="1367" spans="1:19" x14ac:dyDescent="0.3">
      <c r="A1367" t="s">
        <v>1437</v>
      </c>
      <c r="B1367">
        <v>61</v>
      </c>
      <c r="C1367" t="s">
        <v>19</v>
      </c>
      <c r="D1367" t="s">
        <v>20</v>
      </c>
      <c r="E1367" s="1">
        <v>45027</v>
      </c>
      <c r="F1367" s="3">
        <v>45029</v>
      </c>
      <c r="G1367" t="s">
        <v>74</v>
      </c>
      <c r="H1367" t="s">
        <v>75</v>
      </c>
      <c r="I1367" t="s">
        <v>83</v>
      </c>
      <c r="J1367">
        <v>1206.82</v>
      </c>
      <c r="K1367">
        <v>2</v>
      </c>
      <c r="L1367" t="s">
        <v>24</v>
      </c>
      <c r="M1367" t="s">
        <v>25</v>
      </c>
      <c r="N1367" t="s">
        <v>44</v>
      </c>
      <c r="O1367" t="s">
        <v>27</v>
      </c>
      <c r="P1367" t="s">
        <v>45</v>
      </c>
      <c r="Q1367">
        <v>1</v>
      </c>
      <c r="R1367">
        <v>244.32</v>
      </c>
      <c r="S1367" t="s">
        <v>29</v>
      </c>
    </row>
    <row r="1368" spans="1:19" x14ac:dyDescent="0.3">
      <c r="A1368" t="s">
        <v>1438</v>
      </c>
      <c r="B1368">
        <v>90</v>
      </c>
      <c r="C1368" t="s">
        <v>19</v>
      </c>
      <c r="D1368" t="s">
        <v>32</v>
      </c>
      <c r="E1368" s="1">
        <v>45471</v>
      </c>
      <c r="F1368" s="3">
        <v>45483</v>
      </c>
      <c r="G1368" t="s">
        <v>71</v>
      </c>
      <c r="H1368" t="s">
        <v>72</v>
      </c>
      <c r="I1368" t="s">
        <v>23</v>
      </c>
      <c r="J1368">
        <v>4984.07</v>
      </c>
      <c r="K1368">
        <v>12</v>
      </c>
      <c r="L1368" t="s">
        <v>36</v>
      </c>
      <c r="M1368" t="s">
        <v>25</v>
      </c>
      <c r="N1368" t="s">
        <v>26</v>
      </c>
      <c r="O1368" t="s">
        <v>27</v>
      </c>
      <c r="P1368" t="s">
        <v>38</v>
      </c>
      <c r="Q1368">
        <v>6</v>
      </c>
      <c r="R1368">
        <v>1735.23</v>
      </c>
      <c r="S1368" t="s">
        <v>29</v>
      </c>
    </row>
    <row r="1369" spans="1:19" x14ac:dyDescent="0.3">
      <c r="A1369" t="s">
        <v>1439</v>
      </c>
      <c r="B1369">
        <v>42</v>
      </c>
      <c r="C1369" t="s">
        <v>19</v>
      </c>
      <c r="D1369" t="s">
        <v>89</v>
      </c>
      <c r="E1369" s="1">
        <v>44962</v>
      </c>
      <c r="F1369" s="3">
        <v>44967</v>
      </c>
      <c r="G1369" t="s">
        <v>71</v>
      </c>
      <c r="H1369" t="s">
        <v>72</v>
      </c>
      <c r="I1369" t="s">
        <v>91</v>
      </c>
      <c r="J1369">
        <v>9934.6</v>
      </c>
      <c r="K1369">
        <v>5</v>
      </c>
      <c r="L1369" t="s">
        <v>36</v>
      </c>
      <c r="M1369" t="s">
        <v>25</v>
      </c>
      <c r="N1369" t="s">
        <v>26</v>
      </c>
      <c r="O1369" t="s">
        <v>49</v>
      </c>
      <c r="P1369" t="s">
        <v>38</v>
      </c>
      <c r="Q1369">
        <v>3</v>
      </c>
      <c r="R1369">
        <v>3845.36</v>
      </c>
      <c r="S1369" t="s">
        <v>29</v>
      </c>
    </row>
    <row r="1370" spans="1:19" x14ac:dyDescent="0.3">
      <c r="A1370" t="s">
        <v>1440</v>
      </c>
      <c r="B1370">
        <v>21</v>
      </c>
      <c r="C1370" t="s">
        <v>31</v>
      </c>
      <c r="D1370" t="s">
        <v>32</v>
      </c>
      <c r="E1370" s="1">
        <v>44994</v>
      </c>
      <c r="F1370" s="3">
        <v>45009</v>
      </c>
      <c r="G1370" t="s">
        <v>67</v>
      </c>
      <c r="H1370" t="s">
        <v>42</v>
      </c>
      <c r="I1370" t="s">
        <v>43</v>
      </c>
      <c r="J1370">
        <v>8359.84</v>
      </c>
      <c r="K1370">
        <v>15</v>
      </c>
      <c r="L1370" t="s">
        <v>24</v>
      </c>
      <c r="M1370" t="s">
        <v>25</v>
      </c>
      <c r="N1370" t="s">
        <v>26</v>
      </c>
      <c r="O1370" t="s">
        <v>37</v>
      </c>
      <c r="P1370" t="s">
        <v>38</v>
      </c>
      <c r="Q1370">
        <v>15</v>
      </c>
      <c r="R1370">
        <v>2810.55</v>
      </c>
      <c r="S1370" t="s">
        <v>29</v>
      </c>
    </row>
    <row r="1371" spans="1:19" x14ac:dyDescent="0.3">
      <c r="A1371" t="s">
        <v>1441</v>
      </c>
      <c r="B1371">
        <v>36</v>
      </c>
      <c r="C1371" t="s">
        <v>19</v>
      </c>
      <c r="D1371" t="s">
        <v>61</v>
      </c>
      <c r="E1371" s="1">
        <v>45666</v>
      </c>
      <c r="F1371" s="3">
        <v>45677</v>
      </c>
      <c r="G1371" t="s">
        <v>62</v>
      </c>
      <c r="H1371" t="s">
        <v>63</v>
      </c>
      <c r="I1371" t="s">
        <v>23</v>
      </c>
      <c r="J1371">
        <v>8405.74</v>
      </c>
      <c r="K1371">
        <v>11</v>
      </c>
      <c r="L1371" t="s">
        <v>24</v>
      </c>
      <c r="M1371" t="s">
        <v>101</v>
      </c>
      <c r="N1371" t="s">
        <v>55</v>
      </c>
      <c r="O1371" t="s">
        <v>56</v>
      </c>
      <c r="P1371" t="s">
        <v>45</v>
      </c>
      <c r="Q1371">
        <v>6</v>
      </c>
      <c r="R1371">
        <v>2772.35</v>
      </c>
      <c r="S1371" t="s">
        <v>29</v>
      </c>
    </row>
    <row r="1372" spans="1:19" x14ac:dyDescent="0.3">
      <c r="A1372" t="s">
        <v>1442</v>
      </c>
      <c r="B1372">
        <v>49</v>
      </c>
      <c r="C1372" t="s">
        <v>31</v>
      </c>
      <c r="D1372" t="s">
        <v>89</v>
      </c>
      <c r="E1372" s="1">
        <v>45740</v>
      </c>
      <c r="F1372" s="3">
        <v>45754</v>
      </c>
      <c r="G1372" t="s">
        <v>48</v>
      </c>
      <c r="H1372" t="s">
        <v>22</v>
      </c>
      <c r="I1372" t="s">
        <v>35</v>
      </c>
      <c r="J1372">
        <v>9506.68</v>
      </c>
      <c r="K1372">
        <v>14</v>
      </c>
      <c r="L1372" t="s">
        <v>36</v>
      </c>
      <c r="M1372" t="s">
        <v>25</v>
      </c>
      <c r="N1372" t="s">
        <v>44</v>
      </c>
      <c r="O1372" t="s">
        <v>49</v>
      </c>
      <c r="P1372" t="s">
        <v>45</v>
      </c>
      <c r="Q1372">
        <v>1</v>
      </c>
      <c r="R1372">
        <v>2601.31</v>
      </c>
      <c r="S1372" t="s">
        <v>29</v>
      </c>
    </row>
    <row r="1373" spans="1:19" x14ac:dyDescent="0.3">
      <c r="A1373" t="s">
        <v>1443</v>
      </c>
      <c r="B1373">
        <v>83</v>
      </c>
      <c r="C1373" t="s">
        <v>31</v>
      </c>
      <c r="D1373" t="s">
        <v>20</v>
      </c>
      <c r="E1373" s="1">
        <v>45161</v>
      </c>
      <c r="F1373" s="3">
        <v>45163</v>
      </c>
      <c r="G1373" t="s">
        <v>41</v>
      </c>
      <c r="H1373" t="s">
        <v>42</v>
      </c>
      <c r="I1373" t="s">
        <v>91</v>
      </c>
      <c r="J1373">
        <v>3768.99</v>
      </c>
      <c r="K1373">
        <v>2</v>
      </c>
      <c r="L1373" t="s">
        <v>36</v>
      </c>
      <c r="M1373" t="s">
        <v>25</v>
      </c>
      <c r="N1373" t="s">
        <v>26</v>
      </c>
      <c r="O1373" t="s">
        <v>56</v>
      </c>
      <c r="P1373" t="s">
        <v>50</v>
      </c>
      <c r="Q1373">
        <v>1</v>
      </c>
      <c r="R1373">
        <v>1096.8599999999999</v>
      </c>
      <c r="S1373" t="s">
        <v>29</v>
      </c>
    </row>
    <row r="1374" spans="1:19" x14ac:dyDescent="0.3">
      <c r="A1374" t="s">
        <v>1444</v>
      </c>
      <c r="B1374">
        <v>75</v>
      </c>
      <c r="C1374" t="s">
        <v>31</v>
      </c>
      <c r="D1374" t="s">
        <v>20</v>
      </c>
      <c r="E1374" s="1">
        <v>45640</v>
      </c>
      <c r="F1374" s="3">
        <v>45649</v>
      </c>
      <c r="G1374" t="s">
        <v>74</v>
      </c>
      <c r="H1374" t="s">
        <v>75</v>
      </c>
      <c r="I1374" t="s">
        <v>81</v>
      </c>
      <c r="J1374">
        <v>11723.91</v>
      </c>
      <c r="K1374">
        <v>9</v>
      </c>
      <c r="L1374" t="s">
        <v>36</v>
      </c>
      <c r="M1374" t="s">
        <v>59</v>
      </c>
      <c r="N1374" t="s">
        <v>26</v>
      </c>
      <c r="O1374" t="s">
        <v>49</v>
      </c>
      <c r="P1374" t="s">
        <v>38</v>
      </c>
      <c r="Q1374">
        <v>7</v>
      </c>
      <c r="R1374">
        <v>2566.7399999999998</v>
      </c>
      <c r="S1374" t="s">
        <v>29</v>
      </c>
    </row>
    <row r="1375" spans="1:19" x14ac:dyDescent="0.3">
      <c r="A1375" t="s">
        <v>1445</v>
      </c>
      <c r="B1375">
        <v>23</v>
      </c>
      <c r="C1375" t="s">
        <v>31</v>
      </c>
      <c r="D1375" t="s">
        <v>66</v>
      </c>
      <c r="E1375" s="1">
        <v>45757</v>
      </c>
      <c r="F1375" s="3">
        <v>45775</v>
      </c>
      <c r="G1375" t="s">
        <v>74</v>
      </c>
      <c r="H1375" t="s">
        <v>75</v>
      </c>
      <c r="I1375" t="s">
        <v>81</v>
      </c>
      <c r="J1375">
        <v>5431.5</v>
      </c>
      <c r="K1375">
        <v>18</v>
      </c>
      <c r="L1375" t="s">
        <v>24</v>
      </c>
      <c r="M1375" t="s">
        <v>25</v>
      </c>
      <c r="N1375" t="s">
        <v>44</v>
      </c>
      <c r="O1375" t="s">
        <v>56</v>
      </c>
      <c r="P1375" t="s">
        <v>50</v>
      </c>
      <c r="Q1375">
        <v>13</v>
      </c>
      <c r="R1375">
        <v>1917.66</v>
      </c>
      <c r="S1375" t="s">
        <v>29</v>
      </c>
    </row>
    <row r="1376" spans="1:19" x14ac:dyDescent="0.3">
      <c r="A1376" t="s">
        <v>1446</v>
      </c>
      <c r="B1376">
        <v>19</v>
      </c>
      <c r="C1376" t="s">
        <v>31</v>
      </c>
      <c r="D1376" t="s">
        <v>47</v>
      </c>
      <c r="E1376" s="1">
        <v>45606</v>
      </c>
      <c r="F1376" s="3">
        <v>45634</v>
      </c>
      <c r="G1376" t="s">
        <v>52</v>
      </c>
      <c r="H1376" t="s">
        <v>53</v>
      </c>
      <c r="I1376" t="s">
        <v>43</v>
      </c>
      <c r="J1376">
        <v>24460.6</v>
      </c>
      <c r="K1376">
        <v>28</v>
      </c>
      <c r="L1376" t="s">
        <v>36</v>
      </c>
      <c r="M1376" t="s">
        <v>59</v>
      </c>
      <c r="N1376" t="s">
        <v>44</v>
      </c>
      <c r="O1376" t="s">
        <v>49</v>
      </c>
      <c r="P1376" t="s">
        <v>28</v>
      </c>
      <c r="Q1376">
        <v>6</v>
      </c>
      <c r="R1376">
        <v>7883.51</v>
      </c>
      <c r="S1376" t="s">
        <v>29</v>
      </c>
    </row>
    <row r="1377" spans="1:19" x14ac:dyDescent="0.3">
      <c r="A1377" t="s">
        <v>1447</v>
      </c>
      <c r="B1377">
        <v>53</v>
      </c>
      <c r="C1377" t="s">
        <v>31</v>
      </c>
      <c r="D1377" t="s">
        <v>89</v>
      </c>
      <c r="E1377" s="1">
        <v>45908</v>
      </c>
      <c r="F1377" s="3">
        <v>45918</v>
      </c>
      <c r="G1377" t="s">
        <v>52</v>
      </c>
      <c r="H1377" t="s">
        <v>53</v>
      </c>
      <c r="I1377" t="s">
        <v>83</v>
      </c>
      <c r="J1377">
        <v>11390.06</v>
      </c>
      <c r="K1377">
        <v>10</v>
      </c>
      <c r="L1377" t="s">
        <v>36</v>
      </c>
      <c r="M1377" t="s">
        <v>76</v>
      </c>
      <c r="N1377" t="s">
        <v>44</v>
      </c>
      <c r="O1377" t="s">
        <v>49</v>
      </c>
      <c r="P1377" t="s">
        <v>38</v>
      </c>
      <c r="Q1377">
        <v>12</v>
      </c>
      <c r="R1377">
        <v>3172.7</v>
      </c>
      <c r="S1377" t="s">
        <v>29</v>
      </c>
    </row>
    <row r="1378" spans="1:19" x14ac:dyDescent="0.3">
      <c r="A1378" t="s">
        <v>1448</v>
      </c>
      <c r="B1378">
        <v>32</v>
      </c>
      <c r="C1378" t="s">
        <v>31</v>
      </c>
      <c r="D1378" t="s">
        <v>66</v>
      </c>
      <c r="E1378" s="1">
        <v>45058</v>
      </c>
      <c r="F1378" s="3">
        <v>45071</v>
      </c>
      <c r="G1378" t="s">
        <v>74</v>
      </c>
      <c r="H1378" t="s">
        <v>75</v>
      </c>
      <c r="I1378" t="s">
        <v>43</v>
      </c>
      <c r="J1378">
        <v>8686.19</v>
      </c>
      <c r="K1378">
        <v>13</v>
      </c>
      <c r="L1378" t="s">
        <v>36</v>
      </c>
      <c r="M1378" t="s">
        <v>25</v>
      </c>
      <c r="N1378" t="s">
        <v>26</v>
      </c>
      <c r="O1378" t="s">
        <v>27</v>
      </c>
      <c r="P1378" t="s">
        <v>28</v>
      </c>
      <c r="Q1378">
        <v>15</v>
      </c>
      <c r="R1378">
        <v>1379.19</v>
      </c>
      <c r="S1378" t="s">
        <v>29</v>
      </c>
    </row>
    <row r="1379" spans="1:19" x14ac:dyDescent="0.3">
      <c r="A1379" t="s">
        <v>1449</v>
      </c>
      <c r="B1379">
        <v>62</v>
      </c>
      <c r="C1379" t="s">
        <v>19</v>
      </c>
      <c r="D1379" t="s">
        <v>32</v>
      </c>
      <c r="E1379" s="1">
        <v>45814</v>
      </c>
      <c r="F1379" s="3">
        <v>45816</v>
      </c>
      <c r="G1379" t="s">
        <v>33</v>
      </c>
      <c r="H1379" t="s">
        <v>34</v>
      </c>
      <c r="I1379" t="s">
        <v>91</v>
      </c>
      <c r="J1379">
        <v>3260.49</v>
      </c>
      <c r="K1379">
        <v>2</v>
      </c>
      <c r="L1379" t="s">
        <v>36</v>
      </c>
      <c r="M1379" t="s">
        <v>101</v>
      </c>
      <c r="N1379" t="s">
        <v>55</v>
      </c>
      <c r="O1379" t="s">
        <v>37</v>
      </c>
      <c r="P1379" t="s">
        <v>50</v>
      </c>
      <c r="Q1379">
        <v>8</v>
      </c>
      <c r="R1379">
        <v>1181.45</v>
      </c>
      <c r="S1379" t="s">
        <v>29</v>
      </c>
    </row>
    <row r="1380" spans="1:19" x14ac:dyDescent="0.3">
      <c r="A1380" t="s">
        <v>1450</v>
      </c>
      <c r="B1380">
        <v>27</v>
      </c>
      <c r="C1380" t="s">
        <v>19</v>
      </c>
      <c r="D1380" t="s">
        <v>89</v>
      </c>
      <c r="E1380" s="1">
        <v>45679</v>
      </c>
      <c r="F1380" s="3">
        <v>45694</v>
      </c>
      <c r="G1380" t="s">
        <v>33</v>
      </c>
      <c r="H1380" t="s">
        <v>34</v>
      </c>
      <c r="I1380" t="s">
        <v>91</v>
      </c>
      <c r="J1380">
        <v>6362.81</v>
      </c>
      <c r="K1380">
        <v>15</v>
      </c>
      <c r="L1380" t="s">
        <v>24</v>
      </c>
      <c r="M1380" t="s">
        <v>25</v>
      </c>
      <c r="N1380" t="s">
        <v>26</v>
      </c>
      <c r="O1380" t="s">
        <v>37</v>
      </c>
      <c r="P1380" t="s">
        <v>38</v>
      </c>
      <c r="Q1380">
        <v>7</v>
      </c>
      <c r="R1380">
        <v>1748.54</v>
      </c>
      <c r="S1380" t="s">
        <v>29</v>
      </c>
    </row>
    <row r="1381" spans="1:19" x14ac:dyDescent="0.3">
      <c r="A1381" t="s">
        <v>1451</v>
      </c>
      <c r="B1381">
        <v>28</v>
      </c>
      <c r="C1381" t="s">
        <v>19</v>
      </c>
      <c r="D1381" t="s">
        <v>66</v>
      </c>
      <c r="E1381" s="1">
        <v>45053</v>
      </c>
      <c r="F1381" s="3">
        <v>45067</v>
      </c>
      <c r="G1381" t="s">
        <v>48</v>
      </c>
      <c r="H1381" t="s">
        <v>22</v>
      </c>
      <c r="I1381" t="s">
        <v>91</v>
      </c>
      <c r="J1381">
        <v>3057.3</v>
      </c>
      <c r="K1381">
        <v>14</v>
      </c>
      <c r="L1381" t="s">
        <v>36</v>
      </c>
      <c r="M1381" t="s">
        <v>25</v>
      </c>
      <c r="N1381" t="s">
        <v>55</v>
      </c>
      <c r="O1381" t="s">
        <v>56</v>
      </c>
      <c r="P1381" t="s">
        <v>50</v>
      </c>
      <c r="Q1381">
        <v>7</v>
      </c>
      <c r="R1381">
        <v>558.49</v>
      </c>
      <c r="S1381" t="s">
        <v>29</v>
      </c>
    </row>
    <row r="1382" spans="1:19" x14ac:dyDescent="0.3">
      <c r="A1382" t="s">
        <v>1452</v>
      </c>
      <c r="B1382">
        <v>56</v>
      </c>
      <c r="C1382" t="s">
        <v>31</v>
      </c>
      <c r="D1382" t="s">
        <v>20</v>
      </c>
      <c r="E1382" s="1">
        <v>45385</v>
      </c>
      <c r="F1382" s="3">
        <v>45390</v>
      </c>
      <c r="G1382" t="s">
        <v>41</v>
      </c>
      <c r="H1382" t="s">
        <v>42</v>
      </c>
      <c r="I1382" t="s">
        <v>35</v>
      </c>
      <c r="J1382">
        <v>4112.3999999999996</v>
      </c>
      <c r="K1382">
        <v>5</v>
      </c>
      <c r="L1382" t="s">
        <v>24</v>
      </c>
      <c r="M1382" t="s">
        <v>25</v>
      </c>
      <c r="N1382" t="s">
        <v>26</v>
      </c>
      <c r="O1382" t="s">
        <v>37</v>
      </c>
      <c r="P1382" t="s">
        <v>50</v>
      </c>
      <c r="Q1382">
        <v>11</v>
      </c>
      <c r="R1382">
        <v>1467.71</v>
      </c>
      <c r="S1382" t="s">
        <v>39</v>
      </c>
    </row>
    <row r="1383" spans="1:19" x14ac:dyDescent="0.3">
      <c r="A1383" t="s">
        <v>1453</v>
      </c>
      <c r="B1383">
        <v>75</v>
      </c>
      <c r="C1383" t="s">
        <v>19</v>
      </c>
      <c r="D1383" t="s">
        <v>20</v>
      </c>
      <c r="E1383" s="1">
        <v>45052</v>
      </c>
      <c r="F1383" s="3">
        <v>45054</v>
      </c>
      <c r="G1383" t="s">
        <v>71</v>
      </c>
      <c r="H1383" t="s">
        <v>72</v>
      </c>
      <c r="I1383" t="s">
        <v>91</v>
      </c>
      <c r="J1383">
        <v>1648.83</v>
      </c>
      <c r="K1383">
        <v>2</v>
      </c>
      <c r="L1383" t="s">
        <v>36</v>
      </c>
      <c r="M1383" t="s">
        <v>25</v>
      </c>
      <c r="N1383" t="s">
        <v>55</v>
      </c>
      <c r="O1383" t="s">
        <v>37</v>
      </c>
      <c r="P1383" t="s">
        <v>38</v>
      </c>
      <c r="Q1383">
        <v>5</v>
      </c>
      <c r="R1383">
        <v>644.51</v>
      </c>
      <c r="S1383" t="s">
        <v>29</v>
      </c>
    </row>
    <row r="1384" spans="1:19" x14ac:dyDescent="0.3">
      <c r="A1384" t="s">
        <v>1454</v>
      </c>
      <c r="B1384">
        <v>24</v>
      </c>
      <c r="C1384" t="s">
        <v>19</v>
      </c>
      <c r="D1384" t="s">
        <v>70</v>
      </c>
      <c r="E1384" s="1">
        <v>45623</v>
      </c>
      <c r="F1384" s="3">
        <v>45625</v>
      </c>
      <c r="G1384" t="s">
        <v>74</v>
      </c>
      <c r="H1384" t="s">
        <v>75</v>
      </c>
      <c r="I1384" t="s">
        <v>43</v>
      </c>
      <c r="J1384">
        <v>2375.02</v>
      </c>
      <c r="K1384">
        <v>2</v>
      </c>
      <c r="L1384" t="s">
        <v>24</v>
      </c>
      <c r="M1384" t="s">
        <v>59</v>
      </c>
      <c r="N1384" t="s">
        <v>44</v>
      </c>
      <c r="O1384" t="s">
        <v>56</v>
      </c>
      <c r="P1384" t="s">
        <v>50</v>
      </c>
      <c r="Q1384">
        <v>15</v>
      </c>
      <c r="R1384">
        <v>586.91</v>
      </c>
      <c r="S1384" t="s">
        <v>29</v>
      </c>
    </row>
    <row r="1385" spans="1:19" x14ac:dyDescent="0.3">
      <c r="A1385" t="s">
        <v>1455</v>
      </c>
      <c r="B1385">
        <v>25</v>
      </c>
      <c r="C1385" t="s">
        <v>31</v>
      </c>
      <c r="D1385" t="s">
        <v>32</v>
      </c>
      <c r="E1385" s="1">
        <v>45099</v>
      </c>
      <c r="F1385" s="3">
        <v>45118</v>
      </c>
      <c r="G1385" t="s">
        <v>33</v>
      </c>
      <c r="H1385" t="s">
        <v>34</v>
      </c>
      <c r="I1385" t="s">
        <v>54</v>
      </c>
      <c r="J1385">
        <v>3901.41</v>
      </c>
      <c r="K1385">
        <v>19</v>
      </c>
      <c r="L1385" t="s">
        <v>36</v>
      </c>
      <c r="M1385" t="s">
        <v>25</v>
      </c>
      <c r="N1385" t="s">
        <v>26</v>
      </c>
      <c r="O1385" t="s">
        <v>37</v>
      </c>
      <c r="P1385" t="s">
        <v>50</v>
      </c>
      <c r="Q1385">
        <v>10</v>
      </c>
      <c r="R1385">
        <v>774.25</v>
      </c>
      <c r="S1385" t="s">
        <v>29</v>
      </c>
    </row>
    <row r="1386" spans="1:19" x14ac:dyDescent="0.3">
      <c r="A1386" t="s">
        <v>1456</v>
      </c>
      <c r="B1386">
        <v>31</v>
      </c>
      <c r="C1386" t="s">
        <v>31</v>
      </c>
      <c r="D1386" t="s">
        <v>61</v>
      </c>
      <c r="E1386" s="1">
        <v>45696</v>
      </c>
      <c r="F1386" s="3">
        <v>45711</v>
      </c>
      <c r="G1386" t="s">
        <v>62</v>
      </c>
      <c r="H1386" t="s">
        <v>63</v>
      </c>
      <c r="I1386" t="s">
        <v>35</v>
      </c>
      <c r="J1386">
        <v>9396.57</v>
      </c>
      <c r="K1386">
        <v>15</v>
      </c>
      <c r="L1386" t="s">
        <v>24</v>
      </c>
      <c r="M1386" t="s">
        <v>25</v>
      </c>
      <c r="N1386" t="s">
        <v>26</v>
      </c>
      <c r="O1386" t="s">
        <v>56</v>
      </c>
      <c r="P1386" t="s">
        <v>45</v>
      </c>
      <c r="Q1386">
        <v>3</v>
      </c>
      <c r="R1386">
        <v>2620.89</v>
      </c>
      <c r="S1386" t="s">
        <v>29</v>
      </c>
    </row>
    <row r="1387" spans="1:19" x14ac:dyDescent="0.3">
      <c r="A1387" t="s">
        <v>1457</v>
      </c>
      <c r="B1387">
        <v>26</v>
      </c>
      <c r="C1387" t="s">
        <v>19</v>
      </c>
      <c r="D1387" t="s">
        <v>79</v>
      </c>
      <c r="E1387" s="1">
        <v>45596</v>
      </c>
      <c r="F1387" s="3">
        <v>45600</v>
      </c>
      <c r="G1387" t="s">
        <v>74</v>
      </c>
      <c r="H1387" t="s">
        <v>75</v>
      </c>
      <c r="I1387" t="s">
        <v>43</v>
      </c>
      <c r="J1387">
        <v>1494.29</v>
      </c>
      <c r="K1387">
        <v>4</v>
      </c>
      <c r="L1387" t="s">
        <v>36</v>
      </c>
      <c r="M1387" t="s">
        <v>59</v>
      </c>
      <c r="N1387" t="s">
        <v>26</v>
      </c>
      <c r="O1387" t="s">
        <v>37</v>
      </c>
      <c r="P1387" t="s">
        <v>45</v>
      </c>
      <c r="Q1387">
        <v>5</v>
      </c>
      <c r="R1387">
        <v>308.74</v>
      </c>
      <c r="S1387" t="s">
        <v>29</v>
      </c>
    </row>
    <row r="1388" spans="1:19" x14ac:dyDescent="0.3">
      <c r="A1388" t="s">
        <v>1458</v>
      </c>
      <c r="B1388">
        <v>49</v>
      </c>
      <c r="C1388" t="s">
        <v>31</v>
      </c>
      <c r="D1388" t="s">
        <v>47</v>
      </c>
      <c r="E1388" s="1">
        <v>45831</v>
      </c>
      <c r="F1388" s="3">
        <v>45832</v>
      </c>
      <c r="G1388" t="s">
        <v>52</v>
      </c>
      <c r="H1388" t="s">
        <v>53</v>
      </c>
      <c r="I1388" t="s">
        <v>23</v>
      </c>
      <c r="J1388">
        <v>2052.0500000000002</v>
      </c>
      <c r="K1388">
        <v>1</v>
      </c>
      <c r="L1388" t="s">
        <v>36</v>
      </c>
      <c r="M1388" t="s">
        <v>59</v>
      </c>
      <c r="N1388" t="s">
        <v>26</v>
      </c>
      <c r="O1388" t="s">
        <v>27</v>
      </c>
      <c r="P1388" t="s">
        <v>45</v>
      </c>
      <c r="Q1388">
        <v>11</v>
      </c>
      <c r="R1388">
        <v>438.91</v>
      </c>
      <c r="S1388" t="s">
        <v>29</v>
      </c>
    </row>
    <row r="1389" spans="1:19" x14ac:dyDescent="0.3">
      <c r="A1389" t="s">
        <v>1459</v>
      </c>
      <c r="B1389">
        <v>20</v>
      </c>
      <c r="C1389" t="s">
        <v>19</v>
      </c>
      <c r="D1389" t="s">
        <v>70</v>
      </c>
      <c r="E1389" s="1">
        <v>45521</v>
      </c>
      <c r="F1389" s="3">
        <v>45535</v>
      </c>
      <c r="G1389" t="s">
        <v>48</v>
      </c>
      <c r="H1389" t="s">
        <v>22</v>
      </c>
      <c r="I1389" t="s">
        <v>35</v>
      </c>
      <c r="J1389">
        <v>8990.2099999999991</v>
      </c>
      <c r="K1389">
        <v>14</v>
      </c>
      <c r="L1389" t="s">
        <v>24</v>
      </c>
      <c r="M1389" t="s">
        <v>25</v>
      </c>
      <c r="N1389" t="s">
        <v>26</v>
      </c>
      <c r="O1389" t="s">
        <v>37</v>
      </c>
      <c r="P1389" t="s">
        <v>28</v>
      </c>
      <c r="Q1389">
        <v>10</v>
      </c>
      <c r="R1389">
        <v>3456.01</v>
      </c>
      <c r="S1389" t="s">
        <v>29</v>
      </c>
    </row>
    <row r="1390" spans="1:19" x14ac:dyDescent="0.3">
      <c r="A1390" t="s">
        <v>1460</v>
      </c>
      <c r="B1390">
        <v>52</v>
      </c>
      <c r="C1390" t="s">
        <v>19</v>
      </c>
      <c r="D1390" t="s">
        <v>32</v>
      </c>
      <c r="E1390" s="1">
        <v>45031</v>
      </c>
      <c r="F1390" s="3">
        <v>45037</v>
      </c>
      <c r="G1390" t="s">
        <v>48</v>
      </c>
      <c r="H1390" t="s">
        <v>22</v>
      </c>
      <c r="I1390" t="s">
        <v>43</v>
      </c>
      <c r="J1390">
        <v>3078.26</v>
      </c>
      <c r="K1390">
        <v>6</v>
      </c>
      <c r="L1390" t="s">
        <v>36</v>
      </c>
      <c r="M1390" t="s">
        <v>25</v>
      </c>
      <c r="N1390" t="s">
        <v>55</v>
      </c>
      <c r="O1390" t="s">
        <v>37</v>
      </c>
      <c r="P1390" t="s">
        <v>45</v>
      </c>
      <c r="Q1390">
        <v>9</v>
      </c>
      <c r="R1390">
        <v>1079.69</v>
      </c>
      <c r="S1390" t="s">
        <v>29</v>
      </c>
    </row>
    <row r="1391" spans="1:19" x14ac:dyDescent="0.3">
      <c r="A1391" t="s">
        <v>1461</v>
      </c>
      <c r="B1391">
        <v>49</v>
      </c>
      <c r="C1391" t="s">
        <v>31</v>
      </c>
      <c r="D1391" t="s">
        <v>66</v>
      </c>
      <c r="E1391" s="1">
        <v>45044</v>
      </c>
      <c r="F1391" s="3">
        <v>45060</v>
      </c>
      <c r="G1391" t="s">
        <v>48</v>
      </c>
      <c r="H1391" t="s">
        <v>22</v>
      </c>
      <c r="I1391" t="s">
        <v>83</v>
      </c>
      <c r="J1391">
        <v>10632.53</v>
      </c>
      <c r="K1391">
        <v>16</v>
      </c>
      <c r="L1391" t="s">
        <v>24</v>
      </c>
      <c r="M1391" t="s">
        <v>25</v>
      </c>
      <c r="N1391" t="s">
        <v>55</v>
      </c>
      <c r="O1391" t="s">
        <v>37</v>
      </c>
      <c r="P1391" t="s">
        <v>28</v>
      </c>
      <c r="Q1391">
        <v>1</v>
      </c>
      <c r="R1391">
        <v>3961.04</v>
      </c>
      <c r="S1391" t="s">
        <v>29</v>
      </c>
    </row>
    <row r="1392" spans="1:19" x14ac:dyDescent="0.3">
      <c r="A1392" t="s">
        <v>1462</v>
      </c>
      <c r="B1392">
        <v>51</v>
      </c>
      <c r="C1392" t="s">
        <v>19</v>
      </c>
      <c r="D1392" t="s">
        <v>79</v>
      </c>
      <c r="E1392" s="1">
        <v>45659</v>
      </c>
      <c r="F1392" s="3">
        <v>45666</v>
      </c>
      <c r="G1392" t="s">
        <v>21</v>
      </c>
      <c r="H1392" t="s">
        <v>22</v>
      </c>
      <c r="I1392" t="s">
        <v>54</v>
      </c>
      <c r="J1392">
        <v>4085.78</v>
      </c>
      <c r="K1392">
        <v>7</v>
      </c>
      <c r="L1392" t="s">
        <v>36</v>
      </c>
      <c r="M1392" t="s">
        <v>25</v>
      </c>
      <c r="N1392" t="s">
        <v>44</v>
      </c>
      <c r="O1392" t="s">
        <v>37</v>
      </c>
      <c r="P1392" t="s">
        <v>45</v>
      </c>
      <c r="Q1392">
        <v>8</v>
      </c>
      <c r="R1392">
        <v>1513.2</v>
      </c>
      <c r="S1392" t="s">
        <v>29</v>
      </c>
    </row>
    <row r="1393" spans="1:19" x14ac:dyDescent="0.3">
      <c r="A1393" t="s">
        <v>1463</v>
      </c>
      <c r="B1393">
        <v>80</v>
      </c>
      <c r="C1393" t="s">
        <v>31</v>
      </c>
      <c r="D1393" t="s">
        <v>66</v>
      </c>
      <c r="E1393" s="1">
        <v>45386</v>
      </c>
      <c r="F1393" s="3">
        <v>45390</v>
      </c>
      <c r="G1393" t="s">
        <v>62</v>
      </c>
      <c r="H1393" t="s">
        <v>63</v>
      </c>
      <c r="I1393" t="s">
        <v>23</v>
      </c>
      <c r="J1393">
        <v>1950.2</v>
      </c>
      <c r="K1393">
        <v>4</v>
      </c>
      <c r="L1393" t="s">
        <v>36</v>
      </c>
      <c r="M1393" t="s">
        <v>59</v>
      </c>
      <c r="N1393" t="s">
        <v>55</v>
      </c>
      <c r="O1393" t="s">
        <v>56</v>
      </c>
      <c r="P1393" t="s">
        <v>50</v>
      </c>
      <c r="Q1393">
        <v>1</v>
      </c>
      <c r="R1393">
        <v>773.65</v>
      </c>
      <c r="S1393" t="s">
        <v>29</v>
      </c>
    </row>
    <row r="1394" spans="1:19" x14ac:dyDescent="0.3">
      <c r="A1394" t="s">
        <v>1464</v>
      </c>
      <c r="B1394">
        <v>65</v>
      </c>
      <c r="C1394" t="s">
        <v>19</v>
      </c>
      <c r="D1394" t="s">
        <v>20</v>
      </c>
      <c r="E1394" s="1">
        <v>45408</v>
      </c>
      <c r="F1394" s="3">
        <v>45426</v>
      </c>
      <c r="G1394" t="s">
        <v>93</v>
      </c>
      <c r="H1394" t="s">
        <v>72</v>
      </c>
      <c r="I1394" t="s">
        <v>58</v>
      </c>
      <c r="J1394">
        <v>10733.72</v>
      </c>
      <c r="K1394">
        <v>18</v>
      </c>
      <c r="L1394" t="s">
        <v>36</v>
      </c>
      <c r="M1394" t="s">
        <v>25</v>
      </c>
      <c r="N1394" t="s">
        <v>44</v>
      </c>
      <c r="O1394" t="s">
        <v>27</v>
      </c>
      <c r="P1394" t="s">
        <v>45</v>
      </c>
      <c r="Q1394">
        <v>4</v>
      </c>
      <c r="R1394">
        <v>2500.34</v>
      </c>
      <c r="S1394" t="s">
        <v>29</v>
      </c>
    </row>
    <row r="1395" spans="1:19" x14ac:dyDescent="0.3">
      <c r="A1395" t="s">
        <v>1465</v>
      </c>
      <c r="B1395">
        <v>41</v>
      </c>
      <c r="C1395" t="s">
        <v>19</v>
      </c>
      <c r="D1395" t="s">
        <v>89</v>
      </c>
      <c r="E1395" s="1">
        <v>45395</v>
      </c>
      <c r="F1395" s="3">
        <v>45406</v>
      </c>
      <c r="G1395" t="s">
        <v>93</v>
      </c>
      <c r="H1395" t="s">
        <v>72</v>
      </c>
      <c r="I1395" t="s">
        <v>58</v>
      </c>
      <c r="J1395">
        <v>8207.85</v>
      </c>
      <c r="K1395">
        <v>11</v>
      </c>
      <c r="L1395" t="s">
        <v>36</v>
      </c>
      <c r="M1395" t="s">
        <v>76</v>
      </c>
      <c r="N1395" t="s">
        <v>26</v>
      </c>
      <c r="O1395" t="s">
        <v>49</v>
      </c>
      <c r="P1395" t="s">
        <v>38</v>
      </c>
      <c r="Q1395">
        <v>9</v>
      </c>
      <c r="R1395">
        <v>2393.23</v>
      </c>
      <c r="S1395" t="s">
        <v>29</v>
      </c>
    </row>
    <row r="1396" spans="1:19" x14ac:dyDescent="0.3">
      <c r="A1396" t="s">
        <v>1466</v>
      </c>
      <c r="B1396">
        <v>70</v>
      </c>
      <c r="C1396" t="s">
        <v>31</v>
      </c>
      <c r="D1396" t="s">
        <v>20</v>
      </c>
      <c r="E1396" s="1">
        <v>45759</v>
      </c>
      <c r="F1396" s="3">
        <v>45787</v>
      </c>
      <c r="G1396" t="s">
        <v>52</v>
      </c>
      <c r="H1396" t="s">
        <v>53</v>
      </c>
      <c r="I1396" t="s">
        <v>58</v>
      </c>
      <c r="J1396">
        <v>17453.740000000002</v>
      </c>
      <c r="K1396">
        <v>28</v>
      </c>
      <c r="L1396" t="s">
        <v>24</v>
      </c>
      <c r="M1396" t="s">
        <v>25</v>
      </c>
      <c r="N1396" t="s">
        <v>26</v>
      </c>
      <c r="O1396" t="s">
        <v>49</v>
      </c>
      <c r="P1396" t="s">
        <v>38</v>
      </c>
      <c r="Q1396">
        <v>10</v>
      </c>
      <c r="R1396">
        <v>3219.96</v>
      </c>
      <c r="S1396" t="s">
        <v>29</v>
      </c>
    </row>
    <row r="1397" spans="1:19" x14ac:dyDescent="0.3">
      <c r="A1397" t="s">
        <v>1467</v>
      </c>
      <c r="B1397">
        <v>28</v>
      </c>
      <c r="C1397" t="s">
        <v>31</v>
      </c>
      <c r="D1397" t="s">
        <v>70</v>
      </c>
      <c r="E1397" s="1">
        <v>45862</v>
      </c>
      <c r="F1397" s="3">
        <v>45876</v>
      </c>
      <c r="G1397" t="s">
        <v>21</v>
      </c>
      <c r="H1397" t="s">
        <v>22</v>
      </c>
      <c r="I1397" t="s">
        <v>81</v>
      </c>
      <c r="J1397">
        <v>17199.740000000002</v>
      </c>
      <c r="K1397">
        <v>14</v>
      </c>
      <c r="L1397" t="s">
        <v>36</v>
      </c>
      <c r="M1397" t="s">
        <v>25</v>
      </c>
      <c r="N1397" t="s">
        <v>44</v>
      </c>
      <c r="O1397" t="s">
        <v>49</v>
      </c>
      <c r="P1397" t="s">
        <v>50</v>
      </c>
      <c r="Q1397">
        <v>1</v>
      </c>
      <c r="R1397">
        <v>3513.36</v>
      </c>
      <c r="S1397" t="s">
        <v>29</v>
      </c>
    </row>
    <row r="1398" spans="1:19" x14ac:dyDescent="0.3">
      <c r="A1398" t="s">
        <v>1468</v>
      </c>
      <c r="B1398">
        <v>56</v>
      </c>
      <c r="C1398" t="s">
        <v>19</v>
      </c>
      <c r="D1398" t="s">
        <v>32</v>
      </c>
      <c r="E1398" s="1">
        <v>45784</v>
      </c>
      <c r="F1398" s="3">
        <v>45786</v>
      </c>
      <c r="G1398" t="s">
        <v>62</v>
      </c>
      <c r="H1398" t="s">
        <v>63</v>
      </c>
      <c r="I1398" t="s">
        <v>43</v>
      </c>
      <c r="J1398">
        <v>2048.06</v>
      </c>
      <c r="K1398">
        <v>2</v>
      </c>
      <c r="L1398" t="s">
        <v>24</v>
      </c>
      <c r="M1398" t="s">
        <v>25</v>
      </c>
      <c r="N1398" t="s">
        <v>44</v>
      </c>
      <c r="O1398" t="s">
        <v>56</v>
      </c>
      <c r="P1398" t="s">
        <v>50</v>
      </c>
      <c r="Q1398">
        <v>6</v>
      </c>
      <c r="R1398">
        <v>542.58000000000004</v>
      </c>
      <c r="S1398" t="s">
        <v>29</v>
      </c>
    </row>
    <row r="1399" spans="1:19" x14ac:dyDescent="0.3">
      <c r="A1399" t="s">
        <v>1469</v>
      </c>
      <c r="B1399">
        <v>67</v>
      </c>
      <c r="C1399" t="s">
        <v>31</v>
      </c>
      <c r="D1399" t="s">
        <v>20</v>
      </c>
      <c r="E1399" s="1">
        <v>45243</v>
      </c>
      <c r="F1399" s="3">
        <v>45244</v>
      </c>
      <c r="G1399" t="s">
        <v>21</v>
      </c>
      <c r="H1399" t="s">
        <v>22</v>
      </c>
      <c r="I1399" t="s">
        <v>58</v>
      </c>
      <c r="J1399">
        <v>1220.3</v>
      </c>
      <c r="K1399">
        <v>1</v>
      </c>
      <c r="L1399" t="s">
        <v>24</v>
      </c>
      <c r="M1399" t="s">
        <v>101</v>
      </c>
      <c r="N1399" t="s">
        <v>55</v>
      </c>
      <c r="O1399" t="s">
        <v>56</v>
      </c>
      <c r="P1399" t="s">
        <v>50</v>
      </c>
      <c r="Q1399">
        <v>3</v>
      </c>
      <c r="R1399">
        <v>341.15</v>
      </c>
      <c r="S1399" t="s">
        <v>39</v>
      </c>
    </row>
    <row r="1400" spans="1:19" x14ac:dyDescent="0.3">
      <c r="A1400" t="s">
        <v>1470</v>
      </c>
      <c r="B1400">
        <v>68</v>
      </c>
      <c r="C1400" t="s">
        <v>19</v>
      </c>
      <c r="D1400" t="s">
        <v>61</v>
      </c>
      <c r="E1400" s="1">
        <v>45560</v>
      </c>
      <c r="F1400" s="3">
        <v>45572</v>
      </c>
      <c r="G1400" t="s">
        <v>33</v>
      </c>
      <c r="H1400" t="s">
        <v>34</v>
      </c>
      <c r="I1400" t="s">
        <v>83</v>
      </c>
      <c r="J1400">
        <v>8559.25</v>
      </c>
      <c r="K1400">
        <v>12</v>
      </c>
      <c r="L1400" t="s">
        <v>24</v>
      </c>
      <c r="M1400" t="s">
        <v>25</v>
      </c>
      <c r="N1400" t="s">
        <v>44</v>
      </c>
      <c r="O1400" t="s">
        <v>37</v>
      </c>
      <c r="P1400" t="s">
        <v>38</v>
      </c>
      <c r="Q1400">
        <v>2</v>
      </c>
      <c r="R1400">
        <v>1362.08</v>
      </c>
      <c r="S1400" t="s">
        <v>29</v>
      </c>
    </row>
    <row r="1401" spans="1:19" x14ac:dyDescent="0.3">
      <c r="A1401" t="s">
        <v>1471</v>
      </c>
      <c r="B1401">
        <v>69</v>
      </c>
      <c r="C1401" t="s">
        <v>19</v>
      </c>
      <c r="D1401" t="s">
        <v>66</v>
      </c>
      <c r="E1401" s="1">
        <v>45522</v>
      </c>
      <c r="F1401" s="3">
        <v>45536</v>
      </c>
      <c r="G1401" t="s">
        <v>52</v>
      </c>
      <c r="H1401" t="s">
        <v>53</v>
      </c>
      <c r="I1401" t="s">
        <v>58</v>
      </c>
      <c r="J1401">
        <v>3929.29</v>
      </c>
      <c r="K1401">
        <v>14</v>
      </c>
      <c r="L1401" t="s">
        <v>24</v>
      </c>
      <c r="M1401" t="s">
        <v>59</v>
      </c>
      <c r="N1401" t="s">
        <v>55</v>
      </c>
      <c r="O1401" t="s">
        <v>37</v>
      </c>
      <c r="P1401" t="s">
        <v>38</v>
      </c>
      <c r="Q1401">
        <v>4</v>
      </c>
      <c r="R1401">
        <v>1160.44</v>
      </c>
      <c r="S1401" t="s">
        <v>29</v>
      </c>
    </row>
    <row r="1402" spans="1:19" x14ac:dyDescent="0.3">
      <c r="A1402" t="s">
        <v>1472</v>
      </c>
      <c r="B1402">
        <v>49</v>
      </c>
      <c r="C1402" t="s">
        <v>31</v>
      </c>
      <c r="D1402" t="s">
        <v>66</v>
      </c>
      <c r="E1402" s="1">
        <v>45358</v>
      </c>
      <c r="F1402" s="3">
        <v>45365</v>
      </c>
      <c r="G1402" t="s">
        <v>71</v>
      </c>
      <c r="H1402" t="s">
        <v>72</v>
      </c>
      <c r="I1402" t="s">
        <v>81</v>
      </c>
      <c r="J1402">
        <v>9822.14</v>
      </c>
      <c r="K1402">
        <v>7</v>
      </c>
      <c r="L1402" t="s">
        <v>36</v>
      </c>
      <c r="M1402" t="s">
        <v>25</v>
      </c>
      <c r="N1402" t="s">
        <v>26</v>
      </c>
      <c r="O1402" t="s">
        <v>49</v>
      </c>
      <c r="P1402" t="s">
        <v>50</v>
      </c>
      <c r="Q1402">
        <v>1</v>
      </c>
      <c r="R1402">
        <v>3339.75</v>
      </c>
      <c r="S1402" t="s">
        <v>29</v>
      </c>
    </row>
    <row r="1403" spans="1:19" x14ac:dyDescent="0.3">
      <c r="A1403" t="s">
        <v>1473</v>
      </c>
      <c r="B1403">
        <v>24</v>
      </c>
      <c r="C1403" t="s">
        <v>19</v>
      </c>
      <c r="D1403" t="s">
        <v>89</v>
      </c>
      <c r="E1403" s="1">
        <v>45522</v>
      </c>
      <c r="F1403" s="3">
        <v>45542</v>
      </c>
      <c r="G1403" t="s">
        <v>74</v>
      </c>
      <c r="H1403" t="s">
        <v>75</v>
      </c>
      <c r="I1403" t="s">
        <v>58</v>
      </c>
      <c r="J1403">
        <v>11599.48</v>
      </c>
      <c r="K1403">
        <v>20</v>
      </c>
      <c r="L1403" t="s">
        <v>24</v>
      </c>
      <c r="M1403" t="s">
        <v>25</v>
      </c>
      <c r="N1403" t="s">
        <v>44</v>
      </c>
      <c r="O1403" t="s">
        <v>49</v>
      </c>
      <c r="P1403" t="s">
        <v>28</v>
      </c>
      <c r="Q1403">
        <v>7</v>
      </c>
      <c r="R1403">
        <v>2746.66</v>
      </c>
      <c r="S1403" t="s">
        <v>29</v>
      </c>
    </row>
    <row r="1404" spans="1:19" x14ac:dyDescent="0.3">
      <c r="A1404" t="s">
        <v>1474</v>
      </c>
      <c r="B1404">
        <v>55</v>
      </c>
      <c r="C1404" t="s">
        <v>31</v>
      </c>
      <c r="D1404" t="s">
        <v>32</v>
      </c>
      <c r="E1404" s="1">
        <v>45883</v>
      </c>
      <c r="F1404" s="3">
        <v>45891</v>
      </c>
      <c r="G1404" t="s">
        <v>41</v>
      </c>
      <c r="H1404" t="s">
        <v>42</v>
      </c>
      <c r="I1404" t="s">
        <v>54</v>
      </c>
      <c r="J1404">
        <v>2837.81</v>
      </c>
      <c r="K1404">
        <v>8</v>
      </c>
      <c r="L1404" t="s">
        <v>36</v>
      </c>
      <c r="M1404" t="s">
        <v>25</v>
      </c>
      <c r="N1404" t="s">
        <v>55</v>
      </c>
      <c r="O1404" t="s">
        <v>27</v>
      </c>
      <c r="P1404" t="s">
        <v>45</v>
      </c>
      <c r="Q1404">
        <v>11</v>
      </c>
      <c r="R1404">
        <v>458.07</v>
      </c>
      <c r="S1404" t="s">
        <v>29</v>
      </c>
    </row>
    <row r="1405" spans="1:19" x14ac:dyDescent="0.3">
      <c r="A1405" t="s">
        <v>1475</v>
      </c>
      <c r="B1405">
        <v>39</v>
      </c>
      <c r="C1405" t="s">
        <v>19</v>
      </c>
      <c r="D1405" t="s">
        <v>70</v>
      </c>
      <c r="E1405" s="1">
        <v>45067</v>
      </c>
      <c r="F1405" s="3">
        <v>45068</v>
      </c>
      <c r="G1405" t="s">
        <v>52</v>
      </c>
      <c r="H1405" t="s">
        <v>53</v>
      </c>
      <c r="I1405" t="s">
        <v>83</v>
      </c>
      <c r="J1405">
        <v>3248.26</v>
      </c>
      <c r="K1405">
        <v>1</v>
      </c>
      <c r="L1405" t="s">
        <v>24</v>
      </c>
      <c r="M1405" t="s">
        <v>59</v>
      </c>
      <c r="N1405" t="s">
        <v>55</v>
      </c>
      <c r="O1405" t="s">
        <v>37</v>
      </c>
      <c r="P1405" t="s">
        <v>28</v>
      </c>
      <c r="Q1405">
        <v>11</v>
      </c>
      <c r="R1405">
        <v>1003.5</v>
      </c>
      <c r="S1405" t="s">
        <v>39</v>
      </c>
    </row>
    <row r="1406" spans="1:19" x14ac:dyDescent="0.3">
      <c r="A1406" t="s">
        <v>1476</v>
      </c>
      <c r="B1406">
        <v>62</v>
      </c>
      <c r="C1406" t="s">
        <v>19</v>
      </c>
      <c r="D1406" t="s">
        <v>66</v>
      </c>
      <c r="E1406" s="1">
        <v>45260</v>
      </c>
      <c r="F1406" s="3">
        <v>45265</v>
      </c>
      <c r="G1406" t="s">
        <v>67</v>
      </c>
      <c r="H1406" t="s">
        <v>42</v>
      </c>
      <c r="I1406" t="s">
        <v>83</v>
      </c>
      <c r="J1406">
        <v>7517.45</v>
      </c>
      <c r="K1406">
        <v>5</v>
      </c>
      <c r="L1406" t="s">
        <v>24</v>
      </c>
      <c r="M1406" t="s">
        <v>25</v>
      </c>
      <c r="N1406" t="s">
        <v>44</v>
      </c>
      <c r="O1406" t="s">
        <v>49</v>
      </c>
      <c r="P1406" t="s">
        <v>50</v>
      </c>
      <c r="Q1406">
        <v>10</v>
      </c>
      <c r="R1406">
        <v>2891.01</v>
      </c>
      <c r="S1406" t="s">
        <v>39</v>
      </c>
    </row>
    <row r="1407" spans="1:19" x14ac:dyDescent="0.3">
      <c r="A1407" t="s">
        <v>1477</v>
      </c>
      <c r="B1407">
        <v>35</v>
      </c>
      <c r="C1407" t="s">
        <v>31</v>
      </c>
      <c r="D1407" t="s">
        <v>70</v>
      </c>
      <c r="E1407" s="1">
        <v>45428</v>
      </c>
      <c r="F1407" s="3">
        <v>45434</v>
      </c>
      <c r="G1407" t="s">
        <v>21</v>
      </c>
      <c r="H1407" t="s">
        <v>22</v>
      </c>
      <c r="I1407" t="s">
        <v>83</v>
      </c>
      <c r="J1407">
        <v>3552.83</v>
      </c>
      <c r="K1407">
        <v>6</v>
      </c>
      <c r="L1407" t="s">
        <v>36</v>
      </c>
      <c r="M1407" t="s">
        <v>25</v>
      </c>
      <c r="N1407" t="s">
        <v>44</v>
      </c>
      <c r="O1407" t="s">
        <v>56</v>
      </c>
      <c r="P1407" t="s">
        <v>50</v>
      </c>
      <c r="Q1407">
        <v>9</v>
      </c>
      <c r="R1407">
        <v>994.19</v>
      </c>
      <c r="S1407" t="s">
        <v>29</v>
      </c>
    </row>
    <row r="1408" spans="1:19" x14ac:dyDescent="0.3">
      <c r="A1408" t="s">
        <v>1478</v>
      </c>
      <c r="B1408">
        <v>74</v>
      </c>
      <c r="C1408" t="s">
        <v>31</v>
      </c>
      <c r="D1408" t="s">
        <v>61</v>
      </c>
      <c r="E1408" s="1">
        <v>44984</v>
      </c>
      <c r="F1408" s="3">
        <v>44993</v>
      </c>
      <c r="G1408" t="s">
        <v>67</v>
      </c>
      <c r="H1408" t="s">
        <v>42</v>
      </c>
      <c r="I1408" t="s">
        <v>43</v>
      </c>
      <c r="J1408">
        <v>4129.13</v>
      </c>
      <c r="K1408">
        <v>9</v>
      </c>
      <c r="L1408" t="s">
        <v>36</v>
      </c>
      <c r="M1408" t="s">
        <v>25</v>
      </c>
      <c r="N1408" t="s">
        <v>26</v>
      </c>
      <c r="O1408" t="s">
        <v>56</v>
      </c>
      <c r="P1408" t="s">
        <v>38</v>
      </c>
      <c r="Q1408">
        <v>15</v>
      </c>
      <c r="R1408">
        <v>728.09</v>
      </c>
      <c r="S1408" t="s">
        <v>29</v>
      </c>
    </row>
    <row r="1409" spans="1:19" x14ac:dyDescent="0.3">
      <c r="A1409" t="s">
        <v>1479</v>
      </c>
      <c r="B1409">
        <v>36</v>
      </c>
      <c r="C1409" t="s">
        <v>19</v>
      </c>
      <c r="D1409" t="s">
        <v>89</v>
      </c>
      <c r="E1409" s="1">
        <v>45155</v>
      </c>
      <c r="F1409" s="3">
        <v>45165</v>
      </c>
      <c r="G1409" t="s">
        <v>93</v>
      </c>
      <c r="H1409" t="s">
        <v>72</v>
      </c>
      <c r="I1409" t="s">
        <v>35</v>
      </c>
      <c r="J1409">
        <v>8289.73</v>
      </c>
      <c r="K1409">
        <v>10</v>
      </c>
      <c r="L1409" t="s">
        <v>36</v>
      </c>
      <c r="M1409" t="s">
        <v>25</v>
      </c>
      <c r="N1409" t="s">
        <v>26</v>
      </c>
      <c r="O1409" t="s">
        <v>37</v>
      </c>
      <c r="P1409" t="s">
        <v>50</v>
      </c>
      <c r="Q1409">
        <v>14</v>
      </c>
      <c r="R1409">
        <v>1840.84</v>
      </c>
      <c r="S1409" t="s">
        <v>29</v>
      </c>
    </row>
    <row r="1410" spans="1:19" x14ac:dyDescent="0.3">
      <c r="A1410" t="s">
        <v>1480</v>
      </c>
      <c r="B1410">
        <v>89</v>
      </c>
      <c r="C1410" t="s">
        <v>19</v>
      </c>
      <c r="D1410" t="s">
        <v>47</v>
      </c>
      <c r="E1410" s="1">
        <v>45649</v>
      </c>
      <c r="F1410" s="3">
        <v>45668</v>
      </c>
      <c r="G1410" t="s">
        <v>41</v>
      </c>
      <c r="H1410" t="s">
        <v>42</v>
      </c>
      <c r="I1410" t="s">
        <v>83</v>
      </c>
      <c r="J1410">
        <v>7997.83</v>
      </c>
      <c r="K1410">
        <v>19</v>
      </c>
      <c r="L1410" t="s">
        <v>24</v>
      </c>
      <c r="M1410" t="s">
        <v>101</v>
      </c>
      <c r="N1410" t="s">
        <v>44</v>
      </c>
      <c r="O1410" t="s">
        <v>27</v>
      </c>
      <c r="P1410" t="s">
        <v>50</v>
      </c>
      <c r="Q1410">
        <v>11</v>
      </c>
      <c r="R1410">
        <v>2002.69</v>
      </c>
      <c r="S1410" t="s">
        <v>29</v>
      </c>
    </row>
    <row r="1411" spans="1:19" x14ac:dyDescent="0.3">
      <c r="A1411" t="s">
        <v>1481</v>
      </c>
      <c r="B1411">
        <v>28</v>
      </c>
      <c r="C1411" t="s">
        <v>31</v>
      </c>
      <c r="D1411" t="s">
        <v>79</v>
      </c>
      <c r="E1411" s="1">
        <v>44991</v>
      </c>
      <c r="F1411" s="3">
        <v>45003</v>
      </c>
      <c r="G1411" t="s">
        <v>67</v>
      </c>
      <c r="H1411" t="s">
        <v>42</v>
      </c>
      <c r="I1411" t="s">
        <v>81</v>
      </c>
      <c r="J1411">
        <v>9524.48</v>
      </c>
      <c r="K1411">
        <v>12</v>
      </c>
      <c r="L1411" t="s">
        <v>24</v>
      </c>
      <c r="M1411" t="s">
        <v>25</v>
      </c>
      <c r="N1411" t="s">
        <v>44</v>
      </c>
      <c r="O1411" t="s">
        <v>27</v>
      </c>
      <c r="P1411" t="s">
        <v>45</v>
      </c>
      <c r="Q1411">
        <v>3</v>
      </c>
      <c r="R1411">
        <v>1532.14</v>
      </c>
      <c r="S1411" t="s">
        <v>29</v>
      </c>
    </row>
    <row r="1412" spans="1:19" x14ac:dyDescent="0.3">
      <c r="A1412" t="s">
        <v>1482</v>
      </c>
      <c r="B1412">
        <v>47</v>
      </c>
      <c r="C1412" t="s">
        <v>31</v>
      </c>
      <c r="D1412" t="s">
        <v>89</v>
      </c>
      <c r="E1412" s="1">
        <v>45208</v>
      </c>
      <c r="F1412" s="3">
        <v>45225</v>
      </c>
      <c r="G1412" t="s">
        <v>33</v>
      </c>
      <c r="H1412" t="s">
        <v>34</v>
      </c>
      <c r="I1412" t="s">
        <v>54</v>
      </c>
      <c r="J1412">
        <v>7481.32</v>
      </c>
      <c r="K1412">
        <v>17</v>
      </c>
      <c r="L1412" t="s">
        <v>36</v>
      </c>
      <c r="M1412" t="s">
        <v>25</v>
      </c>
      <c r="N1412" t="s">
        <v>26</v>
      </c>
      <c r="O1412" t="s">
        <v>37</v>
      </c>
      <c r="P1412" t="s">
        <v>28</v>
      </c>
      <c r="Q1412">
        <v>7</v>
      </c>
      <c r="R1412">
        <v>2220.98</v>
      </c>
      <c r="S1412" t="s">
        <v>29</v>
      </c>
    </row>
    <row r="1413" spans="1:19" x14ac:dyDescent="0.3">
      <c r="A1413" t="s">
        <v>1483</v>
      </c>
      <c r="B1413">
        <v>37</v>
      </c>
      <c r="C1413" t="s">
        <v>19</v>
      </c>
      <c r="D1413" t="s">
        <v>89</v>
      </c>
      <c r="E1413" s="1">
        <v>45350</v>
      </c>
      <c r="F1413" s="3">
        <v>45361</v>
      </c>
      <c r="G1413" t="s">
        <v>67</v>
      </c>
      <c r="H1413" t="s">
        <v>42</v>
      </c>
      <c r="I1413" t="s">
        <v>83</v>
      </c>
      <c r="J1413">
        <v>8337.6299999999992</v>
      </c>
      <c r="K1413">
        <v>11</v>
      </c>
      <c r="L1413" t="s">
        <v>36</v>
      </c>
      <c r="M1413" t="s">
        <v>25</v>
      </c>
      <c r="N1413" t="s">
        <v>26</v>
      </c>
      <c r="O1413" t="s">
        <v>37</v>
      </c>
      <c r="P1413" t="s">
        <v>38</v>
      </c>
      <c r="Q1413">
        <v>15</v>
      </c>
      <c r="R1413">
        <v>2193.4899999999998</v>
      </c>
      <c r="S1413" t="s">
        <v>29</v>
      </c>
    </row>
    <row r="1414" spans="1:19" x14ac:dyDescent="0.3">
      <c r="A1414" t="s">
        <v>1484</v>
      </c>
      <c r="B1414">
        <v>53</v>
      </c>
      <c r="C1414" t="s">
        <v>31</v>
      </c>
      <c r="D1414" t="s">
        <v>79</v>
      </c>
      <c r="E1414" s="1">
        <v>45716</v>
      </c>
      <c r="F1414" s="3">
        <v>45724</v>
      </c>
      <c r="G1414" t="s">
        <v>52</v>
      </c>
      <c r="H1414" t="s">
        <v>53</v>
      </c>
      <c r="I1414" t="s">
        <v>58</v>
      </c>
      <c r="J1414">
        <v>5255.09</v>
      </c>
      <c r="K1414">
        <v>8</v>
      </c>
      <c r="L1414" t="s">
        <v>24</v>
      </c>
      <c r="M1414" t="s">
        <v>25</v>
      </c>
      <c r="N1414" t="s">
        <v>44</v>
      </c>
      <c r="O1414" t="s">
        <v>56</v>
      </c>
      <c r="P1414" t="s">
        <v>45</v>
      </c>
      <c r="Q1414">
        <v>1</v>
      </c>
      <c r="R1414">
        <v>1182.02</v>
      </c>
      <c r="S1414" t="s">
        <v>29</v>
      </c>
    </row>
    <row r="1415" spans="1:19" x14ac:dyDescent="0.3">
      <c r="A1415" t="s">
        <v>1485</v>
      </c>
      <c r="B1415">
        <v>78</v>
      </c>
      <c r="C1415" t="s">
        <v>19</v>
      </c>
      <c r="D1415" t="s">
        <v>66</v>
      </c>
      <c r="E1415" s="1">
        <v>45642</v>
      </c>
      <c r="F1415" s="3">
        <v>45657</v>
      </c>
      <c r="G1415" t="s">
        <v>48</v>
      </c>
      <c r="H1415" t="s">
        <v>22</v>
      </c>
      <c r="I1415" t="s">
        <v>35</v>
      </c>
      <c r="J1415">
        <v>6709.38</v>
      </c>
      <c r="K1415">
        <v>15</v>
      </c>
      <c r="L1415" t="s">
        <v>36</v>
      </c>
      <c r="M1415" t="s">
        <v>25</v>
      </c>
      <c r="N1415" t="s">
        <v>55</v>
      </c>
      <c r="O1415" t="s">
        <v>56</v>
      </c>
      <c r="P1415" t="s">
        <v>45</v>
      </c>
      <c r="Q1415">
        <v>14</v>
      </c>
      <c r="R1415">
        <v>2378.81</v>
      </c>
      <c r="S1415" t="s">
        <v>29</v>
      </c>
    </row>
    <row r="1416" spans="1:19" x14ac:dyDescent="0.3">
      <c r="A1416" t="s">
        <v>1486</v>
      </c>
      <c r="B1416">
        <v>75</v>
      </c>
      <c r="C1416" t="s">
        <v>19</v>
      </c>
      <c r="D1416" t="s">
        <v>47</v>
      </c>
      <c r="E1416" s="1">
        <v>45641</v>
      </c>
      <c r="F1416" s="3">
        <v>45650</v>
      </c>
      <c r="G1416" t="s">
        <v>48</v>
      </c>
      <c r="H1416" t="s">
        <v>22</v>
      </c>
      <c r="I1416" t="s">
        <v>81</v>
      </c>
      <c r="J1416">
        <v>3632.75</v>
      </c>
      <c r="K1416">
        <v>9</v>
      </c>
      <c r="L1416" t="s">
        <v>36</v>
      </c>
      <c r="M1416" t="s">
        <v>25</v>
      </c>
      <c r="N1416" t="s">
        <v>44</v>
      </c>
      <c r="O1416" t="s">
        <v>56</v>
      </c>
      <c r="P1416" t="s">
        <v>28</v>
      </c>
      <c r="Q1416">
        <v>11</v>
      </c>
      <c r="R1416">
        <v>1104.52</v>
      </c>
      <c r="S1416" t="s">
        <v>29</v>
      </c>
    </row>
    <row r="1417" spans="1:19" x14ac:dyDescent="0.3">
      <c r="A1417" t="s">
        <v>1487</v>
      </c>
      <c r="B1417">
        <v>43</v>
      </c>
      <c r="C1417" t="s">
        <v>19</v>
      </c>
      <c r="D1417" t="s">
        <v>47</v>
      </c>
      <c r="E1417" s="1">
        <v>45591</v>
      </c>
      <c r="F1417" s="3">
        <v>45598</v>
      </c>
      <c r="G1417" t="s">
        <v>74</v>
      </c>
      <c r="H1417" t="s">
        <v>75</v>
      </c>
      <c r="I1417" t="s">
        <v>81</v>
      </c>
      <c r="J1417">
        <v>4348.95</v>
      </c>
      <c r="K1417">
        <v>7</v>
      </c>
      <c r="L1417" t="s">
        <v>36</v>
      </c>
      <c r="M1417" t="s">
        <v>25</v>
      </c>
      <c r="N1417" t="s">
        <v>55</v>
      </c>
      <c r="O1417" t="s">
        <v>37</v>
      </c>
      <c r="P1417" t="s">
        <v>45</v>
      </c>
      <c r="Q1417">
        <v>14</v>
      </c>
      <c r="R1417">
        <v>1117.06</v>
      </c>
      <c r="S1417" t="s">
        <v>29</v>
      </c>
    </row>
    <row r="1418" spans="1:19" x14ac:dyDescent="0.3">
      <c r="A1418" t="s">
        <v>1488</v>
      </c>
      <c r="B1418">
        <v>60</v>
      </c>
      <c r="C1418" t="s">
        <v>19</v>
      </c>
      <c r="D1418" t="s">
        <v>89</v>
      </c>
      <c r="E1418" s="1">
        <v>45059</v>
      </c>
      <c r="F1418" s="3">
        <v>45072</v>
      </c>
      <c r="G1418" t="s">
        <v>21</v>
      </c>
      <c r="H1418" t="s">
        <v>22</v>
      </c>
      <c r="I1418" t="s">
        <v>58</v>
      </c>
      <c r="J1418">
        <v>3924.8</v>
      </c>
      <c r="K1418">
        <v>13</v>
      </c>
      <c r="L1418" t="s">
        <v>24</v>
      </c>
      <c r="M1418" t="s">
        <v>25</v>
      </c>
      <c r="N1418" t="s">
        <v>26</v>
      </c>
      <c r="O1418" t="s">
        <v>37</v>
      </c>
      <c r="P1418" t="s">
        <v>38</v>
      </c>
      <c r="Q1418">
        <v>9</v>
      </c>
      <c r="R1418">
        <v>1468.44</v>
      </c>
      <c r="S1418" t="s">
        <v>29</v>
      </c>
    </row>
    <row r="1419" spans="1:19" x14ac:dyDescent="0.3">
      <c r="A1419" t="s">
        <v>1489</v>
      </c>
      <c r="B1419">
        <v>73</v>
      </c>
      <c r="C1419" t="s">
        <v>19</v>
      </c>
      <c r="D1419" t="s">
        <v>79</v>
      </c>
      <c r="E1419" s="1">
        <v>45325</v>
      </c>
      <c r="F1419" s="3">
        <v>45329</v>
      </c>
      <c r="G1419" t="s">
        <v>93</v>
      </c>
      <c r="H1419" t="s">
        <v>72</v>
      </c>
      <c r="I1419" t="s">
        <v>23</v>
      </c>
      <c r="J1419">
        <v>3808.09</v>
      </c>
      <c r="K1419">
        <v>4</v>
      </c>
      <c r="L1419" t="s">
        <v>36</v>
      </c>
      <c r="M1419" t="s">
        <v>25</v>
      </c>
      <c r="N1419" t="s">
        <v>55</v>
      </c>
      <c r="O1419" t="s">
        <v>56</v>
      </c>
      <c r="P1419" t="s">
        <v>28</v>
      </c>
      <c r="Q1419">
        <v>13</v>
      </c>
      <c r="R1419">
        <v>1196.32</v>
      </c>
      <c r="S1419" t="s">
        <v>29</v>
      </c>
    </row>
    <row r="1420" spans="1:19" x14ac:dyDescent="0.3">
      <c r="A1420" t="s">
        <v>1490</v>
      </c>
      <c r="B1420">
        <v>50</v>
      </c>
      <c r="C1420" t="s">
        <v>31</v>
      </c>
      <c r="D1420" t="s">
        <v>79</v>
      </c>
      <c r="E1420" s="1">
        <v>45280</v>
      </c>
      <c r="F1420" s="3">
        <v>45281</v>
      </c>
      <c r="G1420" t="s">
        <v>67</v>
      </c>
      <c r="H1420" t="s">
        <v>42</v>
      </c>
      <c r="I1420" t="s">
        <v>81</v>
      </c>
      <c r="J1420">
        <v>3561.07</v>
      </c>
      <c r="K1420">
        <v>1</v>
      </c>
      <c r="L1420" t="s">
        <v>36</v>
      </c>
      <c r="M1420" t="s">
        <v>25</v>
      </c>
      <c r="N1420" t="s">
        <v>26</v>
      </c>
      <c r="O1420" t="s">
        <v>27</v>
      </c>
      <c r="P1420" t="s">
        <v>45</v>
      </c>
      <c r="Q1420">
        <v>9</v>
      </c>
      <c r="R1420">
        <v>1253.48</v>
      </c>
      <c r="S1420" t="s">
        <v>39</v>
      </c>
    </row>
    <row r="1421" spans="1:19" x14ac:dyDescent="0.3">
      <c r="A1421" t="s">
        <v>1491</v>
      </c>
      <c r="B1421">
        <v>36</v>
      </c>
      <c r="C1421" t="s">
        <v>31</v>
      </c>
      <c r="D1421" t="s">
        <v>47</v>
      </c>
      <c r="E1421" s="1">
        <v>45389</v>
      </c>
      <c r="F1421" s="3">
        <v>45398</v>
      </c>
      <c r="G1421" t="s">
        <v>93</v>
      </c>
      <c r="H1421" t="s">
        <v>72</v>
      </c>
      <c r="I1421" t="s">
        <v>91</v>
      </c>
      <c r="J1421">
        <v>2524.17</v>
      </c>
      <c r="K1421">
        <v>9</v>
      </c>
      <c r="L1421" t="s">
        <v>36</v>
      </c>
      <c r="M1421" t="s">
        <v>59</v>
      </c>
      <c r="N1421" t="s">
        <v>55</v>
      </c>
      <c r="O1421" t="s">
        <v>56</v>
      </c>
      <c r="P1421" t="s">
        <v>38</v>
      </c>
      <c r="Q1421">
        <v>14</v>
      </c>
      <c r="R1421">
        <v>968.84</v>
      </c>
      <c r="S1421" t="s">
        <v>29</v>
      </c>
    </row>
    <row r="1422" spans="1:19" x14ac:dyDescent="0.3">
      <c r="A1422" t="s">
        <v>1492</v>
      </c>
      <c r="B1422">
        <v>75</v>
      </c>
      <c r="C1422" t="s">
        <v>31</v>
      </c>
      <c r="D1422" t="s">
        <v>47</v>
      </c>
      <c r="E1422" s="1">
        <v>45693</v>
      </c>
      <c r="F1422" s="3">
        <v>45709</v>
      </c>
      <c r="G1422" t="s">
        <v>21</v>
      </c>
      <c r="H1422" t="s">
        <v>22</v>
      </c>
      <c r="I1422" t="s">
        <v>91</v>
      </c>
      <c r="J1422">
        <v>9905.41</v>
      </c>
      <c r="K1422">
        <v>16</v>
      </c>
      <c r="L1422" t="s">
        <v>36</v>
      </c>
      <c r="M1422" t="s">
        <v>59</v>
      </c>
      <c r="N1422" t="s">
        <v>26</v>
      </c>
      <c r="O1422" t="s">
        <v>27</v>
      </c>
      <c r="P1422" t="s">
        <v>50</v>
      </c>
      <c r="Q1422">
        <v>6</v>
      </c>
      <c r="R1422">
        <v>2311.73</v>
      </c>
      <c r="S1422" t="s">
        <v>29</v>
      </c>
    </row>
    <row r="1423" spans="1:19" x14ac:dyDescent="0.3">
      <c r="A1423" t="s">
        <v>1493</v>
      </c>
      <c r="B1423">
        <v>54</v>
      </c>
      <c r="C1423" t="s">
        <v>19</v>
      </c>
      <c r="D1423" t="s">
        <v>70</v>
      </c>
      <c r="E1423" s="1">
        <v>45130</v>
      </c>
      <c r="F1423" s="3">
        <v>45136</v>
      </c>
      <c r="G1423" t="s">
        <v>93</v>
      </c>
      <c r="H1423" t="s">
        <v>72</v>
      </c>
      <c r="I1423" t="s">
        <v>58</v>
      </c>
      <c r="J1423">
        <v>2709.78</v>
      </c>
      <c r="K1423">
        <v>6</v>
      </c>
      <c r="L1423" t="s">
        <v>36</v>
      </c>
      <c r="M1423" t="s">
        <v>101</v>
      </c>
      <c r="N1423" t="s">
        <v>26</v>
      </c>
      <c r="O1423" t="s">
        <v>56</v>
      </c>
      <c r="P1423" t="s">
        <v>38</v>
      </c>
      <c r="Q1423">
        <v>12</v>
      </c>
      <c r="R1423">
        <v>1003.77</v>
      </c>
      <c r="S1423" t="s">
        <v>29</v>
      </c>
    </row>
    <row r="1424" spans="1:19" x14ac:dyDescent="0.3">
      <c r="A1424" t="s">
        <v>1494</v>
      </c>
      <c r="B1424">
        <v>57</v>
      </c>
      <c r="C1424" t="s">
        <v>31</v>
      </c>
      <c r="D1424" t="s">
        <v>61</v>
      </c>
      <c r="E1424" s="1">
        <v>45622</v>
      </c>
      <c r="F1424" s="3">
        <v>45633</v>
      </c>
      <c r="G1424" t="s">
        <v>67</v>
      </c>
      <c r="H1424" t="s">
        <v>42</v>
      </c>
      <c r="I1424" t="s">
        <v>91</v>
      </c>
      <c r="J1424">
        <v>9789.0400000000009</v>
      </c>
      <c r="K1424">
        <v>11</v>
      </c>
      <c r="L1424" t="s">
        <v>24</v>
      </c>
      <c r="M1424" t="s">
        <v>25</v>
      </c>
      <c r="N1424" t="s">
        <v>55</v>
      </c>
      <c r="O1424" t="s">
        <v>27</v>
      </c>
      <c r="P1424" t="s">
        <v>50</v>
      </c>
      <c r="Q1424">
        <v>3</v>
      </c>
      <c r="R1424">
        <v>2930.54</v>
      </c>
      <c r="S1424" t="s">
        <v>29</v>
      </c>
    </row>
    <row r="1425" spans="1:19" x14ac:dyDescent="0.3">
      <c r="A1425" t="s">
        <v>1495</v>
      </c>
      <c r="B1425">
        <v>50</v>
      </c>
      <c r="C1425" t="s">
        <v>31</v>
      </c>
      <c r="D1425" t="s">
        <v>66</v>
      </c>
      <c r="E1425" s="1">
        <v>45502</v>
      </c>
      <c r="F1425" s="3">
        <v>45515</v>
      </c>
      <c r="G1425" t="s">
        <v>71</v>
      </c>
      <c r="H1425" t="s">
        <v>72</v>
      </c>
      <c r="I1425" t="s">
        <v>23</v>
      </c>
      <c r="J1425">
        <v>7257.5</v>
      </c>
      <c r="K1425">
        <v>13</v>
      </c>
      <c r="L1425" t="s">
        <v>24</v>
      </c>
      <c r="M1425" t="s">
        <v>25</v>
      </c>
      <c r="N1425" t="s">
        <v>44</v>
      </c>
      <c r="O1425" t="s">
        <v>37</v>
      </c>
      <c r="P1425" t="s">
        <v>28</v>
      </c>
      <c r="Q1425">
        <v>12</v>
      </c>
      <c r="R1425">
        <v>2073.08</v>
      </c>
      <c r="S1425" t="s">
        <v>29</v>
      </c>
    </row>
    <row r="1426" spans="1:19" x14ac:dyDescent="0.3">
      <c r="A1426" t="s">
        <v>1496</v>
      </c>
      <c r="B1426">
        <v>41</v>
      </c>
      <c r="C1426" t="s">
        <v>31</v>
      </c>
      <c r="D1426" t="s">
        <v>79</v>
      </c>
      <c r="E1426" s="1">
        <v>45634</v>
      </c>
      <c r="F1426" s="3">
        <v>45652</v>
      </c>
      <c r="G1426" t="s">
        <v>33</v>
      </c>
      <c r="H1426" t="s">
        <v>34</v>
      </c>
      <c r="I1426" t="s">
        <v>91</v>
      </c>
      <c r="J1426">
        <v>11587.47</v>
      </c>
      <c r="K1426">
        <v>18</v>
      </c>
      <c r="L1426" t="s">
        <v>36</v>
      </c>
      <c r="M1426" t="s">
        <v>25</v>
      </c>
      <c r="N1426" t="s">
        <v>44</v>
      </c>
      <c r="O1426" t="s">
        <v>37</v>
      </c>
      <c r="P1426" t="s">
        <v>50</v>
      </c>
      <c r="Q1426">
        <v>3</v>
      </c>
      <c r="R1426">
        <v>2846.65</v>
      </c>
      <c r="S1426" t="s">
        <v>29</v>
      </c>
    </row>
    <row r="1427" spans="1:19" x14ac:dyDescent="0.3">
      <c r="A1427" t="s">
        <v>1497</v>
      </c>
      <c r="B1427">
        <v>44</v>
      </c>
      <c r="C1427" t="s">
        <v>31</v>
      </c>
      <c r="D1427" t="s">
        <v>70</v>
      </c>
      <c r="E1427" s="1">
        <v>45374</v>
      </c>
      <c r="F1427" s="3">
        <v>45380</v>
      </c>
      <c r="G1427" t="s">
        <v>62</v>
      </c>
      <c r="H1427" t="s">
        <v>63</v>
      </c>
      <c r="I1427" t="s">
        <v>81</v>
      </c>
      <c r="J1427">
        <v>4976.41</v>
      </c>
      <c r="K1427">
        <v>6</v>
      </c>
      <c r="L1427" t="s">
        <v>24</v>
      </c>
      <c r="M1427" t="s">
        <v>25</v>
      </c>
      <c r="N1427" t="s">
        <v>55</v>
      </c>
      <c r="O1427" t="s">
        <v>56</v>
      </c>
      <c r="P1427" t="s">
        <v>50</v>
      </c>
      <c r="Q1427">
        <v>8</v>
      </c>
      <c r="R1427">
        <v>1573.8</v>
      </c>
      <c r="S1427" t="s">
        <v>29</v>
      </c>
    </row>
    <row r="1428" spans="1:19" x14ac:dyDescent="0.3">
      <c r="A1428" t="s">
        <v>1498</v>
      </c>
      <c r="B1428">
        <v>81</v>
      </c>
      <c r="C1428" t="s">
        <v>31</v>
      </c>
      <c r="D1428" t="s">
        <v>89</v>
      </c>
      <c r="E1428" s="1">
        <v>45791</v>
      </c>
      <c r="F1428" s="3">
        <v>45801</v>
      </c>
      <c r="G1428" t="s">
        <v>93</v>
      </c>
      <c r="H1428" t="s">
        <v>72</v>
      </c>
      <c r="I1428" t="s">
        <v>58</v>
      </c>
      <c r="J1428">
        <v>2340.0100000000002</v>
      </c>
      <c r="K1428">
        <v>10</v>
      </c>
      <c r="L1428" t="s">
        <v>24</v>
      </c>
      <c r="M1428" t="s">
        <v>25</v>
      </c>
      <c r="N1428" t="s">
        <v>26</v>
      </c>
      <c r="O1428" t="s">
        <v>27</v>
      </c>
      <c r="P1428" t="s">
        <v>28</v>
      </c>
      <c r="Q1428">
        <v>2</v>
      </c>
      <c r="R1428">
        <v>433.12</v>
      </c>
      <c r="S1428" t="s">
        <v>29</v>
      </c>
    </row>
    <row r="1429" spans="1:19" x14ac:dyDescent="0.3">
      <c r="A1429" t="s">
        <v>1499</v>
      </c>
      <c r="B1429">
        <v>90</v>
      </c>
      <c r="C1429" t="s">
        <v>19</v>
      </c>
      <c r="D1429" t="s">
        <v>89</v>
      </c>
      <c r="E1429" s="1">
        <v>45786</v>
      </c>
      <c r="F1429" s="3">
        <v>45801</v>
      </c>
      <c r="G1429" t="s">
        <v>62</v>
      </c>
      <c r="H1429" t="s">
        <v>63</v>
      </c>
      <c r="I1429" t="s">
        <v>58</v>
      </c>
      <c r="J1429">
        <v>10521.54</v>
      </c>
      <c r="K1429">
        <v>15</v>
      </c>
      <c r="L1429" t="s">
        <v>36</v>
      </c>
      <c r="M1429" t="s">
        <v>25</v>
      </c>
      <c r="N1429" t="s">
        <v>44</v>
      </c>
      <c r="O1429" t="s">
        <v>27</v>
      </c>
      <c r="P1429" t="s">
        <v>38</v>
      </c>
      <c r="Q1429">
        <v>1</v>
      </c>
      <c r="R1429">
        <v>3002</v>
      </c>
      <c r="S1429" t="s">
        <v>29</v>
      </c>
    </row>
    <row r="1430" spans="1:19" x14ac:dyDescent="0.3">
      <c r="A1430" t="s">
        <v>1500</v>
      </c>
      <c r="B1430">
        <v>58</v>
      </c>
      <c r="C1430" t="s">
        <v>19</v>
      </c>
      <c r="D1430" t="s">
        <v>20</v>
      </c>
      <c r="E1430" s="1">
        <v>45289</v>
      </c>
      <c r="F1430" s="3">
        <v>45301</v>
      </c>
      <c r="G1430" t="s">
        <v>33</v>
      </c>
      <c r="H1430" t="s">
        <v>34</v>
      </c>
      <c r="I1430" t="s">
        <v>23</v>
      </c>
      <c r="J1430">
        <v>6850.39</v>
      </c>
      <c r="K1430">
        <v>12</v>
      </c>
      <c r="L1430" t="s">
        <v>36</v>
      </c>
      <c r="M1430" t="s">
        <v>25</v>
      </c>
      <c r="N1430" t="s">
        <v>44</v>
      </c>
      <c r="O1430" t="s">
        <v>37</v>
      </c>
      <c r="P1430" t="s">
        <v>28</v>
      </c>
      <c r="Q1430">
        <v>10</v>
      </c>
      <c r="R1430">
        <v>1263.97</v>
      </c>
      <c r="S1430" t="s">
        <v>29</v>
      </c>
    </row>
    <row r="1431" spans="1:19" x14ac:dyDescent="0.3">
      <c r="A1431" t="s">
        <v>1501</v>
      </c>
      <c r="B1431">
        <v>76</v>
      </c>
      <c r="C1431" t="s">
        <v>31</v>
      </c>
      <c r="D1431" t="s">
        <v>47</v>
      </c>
      <c r="E1431" s="1">
        <v>45810</v>
      </c>
      <c r="F1431" s="3">
        <v>45829</v>
      </c>
      <c r="G1431" t="s">
        <v>48</v>
      </c>
      <c r="H1431" t="s">
        <v>22</v>
      </c>
      <c r="I1431" t="s">
        <v>23</v>
      </c>
      <c r="J1431">
        <v>6124.98</v>
      </c>
      <c r="K1431">
        <v>19</v>
      </c>
      <c r="L1431" t="s">
        <v>36</v>
      </c>
      <c r="M1431" t="s">
        <v>25</v>
      </c>
      <c r="N1431" t="s">
        <v>44</v>
      </c>
      <c r="O1431" t="s">
        <v>56</v>
      </c>
      <c r="P1431" t="s">
        <v>50</v>
      </c>
      <c r="Q1431">
        <v>9</v>
      </c>
      <c r="R1431">
        <v>1688.76</v>
      </c>
      <c r="S1431" t="s">
        <v>29</v>
      </c>
    </row>
    <row r="1432" spans="1:19" x14ac:dyDescent="0.3">
      <c r="A1432" t="s">
        <v>1502</v>
      </c>
      <c r="B1432">
        <v>78</v>
      </c>
      <c r="C1432" t="s">
        <v>31</v>
      </c>
      <c r="D1432" t="s">
        <v>89</v>
      </c>
      <c r="E1432" s="1">
        <v>45265</v>
      </c>
      <c r="F1432" s="3">
        <v>45292</v>
      </c>
      <c r="G1432" t="s">
        <v>67</v>
      </c>
      <c r="H1432" t="s">
        <v>42</v>
      </c>
      <c r="I1432" t="s">
        <v>54</v>
      </c>
      <c r="J1432">
        <v>25699.73</v>
      </c>
      <c r="K1432">
        <v>27</v>
      </c>
      <c r="L1432" t="s">
        <v>24</v>
      </c>
      <c r="M1432" t="s">
        <v>25</v>
      </c>
      <c r="N1432" t="s">
        <v>26</v>
      </c>
      <c r="O1432" t="s">
        <v>49</v>
      </c>
      <c r="P1432" t="s">
        <v>50</v>
      </c>
      <c r="Q1432">
        <v>10</v>
      </c>
      <c r="R1432">
        <v>5337.13</v>
      </c>
      <c r="S1432" t="s">
        <v>29</v>
      </c>
    </row>
    <row r="1433" spans="1:19" x14ac:dyDescent="0.3">
      <c r="A1433" t="s">
        <v>1503</v>
      </c>
      <c r="B1433">
        <v>78</v>
      </c>
      <c r="C1433" t="s">
        <v>19</v>
      </c>
      <c r="D1433" t="s">
        <v>47</v>
      </c>
      <c r="E1433" s="1">
        <v>45629</v>
      </c>
      <c r="F1433" s="3">
        <v>45633</v>
      </c>
      <c r="G1433" t="s">
        <v>41</v>
      </c>
      <c r="H1433" t="s">
        <v>42</v>
      </c>
      <c r="I1433" t="s">
        <v>43</v>
      </c>
      <c r="J1433">
        <v>2706.43</v>
      </c>
      <c r="K1433">
        <v>4</v>
      </c>
      <c r="L1433" t="s">
        <v>24</v>
      </c>
      <c r="M1433" t="s">
        <v>25</v>
      </c>
      <c r="N1433" t="s">
        <v>44</v>
      </c>
      <c r="O1433" t="s">
        <v>37</v>
      </c>
      <c r="P1433" t="s">
        <v>38</v>
      </c>
      <c r="Q1433">
        <v>10</v>
      </c>
      <c r="R1433">
        <v>543.72</v>
      </c>
      <c r="S1433" t="s">
        <v>39</v>
      </c>
    </row>
    <row r="1434" spans="1:19" x14ac:dyDescent="0.3">
      <c r="A1434" t="s">
        <v>1504</v>
      </c>
      <c r="B1434">
        <v>36</v>
      </c>
      <c r="C1434" t="s">
        <v>31</v>
      </c>
      <c r="D1434" t="s">
        <v>89</v>
      </c>
      <c r="E1434" s="1">
        <v>45463</v>
      </c>
      <c r="F1434" s="3">
        <v>45482</v>
      </c>
      <c r="G1434" t="s">
        <v>93</v>
      </c>
      <c r="H1434" t="s">
        <v>72</v>
      </c>
      <c r="I1434" t="s">
        <v>54</v>
      </c>
      <c r="J1434">
        <v>4211.21</v>
      </c>
      <c r="K1434">
        <v>19</v>
      </c>
      <c r="L1434" t="s">
        <v>24</v>
      </c>
      <c r="M1434" t="s">
        <v>25</v>
      </c>
      <c r="N1434" t="s">
        <v>26</v>
      </c>
      <c r="O1434" t="s">
        <v>56</v>
      </c>
      <c r="P1434" t="s">
        <v>28</v>
      </c>
      <c r="Q1434">
        <v>12</v>
      </c>
      <c r="R1434">
        <v>1005.81</v>
      </c>
      <c r="S1434" t="s">
        <v>29</v>
      </c>
    </row>
    <row r="1435" spans="1:19" x14ac:dyDescent="0.3">
      <c r="A1435" t="s">
        <v>1505</v>
      </c>
      <c r="B1435">
        <v>53</v>
      </c>
      <c r="C1435" t="s">
        <v>31</v>
      </c>
      <c r="D1435" t="s">
        <v>66</v>
      </c>
      <c r="E1435" s="1">
        <v>45461</v>
      </c>
      <c r="F1435" s="3">
        <v>45468</v>
      </c>
      <c r="G1435" t="s">
        <v>67</v>
      </c>
      <c r="H1435" t="s">
        <v>42</v>
      </c>
      <c r="I1435" t="s">
        <v>91</v>
      </c>
      <c r="J1435">
        <v>6388.8</v>
      </c>
      <c r="K1435">
        <v>7</v>
      </c>
      <c r="L1435" t="s">
        <v>24</v>
      </c>
      <c r="M1435" t="s">
        <v>25</v>
      </c>
      <c r="N1435" t="s">
        <v>26</v>
      </c>
      <c r="O1435" t="s">
        <v>56</v>
      </c>
      <c r="P1435" t="s">
        <v>28</v>
      </c>
      <c r="Q1435">
        <v>8</v>
      </c>
      <c r="R1435">
        <v>2189.29</v>
      </c>
      <c r="S1435" t="s">
        <v>29</v>
      </c>
    </row>
    <row r="1436" spans="1:19" x14ac:dyDescent="0.3">
      <c r="A1436" t="s">
        <v>1506</v>
      </c>
      <c r="B1436">
        <v>60</v>
      </c>
      <c r="C1436" t="s">
        <v>19</v>
      </c>
      <c r="D1436" t="s">
        <v>47</v>
      </c>
      <c r="E1436" s="1">
        <v>45801</v>
      </c>
      <c r="F1436" s="3">
        <v>45818</v>
      </c>
      <c r="G1436" t="s">
        <v>48</v>
      </c>
      <c r="H1436" t="s">
        <v>22</v>
      </c>
      <c r="I1436" t="s">
        <v>43</v>
      </c>
      <c r="J1436">
        <v>5507.28</v>
      </c>
      <c r="K1436">
        <v>17</v>
      </c>
      <c r="L1436" t="s">
        <v>24</v>
      </c>
      <c r="M1436" t="s">
        <v>25</v>
      </c>
      <c r="N1436" t="s">
        <v>26</v>
      </c>
      <c r="O1436" t="s">
        <v>56</v>
      </c>
      <c r="P1436" t="s">
        <v>45</v>
      </c>
      <c r="Q1436">
        <v>15</v>
      </c>
      <c r="R1436">
        <v>1352.01</v>
      </c>
      <c r="S1436" t="s">
        <v>29</v>
      </c>
    </row>
    <row r="1437" spans="1:19" x14ac:dyDescent="0.3">
      <c r="A1437" t="s">
        <v>1507</v>
      </c>
      <c r="B1437">
        <v>77</v>
      </c>
      <c r="C1437" t="s">
        <v>31</v>
      </c>
      <c r="D1437" t="s">
        <v>47</v>
      </c>
      <c r="E1437" s="1">
        <v>45303</v>
      </c>
      <c r="F1437" s="3">
        <v>45323</v>
      </c>
      <c r="G1437" t="s">
        <v>41</v>
      </c>
      <c r="H1437" t="s">
        <v>42</v>
      </c>
      <c r="I1437" t="s">
        <v>81</v>
      </c>
      <c r="J1437">
        <v>13151.37</v>
      </c>
      <c r="K1437">
        <v>20</v>
      </c>
      <c r="L1437" t="s">
        <v>36</v>
      </c>
      <c r="M1437" t="s">
        <v>25</v>
      </c>
      <c r="N1437" t="s">
        <v>26</v>
      </c>
      <c r="O1437" t="s">
        <v>56</v>
      </c>
      <c r="P1437" t="s">
        <v>50</v>
      </c>
      <c r="Q1437">
        <v>3</v>
      </c>
      <c r="R1437">
        <v>3488.21</v>
      </c>
      <c r="S1437" t="s">
        <v>39</v>
      </c>
    </row>
    <row r="1438" spans="1:19" x14ac:dyDescent="0.3">
      <c r="A1438" t="s">
        <v>1508</v>
      </c>
      <c r="B1438">
        <v>77</v>
      </c>
      <c r="C1438" t="s">
        <v>31</v>
      </c>
      <c r="D1438" t="s">
        <v>61</v>
      </c>
      <c r="E1438" s="1">
        <v>45180</v>
      </c>
      <c r="F1438" s="3">
        <v>45185</v>
      </c>
      <c r="G1438" t="s">
        <v>62</v>
      </c>
      <c r="H1438" t="s">
        <v>63</v>
      </c>
      <c r="I1438" t="s">
        <v>58</v>
      </c>
      <c r="J1438">
        <v>2135.42</v>
      </c>
      <c r="K1438">
        <v>5</v>
      </c>
      <c r="L1438" t="s">
        <v>36</v>
      </c>
      <c r="M1438" t="s">
        <v>25</v>
      </c>
      <c r="N1438" t="s">
        <v>55</v>
      </c>
      <c r="O1438" t="s">
        <v>27</v>
      </c>
      <c r="P1438" t="s">
        <v>38</v>
      </c>
      <c r="Q1438">
        <v>10</v>
      </c>
      <c r="R1438">
        <v>398.14</v>
      </c>
      <c r="S1438" t="s">
        <v>29</v>
      </c>
    </row>
    <row r="1439" spans="1:19" x14ac:dyDescent="0.3">
      <c r="A1439" t="s">
        <v>1509</v>
      </c>
      <c r="B1439">
        <v>44</v>
      </c>
      <c r="C1439" t="s">
        <v>31</v>
      </c>
      <c r="D1439" t="s">
        <v>32</v>
      </c>
      <c r="E1439" s="1">
        <v>45282</v>
      </c>
      <c r="F1439" s="3">
        <v>45284</v>
      </c>
      <c r="G1439" t="s">
        <v>48</v>
      </c>
      <c r="H1439" t="s">
        <v>22</v>
      </c>
      <c r="I1439" t="s">
        <v>35</v>
      </c>
      <c r="J1439">
        <v>2869.14</v>
      </c>
      <c r="K1439">
        <v>2</v>
      </c>
      <c r="L1439" t="s">
        <v>36</v>
      </c>
      <c r="M1439" t="s">
        <v>59</v>
      </c>
      <c r="N1439" t="s">
        <v>26</v>
      </c>
      <c r="O1439" t="s">
        <v>56</v>
      </c>
      <c r="P1439" t="s">
        <v>45</v>
      </c>
      <c r="Q1439">
        <v>12</v>
      </c>
      <c r="R1439">
        <v>834.45</v>
      </c>
      <c r="S1439" t="s">
        <v>39</v>
      </c>
    </row>
    <row r="1440" spans="1:19" x14ac:dyDescent="0.3">
      <c r="A1440" t="s">
        <v>1510</v>
      </c>
      <c r="B1440">
        <v>42</v>
      </c>
      <c r="C1440" t="s">
        <v>19</v>
      </c>
      <c r="D1440" t="s">
        <v>89</v>
      </c>
      <c r="E1440" s="1">
        <v>45351</v>
      </c>
      <c r="F1440" s="3">
        <v>45359</v>
      </c>
      <c r="G1440" t="s">
        <v>21</v>
      </c>
      <c r="H1440" t="s">
        <v>22</v>
      </c>
      <c r="I1440" t="s">
        <v>81</v>
      </c>
      <c r="J1440">
        <v>5632.81</v>
      </c>
      <c r="K1440">
        <v>8</v>
      </c>
      <c r="L1440" t="s">
        <v>24</v>
      </c>
      <c r="M1440" t="s">
        <v>25</v>
      </c>
      <c r="N1440" t="s">
        <v>55</v>
      </c>
      <c r="O1440" t="s">
        <v>37</v>
      </c>
      <c r="P1440" t="s">
        <v>45</v>
      </c>
      <c r="Q1440">
        <v>8</v>
      </c>
      <c r="R1440">
        <v>1244.93</v>
      </c>
      <c r="S1440" t="s">
        <v>29</v>
      </c>
    </row>
    <row r="1441" spans="1:19" x14ac:dyDescent="0.3">
      <c r="A1441" t="s">
        <v>1511</v>
      </c>
      <c r="B1441">
        <v>52</v>
      </c>
      <c r="C1441" t="s">
        <v>31</v>
      </c>
      <c r="D1441" t="s">
        <v>66</v>
      </c>
      <c r="E1441" s="1">
        <v>45469</v>
      </c>
      <c r="F1441" s="3">
        <v>45481</v>
      </c>
      <c r="G1441" t="s">
        <v>48</v>
      </c>
      <c r="H1441" t="s">
        <v>22</v>
      </c>
      <c r="I1441" t="s">
        <v>43</v>
      </c>
      <c r="J1441">
        <v>6693.63</v>
      </c>
      <c r="K1441">
        <v>12</v>
      </c>
      <c r="L1441" t="s">
        <v>36</v>
      </c>
      <c r="M1441" t="s">
        <v>25</v>
      </c>
      <c r="N1441" t="s">
        <v>26</v>
      </c>
      <c r="O1441" t="s">
        <v>56</v>
      </c>
      <c r="P1441" t="s">
        <v>38</v>
      </c>
      <c r="Q1441">
        <v>13</v>
      </c>
      <c r="R1441">
        <v>1285.27</v>
      </c>
      <c r="S1441" t="s">
        <v>29</v>
      </c>
    </row>
    <row r="1442" spans="1:19" x14ac:dyDescent="0.3">
      <c r="A1442" t="s">
        <v>1512</v>
      </c>
      <c r="B1442">
        <v>39</v>
      </c>
      <c r="C1442" t="s">
        <v>31</v>
      </c>
      <c r="D1442" t="s">
        <v>47</v>
      </c>
      <c r="E1442" s="1">
        <v>45580</v>
      </c>
      <c r="F1442" s="3">
        <v>45601</v>
      </c>
      <c r="G1442" t="s">
        <v>71</v>
      </c>
      <c r="H1442" t="s">
        <v>72</v>
      </c>
      <c r="I1442" t="s">
        <v>35</v>
      </c>
      <c r="J1442">
        <v>14286.31</v>
      </c>
      <c r="K1442">
        <v>21</v>
      </c>
      <c r="L1442" t="s">
        <v>24</v>
      </c>
      <c r="M1442" t="s">
        <v>25</v>
      </c>
      <c r="N1442" t="s">
        <v>44</v>
      </c>
      <c r="O1442" t="s">
        <v>49</v>
      </c>
      <c r="P1442" t="s">
        <v>28</v>
      </c>
      <c r="Q1442">
        <v>6</v>
      </c>
      <c r="R1442">
        <v>3770.94</v>
      </c>
      <c r="S1442" t="s">
        <v>29</v>
      </c>
    </row>
    <row r="1443" spans="1:19" x14ac:dyDescent="0.3">
      <c r="A1443" t="s">
        <v>1513</v>
      </c>
      <c r="B1443">
        <v>63</v>
      </c>
      <c r="C1443" t="s">
        <v>31</v>
      </c>
      <c r="D1443" t="s">
        <v>32</v>
      </c>
      <c r="E1443" s="1">
        <v>45786</v>
      </c>
      <c r="F1443" s="3">
        <v>45805</v>
      </c>
      <c r="G1443" t="s">
        <v>48</v>
      </c>
      <c r="H1443" t="s">
        <v>22</v>
      </c>
      <c r="I1443" t="s">
        <v>83</v>
      </c>
      <c r="J1443">
        <v>14893.56</v>
      </c>
      <c r="K1443">
        <v>19</v>
      </c>
      <c r="L1443" t="s">
        <v>24</v>
      </c>
      <c r="M1443" t="s">
        <v>25</v>
      </c>
      <c r="N1443" t="s">
        <v>44</v>
      </c>
      <c r="O1443" t="s">
        <v>49</v>
      </c>
      <c r="P1443" t="s">
        <v>28</v>
      </c>
      <c r="Q1443">
        <v>15</v>
      </c>
      <c r="R1443">
        <v>3080.19</v>
      </c>
      <c r="S1443" t="s">
        <v>29</v>
      </c>
    </row>
    <row r="1444" spans="1:19" x14ac:dyDescent="0.3">
      <c r="A1444" t="s">
        <v>1514</v>
      </c>
      <c r="B1444">
        <v>82</v>
      </c>
      <c r="C1444" t="s">
        <v>31</v>
      </c>
      <c r="D1444" t="s">
        <v>66</v>
      </c>
      <c r="E1444" s="1">
        <v>45625</v>
      </c>
      <c r="F1444" s="3">
        <v>45627</v>
      </c>
      <c r="G1444" t="s">
        <v>48</v>
      </c>
      <c r="H1444" t="s">
        <v>22</v>
      </c>
      <c r="I1444" t="s">
        <v>81</v>
      </c>
      <c r="J1444">
        <v>3965.62</v>
      </c>
      <c r="K1444">
        <v>2</v>
      </c>
      <c r="L1444" t="s">
        <v>36</v>
      </c>
      <c r="M1444" t="s">
        <v>25</v>
      </c>
      <c r="N1444" t="s">
        <v>44</v>
      </c>
      <c r="O1444" t="s">
        <v>56</v>
      </c>
      <c r="P1444" t="s">
        <v>38</v>
      </c>
      <c r="Q1444">
        <v>5</v>
      </c>
      <c r="R1444">
        <v>964.65</v>
      </c>
      <c r="S1444" t="s">
        <v>29</v>
      </c>
    </row>
    <row r="1445" spans="1:19" x14ac:dyDescent="0.3">
      <c r="A1445" t="s">
        <v>1515</v>
      </c>
      <c r="B1445">
        <v>51</v>
      </c>
      <c r="C1445" t="s">
        <v>31</v>
      </c>
      <c r="D1445" t="s">
        <v>70</v>
      </c>
      <c r="E1445" s="1">
        <v>45493</v>
      </c>
      <c r="F1445" s="3">
        <v>45509</v>
      </c>
      <c r="G1445" t="s">
        <v>48</v>
      </c>
      <c r="H1445" t="s">
        <v>22</v>
      </c>
      <c r="I1445" t="s">
        <v>58</v>
      </c>
      <c r="J1445">
        <v>12734.72</v>
      </c>
      <c r="K1445">
        <v>16</v>
      </c>
      <c r="L1445" t="s">
        <v>24</v>
      </c>
      <c r="M1445" t="s">
        <v>25</v>
      </c>
      <c r="N1445" t="s">
        <v>44</v>
      </c>
      <c r="O1445" t="s">
        <v>49</v>
      </c>
      <c r="P1445" t="s">
        <v>50</v>
      </c>
      <c r="Q1445">
        <v>6</v>
      </c>
      <c r="R1445">
        <v>3947.65</v>
      </c>
      <c r="S1445" t="s">
        <v>29</v>
      </c>
    </row>
    <row r="1446" spans="1:19" x14ac:dyDescent="0.3">
      <c r="A1446" t="s">
        <v>1516</v>
      </c>
      <c r="B1446">
        <v>81</v>
      </c>
      <c r="C1446" t="s">
        <v>31</v>
      </c>
      <c r="D1446" t="s">
        <v>79</v>
      </c>
      <c r="E1446" s="1">
        <v>45507</v>
      </c>
      <c r="F1446" s="3">
        <v>45521</v>
      </c>
      <c r="G1446" t="s">
        <v>71</v>
      </c>
      <c r="H1446" t="s">
        <v>72</v>
      </c>
      <c r="I1446" t="s">
        <v>81</v>
      </c>
      <c r="J1446">
        <v>8081</v>
      </c>
      <c r="K1446">
        <v>14</v>
      </c>
      <c r="L1446" t="s">
        <v>36</v>
      </c>
      <c r="M1446" t="s">
        <v>25</v>
      </c>
      <c r="N1446" t="s">
        <v>26</v>
      </c>
      <c r="O1446" t="s">
        <v>27</v>
      </c>
      <c r="P1446" t="s">
        <v>28</v>
      </c>
      <c r="Q1446">
        <v>4</v>
      </c>
      <c r="R1446">
        <v>2181.7399999999998</v>
      </c>
      <c r="S1446" t="s">
        <v>29</v>
      </c>
    </row>
    <row r="1447" spans="1:19" x14ac:dyDescent="0.3">
      <c r="A1447" t="s">
        <v>1517</v>
      </c>
      <c r="B1447">
        <v>69</v>
      </c>
      <c r="C1447" t="s">
        <v>31</v>
      </c>
      <c r="D1447" t="s">
        <v>89</v>
      </c>
      <c r="E1447" s="1">
        <v>45738</v>
      </c>
      <c r="F1447" s="3">
        <v>45757</v>
      </c>
      <c r="G1447" t="s">
        <v>21</v>
      </c>
      <c r="H1447" t="s">
        <v>22</v>
      </c>
      <c r="I1447" t="s">
        <v>23</v>
      </c>
      <c r="J1447">
        <v>6529.61</v>
      </c>
      <c r="K1447">
        <v>19</v>
      </c>
      <c r="L1447" t="s">
        <v>24</v>
      </c>
      <c r="M1447" t="s">
        <v>59</v>
      </c>
      <c r="N1447" t="s">
        <v>55</v>
      </c>
      <c r="O1447" t="s">
        <v>27</v>
      </c>
      <c r="P1447" t="s">
        <v>45</v>
      </c>
      <c r="Q1447">
        <v>2</v>
      </c>
      <c r="R1447">
        <v>1821.82</v>
      </c>
      <c r="S1447" t="s">
        <v>29</v>
      </c>
    </row>
    <row r="1448" spans="1:19" x14ac:dyDescent="0.3">
      <c r="A1448" t="s">
        <v>1518</v>
      </c>
      <c r="B1448">
        <v>89</v>
      </c>
      <c r="C1448" t="s">
        <v>31</v>
      </c>
      <c r="D1448" t="s">
        <v>66</v>
      </c>
      <c r="E1448" s="1">
        <v>45669</v>
      </c>
      <c r="F1448" s="3">
        <v>45685</v>
      </c>
      <c r="G1448" t="s">
        <v>93</v>
      </c>
      <c r="H1448" t="s">
        <v>72</v>
      </c>
      <c r="I1448" t="s">
        <v>23</v>
      </c>
      <c r="J1448">
        <v>9205.9699999999993</v>
      </c>
      <c r="K1448">
        <v>16</v>
      </c>
      <c r="L1448" t="s">
        <v>36</v>
      </c>
      <c r="M1448" t="s">
        <v>25</v>
      </c>
      <c r="N1448" t="s">
        <v>55</v>
      </c>
      <c r="O1448" t="s">
        <v>56</v>
      </c>
      <c r="P1448" t="s">
        <v>50</v>
      </c>
      <c r="Q1448">
        <v>14</v>
      </c>
      <c r="R1448">
        <v>2850.32</v>
      </c>
      <c r="S1448" t="s">
        <v>29</v>
      </c>
    </row>
    <row r="1449" spans="1:19" x14ac:dyDescent="0.3">
      <c r="A1449" t="s">
        <v>1519</v>
      </c>
      <c r="B1449">
        <v>61</v>
      </c>
      <c r="C1449" t="s">
        <v>19</v>
      </c>
      <c r="D1449" t="s">
        <v>47</v>
      </c>
      <c r="E1449" s="1">
        <v>45118</v>
      </c>
      <c r="F1449" s="3">
        <v>45123</v>
      </c>
      <c r="G1449" t="s">
        <v>33</v>
      </c>
      <c r="H1449" t="s">
        <v>34</v>
      </c>
      <c r="I1449" t="s">
        <v>35</v>
      </c>
      <c r="J1449">
        <v>4823.5</v>
      </c>
      <c r="K1449">
        <v>5</v>
      </c>
      <c r="L1449" t="s">
        <v>36</v>
      </c>
      <c r="M1449" t="s">
        <v>59</v>
      </c>
      <c r="N1449" t="s">
        <v>26</v>
      </c>
      <c r="O1449" t="s">
        <v>27</v>
      </c>
      <c r="P1449" t="s">
        <v>45</v>
      </c>
      <c r="Q1449">
        <v>2</v>
      </c>
      <c r="R1449">
        <v>1863.85</v>
      </c>
      <c r="S1449" t="s">
        <v>29</v>
      </c>
    </row>
    <row r="1450" spans="1:19" x14ac:dyDescent="0.3">
      <c r="A1450" t="s">
        <v>1520</v>
      </c>
      <c r="B1450">
        <v>41</v>
      </c>
      <c r="C1450" t="s">
        <v>31</v>
      </c>
      <c r="D1450" t="s">
        <v>47</v>
      </c>
      <c r="E1450" s="1">
        <v>44999</v>
      </c>
      <c r="F1450" s="3">
        <v>45009</v>
      </c>
      <c r="G1450" t="s">
        <v>41</v>
      </c>
      <c r="H1450" t="s">
        <v>42</v>
      </c>
      <c r="I1450" t="s">
        <v>54</v>
      </c>
      <c r="J1450">
        <v>11233.12</v>
      </c>
      <c r="K1450">
        <v>10</v>
      </c>
      <c r="L1450" t="s">
        <v>24</v>
      </c>
      <c r="M1450" t="s">
        <v>25</v>
      </c>
      <c r="N1450" t="s">
        <v>44</v>
      </c>
      <c r="O1450" t="s">
        <v>49</v>
      </c>
      <c r="P1450" t="s">
        <v>50</v>
      </c>
      <c r="Q1450">
        <v>2</v>
      </c>
      <c r="R1450">
        <v>3580.68</v>
      </c>
      <c r="S1450" t="s">
        <v>29</v>
      </c>
    </row>
    <row r="1451" spans="1:19" x14ac:dyDescent="0.3">
      <c r="A1451" t="s">
        <v>1521</v>
      </c>
      <c r="B1451">
        <v>68</v>
      </c>
      <c r="C1451" t="s">
        <v>19</v>
      </c>
      <c r="D1451" t="s">
        <v>89</v>
      </c>
      <c r="E1451" s="1">
        <v>45384</v>
      </c>
      <c r="F1451" s="3">
        <v>45399</v>
      </c>
      <c r="G1451" t="s">
        <v>62</v>
      </c>
      <c r="H1451" t="s">
        <v>63</v>
      </c>
      <c r="I1451" t="s">
        <v>35</v>
      </c>
      <c r="J1451">
        <v>17146.29</v>
      </c>
      <c r="K1451">
        <v>15</v>
      </c>
      <c r="L1451" t="s">
        <v>24</v>
      </c>
      <c r="M1451" t="s">
        <v>25</v>
      </c>
      <c r="N1451" t="s">
        <v>55</v>
      </c>
      <c r="O1451" t="s">
        <v>49</v>
      </c>
      <c r="P1451" t="s">
        <v>50</v>
      </c>
      <c r="Q1451">
        <v>7</v>
      </c>
      <c r="R1451">
        <v>2770.56</v>
      </c>
      <c r="S1451" t="s">
        <v>29</v>
      </c>
    </row>
    <row r="1452" spans="1:19" x14ac:dyDescent="0.3">
      <c r="A1452" t="s">
        <v>1522</v>
      </c>
      <c r="B1452">
        <v>60</v>
      </c>
      <c r="C1452" t="s">
        <v>31</v>
      </c>
      <c r="D1452" t="s">
        <v>32</v>
      </c>
      <c r="E1452" s="1">
        <v>45606</v>
      </c>
      <c r="F1452" s="3">
        <v>45624</v>
      </c>
      <c r="G1452" t="s">
        <v>93</v>
      </c>
      <c r="H1452" t="s">
        <v>72</v>
      </c>
      <c r="I1452" t="s">
        <v>81</v>
      </c>
      <c r="J1452">
        <v>14051.34</v>
      </c>
      <c r="K1452">
        <v>18</v>
      </c>
      <c r="L1452" t="s">
        <v>36</v>
      </c>
      <c r="M1452" t="s">
        <v>25</v>
      </c>
      <c r="N1452" t="s">
        <v>44</v>
      </c>
      <c r="O1452" t="s">
        <v>37</v>
      </c>
      <c r="P1452" t="s">
        <v>45</v>
      </c>
      <c r="Q1452">
        <v>2</v>
      </c>
      <c r="R1452">
        <v>3999.14</v>
      </c>
      <c r="S1452" t="s">
        <v>29</v>
      </c>
    </row>
    <row r="1453" spans="1:19" x14ac:dyDescent="0.3">
      <c r="A1453" t="s">
        <v>1523</v>
      </c>
      <c r="B1453">
        <v>87</v>
      </c>
      <c r="C1453" t="s">
        <v>19</v>
      </c>
      <c r="D1453" t="s">
        <v>89</v>
      </c>
      <c r="E1453" s="1">
        <v>45392</v>
      </c>
      <c r="F1453" s="3">
        <v>45422</v>
      </c>
      <c r="G1453" t="s">
        <v>74</v>
      </c>
      <c r="H1453" t="s">
        <v>75</v>
      </c>
      <c r="I1453" t="s">
        <v>54</v>
      </c>
      <c r="J1453">
        <v>23000.84</v>
      </c>
      <c r="K1453">
        <v>30</v>
      </c>
      <c r="L1453" t="s">
        <v>36</v>
      </c>
      <c r="M1453" t="s">
        <v>25</v>
      </c>
      <c r="N1453" t="s">
        <v>44</v>
      </c>
      <c r="O1453" t="s">
        <v>49</v>
      </c>
      <c r="P1453" t="s">
        <v>45</v>
      </c>
      <c r="Q1453">
        <v>10</v>
      </c>
      <c r="R1453">
        <v>3990.87</v>
      </c>
      <c r="S1453" t="s">
        <v>29</v>
      </c>
    </row>
    <row r="1454" spans="1:19" x14ac:dyDescent="0.3">
      <c r="A1454" t="s">
        <v>1524</v>
      </c>
      <c r="B1454">
        <v>78</v>
      </c>
      <c r="C1454" t="s">
        <v>31</v>
      </c>
      <c r="D1454" t="s">
        <v>79</v>
      </c>
      <c r="E1454" s="1">
        <v>45474</v>
      </c>
      <c r="F1454" s="3">
        <v>45475</v>
      </c>
      <c r="G1454" t="s">
        <v>48</v>
      </c>
      <c r="H1454" t="s">
        <v>22</v>
      </c>
      <c r="I1454" t="s">
        <v>54</v>
      </c>
      <c r="J1454">
        <v>1001.6</v>
      </c>
      <c r="K1454">
        <v>1</v>
      </c>
      <c r="L1454" t="s">
        <v>24</v>
      </c>
      <c r="M1454" t="s">
        <v>25</v>
      </c>
      <c r="N1454" t="s">
        <v>44</v>
      </c>
      <c r="O1454" t="s">
        <v>37</v>
      </c>
      <c r="P1454" t="s">
        <v>38</v>
      </c>
      <c r="Q1454">
        <v>11</v>
      </c>
      <c r="R1454">
        <v>298.11</v>
      </c>
      <c r="S1454" t="s">
        <v>29</v>
      </c>
    </row>
    <row r="1455" spans="1:19" x14ac:dyDescent="0.3">
      <c r="A1455" t="s">
        <v>1525</v>
      </c>
      <c r="B1455">
        <v>48</v>
      </c>
      <c r="C1455" t="s">
        <v>19</v>
      </c>
      <c r="D1455" t="s">
        <v>20</v>
      </c>
      <c r="E1455" s="1">
        <v>45496</v>
      </c>
      <c r="F1455" s="3">
        <v>45516</v>
      </c>
      <c r="G1455" t="s">
        <v>52</v>
      </c>
      <c r="H1455" t="s">
        <v>53</v>
      </c>
      <c r="I1455" t="s">
        <v>58</v>
      </c>
      <c r="J1455">
        <v>10022.74</v>
      </c>
      <c r="K1455">
        <v>20</v>
      </c>
      <c r="L1455" t="s">
        <v>36</v>
      </c>
      <c r="M1455" t="s">
        <v>25</v>
      </c>
      <c r="N1455" t="s">
        <v>44</v>
      </c>
      <c r="O1455" t="s">
        <v>37</v>
      </c>
      <c r="P1455" t="s">
        <v>28</v>
      </c>
      <c r="Q1455">
        <v>4</v>
      </c>
      <c r="R1455">
        <v>2187.5300000000002</v>
      </c>
      <c r="S1455" t="s">
        <v>29</v>
      </c>
    </row>
    <row r="1456" spans="1:19" x14ac:dyDescent="0.3">
      <c r="A1456" t="s">
        <v>1526</v>
      </c>
      <c r="B1456">
        <v>60</v>
      </c>
      <c r="C1456" t="s">
        <v>19</v>
      </c>
      <c r="D1456" t="s">
        <v>61</v>
      </c>
      <c r="E1456" s="1">
        <v>45785</v>
      </c>
      <c r="F1456" s="3">
        <v>45793</v>
      </c>
      <c r="G1456" t="s">
        <v>93</v>
      </c>
      <c r="H1456" t="s">
        <v>72</v>
      </c>
      <c r="I1456" t="s">
        <v>43</v>
      </c>
      <c r="J1456">
        <v>3624.75</v>
      </c>
      <c r="K1456">
        <v>8</v>
      </c>
      <c r="L1456" t="s">
        <v>36</v>
      </c>
      <c r="M1456" t="s">
        <v>25</v>
      </c>
      <c r="N1456" t="s">
        <v>55</v>
      </c>
      <c r="O1456" t="s">
        <v>56</v>
      </c>
      <c r="P1456" t="s">
        <v>38</v>
      </c>
      <c r="Q1456">
        <v>6</v>
      </c>
      <c r="R1456">
        <v>1160.68</v>
      </c>
      <c r="S1456" t="s">
        <v>29</v>
      </c>
    </row>
    <row r="1457" spans="1:19" x14ac:dyDescent="0.3">
      <c r="A1457" t="s">
        <v>1527</v>
      </c>
      <c r="B1457">
        <v>71</v>
      </c>
      <c r="C1457" t="s">
        <v>19</v>
      </c>
      <c r="D1457" t="s">
        <v>70</v>
      </c>
      <c r="E1457" s="1">
        <v>45406</v>
      </c>
      <c r="F1457" s="3">
        <v>45421</v>
      </c>
      <c r="G1457" t="s">
        <v>74</v>
      </c>
      <c r="H1457" t="s">
        <v>75</v>
      </c>
      <c r="I1457" t="s">
        <v>83</v>
      </c>
      <c r="J1457">
        <v>5494.78</v>
      </c>
      <c r="K1457">
        <v>15</v>
      </c>
      <c r="L1457" t="s">
        <v>36</v>
      </c>
      <c r="M1457" t="s">
        <v>59</v>
      </c>
      <c r="N1457" t="s">
        <v>44</v>
      </c>
      <c r="O1457" t="s">
        <v>27</v>
      </c>
      <c r="P1457" t="s">
        <v>28</v>
      </c>
      <c r="Q1457">
        <v>12</v>
      </c>
      <c r="R1457">
        <v>1295.22</v>
      </c>
      <c r="S1457" t="s">
        <v>29</v>
      </c>
    </row>
    <row r="1458" spans="1:19" x14ac:dyDescent="0.3">
      <c r="A1458" t="s">
        <v>1528</v>
      </c>
      <c r="B1458">
        <v>58</v>
      </c>
      <c r="C1458" t="s">
        <v>31</v>
      </c>
      <c r="D1458" t="s">
        <v>79</v>
      </c>
      <c r="E1458" s="1">
        <v>45546</v>
      </c>
      <c r="F1458" s="3">
        <v>45550</v>
      </c>
      <c r="G1458" t="s">
        <v>62</v>
      </c>
      <c r="H1458" t="s">
        <v>63</v>
      </c>
      <c r="I1458" t="s">
        <v>54</v>
      </c>
      <c r="J1458">
        <v>8711.1</v>
      </c>
      <c r="K1458">
        <v>4</v>
      </c>
      <c r="L1458" t="s">
        <v>24</v>
      </c>
      <c r="M1458" t="s">
        <v>25</v>
      </c>
      <c r="N1458" t="s">
        <v>26</v>
      </c>
      <c r="O1458" t="s">
        <v>49</v>
      </c>
      <c r="P1458" t="s">
        <v>28</v>
      </c>
      <c r="Q1458">
        <v>12</v>
      </c>
      <c r="R1458">
        <v>2063.4499999999998</v>
      </c>
      <c r="S1458" t="s">
        <v>39</v>
      </c>
    </row>
    <row r="1459" spans="1:19" x14ac:dyDescent="0.3">
      <c r="A1459" t="s">
        <v>1529</v>
      </c>
      <c r="B1459">
        <v>83</v>
      </c>
      <c r="C1459" t="s">
        <v>31</v>
      </c>
      <c r="D1459" t="s">
        <v>61</v>
      </c>
      <c r="E1459" s="1">
        <v>45901</v>
      </c>
      <c r="F1459" s="3">
        <v>45903</v>
      </c>
      <c r="G1459" t="s">
        <v>62</v>
      </c>
      <c r="H1459" t="s">
        <v>63</v>
      </c>
      <c r="I1459" t="s">
        <v>54</v>
      </c>
      <c r="J1459">
        <v>2867.92</v>
      </c>
      <c r="K1459">
        <v>2</v>
      </c>
      <c r="L1459" t="s">
        <v>24</v>
      </c>
      <c r="M1459" t="s">
        <v>25</v>
      </c>
      <c r="N1459" t="s">
        <v>44</v>
      </c>
      <c r="O1459" t="s">
        <v>37</v>
      </c>
      <c r="P1459" t="s">
        <v>45</v>
      </c>
      <c r="Q1459">
        <v>13</v>
      </c>
      <c r="R1459">
        <v>527.02</v>
      </c>
      <c r="S1459" t="s">
        <v>29</v>
      </c>
    </row>
    <row r="1460" spans="1:19" x14ac:dyDescent="0.3">
      <c r="A1460" t="s">
        <v>1530</v>
      </c>
      <c r="B1460">
        <v>54</v>
      </c>
      <c r="C1460" t="s">
        <v>31</v>
      </c>
      <c r="D1460" t="s">
        <v>70</v>
      </c>
      <c r="E1460" s="1">
        <v>45021</v>
      </c>
      <c r="F1460" s="3">
        <v>45023</v>
      </c>
      <c r="G1460" t="s">
        <v>52</v>
      </c>
      <c r="H1460" t="s">
        <v>53</v>
      </c>
      <c r="I1460" t="s">
        <v>23</v>
      </c>
      <c r="J1460">
        <v>3309.36</v>
      </c>
      <c r="K1460">
        <v>2</v>
      </c>
      <c r="L1460" t="s">
        <v>36</v>
      </c>
      <c r="M1460" t="s">
        <v>59</v>
      </c>
      <c r="N1460" t="s">
        <v>26</v>
      </c>
      <c r="O1460" t="s">
        <v>37</v>
      </c>
      <c r="P1460" t="s">
        <v>45</v>
      </c>
      <c r="Q1460">
        <v>6</v>
      </c>
      <c r="R1460">
        <v>655.27</v>
      </c>
      <c r="S1460" t="s">
        <v>29</v>
      </c>
    </row>
    <row r="1461" spans="1:19" x14ac:dyDescent="0.3">
      <c r="A1461" t="s">
        <v>1531</v>
      </c>
      <c r="B1461">
        <v>53</v>
      </c>
      <c r="C1461" t="s">
        <v>31</v>
      </c>
      <c r="D1461" t="s">
        <v>66</v>
      </c>
      <c r="E1461" s="1">
        <v>45383</v>
      </c>
      <c r="F1461" s="3">
        <v>45397</v>
      </c>
      <c r="G1461" t="s">
        <v>21</v>
      </c>
      <c r="H1461" t="s">
        <v>22</v>
      </c>
      <c r="I1461" t="s">
        <v>43</v>
      </c>
      <c r="J1461">
        <v>5056.3599999999997</v>
      </c>
      <c r="K1461">
        <v>14</v>
      </c>
      <c r="L1461" t="s">
        <v>24</v>
      </c>
      <c r="M1461" t="s">
        <v>25</v>
      </c>
      <c r="N1461" t="s">
        <v>44</v>
      </c>
      <c r="O1461" t="s">
        <v>37</v>
      </c>
      <c r="P1461" t="s">
        <v>38</v>
      </c>
      <c r="Q1461">
        <v>7</v>
      </c>
      <c r="R1461">
        <v>1524.75</v>
      </c>
      <c r="S1461" t="s">
        <v>29</v>
      </c>
    </row>
    <row r="1462" spans="1:19" x14ac:dyDescent="0.3">
      <c r="A1462" t="s">
        <v>1532</v>
      </c>
      <c r="B1462">
        <v>86</v>
      </c>
      <c r="C1462" t="s">
        <v>31</v>
      </c>
      <c r="D1462" t="s">
        <v>61</v>
      </c>
      <c r="E1462" s="1">
        <v>45052</v>
      </c>
      <c r="F1462" s="3">
        <v>45066</v>
      </c>
      <c r="G1462" t="s">
        <v>52</v>
      </c>
      <c r="H1462" t="s">
        <v>53</v>
      </c>
      <c r="I1462" t="s">
        <v>43</v>
      </c>
      <c r="J1462">
        <v>10829.74</v>
      </c>
      <c r="K1462">
        <v>14</v>
      </c>
      <c r="L1462" t="s">
        <v>36</v>
      </c>
      <c r="M1462" t="s">
        <v>25</v>
      </c>
      <c r="N1462" t="s">
        <v>26</v>
      </c>
      <c r="O1462" t="s">
        <v>27</v>
      </c>
      <c r="P1462" t="s">
        <v>45</v>
      </c>
      <c r="Q1462">
        <v>11</v>
      </c>
      <c r="R1462">
        <v>2493.5500000000002</v>
      </c>
      <c r="S1462" t="s">
        <v>29</v>
      </c>
    </row>
    <row r="1463" spans="1:19" x14ac:dyDescent="0.3">
      <c r="A1463" t="s">
        <v>1533</v>
      </c>
      <c r="B1463">
        <v>36</v>
      </c>
      <c r="C1463" t="s">
        <v>31</v>
      </c>
      <c r="D1463" t="s">
        <v>20</v>
      </c>
      <c r="E1463" s="1">
        <v>45206</v>
      </c>
      <c r="F1463" s="3">
        <v>45208</v>
      </c>
      <c r="G1463" t="s">
        <v>67</v>
      </c>
      <c r="H1463" t="s">
        <v>42</v>
      </c>
      <c r="I1463" t="s">
        <v>91</v>
      </c>
      <c r="J1463">
        <v>1801.99</v>
      </c>
      <c r="K1463">
        <v>2</v>
      </c>
      <c r="L1463" t="s">
        <v>24</v>
      </c>
      <c r="M1463" t="s">
        <v>25</v>
      </c>
      <c r="N1463" t="s">
        <v>55</v>
      </c>
      <c r="O1463" t="s">
        <v>56</v>
      </c>
      <c r="P1463" t="s">
        <v>28</v>
      </c>
      <c r="Q1463">
        <v>6</v>
      </c>
      <c r="R1463">
        <v>457.65</v>
      </c>
      <c r="S1463" t="s">
        <v>29</v>
      </c>
    </row>
    <row r="1464" spans="1:19" x14ac:dyDescent="0.3">
      <c r="A1464" t="s">
        <v>1534</v>
      </c>
      <c r="B1464">
        <v>55</v>
      </c>
      <c r="C1464" t="s">
        <v>19</v>
      </c>
      <c r="D1464" t="s">
        <v>66</v>
      </c>
      <c r="E1464" s="1">
        <v>45488</v>
      </c>
      <c r="F1464" s="3">
        <v>45510</v>
      </c>
      <c r="G1464" t="s">
        <v>62</v>
      </c>
      <c r="H1464" t="s">
        <v>63</v>
      </c>
      <c r="I1464" t="s">
        <v>58</v>
      </c>
      <c r="J1464">
        <v>14268.48</v>
      </c>
      <c r="K1464">
        <v>22</v>
      </c>
      <c r="L1464" t="s">
        <v>24</v>
      </c>
      <c r="M1464" t="s">
        <v>25</v>
      </c>
      <c r="N1464" t="s">
        <v>55</v>
      </c>
      <c r="O1464" t="s">
        <v>49</v>
      </c>
      <c r="P1464" t="s">
        <v>38</v>
      </c>
      <c r="Q1464">
        <v>10</v>
      </c>
      <c r="R1464">
        <v>2199.48</v>
      </c>
      <c r="S1464" t="s">
        <v>39</v>
      </c>
    </row>
    <row r="1465" spans="1:19" x14ac:dyDescent="0.3">
      <c r="A1465" t="s">
        <v>1535</v>
      </c>
      <c r="B1465">
        <v>55</v>
      </c>
      <c r="C1465" t="s">
        <v>19</v>
      </c>
      <c r="D1465" t="s">
        <v>61</v>
      </c>
      <c r="E1465" s="1">
        <v>45361</v>
      </c>
      <c r="F1465" s="3">
        <v>45364</v>
      </c>
      <c r="G1465" t="s">
        <v>48</v>
      </c>
      <c r="H1465" t="s">
        <v>22</v>
      </c>
      <c r="I1465" t="s">
        <v>81</v>
      </c>
      <c r="J1465">
        <v>4385.97</v>
      </c>
      <c r="K1465">
        <v>3</v>
      </c>
      <c r="L1465" t="s">
        <v>24</v>
      </c>
      <c r="M1465" t="s">
        <v>25</v>
      </c>
      <c r="N1465" t="s">
        <v>26</v>
      </c>
      <c r="O1465" t="s">
        <v>56</v>
      </c>
      <c r="P1465" t="s">
        <v>28</v>
      </c>
      <c r="Q1465">
        <v>3</v>
      </c>
      <c r="R1465">
        <v>682.9</v>
      </c>
      <c r="S1465" t="s">
        <v>29</v>
      </c>
    </row>
    <row r="1466" spans="1:19" x14ac:dyDescent="0.3">
      <c r="A1466" t="s">
        <v>1536</v>
      </c>
      <c r="B1466">
        <v>51</v>
      </c>
      <c r="C1466" t="s">
        <v>19</v>
      </c>
      <c r="D1466" t="s">
        <v>66</v>
      </c>
      <c r="E1466" s="1">
        <v>45866</v>
      </c>
      <c r="F1466" s="3">
        <v>45871</v>
      </c>
      <c r="G1466" t="s">
        <v>67</v>
      </c>
      <c r="H1466" t="s">
        <v>42</v>
      </c>
      <c r="I1466" t="s">
        <v>54</v>
      </c>
      <c r="J1466">
        <v>10056.82</v>
      </c>
      <c r="K1466">
        <v>5</v>
      </c>
      <c r="L1466" t="s">
        <v>36</v>
      </c>
      <c r="M1466" t="s">
        <v>59</v>
      </c>
      <c r="N1466" t="s">
        <v>55</v>
      </c>
      <c r="O1466" t="s">
        <v>49</v>
      </c>
      <c r="P1466" t="s">
        <v>38</v>
      </c>
      <c r="Q1466">
        <v>11</v>
      </c>
      <c r="R1466">
        <v>3595.57</v>
      </c>
      <c r="S1466" t="s">
        <v>29</v>
      </c>
    </row>
    <row r="1467" spans="1:19" x14ac:dyDescent="0.3">
      <c r="A1467" t="s">
        <v>1537</v>
      </c>
      <c r="B1467">
        <v>18</v>
      </c>
      <c r="C1467" t="s">
        <v>19</v>
      </c>
      <c r="D1467" t="s">
        <v>79</v>
      </c>
      <c r="E1467" s="1">
        <v>45750</v>
      </c>
      <c r="F1467" s="3">
        <v>45755</v>
      </c>
      <c r="G1467" t="s">
        <v>74</v>
      </c>
      <c r="H1467" t="s">
        <v>75</v>
      </c>
      <c r="I1467" t="s">
        <v>35</v>
      </c>
      <c r="J1467">
        <v>8313.4</v>
      </c>
      <c r="K1467">
        <v>5</v>
      </c>
      <c r="L1467" t="s">
        <v>36</v>
      </c>
      <c r="M1467" t="s">
        <v>25</v>
      </c>
      <c r="N1467" t="s">
        <v>26</v>
      </c>
      <c r="O1467" t="s">
        <v>49</v>
      </c>
      <c r="P1467" t="s">
        <v>38</v>
      </c>
      <c r="Q1467">
        <v>13</v>
      </c>
      <c r="R1467">
        <v>1519.47</v>
      </c>
      <c r="S1467" t="s">
        <v>39</v>
      </c>
    </row>
    <row r="1468" spans="1:19" x14ac:dyDescent="0.3">
      <c r="A1468" t="s">
        <v>1538</v>
      </c>
      <c r="B1468">
        <v>55</v>
      </c>
      <c r="C1468" t="s">
        <v>19</v>
      </c>
      <c r="D1468" t="s">
        <v>79</v>
      </c>
      <c r="E1468" s="1">
        <v>44962</v>
      </c>
      <c r="F1468" s="3">
        <v>44977</v>
      </c>
      <c r="G1468" t="s">
        <v>71</v>
      </c>
      <c r="H1468" t="s">
        <v>72</v>
      </c>
      <c r="I1468" t="s">
        <v>54</v>
      </c>
      <c r="J1468">
        <v>7545.23</v>
      </c>
      <c r="K1468">
        <v>15</v>
      </c>
      <c r="L1468" t="s">
        <v>24</v>
      </c>
      <c r="M1468" t="s">
        <v>25</v>
      </c>
      <c r="N1468" t="s">
        <v>55</v>
      </c>
      <c r="O1468" t="s">
        <v>27</v>
      </c>
      <c r="P1468" t="s">
        <v>45</v>
      </c>
      <c r="Q1468">
        <v>12</v>
      </c>
      <c r="R1468">
        <v>2131.0100000000002</v>
      </c>
      <c r="S1468" t="s">
        <v>29</v>
      </c>
    </row>
    <row r="1469" spans="1:19" x14ac:dyDescent="0.3">
      <c r="A1469" t="s">
        <v>1539</v>
      </c>
      <c r="B1469">
        <v>89</v>
      </c>
      <c r="C1469" t="s">
        <v>31</v>
      </c>
      <c r="D1469" t="s">
        <v>70</v>
      </c>
      <c r="E1469" s="1">
        <v>45016</v>
      </c>
      <c r="F1469" s="3">
        <v>45025</v>
      </c>
      <c r="G1469" t="s">
        <v>21</v>
      </c>
      <c r="H1469" t="s">
        <v>22</v>
      </c>
      <c r="I1469" t="s">
        <v>35</v>
      </c>
      <c r="J1469">
        <v>6574.51</v>
      </c>
      <c r="K1469">
        <v>9</v>
      </c>
      <c r="L1469" t="s">
        <v>24</v>
      </c>
      <c r="M1469" t="s">
        <v>101</v>
      </c>
      <c r="N1469" t="s">
        <v>55</v>
      </c>
      <c r="O1469" t="s">
        <v>56</v>
      </c>
      <c r="P1469" t="s">
        <v>38</v>
      </c>
      <c r="Q1469">
        <v>2</v>
      </c>
      <c r="R1469">
        <v>1021.1</v>
      </c>
      <c r="S1469" t="s">
        <v>29</v>
      </c>
    </row>
    <row r="1470" spans="1:19" x14ac:dyDescent="0.3">
      <c r="A1470" t="s">
        <v>1540</v>
      </c>
      <c r="B1470">
        <v>75</v>
      </c>
      <c r="C1470" t="s">
        <v>31</v>
      </c>
      <c r="D1470" t="s">
        <v>66</v>
      </c>
      <c r="E1470" s="1">
        <v>45894</v>
      </c>
      <c r="F1470" s="3">
        <v>45899</v>
      </c>
      <c r="G1470" t="s">
        <v>74</v>
      </c>
      <c r="H1470" t="s">
        <v>75</v>
      </c>
      <c r="I1470" t="s">
        <v>54</v>
      </c>
      <c r="J1470">
        <v>4829.37</v>
      </c>
      <c r="K1470">
        <v>5</v>
      </c>
      <c r="L1470" t="s">
        <v>36</v>
      </c>
      <c r="M1470" t="s">
        <v>25</v>
      </c>
      <c r="N1470" t="s">
        <v>55</v>
      </c>
      <c r="O1470" t="s">
        <v>56</v>
      </c>
      <c r="P1470" t="s">
        <v>38</v>
      </c>
      <c r="Q1470">
        <v>14</v>
      </c>
      <c r="R1470">
        <v>1143.4000000000001</v>
      </c>
      <c r="S1470" t="s">
        <v>39</v>
      </c>
    </row>
    <row r="1471" spans="1:19" x14ac:dyDescent="0.3">
      <c r="A1471" t="s">
        <v>1541</v>
      </c>
      <c r="B1471">
        <v>65</v>
      </c>
      <c r="C1471" t="s">
        <v>19</v>
      </c>
      <c r="D1471" t="s">
        <v>20</v>
      </c>
      <c r="E1471" s="1">
        <v>45372</v>
      </c>
      <c r="F1471" s="3">
        <v>45387</v>
      </c>
      <c r="G1471" t="s">
        <v>93</v>
      </c>
      <c r="H1471" t="s">
        <v>72</v>
      </c>
      <c r="I1471" t="s">
        <v>91</v>
      </c>
      <c r="J1471">
        <v>13447.08</v>
      </c>
      <c r="K1471">
        <v>15</v>
      </c>
      <c r="L1471" t="s">
        <v>36</v>
      </c>
      <c r="M1471" t="s">
        <v>59</v>
      </c>
      <c r="N1471" t="s">
        <v>26</v>
      </c>
      <c r="O1471" t="s">
        <v>49</v>
      </c>
      <c r="P1471" t="s">
        <v>45</v>
      </c>
      <c r="Q1471">
        <v>4</v>
      </c>
      <c r="R1471">
        <v>4920.22</v>
      </c>
      <c r="S1471" t="s">
        <v>29</v>
      </c>
    </row>
    <row r="1472" spans="1:19" x14ac:dyDescent="0.3">
      <c r="A1472" t="s">
        <v>1542</v>
      </c>
      <c r="B1472">
        <v>62</v>
      </c>
      <c r="C1472" t="s">
        <v>31</v>
      </c>
      <c r="D1472" t="s">
        <v>20</v>
      </c>
      <c r="E1472" s="1">
        <v>45779</v>
      </c>
      <c r="F1472" s="3">
        <v>45789</v>
      </c>
      <c r="G1472" t="s">
        <v>67</v>
      </c>
      <c r="H1472" t="s">
        <v>42</v>
      </c>
      <c r="I1472" t="s">
        <v>81</v>
      </c>
      <c r="J1472">
        <v>8807.74</v>
      </c>
      <c r="K1472">
        <v>10</v>
      </c>
      <c r="L1472" t="s">
        <v>24</v>
      </c>
      <c r="M1472" t="s">
        <v>25</v>
      </c>
      <c r="N1472" t="s">
        <v>55</v>
      </c>
      <c r="O1472" t="s">
        <v>49</v>
      </c>
      <c r="P1472" t="s">
        <v>50</v>
      </c>
      <c r="Q1472">
        <v>8</v>
      </c>
      <c r="R1472">
        <v>1769.27</v>
      </c>
      <c r="S1472" t="s">
        <v>39</v>
      </c>
    </row>
    <row r="1473" spans="1:19" x14ac:dyDescent="0.3">
      <c r="A1473" t="s">
        <v>1543</v>
      </c>
      <c r="B1473">
        <v>79</v>
      </c>
      <c r="C1473" t="s">
        <v>31</v>
      </c>
      <c r="D1473" t="s">
        <v>70</v>
      </c>
      <c r="E1473" s="1">
        <v>45018</v>
      </c>
      <c r="F1473" s="3">
        <v>45033</v>
      </c>
      <c r="G1473" t="s">
        <v>41</v>
      </c>
      <c r="H1473" t="s">
        <v>42</v>
      </c>
      <c r="I1473" t="s">
        <v>58</v>
      </c>
      <c r="J1473">
        <v>5324.72</v>
      </c>
      <c r="K1473">
        <v>15</v>
      </c>
      <c r="L1473" t="s">
        <v>24</v>
      </c>
      <c r="M1473" t="s">
        <v>25</v>
      </c>
      <c r="N1473" t="s">
        <v>26</v>
      </c>
      <c r="O1473" t="s">
        <v>56</v>
      </c>
      <c r="P1473" t="s">
        <v>38</v>
      </c>
      <c r="Q1473">
        <v>8</v>
      </c>
      <c r="R1473">
        <v>1815.5</v>
      </c>
      <c r="S1473" t="s">
        <v>39</v>
      </c>
    </row>
    <row r="1474" spans="1:19" x14ac:dyDescent="0.3">
      <c r="A1474" t="s">
        <v>1544</v>
      </c>
      <c r="B1474">
        <v>35</v>
      </c>
      <c r="C1474" t="s">
        <v>31</v>
      </c>
      <c r="D1474" t="s">
        <v>79</v>
      </c>
      <c r="E1474" s="1">
        <v>45388</v>
      </c>
      <c r="F1474" s="3">
        <v>45394</v>
      </c>
      <c r="G1474" t="s">
        <v>41</v>
      </c>
      <c r="H1474" t="s">
        <v>42</v>
      </c>
      <c r="I1474" t="s">
        <v>35</v>
      </c>
      <c r="J1474">
        <v>4565.6499999999996</v>
      </c>
      <c r="K1474">
        <v>6</v>
      </c>
      <c r="L1474" t="s">
        <v>24</v>
      </c>
      <c r="M1474" t="s">
        <v>25</v>
      </c>
      <c r="N1474" t="s">
        <v>55</v>
      </c>
      <c r="O1474" t="s">
        <v>37</v>
      </c>
      <c r="P1474" t="s">
        <v>50</v>
      </c>
      <c r="Q1474">
        <v>13</v>
      </c>
      <c r="R1474">
        <v>981.29</v>
      </c>
      <c r="S1474" t="s">
        <v>29</v>
      </c>
    </row>
    <row r="1475" spans="1:19" x14ac:dyDescent="0.3">
      <c r="A1475" t="s">
        <v>1545</v>
      </c>
      <c r="B1475">
        <v>38</v>
      </c>
      <c r="C1475" t="s">
        <v>31</v>
      </c>
      <c r="D1475" t="s">
        <v>89</v>
      </c>
      <c r="E1475" s="1">
        <v>44967</v>
      </c>
      <c r="F1475" s="3">
        <v>44982</v>
      </c>
      <c r="G1475" t="s">
        <v>52</v>
      </c>
      <c r="H1475" t="s">
        <v>53</v>
      </c>
      <c r="I1475" t="s">
        <v>83</v>
      </c>
      <c r="J1475">
        <v>10148.85</v>
      </c>
      <c r="K1475">
        <v>15</v>
      </c>
      <c r="L1475" t="s">
        <v>36</v>
      </c>
      <c r="M1475" t="s">
        <v>25</v>
      </c>
      <c r="N1475" t="s">
        <v>44</v>
      </c>
      <c r="O1475" t="s">
        <v>37</v>
      </c>
      <c r="P1475" t="s">
        <v>38</v>
      </c>
      <c r="Q1475">
        <v>10</v>
      </c>
      <c r="R1475">
        <v>3572.86</v>
      </c>
      <c r="S1475" t="s">
        <v>29</v>
      </c>
    </row>
    <row r="1476" spans="1:19" x14ac:dyDescent="0.3">
      <c r="A1476" t="s">
        <v>1546</v>
      </c>
      <c r="B1476">
        <v>60</v>
      </c>
      <c r="C1476" t="s">
        <v>19</v>
      </c>
      <c r="D1476" t="s">
        <v>47</v>
      </c>
      <c r="E1476" s="1">
        <v>45493</v>
      </c>
      <c r="F1476" s="3">
        <v>45514</v>
      </c>
      <c r="G1476" t="s">
        <v>52</v>
      </c>
      <c r="H1476" t="s">
        <v>53</v>
      </c>
      <c r="I1476" t="s">
        <v>83</v>
      </c>
      <c r="J1476">
        <v>11922.52</v>
      </c>
      <c r="K1476">
        <v>21</v>
      </c>
      <c r="L1476" t="s">
        <v>24</v>
      </c>
      <c r="M1476" t="s">
        <v>25</v>
      </c>
      <c r="N1476" t="s">
        <v>55</v>
      </c>
      <c r="O1476" t="s">
        <v>49</v>
      </c>
      <c r="P1476" t="s">
        <v>28</v>
      </c>
      <c r="Q1476">
        <v>11</v>
      </c>
      <c r="R1476">
        <v>1948.05</v>
      </c>
      <c r="S1476" t="s">
        <v>29</v>
      </c>
    </row>
    <row r="1477" spans="1:19" x14ac:dyDescent="0.3">
      <c r="A1477" t="s">
        <v>1547</v>
      </c>
      <c r="B1477">
        <v>67</v>
      </c>
      <c r="C1477" t="s">
        <v>31</v>
      </c>
      <c r="D1477" t="s">
        <v>79</v>
      </c>
      <c r="E1477" s="1">
        <v>45376</v>
      </c>
      <c r="F1477" s="3">
        <v>45393</v>
      </c>
      <c r="G1477" t="s">
        <v>52</v>
      </c>
      <c r="H1477" t="s">
        <v>53</v>
      </c>
      <c r="I1477" t="s">
        <v>23</v>
      </c>
      <c r="J1477">
        <v>7831.9</v>
      </c>
      <c r="K1477">
        <v>17</v>
      </c>
      <c r="L1477" t="s">
        <v>36</v>
      </c>
      <c r="M1477" t="s">
        <v>25</v>
      </c>
      <c r="N1477" t="s">
        <v>55</v>
      </c>
      <c r="O1477" t="s">
        <v>27</v>
      </c>
      <c r="P1477" t="s">
        <v>45</v>
      </c>
      <c r="Q1477">
        <v>13</v>
      </c>
      <c r="R1477">
        <v>2578.9699999999998</v>
      </c>
      <c r="S1477" t="s">
        <v>39</v>
      </c>
    </row>
    <row r="1478" spans="1:19" x14ac:dyDescent="0.3">
      <c r="A1478" t="s">
        <v>1548</v>
      </c>
      <c r="B1478">
        <v>34</v>
      </c>
      <c r="C1478" t="s">
        <v>19</v>
      </c>
      <c r="D1478" t="s">
        <v>47</v>
      </c>
      <c r="E1478" s="1">
        <v>45760</v>
      </c>
      <c r="F1478" s="3">
        <v>45769</v>
      </c>
      <c r="G1478" t="s">
        <v>41</v>
      </c>
      <c r="H1478" t="s">
        <v>42</v>
      </c>
      <c r="I1478" t="s">
        <v>43</v>
      </c>
      <c r="J1478">
        <v>4588.62</v>
      </c>
      <c r="K1478">
        <v>9</v>
      </c>
      <c r="L1478" t="s">
        <v>36</v>
      </c>
      <c r="M1478" t="s">
        <v>25</v>
      </c>
      <c r="N1478" t="s">
        <v>44</v>
      </c>
      <c r="O1478" t="s">
        <v>27</v>
      </c>
      <c r="P1478" t="s">
        <v>28</v>
      </c>
      <c r="Q1478">
        <v>10</v>
      </c>
      <c r="R1478">
        <v>1760.67</v>
      </c>
      <c r="S1478" t="s">
        <v>29</v>
      </c>
    </row>
    <row r="1479" spans="1:19" x14ac:dyDescent="0.3">
      <c r="A1479" t="s">
        <v>1549</v>
      </c>
      <c r="B1479">
        <v>29</v>
      </c>
      <c r="C1479" t="s">
        <v>19</v>
      </c>
      <c r="D1479" t="s">
        <v>70</v>
      </c>
      <c r="E1479" s="1">
        <v>45211</v>
      </c>
      <c r="F1479" s="3">
        <v>45226</v>
      </c>
      <c r="G1479" t="s">
        <v>33</v>
      </c>
      <c r="H1479" t="s">
        <v>34</v>
      </c>
      <c r="I1479" t="s">
        <v>43</v>
      </c>
      <c r="J1479">
        <v>11372.47</v>
      </c>
      <c r="K1479">
        <v>15</v>
      </c>
      <c r="L1479" t="s">
        <v>36</v>
      </c>
      <c r="M1479" t="s">
        <v>25</v>
      </c>
      <c r="N1479" t="s">
        <v>26</v>
      </c>
      <c r="O1479" t="s">
        <v>49</v>
      </c>
      <c r="P1479" t="s">
        <v>45</v>
      </c>
      <c r="Q1479">
        <v>9</v>
      </c>
      <c r="R1479">
        <v>3351.15</v>
      </c>
      <c r="S1479" t="s">
        <v>39</v>
      </c>
    </row>
    <row r="1480" spans="1:19" x14ac:dyDescent="0.3">
      <c r="A1480" t="s">
        <v>1550</v>
      </c>
      <c r="B1480">
        <v>52</v>
      </c>
      <c r="C1480" t="s">
        <v>19</v>
      </c>
      <c r="D1480" t="s">
        <v>70</v>
      </c>
      <c r="E1480" s="1">
        <v>45504</v>
      </c>
      <c r="F1480" s="3">
        <v>45526</v>
      </c>
      <c r="G1480" t="s">
        <v>33</v>
      </c>
      <c r="H1480" t="s">
        <v>34</v>
      </c>
      <c r="I1480" t="s">
        <v>54</v>
      </c>
      <c r="J1480">
        <v>10388.77</v>
      </c>
      <c r="K1480">
        <v>22</v>
      </c>
      <c r="L1480" t="s">
        <v>24</v>
      </c>
      <c r="M1480" t="s">
        <v>59</v>
      </c>
      <c r="N1480" t="s">
        <v>55</v>
      </c>
      <c r="O1480" t="s">
        <v>49</v>
      </c>
      <c r="P1480" t="s">
        <v>50</v>
      </c>
      <c r="Q1480">
        <v>14</v>
      </c>
      <c r="R1480">
        <v>3807.05</v>
      </c>
      <c r="S1480" t="s">
        <v>29</v>
      </c>
    </row>
    <row r="1481" spans="1:19" x14ac:dyDescent="0.3">
      <c r="A1481" t="s">
        <v>1551</v>
      </c>
      <c r="B1481">
        <v>24</v>
      </c>
      <c r="C1481" t="s">
        <v>31</v>
      </c>
      <c r="D1481" t="s">
        <v>47</v>
      </c>
      <c r="E1481" s="1">
        <v>45857</v>
      </c>
      <c r="F1481" s="3">
        <v>45879</v>
      </c>
      <c r="G1481" t="s">
        <v>48</v>
      </c>
      <c r="H1481" t="s">
        <v>22</v>
      </c>
      <c r="I1481" t="s">
        <v>54</v>
      </c>
      <c r="J1481">
        <v>11819.7</v>
      </c>
      <c r="K1481">
        <v>22</v>
      </c>
      <c r="L1481" t="s">
        <v>24</v>
      </c>
      <c r="M1481" t="s">
        <v>25</v>
      </c>
      <c r="N1481" t="s">
        <v>44</v>
      </c>
      <c r="O1481" t="s">
        <v>49</v>
      </c>
      <c r="P1481" t="s">
        <v>45</v>
      </c>
      <c r="Q1481">
        <v>5</v>
      </c>
      <c r="R1481">
        <v>2210.58</v>
      </c>
      <c r="S1481" t="s">
        <v>29</v>
      </c>
    </row>
    <row r="1482" spans="1:19" x14ac:dyDescent="0.3">
      <c r="A1482" t="s">
        <v>1552</v>
      </c>
      <c r="B1482">
        <v>26</v>
      </c>
      <c r="C1482" t="s">
        <v>19</v>
      </c>
      <c r="D1482" t="s">
        <v>70</v>
      </c>
      <c r="E1482" s="1">
        <v>45817</v>
      </c>
      <c r="F1482" s="3">
        <v>45830</v>
      </c>
      <c r="G1482" t="s">
        <v>67</v>
      </c>
      <c r="H1482" t="s">
        <v>42</v>
      </c>
      <c r="I1482" t="s">
        <v>23</v>
      </c>
      <c r="J1482">
        <v>15662.33</v>
      </c>
      <c r="K1482">
        <v>13</v>
      </c>
      <c r="L1482" t="s">
        <v>36</v>
      </c>
      <c r="M1482" t="s">
        <v>59</v>
      </c>
      <c r="N1482" t="s">
        <v>44</v>
      </c>
      <c r="O1482" t="s">
        <v>49</v>
      </c>
      <c r="P1482" t="s">
        <v>50</v>
      </c>
      <c r="Q1482">
        <v>15</v>
      </c>
      <c r="R1482">
        <v>4765.5200000000004</v>
      </c>
      <c r="S1482" t="s">
        <v>39</v>
      </c>
    </row>
    <row r="1483" spans="1:19" x14ac:dyDescent="0.3">
      <c r="A1483" t="s">
        <v>1553</v>
      </c>
      <c r="B1483">
        <v>69</v>
      </c>
      <c r="C1483" t="s">
        <v>19</v>
      </c>
      <c r="D1483" t="s">
        <v>20</v>
      </c>
      <c r="E1483" s="1">
        <v>45030</v>
      </c>
      <c r="F1483" s="3">
        <v>45044</v>
      </c>
      <c r="G1483" t="s">
        <v>67</v>
      </c>
      <c r="H1483" t="s">
        <v>42</v>
      </c>
      <c r="I1483" t="s">
        <v>81</v>
      </c>
      <c r="J1483">
        <v>12725.54</v>
      </c>
      <c r="K1483">
        <v>14</v>
      </c>
      <c r="L1483" t="s">
        <v>24</v>
      </c>
      <c r="M1483" t="s">
        <v>25</v>
      </c>
      <c r="N1483" t="s">
        <v>55</v>
      </c>
      <c r="O1483" t="s">
        <v>37</v>
      </c>
      <c r="P1483" t="s">
        <v>28</v>
      </c>
      <c r="Q1483">
        <v>13</v>
      </c>
      <c r="R1483">
        <v>3936.37</v>
      </c>
      <c r="S1483" t="s">
        <v>29</v>
      </c>
    </row>
    <row r="1484" spans="1:19" x14ac:dyDescent="0.3">
      <c r="A1484" t="s">
        <v>1554</v>
      </c>
      <c r="B1484">
        <v>83</v>
      </c>
      <c r="C1484" t="s">
        <v>19</v>
      </c>
      <c r="D1484" t="s">
        <v>66</v>
      </c>
      <c r="E1484" s="1">
        <v>45573</v>
      </c>
      <c r="F1484" s="3">
        <v>45585</v>
      </c>
      <c r="G1484" t="s">
        <v>62</v>
      </c>
      <c r="H1484" t="s">
        <v>63</v>
      </c>
      <c r="I1484" t="s">
        <v>81</v>
      </c>
      <c r="J1484">
        <v>6983.47</v>
      </c>
      <c r="K1484">
        <v>12</v>
      </c>
      <c r="L1484" t="s">
        <v>36</v>
      </c>
      <c r="M1484" t="s">
        <v>25</v>
      </c>
      <c r="N1484" t="s">
        <v>44</v>
      </c>
      <c r="O1484" t="s">
        <v>27</v>
      </c>
      <c r="P1484" t="s">
        <v>50</v>
      </c>
      <c r="Q1484">
        <v>2</v>
      </c>
      <c r="R1484">
        <v>1922.39</v>
      </c>
      <c r="S1484" t="s">
        <v>29</v>
      </c>
    </row>
    <row r="1485" spans="1:19" x14ac:dyDescent="0.3">
      <c r="A1485" t="s">
        <v>1555</v>
      </c>
      <c r="B1485">
        <v>59</v>
      </c>
      <c r="C1485" t="s">
        <v>31</v>
      </c>
      <c r="D1485" t="s">
        <v>66</v>
      </c>
      <c r="E1485" s="1">
        <v>45390</v>
      </c>
      <c r="F1485" s="3">
        <v>45401</v>
      </c>
      <c r="G1485" t="s">
        <v>52</v>
      </c>
      <c r="H1485" t="s">
        <v>53</v>
      </c>
      <c r="I1485" t="s">
        <v>83</v>
      </c>
      <c r="J1485">
        <v>5599.95</v>
      </c>
      <c r="K1485">
        <v>11</v>
      </c>
      <c r="L1485" t="s">
        <v>36</v>
      </c>
      <c r="M1485" t="s">
        <v>59</v>
      </c>
      <c r="N1485" t="s">
        <v>55</v>
      </c>
      <c r="O1485" t="s">
        <v>27</v>
      </c>
      <c r="P1485" t="s">
        <v>45</v>
      </c>
      <c r="Q1485">
        <v>3</v>
      </c>
      <c r="R1485">
        <v>1209.4000000000001</v>
      </c>
      <c r="S1485" t="s">
        <v>29</v>
      </c>
    </row>
    <row r="1486" spans="1:19" x14ac:dyDescent="0.3">
      <c r="A1486" t="s">
        <v>1556</v>
      </c>
      <c r="B1486">
        <v>87</v>
      </c>
      <c r="C1486" t="s">
        <v>19</v>
      </c>
      <c r="D1486" t="s">
        <v>70</v>
      </c>
      <c r="E1486" s="1">
        <v>45768</v>
      </c>
      <c r="F1486" s="3">
        <v>45774</v>
      </c>
      <c r="G1486" t="s">
        <v>71</v>
      </c>
      <c r="H1486" t="s">
        <v>72</v>
      </c>
      <c r="I1486" t="s">
        <v>54</v>
      </c>
      <c r="J1486">
        <v>4130.47</v>
      </c>
      <c r="K1486">
        <v>6</v>
      </c>
      <c r="L1486" t="s">
        <v>24</v>
      </c>
      <c r="M1486" t="s">
        <v>101</v>
      </c>
      <c r="N1486" t="s">
        <v>26</v>
      </c>
      <c r="O1486" t="s">
        <v>56</v>
      </c>
      <c r="P1486" t="s">
        <v>45</v>
      </c>
      <c r="Q1486">
        <v>10</v>
      </c>
      <c r="R1486">
        <v>837.53</v>
      </c>
      <c r="S1486" t="s">
        <v>29</v>
      </c>
    </row>
    <row r="1487" spans="1:19" x14ac:dyDescent="0.3">
      <c r="A1487" t="s">
        <v>1557</v>
      </c>
      <c r="B1487">
        <v>24</v>
      </c>
      <c r="C1487" t="s">
        <v>31</v>
      </c>
      <c r="D1487" t="s">
        <v>66</v>
      </c>
      <c r="E1487" s="1">
        <v>45810</v>
      </c>
      <c r="F1487" s="3">
        <v>45820</v>
      </c>
      <c r="G1487" t="s">
        <v>33</v>
      </c>
      <c r="H1487" t="s">
        <v>34</v>
      </c>
      <c r="I1487" t="s">
        <v>81</v>
      </c>
      <c r="J1487">
        <v>8955.06</v>
      </c>
      <c r="K1487">
        <v>10</v>
      </c>
      <c r="L1487" t="s">
        <v>36</v>
      </c>
      <c r="M1487" t="s">
        <v>25</v>
      </c>
      <c r="N1487" t="s">
        <v>26</v>
      </c>
      <c r="O1487" t="s">
        <v>56</v>
      </c>
      <c r="P1487" t="s">
        <v>50</v>
      </c>
      <c r="Q1487">
        <v>6</v>
      </c>
      <c r="R1487">
        <v>3574.13</v>
      </c>
      <c r="S1487" t="s">
        <v>29</v>
      </c>
    </row>
    <row r="1488" spans="1:19" x14ac:dyDescent="0.3">
      <c r="A1488" t="s">
        <v>1558</v>
      </c>
      <c r="B1488">
        <v>67</v>
      </c>
      <c r="C1488" t="s">
        <v>19</v>
      </c>
      <c r="D1488" t="s">
        <v>66</v>
      </c>
      <c r="E1488" s="1">
        <v>45050</v>
      </c>
      <c r="F1488" s="3">
        <v>45052</v>
      </c>
      <c r="G1488" t="s">
        <v>71</v>
      </c>
      <c r="H1488" t="s">
        <v>72</v>
      </c>
      <c r="I1488" t="s">
        <v>91</v>
      </c>
      <c r="J1488">
        <v>2251.42</v>
      </c>
      <c r="K1488">
        <v>2</v>
      </c>
      <c r="L1488" t="s">
        <v>24</v>
      </c>
      <c r="M1488" t="s">
        <v>25</v>
      </c>
      <c r="N1488" t="s">
        <v>44</v>
      </c>
      <c r="O1488" t="s">
        <v>56</v>
      </c>
      <c r="P1488" t="s">
        <v>28</v>
      </c>
      <c r="Q1488">
        <v>11</v>
      </c>
      <c r="R1488">
        <v>826.09</v>
      </c>
      <c r="S1488" t="s">
        <v>29</v>
      </c>
    </row>
    <row r="1489" spans="1:19" x14ac:dyDescent="0.3">
      <c r="A1489" t="s">
        <v>1559</v>
      </c>
      <c r="B1489">
        <v>85</v>
      </c>
      <c r="C1489" t="s">
        <v>31</v>
      </c>
      <c r="D1489" t="s">
        <v>32</v>
      </c>
      <c r="E1489" s="1">
        <v>45068</v>
      </c>
      <c r="F1489" s="3">
        <v>45075</v>
      </c>
      <c r="G1489" t="s">
        <v>21</v>
      </c>
      <c r="H1489" t="s">
        <v>22</v>
      </c>
      <c r="I1489" t="s">
        <v>83</v>
      </c>
      <c r="J1489">
        <v>9321.19</v>
      </c>
      <c r="K1489">
        <v>7</v>
      </c>
      <c r="L1489" t="s">
        <v>24</v>
      </c>
      <c r="M1489" t="s">
        <v>25</v>
      </c>
      <c r="N1489" t="s">
        <v>55</v>
      </c>
      <c r="O1489" t="s">
        <v>49</v>
      </c>
      <c r="P1489" t="s">
        <v>38</v>
      </c>
      <c r="Q1489">
        <v>13</v>
      </c>
      <c r="R1489">
        <v>2579.6</v>
      </c>
      <c r="S1489" t="s">
        <v>29</v>
      </c>
    </row>
    <row r="1490" spans="1:19" x14ac:dyDescent="0.3">
      <c r="A1490" t="s">
        <v>1560</v>
      </c>
      <c r="B1490">
        <v>44</v>
      </c>
      <c r="C1490" t="s">
        <v>31</v>
      </c>
      <c r="D1490" t="s">
        <v>47</v>
      </c>
      <c r="E1490" s="1">
        <v>44968</v>
      </c>
      <c r="F1490" s="3">
        <v>44986</v>
      </c>
      <c r="G1490" t="s">
        <v>33</v>
      </c>
      <c r="H1490" t="s">
        <v>34</v>
      </c>
      <c r="I1490" t="s">
        <v>23</v>
      </c>
      <c r="J1490">
        <v>5355.49</v>
      </c>
      <c r="K1490">
        <v>18</v>
      </c>
      <c r="L1490" t="s">
        <v>24</v>
      </c>
      <c r="M1490" t="s">
        <v>25</v>
      </c>
      <c r="N1490" t="s">
        <v>26</v>
      </c>
      <c r="O1490" t="s">
        <v>56</v>
      </c>
      <c r="P1490" t="s">
        <v>45</v>
      </c>
      <c r="Q1490">
        <v>13</v>
      </c>
      <c r="R1490">
        <v>1753.59</v>
      </c>
      <c r="S1490" t="s">
        <v>29</v>
      </c>
    </row>
    <row r="1491" spans="1:19" x14ac:dyDescent="0.3">
      <c r="A1491" t="s">
        <v>1561</v>
      </c>
      <c r="B1491">
        <v>72</v>
      </c>
      <c r="C1491" t="s">
        <v>31</v>
      </c>
      <c r="D1491" t="s">
        <v>32</v>
      </c>
      <c r="E1491" s="1">
        <v>45290</v>
      </c>
      <c r="F1491" s="3">
        <v>45305</v>
      </c>
      <c r="G1491" t="s">
        <v>21</v>
      </c>
      <c r="H1491" t="s">
        <v>22</v>
      </c>
      <c r="I1491" t="s">
        <v>83</v>
      </c>
      <c r="J1491">
        <v>11082.1</v>
      </c>
      <c r="K1491">
        <v>15</v>
      </c>
      <c r="L1491" t="s">
        <v>24</v>
      </c>
      <c r="M1491" t="s">
        <v>25</v>
      </c>
      <c r="N1491" t="s">
        <v>44</v>
      </c>
      <c r="O1491" t="s">
        <v>27</v>
      </c>
      <c r="P1491" t="s">
        <v>38</v>
      </c>
      <c r="Q1491">
        <v>2</v>
      </c>
      <c r="R1491">
        <v>4093.76</v>
      </c>
      <c r="S1491" t="s">
        <v>29</v>
      </c>
    </row>
    <row r="1492" spans="1:19" x14ac:dyDescent="0.3">
      <c r="A1492" t="s">
        <v>1562</v>
      </c>
      <c r="B1492">
        <v>89</v>
      </c>
      <c r="C1492" t="s">
        <v>19</v>
      </c>
      <c r="D1492" t="s">
        <v>47</v>
      </c>
      <c r="E1492" s="1">
        <v>45237</v>
      </c>
      <c r="F1492" s="3">
        <v>45251</v>
      </c>
      <c r="G1492" t="s">
        <v>62</v>
      </c>
      <c r="H1492" t="s">
        <v>63</v>
      </c>
      <c r="I1492" t="s">
        <v>35</v>
      </c>
      <c r="J1492">
        <v>3783.49</v>
      </c>
      <c r="K1492">
        <v>14</v>
      </c>
      <c r="L1492" t="s">
        <v>24</v>
      </c>
      <c r="M1492" t="s">
        <v>25</v>
      </c>
      <c r="N1492" t="s">
        <v>44</v>
      </c>
      <c r="O1492" t="s">
        <v>56</v>
      </c>
      <c r="P1492" t="s">
        <v>38</v>
      </c>
      <c r="Q1492">
        <v>12</v>
      </c>
      <c r="R1492">
        <v>928.28</v>
      </c>
      <c r="S1492" t="s">
        <v>29</v>
      </c>
    </row>
    <row r="1493" spans="1:19" x14ac:dyDescent="0.3">
      <c r="A1493" t="s">
        <v>1563</v>
      </c>
      <c r="B1493">
        <v>75</v>
      </c>
      <c r="C1493" t="s">
        <v>31</v>
      </c>
      <c r="D1493" t="s">
        <v>89</v>
      </c>
      <c r="E1493" s="1">
        <v>45155</v>
      </c>
      <c r="F1493" s="3">
        <v>45166</v>
      </c>
      <c r="G1493" t="s">
        <v>62</v>
      </c>
      <c r="H1493" t="s">
        <v>63</v>
      </c>
      <c r="I1493" t="s">
        <v>91</v>
      </c>
      <c r="J1493">
        <v>2765.67</v>
      </c>
      <c r="K1493">
        <v>11</v>
      </c>
      <c r="L1493" t="s">
        <v>24</v>
      </c>
      <c r="M1493" t="s">
        <v>25</v>
      </c>
      <c r="N1493" t="s">
        <v>44</v>
      </c>
      <c r="O1493" t="s">
        <v>27</v>
      </c>
      <c r="P1493" t="s">
        <v>45</v>
      </c>
      <c r="Q1493">
        <v>14</v>
      </c>
      <c r="R1493">
        <v>652.54999999999995</v>
      </c>
      <c r="S1493" t="s">
        <v>29</v>
      </c>
    </row>
    <row r="1494" spans="1:19" x14ac:dyDescent="0.3">
      <c r="A1494" t="s">
        <v>1564</v>
      </c>
      <c r="B1494">
        <v>41</v>
      </c>
      <c r="C1494" t="s">
        <v>19</v>
      </c>
      <c r="D1494" t="s">
        <v>66</v>
      </c>
      <c r="E1494" s="1">
        <v>45369</v>
      </c>
      <c r="F1494" s="3">
        <v>45389</v>
      </c>
      <c r="G1494" t="s">
        <v>52</v>
      </c>
      <c r="H1494" t="s">
        <v>53</v>
      </c>
      <c r="I1494" t="s">
        <v>83</v>
      </c>
      <c r="J1494">
        <v>12782.89</v>
      </c>
      <c r="K1494">
        <v>20</v>
      </c>
      <c r="L1494" t="s">
        <v>24</v>
      </c>
      <c r="M1494" t="s">
        <v>25</v>
      </c>
      <c r="N1494" t="s">
        <v>44</v>
      </c>
      <c r="O1494" t="s">
        <v>27</v>
      </c>
      <c r="P1494" t="s">
        <v>45</v>
      </c>
      <c r="Q1494">
        <v>11</v>
      </c>
      <c r="R1494">
        <v>4698.08</v>
      </c>
      <c r="S1494" t="s">
        <v>29</v>
      </c>
    </row>
    <row r="1495" spans="1:19" x14ac:dyDescent="0.3">
      <c r="A1495" t="s">
        <v>1565</v>
      </c>
      <c r="B1495">
        <v>81</v>
      </c>
      <c r="C1495" t="s">
        <v>19</v>
      </c>
      <c r="D1495" t="s">
        <v>61</v>
      </c>
      <c r="E1495" s="1">
        <v>45835</v>
      </c>
      <c r="F1495" s="3">
        <v>45839</v>
      </c>
      <c r="G1495" t="s">
        <v>52</v>
      </c>
      <c r="H1495" t="s">
        <v>53</v>
      </c>
      <c r="I1495" t="s">
        <v>81</v>
      </c>
      <c r="J1495">
        <v>8243.9599999999991</v>
      </c>
      <c r="K1495">
        <v>4</v>
      </c>
      <c r="L1495" t="s">
        <v>36</v>
      </c>
      <c r="M1495" t="s">
        <v>25</v>
      </c>
      <c r="N1495" t="s">
        <v>55</v>
      </c>
      <c r="O1495" t="s">
        <v>49</v>
      </c>
      <c r="P1495" t="s">
        <v>50</v>
      </c>
      <c r="Q1495">
        <v>2</v>
      </c>
      <c r="R1495">
        <v>1537.16</v>
      </c>
      <c r="S1495" t="s">
        <v>29</v>
      </c>
    </row>
    <row r="1496" spans="1:19" x14ac:dyDescent="0.3">
      <c r="A1496" t="s">
        <v>1566</v>
      </c>
      <c r="B1496">
        <v>68</v>
      </c>
      <c r="C1496" t="s">
        <v>31</v>
      </c>
      <c r="D1496" t="s">
        <v>70</v>
      </c>
      <c r="E1496" s="1">
        <v>45034</v>
      </c>
      <c r="F1496" s="3">
        <v>45039</v>
      </c>
      <c r="G1496" t="s">
        <v>93</v>
      </c>
      <c r="H1496" t="s">
        <v>72</v>
      </c>
      <c r="I1496" t="s">
        <v>81</v>
      </c>
      <c r="J1496">
        <v>3524.79</v>
      </c>
      <c r="K1496">
        <v>5</v>
      </c>
      <c r="L1496" t="s">
        <v>36</v>
      </c>
      <c r="M1496" t="s">
        <v>25</v>
      </c>
      <c r="N1496" t="s">
        <v>44</v>
      </c>
      <c r="O1496" t="s">
        <v>56</v>
      </c>
      <c r="P1496" t="s">
        <v>38</v>
      </c>
      <c r="Q1496">
        <v>10</v>
      </c>
      <c r="R1496">
        <v>852.52</v>
      </c>
      <c r="S1496" t="s">
        <v>29</v>
      </c>
    </row>
    <row r="1497" spans="1:19" x14ac:dyDescent="0.3">
      <c r="A1497" t="s">
        <v>1567</v>
      </c>
      <c r="B1497">
        <v>67</v>
      </c>
      <c r="C1497" t="s">
        <v>31</v>
      </c>
      <c r="D1497" t="s">
        <v>20</v>
      </c>
      <c r="E1497" s="1">
        <v>45152</v>
      </c>
      <c r="F1497" s="3">
        <v>45160</v>
      </c>
      <c r="G1497" t="s">
        <v>48</v>
      </c>
      <c r="H1497" t="s">
        <v>22</v>
      </c>
      <c r="I1497" t="s">
        <v>54</v>
      </c>
      <c r="J1497">
        <v>4458.79</v>
      </c>
      <c r="K1497">
        <v>8</v>
      </c>
      <c r="L1497" t="s">
        <v>24</v>
      </c>
      <c r="M1497" t="s">
        <v>59</v>
      </c>
      <c r="N1497" t="s">
        <v>26</v>
      </c>
      <c r="O1497" t="s">
        <v>27</v>
      </c>
      <c r="P1497" t="s">
        <v>45</v>
      </c>
      <c r="Q1497">
        <v>11</v>
      </c>
      <c r="R1497">
        <v>1172.6099999999999</v>
      </c>
      <c r="S1497" t="s">
        <v>29</v>
      </c>
    </row>
    <row r="1498" spans="1:19" x14ac:dyDescent="0.3">
      <c r="A1498" t="s">
        <v>1568</v>
      </c>
      <c r="B1498">
        <v>52</v>
      </c>
      <c r="C1498" t="s">
        <v>31</v>
      </c>
      <c r="D1498" t="s">
        <v>79</v>
      </c>
      <c r="E1498" s="1">
        <v>45359</v>
      </c>
      <c r="F1498" s="3">
        <v>45371</v>
      </c>
      <c r="G1498" t="s">
        <v>33</v>
      </c>
      <c r="H1498" t="s">
        <v>34</v>
      </c>
      <c r="I1498" t="s">
        <v>91</v>
      </c>
      <c r="J1498">
        <v>10296.41</v>
      </c>
      <c r="K1498">
        <v>12</v>
      </c>
      <c r="L1498" t="s">
        <v>36</v>
      </c>
      <c r="M1498" t="s">
        <v>101</v>
      </c>
      <c r="N1498" t="s">
        <v>26</v>
      </c>
      <c r="O1498" t="s">
        <v>49</v>
      </c>
      <c r="P1498" t="s">
        <v>28</v>
      </c>
      <c r="Q1498">
        <v>3</v>
      </c>
      <c r="R1498">
        <v>1820.21</v>
      </c>
      <c r="S1498" t="s">
        <v>29</v>
      </c>
    </row>
    <row r="1499" spans="1:19" x14ac:dyDescent="0.3">
      <c r="A1499" t="s">
        <v>1569</v>
      </c>
      <c r="B1499">
        <v>83</v>
      </c>
      <c r="C1499" t="s">
        <v>19</v>
      </c>
      <c r="D1499" t="s">
        <v>79</v>
      </c>
      <c r="E1499" s="1">
        <v>45512</v>
      </c>
      <c r="F1499" s="3">
        <v>45516</v>
      </c>
      <c r="G1499" t="s">
        <v>41</v>
      </c>
      <c r="H1499" t="s">
        <v>42</v>
      </c>
      <c r="I1499" t="s">
        <v>81</v>
      </c>
      <c r="J1499">
        <v>2319.62</v>
      </c>
      <c r="K1499">
        <v>4</v>
      </c>
      <c r="L1499" t="s">
        <v>24</v>
      </c>
      <c r="M1499" t="s">
        <v>59</v>
      </c>
      <c r="N1499" t="s">
        <v>55</v>
      </c>
      <c r="O1499" t="s">
        <v>56</v>
      </c>
      <c r="P1499" t="s">
        <v>50</v>
      </c>
      <c r="Q1499">
        <v>14</v>
      </c>
      <c r="R1499">
        <v>818.69</v>
      </c>
      <c r="S1499" t="s">
        <v>39</v>
      </c>
    </row>
    <row r="1500" spans="1:19" x14ac:dyDescent="0.3">
      <c r="A1500" t="s">
        <v>1570</v>
      </c>
      <c r="B1500">
        <v>48</v>
      </c>
      <c r="C1500" t="s">
        <v>19</v>
      </c>
      <c r="D1500" t="s">
        <v>47</v>
      </c>
      <c r="E1500" s="1">
        <v>45421</v>
      </c>
      <c r="F1500" s="3">
        <v>45441</v>
      </c>
      <c r="G1500" t="s">
        <v>74</v>
      </c>
      <c r="H1500" t="s">
        <v>75</v>
      </c>
      <c r="I1500" t="s">
        <v>91</v>
      </c>
      <c r="J1500">
        <v>14136.45</v>
      </c>
      <c r="K1500">
        <v>20</v>
      </c>
      <c r="L1500" t="s">
        <v>24</v>
      </c>
      <c r="M1500" t="s">
        <v>25</v>
      </c>
      <c r="N1500" t="s">
        <v>44</v>
      </c>
      <c r="O1500" t="s">
        <v>56</v>
      </c>
      <c r="P1500" t="s">
        <v>45</v>
      </c>
      <c r="Q1500">
        <v>3</v>
      </c>
      <c r="R1500">
        <v>4951.32</v>
      </c>
      <c r="S1500" t="s">
        <v>29</v>
      </c>
    </row>
    <row r="1501" spans="1:19" x14ac:dyDescent="0.3">
      <c r="A1501" t="s">
        <v>1571</v>
      </c>
      <c r="B1501">
        <v>28</v>
      </c>
      <c r="C1501" t="s">
        <v>31</v>
      </c>
      <c r="D1501" t="s">
        <v>79</v>
      </c>
      <c r="E1501" s="1">
        <v>45223</v>
      </c>
      <c r="F1501" s="3">
        <v>45242</v>
      </c>
      <c r="G1501" t="s">
        <v>52</v>
      </c>
      <c r="H1501" t="s">
        <v>53</v>
      </c>
      <c r="I1501" t="s">
        <v>91</v>
      </c>
      <c r="J1501">
        <v>11968.32</v>
      </c>
      <c r="K1501">
        <v>19</v>
      </c>
      <c r="L1501" t="s">
        <v>24</v>
      </c>
      <c r="M1501" t="s">
        <v>25</v>
      </c>
      <c r="N1501" t="s">
        <v>44</v>
      </c>
      <c r="O1501" t="s">
        <v>27</v>
      </c>
      <c r="P1501" t="s">
        <v>45</v>
      </c>
      <c r="Q1501">
        <v>9</v>
      </c>
      <c r="R1501">
        <v>2107.39</v>
      </c>
      <c r="S1501" t="s">
        <v>29</v>
      </c>
    </row>
    <row r="1502" spans="1:19" x14ac:dyDescent="0.3">
      <c r="A1502" t="s">
        <v>1572</v>
      </c>
      <c r="B1502">
        <v>82</v>
      </c>
      <c r="C1502" t="s">
        <v>31</v>
      </c>
      <c r="D1502" t="s">
        <v>89</v>
      </c>
      <c r="E1502" s="1">
        <v>45297</v>
      </c>
      <c r="F1502" s="3">
        <v>45313</v>
      </c>
      <c r="G1502" t="s">
        <v>93</v>
      </c>
      <c r="H1502" t="s">
        <v>72</v>
      </c>
      <c r="I1502" t="s">
        <v>81</v>
      </c>
      <c r="J1502">
        <v>5381.81</v>
      </c>
      <c r="K1502">
        <v>16</v>
      </c>
      <c r="L1502" t="s">
        <v>36</v>
      </c>
      <c r="M1502" t="s">
        <v>25</v>
      </c>
      <c r="N1502" t="s">
        <v>44</v>
      </c>
      <c r="O1502" t="s">
        <v>37</v>
      </c>
      <c r="P1502" t="s">
        <v>28</v>
      </c>
      <c r="Q1502">
        <v>3</v>
      </c>
      <c r="R1502">
        <v>836.54</v>
      </c>
      <c r="S1502" t="s">
        <v>29</v>
      </c>
    </row>
    <row r="1503" spans="1:19" x14ac:dyDescent="0.3">
      <c r="A1503" t="s">
        <v>1573</v>
      </c>
      <c r="B1503">
        <v>90</v>
      </c>
      <c r="C1503" t="s">
        <v>19</v>
      </c>
      <c r="D1503" t="s">
        <v>66</v>
      </c>
      <c r="E1503" s="1">
        <v>45773</v>
      </c>
      <c r="F1503" s="3">
        <v>45783</v>
      </c>
      <c r="G1503" t="s">
        <v>62</v>
      </c>
      <c r="H1503" t="s">
        <v>63</v>
      </c>
      <c r="I1503" t="s">
        <v>83</v>
      </c>
      <c r="J1503">
        <v>7086.78</v>
      </c>
      <c r="K1503">
        <v>10</v>
      </c>
      <c r="L1503" t="s">
        <v>24</v>
      </c>
      <c r="M1503" t="s">
        <v>101</v>
      </c>
      <c r="N1503" t="s">
        <v>44</v>
      </c>
      <c r="O1503" t="s">
        <v>56</v>
      </c>
      <c r="P1503" t="s">
        <v>45</v>
      </c>
      <c r="Q1503">
        <v>15</v>
      </c>
      <c r="R1503">
        <v>2631.58</v>
      </c>
      <c r="S1503" t="s">
        <v>39</v>
      </c>
    </row>
    <row r="1504" spans="1:19" x14ac:dyDescent="0.3">
      <c r="A1504" t="s">
        <v>1574</v>
      </c>
      <c r="B1504">
        <v>39</v>
      </c>
      <c r="C1504" t="s">
        <v>19</v>
      </c>
      <c r="D1504" t="s">
        <v>61</v>
      </c>
      <c r="E1504" s="1">
        <v>45533</v>
      </c>
      <c r="F1504" s="3">
        <v>45553</v>
      </c>
      <c r="G1504" t="s">
        <v>52</v>
      </c>
      <c r="H1504" t="s">
        <v>53</v>
      </c>
      <c r="I1504" t="s">
        <v>54</v>
      </c>
      <c r="J1504">
        <v>8421.9699999999993</v>
      </c>
      <c r="K1504">
        <v>20</v>
      </c>
      <c r="L1504" t="s">
        <v>24</v>
      </c>
      <c r="M1504" t="s">
        <v>25</v>
      </c>
      <c r="N1504" t="s">
        <v>44</v>
      </c>
      <c r="O1504" t="s">
        <v>27</v>
      </c>
      <c r="P1504" t="s">
        <v>50</v>
      </c>
      <c r="Q1504">
        <v>1</v>
      </c>
      <c r="R1504">
        <v>1700.95</v>
      </c>
      <c r="S1504" t="s">
        <v>29</v>
      </c>
    </row>
    <row r="1505" spans="1:19" x14ac:dyDescent="0.3">
      <c r="A1505" t="s">
        <v>1575</v>
      </c>
      <c r="B1505">
        <v>60</v>
      </c>
      <c r="C1505" t="s">
        <v>19</v>
      </c>
      <c r="D1505" t="s">
        <v>66</v>
      </c>
      <c r="E1505" s="1">
        <v>45798</v>
      </c>
      <c r="F1505" s="3">
        <v>45804</v>
      </c>
      <c r="G1505" t="s">
        <v>62</v>
      </c>
      <c r="H1505" t="s">
        <v>63</v>
      </c>
      <c r="I1505" t="s">
        <v>81</v>
      </c>
      <c r="J1505">
        <v>9920.11</v>
      </c>
      <c r="K1505">
        <v>6</v>
      </c>
      <c r="L1505" t="s">
        <v>24</v>
      </c>
      <c r="M1505" t="s">
        <v>25</v>
      </c>
      <c r="N1505" t="s">
        <v>55</v>
      </c>
      <c r="O1505" t="s">
        <v>49</v>
      </c>
      <c r="P1505" t="s">
        <v>50</v>
      </c>
      <c r="Q1505">
        <v>6</v>
      </c>
      <c r="R1505">
        <v>2535.14</v>
      </c>
      <c r="S1505" t="s">
        <v>29</v>
      </c>
    </row>
    <row r="1506" spans="1:19" x14ac:dyDescent="0.3">
      <c r="A1506" t="s">
        <v>1576</v>
      </c>
      <c r="B1506">
        <v>32</v>
      </c>
      <c r="C1506" t="s">
        <v>31</v>
      </c>
      <c r="D1506" t="s">
        <v>79</v>
      </c>
      <c r="E1506" s="1">
        <v>45546</v>
      </c>
      <c r="F1506" s="3">
        <v>45562</v>
      </c>
      <c r="G1506" t="s">
        <v>21</v>
      </c>
      <c r="H1506" t="s">
        <v>22</v>
      </c>
      <c r="I1506" t="s">
        <v>91</v>
      </c>
      <c r="J1506">
        <v>6535.88</v>
      </c>
      <c r="K1506">
        <v>16</v>
      </c>
      <c r="L1506" t="s">
        <v>36</v>
      </c>
      <c r="M1506" t="s">
        <v>25</v>
      </c>
      <c r="N1506" t="s">
        <v>26</v>
      </c>
      <c r="O1506" t="s">
        <v>56</v>
      </c>
      <c r="P1506" t="s">
        <v>28</v>
      </c>
      <c r="Q1506">
        <v>5</v>
      </c>
      <c r="R1506">
        <v>2264.83</v>
      </c>
      <c r="S1506" t="s">
        <v>29</v>
      </c>
    </row>
    <row r="1507" spans="1:19" x14ac:dyDescent="0.3">
      <c r="A1507" t="s">
        <v>1577</v>
      </c>
      <c r="B1507">
        <v>62</v>
      </c>
      <c r="C1507" t="s">
        <v>31</v>
      </c>
      <c r="D1507" t="s">
        <v>32</v>
      </c>
      <c r="E1507" s="1">
        <v>45093</v>
      </c>
      <c r="F1507" s="3">
        <v>45111</v>
      </c>
      <c r="G1507" t="s">
        <v>48</v>
      </c>
      <c r="H1507" t="s">
        <v>22</v>
      </c>
      <c r="I1507" t="s">
        <v>43</v>
      </c>
      <c r="J1507">
        <v>9943.25</v>
      </c>
      <c r="K1507">
        <v>18</v>
      </c>
      <c r="L1507" t="s">
        <v>24</v>
      </c>
      <c r="M1507" t="s">
        <v>59</v>
      </c>
      <c r="N1507" t="s">
        <v>44</v>
      </c>
      <c r="O1507" t="s">
        <v>37</v>
      </c>
      <c r="P1507" t="s">
        <v>38</v>
      </c>
      <c r="Q1507">
        <v>8</v>
      </c>
      <c r="R1507">
        <v>1897.05</v>
      </c>
      <c r="S1507" t="s">
        <v>29</v>
      </c>
    </row>
    <row r="1508" spans="1:19" x14ac:dyDescent="0.3">
      <c r="A1508" t="s">
        <v>1578</v>
      </c>
      <c r="B1508">
        <v>37</v>
      </c>
      <c r="C1508" t="s">
        <v>19</v>
      </c>
      <c r="D1508" t="s">
        <v>66</v>
      </c>
      <c r="E1508" s="1">
        <v>45133</v>
      </c>
      <c r="F1508" s="3">
        <v>45149</v>
      </c>
      <c r="G1508" t="s">
        <v>62</v>
      </c>
      <c r="H1508" t="s">
        <v>63</v>
      </c>
      <c r="I1508" t="s">
        <v>83</v>
      </c>
      <c r="J1508">
        <v>9333.3799999999992</v>
      </c>
      <c r="K1508">
        <v>16</v>
      </c>
      <c r="L1508" t="s">
        <v>24</v>
      </c>
      <c r="M1508" t="s">
        <v>25</v>
      </c>
      <c r="N1508" t="s">
        <v>55</v>
      </c>
      <c r="O1508" t="s">
        <v>37</v>
      </c>
      <c r="P1508" t="s">
        <v>50</v>
      </c>
      <c r="Q1508">
        <v>5</v>
      </c>
      <c r="R1508">
        <v>2626.52</v>
      </c>
      <c r="S1508" t="s">
        <v>29</v>
      </c>
    </row>
    <row r="1509" spans="1:19" x14ac:dyDescent="0.3">
      <c r="A1509" t="s">
        <v>1579</v>
      </c>
      <c r="B1509">
        <v>33</v>
      </c>
      <c r="C1509" t="s">
        <v>31</v>
      </c>
      <c r="D1509" t="s">
        <v>32</v>
      </c>
      <c r="E1509" s="1">
        <v>45585</v>
      </c>
      <c r="F1509" s="3">
        <v>45603</v>
      </c>
      <c r="G1509" t="s">
        <v>62</v>
      </c>
      <c r="H1509" t="s">
        <v>63</v>
      </c>
      <c r="I1509" t="s">
        <v>91</v>
      </c>
      <c r="J1509">
        <v>12204.99</v>
      </c>
      <c r="K1509">
        <v>18</v>
      </c>
      <c r="L1509" t="s">
        <v>36</v>
      </c>
      <c r="M1509" t="s">
        <v>25</v>
      </c>
      <c r="N1509" t="s">
        <v>44</v>
      </c>
      <c r="O1509" t="s">
        <v>56</v>
      </c>
      <c r="P1509" t="s">
        <v>50</v>
      </c>
      <c r="Q1509">
        <v>12</v>
      </c>
      <c r="R1509">
        <v>4554.1400000000003</v>
      </c>
      <c r="S1509" t="s">
        <v>29</v>
      </c>
    </row>
    <row r="1510" spans="1:19" x14ac:dyDescent="0.3">
      <c r="A1510" t="s">
        <v>1580</v>
      </c>
      <c r="B1510">
        <v>53</v>
      </c>
      <c r="C1510" t="s">
        <v>19</v>
      </c>
      <c r="D1510" t="s">
        <v>70</v>
      </c>
      <c r="E1510" s="1">
        <v>45675</v>
      </c>
      <c r="F1510" s="3">
        <v>45695</v>
      </c>
      <c r="G1510" t="s">
        <v>67</v>
      </c>
      <c r="H1510" t="s">
        <v>42</v>
      </c>
      <c r="I1510" t="s">
        <v>81</v>
      </c>
      <c r="J1510">
        <v>11018.85</v>
      </c>
      <c r="K1510">
        <v>20</v>
      </c>
      <c r="L1510" t="s">
        <v>36</v>
      </c>
      <c r="M1510" t="s">
        <v>25</v>
      </c>
      <c r="N1510" t="s">
        <v>55</v>
      </c>
      <c r="O1510" t="s">
        <v>27</v>
      </c>
      <c r="P1510" t="s">
        <v>38</v>
      </c>
      <c r="Q1510">
        <v>7</v>
      </c>
      <c r="R1510">
        <v>2822.68</v>
      </c>
      <c r="S1510" t="s">
        <v>29</v>
      </c>
    </row>
    <row r="1511" spans="1:19" x14ac:dyDescent="0.3">
      <c r="A1511" t="s">
        <v>1581</v>
      </c>
      <c r="B1511">
        <v>73</v>
      </c>
      <c r="C1511" t="s">
        <v>31</v>
      </c>
      <c r="D1511" t="s">
        <v>79</v>
      </c>
      <c r="E1511" s="1">
        <v>45596</v>
      </c>
      <c r="F1511" s="3">
        <v>45610</v>
      </c>
      <c r="G1511" t="s">
        <v>52</v>
      </c>
      <c r="H1511" t="s">
        <v>53</v>
      </c>
      <c r="I1511" t="s">
        <v>91</v>
      </c>
      <c r="J1511">
        <v>4976.3500000000004</v>
      </c>
      <c r="K1511">
        <v>14</v>
      </c>
      <c r="L1511" t="s">
        <v>24</v>
      </c>
      <c r="M1511" t="s">
        <v>59</v>
      </c>
      <c r="N1511" t="s">
        <v>44</v>
      </c>
      <c r="O1511" t="s">
        <v>56</v>
      </c>
      <c r="P1511" t="s">
        <v>45</v>
      </c>
      <c r="Q1511">
        <v>10</v>
      </c>
      <c r="R1511">
        <v>1710.7</v>
      </c>
      <c r="S1511" t="s">
        <v>29</v>
      </c>
    </row>
    <row r="1512" spans="1:19" x14ac:dyDescent="0.3">
      <c r="A1512" t="s">
        <v>1582</v>
      </c>
      <c r="B1512">
        <v>61</v>
      </c>
      <c r="C1512" t="s">
        <v>31</v>
      </c>
      <c r="D1512" t="s">
        <v>89</v>
      </c>
      <c r="E1512" s="1">
        <v>45877</v>
      </c>
      <c r="F1512" s="3">
        <v>45888</v>
      </c>
      <c r="G1512" t="s">
        <v>93</v>
      </c>
      <c r="H1512" t="s">
        <v>72</v>
      </c>
      <c r="I1512" t="s">
        <v>23</v>
      </c>
      <c r="J1512">
        <v>4473.18</v>
      </c>
      <c r="K1512">
        <v>11</v>
      </c>
      <c r="L1512" t="s">
        <v>36</v>
      </c>
      <c r="M1512" t="s">
        <v>25</v>
      </c>
      <c r="N1512" t="s">
        <v>44</v>
      </c>
      <c r="O1512" t="s">
        <v>56</v>
      </c>
      <c r="P1512" t="s">
        <v>50</v>
      </c>
      <c r="Q1512">
        <v>9</v>
      </c>
      <c r="R1512">
        <v>1621.83</v>
      </c>
      <c r="S1512" t="s">
        <v>29</v>
      </c>
    </row>
    <row r="1513" spans="1:19" x14ac:dyDescent="0.3">
      <c r="A1513" t="s">
        <v>1583</v>
      </c>
      <c r="B1513">
        <v>73</v>
      </c>
      <c r="C1513" t="s">
        <v>19</v>
      </c>
      <c r="D1513" t="s">
        <v>61</v>
      </c>
      <c r="E1513" s="1">
        <v>45589</v>
      </c>
      <c r="F1513" s="3">
        <v>45605</v>
      </c>
      <c r="G1513" t="s">
        <v>52</v>
      </c>
      <c r="H1513" t="s">
        <v>53</v>
      </c>
      <c r="I1513" t="s">
        <v>91</v>
      </c>
      <c r="J1513">
        <v>16062.03</v>
      </c>
      <c r="K1513">
        <v>16</v>
      </c>
      <c r="L1513" t="s">
        <v>36</v>
      </c>
      <c r="M1513" t="s">
        <v>25</v>
      </c>
      <c r="N1513" t="s">
        <v>55</v>
      </c>
      <c r="O1513" t="s">
        <v>49</v>
      </c>
      <c r="P1513" t="s">
        <v>50</v>
      </c>
      <c r="Q1513">
        <v>14</v>
      </c>
      <c r="R1513">
        <v>6197.09</v>
      </c>
      <c r="S1513" t="s">
        <v>29</v>
      </c>
    </row>
    <row r="1514" spans="1:19" x14ac:dyDescent="0.3">
      <c r="A1514" t="s">
        <v>1584</v>
      </c>
      <c r="B1514">
        <v>50</v>
      </c>
      <c r="C1514" t="s">
        <v>31</v>
      </c>
      <c r="D1514" t="s">
        <v>47</v>
      </c>
      <c r="E1514" s="1">
        <v>45179</v>
      </c>
      <c r="F1514" s="3">
        <v>45189</v>
      </c>
      <c r="G1514" t="s">
        <v>41</v>
      </c>
      <c r="H1514" t="s">
        <v>42</v>
      </c>
      <c r="I1514" t="s">
        <v>54</v>
      </c>
      <c r="J1514">
        <v>8126.41</v>
      </c>
      <c r="K1514">
        <v>10</v>
      </c>
      <c r="L1514" t="s">
        <v>36</v>
      </c>
      <c r="M1514" t="s">
        <v>25</v>
      </c>
      <c r="N1514" t="s">
        <v>44</v>
      </c>
      <c r="O1514" t="s">
        <v>37</v>
      </c>
      <c r="P1514" t="s">
        <v>45</v>
      </c>
      <c r="Q1514">
        <v>5</v>
      </c>
      <c r="R1514">
        <v>2734.13</v>
      </c>
      <c r="S1514" t="s">
        <v>39</v>
      </c>
    </row>
    <row r="1515" spans="1:19" x14ac:dyDescent="0.3">
      <c r="A1515" t="s">
        <v>1585</v>
      </c>
      <c r="B1515">
        <v>18</v>
      </c>
      <c r="C1515" t="s">
        <v>31</v>
      </c>
      <c r="D1515" t="s">
        <v>89</v>
      </c>
      <c r="E1515" s="1">
        <v>45084</v>
      </c>
      <c r="F1515" s="3">
        <v>45097</v>
      </c>
      <c r="G1515" t="s">
        <v>93</v>
      </c>
      <c r="H1515" t="s">
        <v>72</v>
      </c>
      <c r="I1515" t="s">
        <v>91</v>
      </c>
      <c r="J1515">
        <v>11441.28</v>
      </c>
      <c r="K1515">
        <v>13</v>
      </c>
      <c r="L1515" t="s">
        <v>24</v>
      </c>
      <c r="M1515" t="s">
        <v>25</v>
      </c>
      <c r="N1515" t="s">
        <v>44</v>
      </c>
      <c r="O1515" t="s">
        <v>37</v>
      </c>
      <c r="P1515" t="s">
        <v>50</v>
      </c>
      <c r="Q1515">
        <v>13</v>
      </c>
      <c r="R1515">
        <v>3358.87</v>
      </c>
      <c r="S1515" t="s">
        <v>29</v>
      </c>
    </row>
    <row r="1516" spans="1:19" x14ac:dyDescent="0.3">
      <c r="A1516" t="s">
        <v>1586</v>
      </c>
      <c r="B1516">
        <v>66</v>
      </c>
      <c r="C1516" t="s">
        <v>19</v>
      </c>
      <c r="D1516" t="s">
        <v>61</v>
      </c>
      <c r="E1516" s="1">
        <v>45673</v>
      </c>
      <c r="F1516" s="3">
        <v>45690</v>
      </c>
      <c r="G1516" t="s">
        <v>71</v>
      </c>
      <c r="H1516" t="s">
        <v>72</v>
      </c>
      <c r="I1516" t="s">
        <v>54</v>
      </c>
      <c r="J1516">
        <v>7453.88</v>
      </c>
      <c r="K1516">
        <v>17</v>
      </c>
      <c r="L1516" t="s">
        <v>36</v>
      </c>
      <c r="M1516" t="s">
        <v>25</v>
      </c>
      <c r="N1516" t="s">
        <v>44</v>
      </c>
      <c r="O1516" t="s">
        <v>27</v>
      </c>
      <c r="P1516" t="s">
        <v>38</v>
      </c>
      <c r="Q1516">
        <v>15</v>
      </c>
      <c r="R1516">
        <v>2744.47</v>
      </c>
      <c r="S1516" t="s">
        <v>29</v>
      </c>
    </row>
    <row r="1517" spans="1:19" x14ac:dyDescent="0.3">
      <c r="A1517" t="s">
        <v>1587</v>
      </c>
      <c r="B1517">
        <v>30</v>
      </c>
      <c r="C1517" t="s">
        <v>31</v>
      </c>
      <c r="D1517" t="s">
        <v>47</v>
      </c>
      <c r="E1517" s="1">
        <v>45848</v>
      </c>
      <c r="F1517" s="3">
        <v>45863</v>
      </c>
      <c r="G1517" t="s">
        <v>52</v>
      </c>
      <c r="H1517" t="s">
        <v>53</v>
      </c>
      <c r="I1517" t="s">
        <v>81</v>
      </c>
      <c r="J1517">
        <v>4851.42</v>
      </c>
      <c r="K1517">
        <v>15</v>
      </c>
      <c r="L1517" t="s">
        <v>36</v>
      </c>
      <c r="M1517" t="s">
        <v>25</v>
      </c>
      <c r="N1517" t="s">
        <v>44</v>
      </c>
      <c r="O1517" t="s">
        <v>56</v>
      </c>
      <c r="P1517" t="s">
        <v>38</v>
      </c>
      <c r="Q1517">
        <v>12</v>
      </c>
      <c r="R1517">
        <v>1408.06</v>
      </c>
      <c r="S1517" t="s">
        <v>29</v>
      </c>
    </row>
    <row r="1518" spans="1:19" x14ac:dyDescent="0.3">
      <c r="A1518" t="s">
        <v>1588</v>
      </c>
      <c r="B1518">
        <v>66</v>
      </c>
      <c r="C1518" t="s">
        <v>19</v>
      </c>
      <c r="D1518" t="s">
        <v>70</v>
      </c>
      <c r="E1518" s="1">
        <v>45737</v>
      </c>
      <c r="F1518" s="3">
        <v>45744</v>
      </c>
      <c r="G1518" t="s">
        <v>33</v>
      </c>
      <c r="H1518" t="s">
        <v>34</v>
      </c>
      <c r="I1518" t="s">
        <v>58</v>
      </c>
      <c r="J1518">
        <v>6109.07</v>
      </c>
      <c r="K1518">
        <v>7</v>
      </c>
      <c r="L1518" t="s">
        <v>24</v>
      </c>
      <c r="M1518" t="s">
        <v>25</v>
      </c>
      <c r="N1518" t="s">
        <v>55</v>
      </c>
      <c r="O1518" t="s">
        <v>27</v>
      </c>
      <c r="P1518" t="s">
        <v>45</v>
      </c>
      <c r="Q1518">
        <v>11</v>
      </c>
      <c r="R1518">
        <v>1907.77</v>
      </c>
      <c r="S1518" t="s">
        <v>29</v>
      </c>
    </row>
    <row r="1519" spans="1:19" x14ac:dyDescent="0.3">
      <c r="A1519" t="s">
        <v>1589</v>
      </c>
      <c r="B1519">
        <v>66</v>
      </c>
      <c r="C1519" t="s">
        <v>31</v>
      </c>
      <c r="D1519" t="s">
        <v>66</v>
      </c>
      <c r="E1519" s="1">
        <v>45157</v>
      </c>
      <c r="F1519" s="3">
        <v>45169</v>
      </c>
      <c r="G1519" t="s">
        <v>21</v>
      </c>
      <c r="H1519" t="s">
        <v>22</v>
      </c>
      <c r="I1519" t="s">
        <v>81</v>
      </c>
      <c r="J1519">
        <v>7425.76</v>
      </c>
      <c r="K1519">
        <v>12</v>
      </c>
      <c r="L1519" t="s">
        <v>36</v>
      </c>
      <c r="M1519" t="s">
        <v>25</v>
      </c>
      <c r="N1519" t="s">
        <v>26</v>
      </c>
      <c r="O1519" t="s">
        <v>37</v>
      </c>
      <c r="P1519" t="s">
        <v>50</v>
      </c>
      <c r="Q1519">
        <v>7</v>
      </c>
      <c r="R1519">
        <v>1129.26</v>
      </c>
      <c r="S1519" t="s">
        <v>29</v>
      </c>
    </row>
    <row r="1520" spans="1:19" x14ac:dyDescent="0.3">
      <c r="A1520" t="s">
        <v>1590</v>
      </c>
      <c r="B1520">
        <v>43</v>
      </c>
      <c r="C1520" t="s">
        <v>31</v>
      </c>
      <c r="D1520" t="s">
        <v>70</v>
      </c>
      <c r="E1520" s="1">
        <v>45065</v>
      </c>
      <c r="F1520" s="3">
        <v>45077</v>
      </c>
      <c r="G1520" t="s">
        <v>71</v>
      </c>
      <c r="H1520" t="s">
        <v>72</v>
      </c>
      <c r="I1520" t="s">
        <v>54</v>
      </c>
      <c r="J1520">
        <v>9361.2199999999993</v>
      </c>
      <c r="K1520">
        <v>12</v>
      </c>
      <c r="L1520" t="s">
        <v>36</v>
      </c>
      <c r="M1520" t="s">
        <v>25</v>
      </c>
      <c r="N1520" t="s">
        <v>55</v>
      </c>
      <c r="O1520" t="s">
        <v>27</v>
      </c>
      <c r="P1520" t="s">
        <v>38</v>
      </c>
      <c r="Q1520">
        <v>4</v>
      </c>
      <c r="R1520">
        <v>1795.95</v>
      </c>
      <c r="S1520" t="s">
        <v>29</v>
      </c>
    </row>
    <row r="1521" spans="1:19" x14ac:dyDescent="0.3">
      <c r="A1521" t="s">
        <v>1591</v>
      </c>
      <c r="B1521">
        <v>74</v>
      </c>
      <c r="C1521" t="s">
        <v>19</v>
      </c>
      <c r="D1521" t="s">
        <v>20</v>
      </c>
      <c r="E1521" s="1">
        <v>45707</v>
      </c>
      <c r="F1521" s="3">
        <v>45717</v>
      </c>
      <c r="G1521" t="s">
        <v>67</v>
      </c>
      <c r="H1521" t="s">
        <v>42</v>
      </c>
      <c r="I1521" t="s">
        <v>23</v>
      </c>
      <c r="J1521">
        <v>6870.03</v>
      </c>
      <c r="K1521">
        <v>10</v>
      </c>
      <c r="L1521" t="s">
        <v>36</v>
      </c>
      <c r="M1521" t="s">
        <v>25</v>
      </c>
      <c r="N1521" t="s">
        <v>44</v>
      </c>
      <c r="O1521" t="s">
        <v>37</v>
      </c>
      <c r="P1521" t="s">
        <v>50</v>
      </c>
      <c r="Q1521">
        <v>14</v>
      </c>
      <c r="R1521">
        <v>1233.93</v>
      </c>
      <c r="S1521" t="s">
        <v>29</v>
      </c>
    </row>
    <row r="1522" spans="1:19" x14ac:dyDescent="0.3">
      <c r="A1522" t="s">
        <v>1592</v>
      </c>
      <c r="B1522">
        <v>82</v>
      </c>
      <c r="C1522" t="s">
        <v>31</v>
      </c>
      <c r="D1522" t="s">
        <v>89</v>
      </c>
      <c r="E1522" s="1">
        <v>44992</v>
      </c>
      <c r="F1522" s="3">
        <v>44999</v>
      </c>
      <c r="G1522" t="s">
        <v>71</v>
      </c>
      <c r="H1522" t="s">
        <v>72</v>
      </c>
      <c r="I1522" t="s">
        <v>35</v>
      </c>
      <c r="J1522">
        <v>3085.96</v>
      </c>
      <c r="K1522">
        <v>7</v>
      </c>
      <c r="L1522" t="s">
        <v>36</v>
      </c>
      <c r="M1522" t="s">
        <v>76</v>
      </c>
      <c r="N1522" t="s">
        <v>55</v>
      </c>
      <c r="O1522" t="s">
        <v>27</v>
      </c>
      <c r="P1522" t="s">
        <v>45</v>
      </c>
      <c r="Q1522">
        <v>4</v>
      </c>
      <c r="R1522">
        <v>1039.01</v>
      </c>
      <c r="S1522" t="s">
        <v>29</v>
      </c>
    </row>
    <row r="1523" spans="1:19" x14ac:dyDescent="0.3">
      <c r="A1523" t="s">
        <v>1593</v>
      </c>
      <c r="B1523">
        <v>58</v>
      </c>
      <c r="C1523" t="s">
        <v>19</v>
      </c>
      <c r="D1523" t="s">
        <v>89</v>
      </c>
      <c r="E1523" s="1">
        <v>45038</v>
      </c>
      <c r="F1523" s="3">
        <v>45057</v>
      </c>
      <c r="G1523" t="s">
        <v>48</v>
      </c>
      <c r="H1523" t="s">
        <v>22</v>
      </c>
      <c r="I1523" t="s">
        <v>81</v>
      </c>
      <c r="J1523">
        <v>12139.43</v>
      </c>
      <c r="K1523">
        <v>19</v>
      </c>
      <c r="L1523" t="s">
        <v>36</v>
      </c>
      <c r="M1523" t="s">
        <v>25</v>
      </c>
      <c r="N1523" t="s">
        <v>55</v>
      </c>
      <c r="O1523" t="s">
        <v>27</v>
      </c>
      <c r="P1523" t="s">
        <v>50</v>
      </c>
      <c r="Q1523">
        <v>7</v>
      </c>
      <c r="R1523">
        <v>2127.31</v>
      </c>
      <c r="S1523" t="s">
        <v>29</v>
      </c>
    </row>
    <row r="1524" spans="1:19" x14ac:dyDescent="0.3">
      <c r="A1524" t="s">
        <v>1594</v>
      </c>
      <c r="B1524">
        <v>87</v>
      </c>
      <c r="C1524" t="s">
        <v>19</v>
      </c>
      <c r="D1524" t="s">
        <v>47</v>
      </c>
      <c r="E1524" s="1">
        <v>45203</v>
      </c>
      <c r="F1524" s="3">
        <v>45216</v>
      </c>
      <c r="G1524" t="s">
        <v>33</v>
      </c>
      <c r="H1524" t="s">
        <v>34</v>
      </c>
      <c r="I1524" t="s">
        <v>58</v>
      </c>
      <c r="J1524">
        <v>13337.1</v>
      </c>
      <c r="K1524">
        <v>13</v>
      </c>
      <c r="L1524" t="s">
        <v>24</v>
      </c>
      <c r="M1524" t="s">
        <v>25</v>
      </c>
      <c r="N1524" t="s">
        <v>44</v>
      </c>
      <c r="O1524" t="s">
        <v>49</v>
      </c>
      <c r="P1524" t="s">
        <v>38</v>
      </c>
      <c r="Q1524">
        <v>10</v>
      </c>
      <c r="R1524">
        <v>3415.82</v>
      </c>
      <c r="S1524" t="s">
        <v>29</v>
      </c>
    </row>
    <row r="1525" spans="1:19" x14ac:dyDescent="0.3">
      <c r="A1525" t="s">
        <v>1595</v>
      </c>
      <c r="B1525">
        <v>28</v>
      </c>
      <c r="C1525" t="s">
        <v>31</v>
      </c>
      <c r="D1525" t="s">
        <v>20</v>
      </c>
      <c r="E1525" s="1">
        <v>45742</v>
      </c>
      <c r="F1525" s="3">
        <v>45756</v>
      </c>
      <c r="G1525" t="s">
        <v>33</v>
      </c>
      <c r="H1525" t="s">
        <v>34</v>
      </c>
      <c r="I1525" t="s">
        <v>81</v>
      </c>
      <c r="J1525">
        <v>2910.58</v>
      </c>
      <c r="K1525">
        <v>14</v>
      </c>
      <c r="L1525" t="s">
        <v>24</v>
      </c>
      <c r="M1525" t="s">
        <v>25</v>
      </c>
      <c r="N1525" t="s">
        <v>55</v>
      </c>
      <c r="O1525" t="s">
        <v>27</v>
      </c>
      <c r="P1525" t="s">
        <v>50</v>
      </c>
      <c r="Q1525">
        <v>4</v>
      </c>
      <c r="R1525">
        <v>486.13</v>
      </c>
      <c r="S1525" t="s">
        <v>29</v>
      </c>
    </row>
    <row r="1526" spans="1:19" x14ac:dyDescent="0.3">
      <c r="A1526" t="s">
        <v>1596</v>
      </c>
      <c r="B1526">
        <v>41</v>
      </c>
      <c r="C1526" t="s">
        <v>31</v>
      </c>
      <c r="D1526" t="s">
        <v>89</v>
      </c>
      <c r="E1526" s="1">
        <v>45616</v>
      </c>
      <c r="F1526" s="3">
        <v>45635</v>
      </c>
      <c r="G1526" t="s">
        <v>48</v>
      </c>
      <c r="H1526" t="s">
        <v>22</v>
      </c>
      <c r="I1526" t="s">
        <v>81</v>
      </c>
      <c r="J1526">
        <v>12644.14</v>
      </c>
      <c r="K1526">
        <v>19</v>
      </c>
      <c r="L1526" t="s">
        <v>36</v>
      </c>
      <c r="M1526" t="s">
        <v>25</v>
      </c>
      <c r="N1526" t="s">
        <v>26</v>
      </c>
      <c r="O1526" t="s">
        <v>27</v>
      </c>
      <c r="P1526" t="s">
        <v>38</v>
      </c>
      <c r="Q1526">
        <v>2</v>
      </c>
      <c r="R1526">
        <v>4438.63</v>
      </c>
      <c r="S1526" t="s">
        <v>29</v>
      </c>
    </row>
    <row r="1527" spans="1:19" x14ac:dyDescent="0.3">
      <c r="A1527" t="s">
        <v>1597</v>
      </c>
      <c r="B1527">
        <v>83</v>
      </c>
      <c r="C1527" t="s">
        <v>19</v>
      </c>
      <c r="D1527" t="s">
        <v>20</v>
      </c>
      <c r="E1527" s="1">
        <v>45923</v>
      </c>
      <c r="F1527" s="3">
        <v>45937</v>
      </c>
      <c r="G1527" t="s">
        <v>67</v>
      </c>
      <c r="H1527" t="s">
        <v>42</v>
      </c>
      <c r="I1527" t="s">
        <v>83</v>
      </c>
      <c r="J1527">
        <v>7273.6</v>
      </c>
      <c r="K1527">
        <v>14</v>
      </c>
      <c r="L1527" t="s">
        <v>24</v>
      </c>
      <c r="M1527" t="s">
        <v>25</v>
      </c>
      <c r="N1527" t="s">
        <v>26</v>
      </c>
      <c r="O1527" t="s">
        <v>56</v>
      </c>
      <c r="P1527" t="s">
        <v>28</v>
      </c>
      <c r="Q1527">
        <v>14</v>
      </c>
      <c r="R1527">
        <v>1848.98</v>
      </c>
      <c r="S1527" t="s">
        <v>29</v>
      </c>
    </row>
    <row r="1528" spans="1:19" x14ac:dyDescent="0.3">
      <c r="A1528" t="s">
        <v>1598</v>
      </c>
      <c r="B1528">
        <v>88</v>
      </c>
      <c r="C1528" t="s">
        <v>19</v>
      </c>
      <c r="D1528" t="s">
        <v>32</v>
      </c>
      <c r="E1528" s="1">
        <v>45055</v>
      </c>
      <c r="F1528" s="3">
        <v>45065</v>
      </c>
      <c r="G1528" t="s">
        <v>33</v>
      </c>
      <c r="H1528" t="s">
        <v>34</v>
      </c>
      <c r="I1528" t="s">
        <v>83</v>
      </c>
      <c r="J1528">
        <v>4568.96</v>
      </c>
      <c r="K1528">
        <v>10</v>
      </c>
      <c r="L1528" t="s">
        <v>36</v>
      </c>
      <c r="M1528" t="s">
        <v>25</v>
      </c>
      <c r="N1528" t="s">
        <v>44</v>
      </c>
      <c r="O1528" t="s">
        <v>37</v>
      </c>
      <c r="P1528" t="s">
        <v>45</v>
      </c>
      <c r="Q1528">
        <v>14</v>
      </c>
      <c r="R1528">
        <v>764.2</v>
      </c>
      <c r="S1528" t="s">
        <v>29</v>
      </c>
    </row>
    <row r="1529" spans="1:19" x14ac:dyDescent="0.3">
      <c r="A1529" t="s">
        <v>1599</v>
      </c>
      <c r="B1529">
        <v>69</v>
      </c>
      <c r="C1529" t="s">
        <v>19</v>
      </c>
      <c r="D1529" t="s">
        <v>89</v>
      </c>
      <c r="E1529" s="1">
        <v>44943</v>
      </c>
      <c r="F1529" s="3">
        <v>44973</v>
      </c>
      <c r="G1529" t="s">
        <v>33</v>
      </c>
      <c r="H1529" t="s">
        <v>34</v>
      </c>
      <c r="I1529" t="s">
        <v>83</v>
      </c>
      <c r="J1529">
        <v>11823.24</v>
      </c>
      <c r="K1529">
        <v>30</v>
      </c>
      <c r="L1529" t="s">
        <v>36</v>
      </c>
      <c r="M1529" t="s">
        <v>25</v>
      </c>
      <c r="N1529" t="s">
        <v>26</v>
      </c>
      <c r="O1529" t="s">
        <v>49</v>
      </c>
      <c r="P1529" t="s">
        <v>38</v>
      </c>
      <c r="Q1529">
        <v>10</v>
      </c>
      <c r="R1529">
        <v>4338.5600000000004</v>
      </c>
      <c r="S1529" t="s">
        <v>39</v>
      </c>
    </row>
    <row r="1530" spans="1:19" x14ac:dyDescent="0.3">
      <c r="A1530" t="s">
        <v>1600</v>
      </c>
      <c r="B1530">
        <v>59</v>
      </c>
      <c r="C1530" t="s">
        <v>19</v>
      </c>
      <c r="D1530" t="s">
        <v>47</v>
      </c>
      <c r="E1530" s="1">
        <v>45013</v>
      </c>
      <c r="F1530" s="3">
        <v>45031</v>
      </c>
      <c r="G1530" t="s">
        <v>67</v>
      </c>
      <c r="H1530" t="s">
        <v>42</v>
      </c>
      <c r="I1530" t="s">
        <v>23</v>
      </c>
      <c r="J1530">
        <v>11454.33</v>
      </c>
      <c r="K1530">
        <v>18</v>
      </c>
      <c r="L1530" t="s">
        <v>36</v>
      </c>
      <c r="M1530" t="s">
        <v>25</v>
      </c>
      <c r="N1530" t="s">
        <v>44</v>
      </c>
      <c r="O1530" t="s">
        <v>56</v>
      </c>
      <c r="P1530" t="s">
        <v>50</v>
      </c>
      <c r="Q1530">
        <v>10</v>
      </c>
      <c r="R1530">
        <v>3491.11</v>
      </c>
      <c r="S1530" t="s">
        <v>29</v>
      </c>
    </row>
    <row r="1531" spans="1:19" x14ac:dyDescent="0.3">
      <c r="A1531" t="s">
        <v>1601</v>
      </c>
      <c r="B1531">
        <v>65</v>
      </c>
      <c r="C1531" t="s">
        <v>31</v>
      </c>
      <c r="D1531" t="s">
        <v>20</v>
      </c>
      <c r="E1531" s="1">
        <v>45720</v>
      </c>
      <c r="F1531" s="3">
        <v>45725</v>
      </c>
      <c r="G1531" t="s">
        <v>93</v>
      </c>
      <c r="H1531" t="s">
        <v>72</v>
      </c>
      <c r="I1531" t="s">
        <v>54</v>
      </c>
      <c r="J1531">
        <v>3317.15</v>
      </c>
      <c r="K1531">
        <v>5</v>
      </c>
      <c r="L1531" t="s">
        <v>36</v>
      </c>
      <c r="M1531" t="s">
        <v>25</v>
      </c>
      <c r="N1531" t="s">
        <v>55</v>
      </c>
      <c r="O1531" t="s">
        <v>37</v>
      </c>
      <c r="P1531" t="s">
        <v>38</v>
      </c>
      <c r="Q1531">
        <v>1</v>
      </c>
      <c r="R1531">
        <v>523.98</v>
      </c>
      <c r="S1531" t="s">
        <v>29</v>
      </c>
    </row>
    <row r="1532" spans="1:19" x14ac:dyDescent="0.3">
      <c r="A1532" t="s">
        <v>1602</v>
      </c>
      <c r="B1532">
        <v>44</v>
      </c>
      <c r="C1532" t="s">
        <v>19</v>
      </c>
      <c r="D1532" t="s">
        <v>79</v>
      </c>
      <c r="E1532" s="1">
        <v>45629</v>
      </c>
      <c r="F1532" s="3">
        <v>45653</v>
      </c>
      <c r="G1532" t="s">
        <v>41</v>
      </c>
      <c r="H1532" t="s">
        <v>42</v>
      </c>
      <c r="I1532" t="s">
        <v>35</v>
      </c>
      <c r="J1532">
        <v>21520.51</v>
      </c>
      <c r="K1532">
        <v>24</v>
      </c>
      <c r="L1532" t="s">
        <v>36</v>
      </c>
      <c r="M1532" t="s">
        <v>25</v>
      </c>
      <c r="N1532" t="s">
        <v>44</v>
      </c>
      <c r="O1532" t="s">
        <v>49</v>
      </c>
      <c r="P1532" t="s">
        <v>38</v>
      </c>
      <c r="Q1532">
        <v>6</v>
      </c>
      <c r="R1532">
        <v>5872.4</v>
      </c>
      <c r="S1532" t="s">
        <v>29</v>
      </c>
    </row>
    <row r="1533" spans="1:19" x14ac:dyDescent="0.3">
      <c r="A1533" t="s">
        <v>1603</v>
      </c>
      <c r="B1533">
        <v>63</v>
      </c>
      <c r="C1533" t="s">
        <v>31</v>
      </c>
      <c r="D1533" t="s">
        <v>61</v>
      </c>
      <c r="E1533" s="1">
        <v>45624</v>
      </c>
      <c r="F1533" s="3">
        <v>45642</v>
      </c>
      <c r="G1533" t="s">
        <v>41</v>
      </c>
      <c r="H1533" t="s">
        <v>42</v>
      </c>
      <c r="I1533" t="s">
        <v>81</v>
      </c>
      <c r="J1533">
        <v>12935.99</v>
      </c>
      <c r="K1533">
        <v>18</v>
      </c>
      <c r="L1533" t="s">
        <v>36</v>
      </c>
      <c r="M1533" t="s">
        <v>59</v>
      </c>
      <c r="N1533" t="s">
        <v>26</v>
      </c>
      <c r="O1533" t="s">
        <v>56</v>
      </c>
      <c r="P1533" t="s">
        <v>45</v>
      </c>
      <c r="Q1533">
        <v>13</v>
      </c>
      <c r="R1533">
        <v>2924.47</v>
      </c>
      <c r="S1533" t="s">
        <v>29</v>
      </c>
    </row>
    <row r="1534" spans="1:19" x14ac:dyDescent="0.3">
      <c r="A1534" t="s">
        <v>1604</v>
      </c>
      <c r="B1534">
        <v>56</v>
      </c>
      <c r="C1534" t="s">
        <v>31</v>
      </c>
      <c r="D1534" t="s">
        <v>89</v>
      </c>
      <c r="E1534" s="1">
        <v>45294</v>
      </c>
      <c r="F1534" s="3">
        <v>45313</v>
      </c>
      <c r="G1534" t="s">
        <v>62</v>
      </c>
      <c r="H1534" t="s">
        <v>63</v>
      </c>
      <c r="I1534" t="s">
        <v>83</v>
      </c>
      <c r="J1534">
        <v>14070.99</v>
      </c>
      <c r="K1534">
        <v>19</v>
      </c>
      <c r="L1534" t="s">
        <v>24</v>
      </c>
      <c r="M1534" t="s">
        <v>25</v>
      </c>
      <c r="N1534" t="s">
        <v>26</v>
      </c>
      <c r="O1534" t="s">
        <v>27</v>
      </c>
      <c r="P1534" t="s">
        <v>38</v>
      </c>
      <c r="Q1534">
        <v>1</v>
      </c>
      <c r="R1534">
        <v>5012.6400000000003</v>
      </c>
      <c r="S1534" t="s">
        <v>29</v>
      </c>
    </row>
    <row r="1535" spans="1:19" x14ac:dyDescent="0.3">
      <c r="A1535" t="s">
        <v>1605</v>
      </c>
      <c r="B1535">
        <v>20</v>
      </c>
      <c r="C1535" t="s">
        <v>19</v>
      </c>
      <c r="D1535" t="s">
        <v>20</v>
      </c>
      <c r="E1535" s="1">
        <v>45840</v>
      </c>
      <c r="F1535" s="3">
        <v>45858</v>
      </c>
      <c r="G1535" t="s">
        <v>62</v>
      </c>
      <c r="H1535" t="s">
        <v>63</v>
      </c>
      <c r="I1535" t="s">
        <v>58</v>
      </c>
      <c r="J1535">
        <v>5428.18</v>
      </c>
      <c r="K1535">
        <v>18</v>
      </c>
      <c r="L1535" t="s">
        <v>24</v>
      </c>
      <c r="M1535" t="s">
        <v>25</v>
      </c>
      <c r="N1535" t="s">
        <v>26</v>
      </c>
      <c r="O1535" t="s">
        <v>56</v>
      </c>
      <c r="P1535" t="s">
        <v>38</v>
      </c>
      <c r="Q1535">
        <v>7</v>
      </c>
      <c r="R1535">
        <v>1728.01</v>
      </c>
      <c r="S1535" t="s">
        <v>29</v>
      </c>
    </row>
    <row r="1536" spans="1:19" x14ac:dyDescent="0.3">
      <c r="A1536" t="s">
        <v>1606</v>
      </c>
      <c r="B1536">
        <v>70</v>
      </c>
      <c r="C1536" t="s">
        <v>19</v>
      </c>
      <c r="D1536" t="s">
        <v>66</v>
      </c>
      <c r="E1536" s="1">
        <v>45456</v>
      </c>
      <c r="F1536" s="3">
        <v>45475</v>
      </c>
      <c r="G1536" t="s">
        <v>21</v>
      </c>
      <c r="H1536" t="s">
        <v>22</v>
      </c>
      <c r="I1536" t="s">
        <v>81</v>
      </c>
      <c r="J1536">
        <v>18987.169999999998</v>
      </c>
      <c r="K1536">
        <v>19</v>
      </c>
      <c r="L1536" t="s">
        <v>24</v>
      </c>
      <c r="M1536" t="s">
        <v>25</v>
      </c>
      <c r="N1536" t="s">
        <v>44</v>
      </c>
      <c r="O1536" t="s">
        <v>49</v>
      </c>
      <c r="P1536" t="s">
        <v>45</v>
      </c>
      <c r="Q1536">
        <v>6</v>
      </c>
      <c r="R1536">
        <v>6980.06</v>
      </c>
      <c r="S1536" t="s">
        <v>29</v>
      </c>
    </row>
    <row r="1537" spans="1:19" x14ac:dyDescent="0.3">
      <c r="A1537" t="s">
        <v>1607</v>
      </c>
      <c r="B1537">
        <v>87</v>
      </c>
      <c r="C1537" t="s">
        <v>19</v>
      </c>
      <c r="D1537" t="s">
        <v>47</v>
      </c>
      <c r="E1537" s="1">
        <v>45908</v>
      </c>
      <c r="F1537" s="3">
        <v>45920</v>
      </c>
      <c r="G1537" t="s">
        <v>48</v>
      </c>
      <c r="H1537" t="s">
        <v>22</v>
      </c>
      <c r="I1537" t="s">
        <v>81</v>
      </c>
      <c r="J1537">
        <v>4928.1400000000003</v>
      </c>
      <c r="K1537">
        <v>12</v>
      </c>
      <c r="L1537" t="s">
        <v>24</v>
      </c>
      <c r="M1537" t="s">
        <v>25</v>
      </c>
      <c r="N1537" t="s">
        <v>26</v>
      </c>
      <c r="O1537" t="s">
        <v>37</v>
      </c>
      <c r="P1537" t="s">
        <v>28</v>
      </c>
      <c r="Q1537">
        <v>6</v>
      </c>
      <c r="R1537">
        <v>1684.29</v>
      </c>
      <c r="S1537" t="s">
        <v>39</v>
      </c>
    </row>
    <row r="1538" spans="1:19" x14ac:dyDescent="0.3">
      <c r="A1538" t="s">
        <v>1608</v>
      </c>
      <c r="B1538">
        <v>64</v>
      </c>
      <c r="C1538" t="s">
        <v>19</v>
      </c>
      <c r="D1538" t="s">
        <v>61</v>
      </c>
      <c r="E1538" s="1">
        <v>45487</v>
      </c>
      <c r="F1538" s="3">
        <v>45493</v>
      </c>
      <c r="G1538" t="s">
        <v>62</v>
      </c>
      <c r="H1538" t="s">
        <v>63</v>
      </c>
      <c r="I1538" t="s">
        <v>35</v>
      </c>
      <c r="J1538">
        <v>2340.5100000000002</v>
      </c>
      <c r="K1538">
        <v>6</v>
      </c>
      <c r="L1538" t="s">
        <v>36</v>
      </c>
      <c r="M1538" t="s">
        <v>59</v>
      </c>
      <c r="N1538" t="s">
        <v>44</v>
      </c>
      <c r="O1538" t="s">
        <v>37</v>
      </c>
      <c r="P1538" t="s">
        <v>38</v>
      </c>
      <c r="Q1538">
        <v>15</v>
      </c>
      <c r="R1538">
        <v>788.34</v>
      </c>
      <c r="S1538" t="s">
        <v>29</v>
      </c>
    </row>
    <row r="1539" spans="1:19" x14ac:dyDescent="0.3">
      <c r="A1539" t="s">
        <v>1609</v>
      </c>
      <c r="B1539">
        <v>85</v>
      </c>
      <c r="C1539" t="s">
        <v>31</v>
      </c>
      <c r="D1539" t="s">
        <v>32</v>
      </c>
      <c r="E1539" s="1">
        <v>45015</v>
      </c>
      <c r="F1539" s="3">
        <v>45024</v>
      </c>
      <c r="G1539" t="s">
        <v>52</v>
      </c>
      <c r="H1539" t="s">
        <v>53</v>
      </c>
      <c r="I1539" t="s">
        <v>58</v>
      </c>
      <c r="J1539">
        <v>3650.5</v>
      </c>
      <c r="K1539">
        <v>9</v>
      </c>
      <c r="L1539" t="s">
        <v>36</v>
      </c>
      <c r="M1539" t="s">
        <v>25</v>
      </c>
      <c r="N1539" t="s">
        <v>44</v>
      </c>
      <c r="O1539" t="s">
        <v>27</v>
      </c>
      <c r="P1539" t="s">
        <v>50</v>
      </c>
      <c r="Q1539">
        <v>3</v>
      </c>
      <c r="R1539">
        <v>1219.6099999999999</v>
      </c>
      <c r="S1539" t="s">
        <v>29</v>
      </c>
    </row>
    <row r="1540" spans="1:19" x14ac:dyDescent="0.3">
      <c r="A1540" t="s">
        <v>1610</v>
      </c>
      <c r="B1540">
        <v>34</v>
      </c>
      <c r="C1540" t="s">
        <v>31</v>
      </c>
      <c r="D1540" t="s">
        <v>66</v>
      </c>
      <c r="E1540" s="1">
        <v>45023</v>
      </c>
      <c r="F1540" s="3">
        <v>45027</v>
      </c>
      <c r="G1540" t="s">
        <v>52</v>
      </c>
      <c r="H1540" t="s">
        <v>53</v>
      </c>
      <c r="I1540" t="s">
        <v>83</v>
      </c>
      <c r="J1540">
        <v>2411.2600000000002</v>
      </c>
      <c r="K1540">
        <v>4</v>
      </c>
      <c r="L1540" t="s">
        <v>36</v>
      </c>
      <c r="M1540" t="s">
        <v>25</v>
      </c>
      <c r="N1540" t="s">
        <v>44</v>
      </c>
      <c r="O1540" t="s">
        <v>27</v>
      </c>
      <c r="P1540" t="s">
        <v>28</v>
      </c>
      <c r="Q1540">
        <v>8</v>
      </c>
      <c r="R1540">
        <v>518.21</v>
      </c>
      <c r="S1540" t="s">
        <v>29</v>
      </c>
    </row>
    <row r="1541" spans="1:19" x14ac:dyDescent="0.3">
      <c r="A1541" t="s">
        <v>1611</v>
      </c>
      <c r="B1541">
        <v>66</v>
      </c>
      <c r="C1541" t="s">
        <v>19</v>
      </c>
      <c r="D1541" t="s">
        <v>61</v>
      </c>
      <c r="E1541" s="1">
        <v>45276</v>
      </c>
      <c r="F1541" s="3">
        <v>45296</v>
      </c>
      <c r="G1541" t="s">
        <v>74</v>
      </c>
      <c r="H1541" t="s">
        <v>75</v>
      </c>
      <c r="I1541" t="s">
        <v>81</v>
      </c>
      <c r="J1541">
        <v>9099.91</v>
      </c>
      <c r="K1541">
        <v>20</v>
      </c>
      <c r="L1541" t="s">
        <v>24</v>
      </c>
      <c r="M1541" t="s">
        <v>25</v>
      </c>
      <c r="N1541" t="s">
        <v>44</v>
      </c>
      <c r="O1541" t="s">
        <v>37</v>
      </c>
      <c r="P1541" t="s">
        <v>38</v>
      </c>
      <c r="Q1541">
        <v>3</v>
      </c>
      <c r="R1541">
        <v>3042.81</v>
      </c>
      <c r="S1541" t="s">
        <v>29</v>
      </c>
    </row>
    <row r="1542" spans="1:19" x14ac:dyDescent="0.3">
      <c r="A1542" t="s">
        <v>1612</v>
      </c>
      <c r="B1542">
        <v>66</v>
      </c>
      <c r="C1542" t="s">
        <v>19</v>
      </c>
      <c r="D1542" t="s">
        <v>79</v>
      </c>
      <c r="E1542" s="1">
        <v>45414</v>
      </c>
      <c r="F1542" s="3">
        <v>45425</v>
      </c>
      <c r="G1542" t="s">
        <v>93</v>
      </c>
      <c r="H1542" t="s">
        <v>72</v>
      </c>
      <c r="I1542" t="s">
        <v>58</v>
      </c>
      <c r="J1542">
        <v>7275.3</v>
      </c>
      <c r="K1542">
        <v>11</v>
      </c>
      <c r="L1542" t="s">
        <v>36</v>
      </c>
      <c r="M1542" t="s">
        <v>25</v>
      </c>
      <c r="N1542" t="s">
        <v>44</v>
      </c>
      <c r="O1542" t="s">
        <v>56</v>
      </c>
      <c r="P1542" t="s">
        <v>38</v>
      </c>
      <c r="Q1542">
        <v>12</v>
      </c>
      <c r="R1542">
        <v>1950.48</v>
      </c>
      <c r="S1542" t="s">
        <v>29</v>
      </c>
    </row>
    <row r="1543" spans="1:19" x14ac:dyDescent="0.3">
      <c r="A1543" t="s">
        <v>1613</v>
      </c>
      <c r="B1543">
        <v>44</v>
      </c>
      <c r="C1543" t="s">
        <v>31</v>
      </c>
      <c r="D1543" t="s">
        <v>70</v>
      </c>
      <c r="E1543" s="1">
        <v>45769</v>
      </c>
      <c r="F1543" s="3">
        <v>45781</v>
      </c>
      <c r="G1543" t="s">
        <v>71</v>
      </c>
      <c r="H1543" t="s">
        <v>72</v>
      </c>
      <c r="I1543" t="s">
        <v>54</v>
      </c>
      <c r="J1543">
        <v>7898.88</v>
      </c>
      <c r="K1543">
        <v>12</v>
      </c>
      <c r="L1543" t="s">
        <v>36</v>
      </c>
      <c r="M1543" t="s">
        <v>25</v>
      </c>
      <c r="N1543" t="s">
        <v>26</v>
      </c>
      <c r="O1543" t="s">
        <v>27</v>
      </c>
      <c r="P1543" t="s">
        <v>45</v>
      </c>
      <c r="Q1543">
        <v>14</v>
      </c>
      <c r="R1543">
        <v>1699.24</v>
      </c>
      <c r="S1543" t="s">
        <v>29</v>
      </c>
    </row>
    <row r="1544" spans="1:19" x14ac:dyDescent="0.3">
      <c r="A1544" t="s">
        <v>1614</v>
      </c>
      <c r="B1544">
        <v>81</v>
      </c>
      <c r="C1544" t="s">
        <v>31</v>
      </c>
      <c r="D1544" t="s">
        <v>61</v>
      </c>
      <c r="E1544" s="1">
        <v>45535</v>
      </c>
      <c r="F1544" s="3">
        <v>45545</v>
      </c>
      <c r="G1544" t="s">
        <v>52</v>
      </c>
      <c r="H1544" t="s">
        <v>53</v>
      </c>
      <c r="I1544" t="s">
        <v>81</v>
      </c>
      <c r="J1544">
        <v>13214.11</v>
      </c>
      <c r="K1544">
        <v>10</v>
      </c>
      <c r="L1544" t="s">
        <v>36</v>
      </c>
      <c r="M1544" t="s">
        <v>59</v>
      </c>
      <c r="N1544" t="s">
        <v>44</v>
      </c>
      <c r="O1544" t="s">
        <v>49</v>
      </c>
      <c r="P1544" t="s">
        <v>50</v>
      </c>
      <c r="Q1544">
        <v>13</v>
      </c>
      <c r="R1544">
        <v>3648.85</v>
      </c>
      <c r="S1544" t="s">
        <v>29</v>
      </c>
    </row>
    <row r="1545" spans="1:19" x14ac:dyDescent="0.3">
      <c r="A1545" t="s">
        <v>1615</v>
      </c>
      <c r="B1545">
        <v>85</v>
      </c>
      <c r="C1545" t="s">
        <v>31</v>
      </c>
      <c r="D1545" t="s">
        <v>66</v>
      </c>
      <c r="E1545" s="1">
        <v>45430</v>
      </c>
      <c r="F1545" s="3">
        <v>45445</v>
      </c>
      <c r="G1545" t="s">
        <v>41</v>
      </c>
      <c r="H1545" t="s">
        <v>42</v>
      </c>
      <c r="I1545" t="s">
        <v>35</v>
      </c>
      <c r="J1545">
        <v>8934.23</v>
      </c>
      <c r="K1545">
        <v>15</v>
      </c>
      <c r="L1545" t="s">
        <v>36</v>
      </c>
      <c r="M1545" t="s">
        <v>25</v>
      </c>
      <c r="N1545" t="s">
        <v>44</v>
      </c>
      <c r="O1545" t="s">
        <v>27</v>
      </c>
      <c r="P1545" t="s">
        <v>38</v>
      </c>
      <c r="Q1545">
        <v>4</v>
      </c>
      <c r="R1545">
        <v>3555.55</v>
      </c>
      <c r="S1545" t="s">
        <v>29</v>
      </c>
    </row>
    <row r="1546" spans="1:19" x14ac:dyDescent="0.3">
      <c r="A1546" t="s">
        <v>1616</v>
      </c>
      <c r="B1546">
        <v>41</v>
      </c>
      <c r="C1546" t="s">
        <v>31</v>
      </c>
      <c r="D1546" t="s">
        <v>61</v>
      </c>
      <c r="E1546" s="1">
        <v>45224</v>
      </c>
      <c r="F1546" s="3">
        <v>45243</v>
      </c>
      <c r="G1546" t="s">
        <v>62</v>
      </c>
      <c r="H1546" t="s">
        <v>63</v>
      </c>
      <c r="I1546" t="s">
        <v>58</v>
      </c>
      <c r="J1546">
        <v>8478.58</v>
      </c>
      <c r="K1546">
        <v>19</v>
      </c>
      <c r="L1546" t="s">
        <v>24</v>
      </c>
      <c r="M1546" t="s">
        <v>25</v>
      </c>
      <c r="N1546" t="s">
        <v>44</v>
      </c>
      <c r="O1546" t="s">
        <v>37</v>
      </c>
      <c r="P1546" t="s">
        <v>38</v>
      </c>
      <c r="Q1546">
        <v>3</v>
      </c>
      <c r="R1546">
        <v>2116.6</v>
      </c>
      <c r="S1546" t="s">
        <v>29</v>
      </c>
    </row>
    <row r="1547" spans="1:19" x14ac:dyDescent="0.3">
      <c r="A1547" t="s">
        <v>1617</v>
      </c>
      <c r="B1547">
        <v>79</v>
      </c>
      <c r="C1547" t="s">
        <v>31</v>
      </c>
      <c r="D1547" t="s">
        <v>61</v>
      </c>
      <c r="E1547" s="1">
        <v>45652</v>
      </c>
      <c r="F1547" s="3">
        <v>45660</v>
      </c>
      <c r="G1547" t="s">
        <v>21</v>
      </c>
      <c r="H1547" t="s">
        <v>22</v>
      </c>
      <c r="I1547" t="s">
        <v>35</v>
      </c>
      <c r="J1547">
        <v>4866.83</v>
      </c>
      <c r="K1547">
        <v>8</v>
      </c>
      <c r="L1547" t="s">
        <v>36</v>
      </c>
      <c r="M1547" t="s">
        <v>25</v>
      </c>
      <c r="N1547" t="s">
        <v>26</v>
      </c>
      <c r="O1547" t="s">
        <v>56</v>
      </c>
      <c r="P1547" t="s">
        <v>28</v>
      </c>
      <c r="Q1547">
        <v>6</v>
      </c>
      <c r="R1547">
        <v>1398.28</v>
      </c>
      <c r="S1547" t="s">
        <v>29</v>
      </c>
    </row>
    <row r="1548" spans="1:19" x14ac:dyDescent="0.3">
      <c r="A1548" t="s">
        <v>1618</v>
      </c>
      <c r="B1548">
        <v>43</v>
      </c>
      <c r="C1548" t="s">
        <v>31</v>
      </c>
      <c r="D1548" t="s">
        <v>89</v>
      </c>
      <c r="E1548" s="1">
        <v>45167</v>
      </c>
      <c r="F1548" s="3">
        <v>45180</v>
      </c>
      <c r="G1548" t="s">
        <v>67</v>
      </c>
      <c r="H1548" t="s">
        <v>42</v>
      </c>
      <c r="I1548" t="s">
        <v>43</v>
      </c>
      <c r="J1548">
        <v>9661.16</v>
      </c>
      <c r="K1548">
        <v>13</v>
      </c>
      <c r="L1548" t="s">
        <v>36</v>
      </c>
      <c r="M1548" t="s">
        <v>25</v>
      </c>
      <c r="N1548" t="s">
        <v>44</v>
      </c>
      <c r="O1548" t="s">
        <v>27</v>
      </c>
      <c r="P1548" t="s">
        <v>50</v>
      </c>
      <c r="Q1548">
        <v>1</v>
      </c>
      <c r="R1548">
        <v>1851.37</v>
      </c>
      <c r="S1548" t="s">
        <v>29</v>
      </c>
    </row>
    <row r="1549" spans="1:19" x14ac:dyDescent="0.3">
      <c r="A1549" t="s">
        <v>1619</v>
      </c>
      <c r="B1549">
        <v>49</v>
      </c>
      <c r="C1549" t="s">
        <v>19</v>
      </c>
      <c r="D1549" t="s">
        <v>70</v>
      </c>
      <c r="E1549" s="1">
        <v>45782</v>
      </c>
      <c r="F1549" s="3">
        <v>45790</v>
      </c>
      <c r="G1549" t="s">
        <v>93</v>
      </c>
      <c r="H1549" t="s">
        <v>72</v>
      </c>
      <c r="I1549" t="s">
        <v>58</v>
      </c>
      <c r="J1549">
        <v>3956.22</v>
      </c>
      <c r="K1549">
        <v>8</v>
      </c>
      <c r="L1549" t="s">
        <v>36</v>
      </c>
      <c r="M1549" t="s">
        <v>25</v>
      </c>
      <c r="N1549" t="s">
        <v>55</v>
      </c>
      <c r="O1549" t="s">
        <v>27</v>
      </c>
      <c r="P1549" t="s">
        <v>28</v>
      </c>
      <c r="Q1549">
        <v>2</v>
      </c>
      <c r="R1549">
        <v>1263.6300000000001</v>
      </c>
      <c r="S1549" t="s">
        <v>29</v>
      </c>
    </row>
    <row r="1550" spans="1:19" x14ac:dyDescent="0.3">
      <c r="A1550" t="s">
        <v>1620</v>
      </c>
      <c r="B1550">
        <v>55</v>
      </c>
      <c r="C1550" t="s">
        <v>19</v>
      </c>
      <c r="D1550" t="s">
        <v>89</v>
      </c>
      <c r="E1550" s="1">
        <v>45006</v>
      </c>
      <c r="F1550" s="3">
        <v>45019</v>
      </c>
      <c r="G1550" t="s">
        <v>33</v>
      </c>
      <c r="H1550" t="s">
        <v>34</v>
      </c>
      <c r="I1550" t="s">
        <v>35</v>
      </c>
      <c r="J1550">
        <v>11682.17</v>
      </c>
      <c r="K1550">
        <v>13</v>
      </c>
      <c r="L1550" t="s">
        <v>36</v>
      </c>
      <c r="M1550" t="s">
        <v>25</v>
      </c>
      <c r="N1550" t="s">
        <v>26</v>
      </c>
      <c r="O1550" t="s">
        <v>37</v>
      </c>
      <c r="P1550" t="s">
        <v>50</v>
      </c>
      <c r="Q1550">
        <v>3</v>
      </c>
      <c r="R1550">
        <v>4487.87</v>
      </c>
      <c r="S1550" t="s">
        <v>29</v>
      </c>
    </row>
    <row r="1551" spans="1:19" x14ac:dyDescent="0.3">
      <c r="A1551" t="s">
        <v>1621</v>
      </c>
      <c r="B1551">
        <v>73</v>
      </c>
      <c r="C1551" t="s">
        <v>31</v>
      </c>
      <c r="D1551" t="s">
        <v>79</v>
      </c>
      <c r="E1551" s="1">
        <v>45284</v>
      </c>
      <c r="F1551" s="3">
        <v>45302</v>
      </c>
      <c r="G1551" t="s">
        <v>74</v>
      </c>
      <c r="H1551" t="s">
        <v>75</v>
      </c>
      <c r="I1551" t="s">
        <v>83</v>
      </c>
      <c r="J1551">
        <v>9051.24</v>
      </c>
      <c r="K1551">
        <v>18</v>
      </c>
      <c r="L1551" t="s">
        <v>36</v>
      </c>
      <c r="M1551" t="s">
        <v>25</v>
      </c>
      <c r="N1551" t="s">
        <v>26</v>
      </c>
      <c r="O1551" t="s">
        <v>27</v>
      </c>
      <c r="P1551" t="s">
        <v>45</v>
      </c>
      <c r="Q1551">
        <v>2</v>
      </c>
      <c r="R1551">
        <v>2707.06</v>
      </c>
      <c r="S1551" t="s">
        <v>29</v>
      </c>
    </row>
    <row r="1552" spans="1:19" x14ac:dyDescent="0.3">
      <c r="A1552" t="s">
        <v>1622</v>
      </c>
      <c r="B1552">
        <v>50</v>
      </c>
      <c r="C1552" t="s">
        <v>19</v>
      </c>
      <c r="D1552" t="s">
        <v>61</v>
      </c>
      <c r="E1552" s="1">
        <v>45071</v>
      </c>
      <c r="F1552" s="3">
        <v>45101</v>
      </c>
      <c r="G1552" t="s">
        <v>33</v>
      </c>
      <c r="H1552" t="s">
        <v>34</v>
      </c>
      <c r="I1552" t="s">
        <v>83</v>
      </c>
      <c r="J1552">
        <v>17804.32</v>
      </c>
      <c r="K1552">
        <v>30</v>
      </c>
      <c r="L1552" t="s">
        <v>24</v>
      </c>
      <c r="M1552" t="s">
        <v>59</v>
      </c>
      <c r="N1552" t="s">
        <v>26</v>
      </c>
      <c r="O1552" t="s">
        <v>49</v>
      </c>
      <c r="P1552" t="s">
        <v>45</v>
      </c>
      <c r="Q1552">
        <v>11</v>
      </c>
      <c r="R1552">
        <v>6914.44</v>
      </c>
      <c r="S1552" t="s">
        <v>29</v>
      </c>
    </row>
    <row r="1553" spans="1:19" x14ac:dyDescent="0.3">
      <c r="A1553" t="s">
        <v>1623</v>
      </c>
      <c r="B1553">
        <v>62</v>
      </c>
      <c r="C1553" t="s">
        <v>31</v>
      </c>
      <c r="D1553" t="s">
        <v>70</v>
      </c>
      <c r="E1553" s="1">
        <v>45746</v>
      </c>
      <c r="F1553" s="3">
        <v>45756</v>
      </c>
      <c r="G1553" t="s">
        <v>21</v>
      </c>
      <c r="H1553" t="s">
        <v>22</v>
      </c>
      <c r="I1553" t="s">
        <v>91</v>
      </c>
      <c r="J1553">
        <v>7305.37</v>
      </c>
      <c r="K1553">
        <v>10</v>
      </c>
      <c r="L1553" t="s">
        <v>36</v>
      </c>
      <c r="M1553" t="s">
        <v>25</v>
      </c>
      <c r="N1553" t="s">
        <v>44</v>
      </c>
      <c r="O1553" t="s">
        <v>56</v>
      </c>
      <c r="P1553" t="s">
        <v>28</v>
      </c>
      <c r="Q1553">
        <v>5</v>
      </c>
      <c r="R1553">
        <v>1849.03</v>
      </c>
      <c r="S1553" t="s">
        <v>29</v>
      </c>
    </row>
    <row r="1554" spans="1:19" x14ac:dyDescent="0.3">
      <c r="A1554" t="s">
        <v>1624</v>
      </c>
      <c r="B1554">
        <v>44</v>
      </c>
      <c r="C1554" t="s">
        <v>19</v>
      </c>
      <c r="D1554" t="s">
        <v>47</v>
      </c>
      <c r="E1554" s="1">
        <v>45025</v>
      </c>
      <c r="F1554" s="3">
        <v>45036</v>
      </c>
      <c r="G1554" t="s">
        <v>48</v>
      </c>
      <c r="H1554" t="s">
        <v>22</v>
      </c>
      <c r="I1554" t="s">
        <v>54</v>
      </c>
      <c r="J1554">
        <v>5634.03</v>
      </c>
      <c r="K1554">
        <v>11</v>
      </c>
      <c r="L1554" t="s">
        <v>36</v>
      </c>
      <c r="M1554" t="s">
        <v>59</v>
      </c>
      <c r="N1554" t="s">
        <v>26</v>
      </c>
      <c r="O1554" t="s">
        <v>37</v>
      </c>
      <c r="P1554" t="s">
        <v>28</v>
      </c>
      <c r="Q1554">
        <v>7</v>
      </c>
      <c r="R1554">
        <v>2233.6999999999998</v>
      </c>
      <c r="S1554" t="s">
        <v>29</v>
      </c>
    </row>
    <row r="1555" spans="1:19" x14ac:dyDescent="0.3">
      <c r="A1555" t="s">
        <v>1625</v>
      </c>
      <c r="B1555">
        <v>60</v>
      </c>
      <c r="C1555" t="s">
        <v>31</v>
      </c>
      <c r="D1555" t="s">
        <v>20</v>
      </c>
      <c r="E1555" s="1">
        <v>45118</v>
      </c>
      <c r="F1555" s="3">
        <v>45120</v>
      </c>
      <c r="G1555" t="s">
        <v>67</v>
      </c>
      <c r="H1555" t="s">
        <v>42</v>
      </c>
      <c r="I1555" t="s">
        <v>23</v>
      </c>
      <c r="J1555">
        <v>2634.82</v>
      </c>
      <c r="K1555">
        <v>2</v>
      </c>
      <c r="L1555" t="s">
        <v>36</v>
      </c>
      <c r="M1555" t="s">
        <v>25</v>
      </c>
      <c r="N1555" t="s">
        <v>55</v>
      </c>
      <c r="O1555" t="s">
        <v>27</v>
      </c>
      <c r="P1555" t="s">
        <v>38</v>
      </c>
      <c r="Q1555">
        <v>11</v>
      </c>
      <c r="R1555">
        <v>962.88</v>
      </c>
      <c r="S1555" t="s">
        <v>29</v>
      </c>
    </row>
    <row r="1556" spans="1:19" x14ac:dyDescent="0.3">
      <c r="A1556" t="s">
        <v>1626</v>
      </c>
      <c r="B1556">
        <v>40</v>
      </c>
      <c r="C1556" t="s">
        <v>19</v>
      </c>
      <c r="D1556" t="s">
        <v>32</v>
      </c>
      <c r="E1556" s="1">
        <v>45828</v>
      </c>
      <c r="F1556" s="3">
        <v>45852</v>
      </c>
      <c r="G1556" t="s">
        <v>21</v>
      </c>
      <c r="H1556" t="s">
        <v>22</v>
      </c>
      <c r="I1556" t="s">
        <v>81</v>
      </c>
      <c r="J1556">
        <v>15110.04</v>
      </c>
      <c r="K1556">
        <v>24</v>
      </c>
      <c r="L1556" t="s">
        <v>24</v>
      </c>
      <c r="M1556" t="s">
        <v>59</v>
      </c>
      <c r="N1556" t="s">
        <v>55</v>
      </c>
      <c r="O1556" t="s">
        <v>49</v>
      </c>
      <c r="P1556" t="s">
        <v>28</v>
      </c>
      <c r="Q1556">
        <v>10</v>
      </c>
      <c r="R1556">
        <v>3832.41</v>
      </c>
      <c r="S1556" t="s">
        <v>29</v>
      </c>
    </row>
    <row r="1557" spans="1:19" x14ac:dyDescent="0.3">
      <c r="A1557" t="s">
        <v>1627</v>
      </c>
      <c r="B1557">
        <v>88</v>
      </c>
      <c r="C1557" t="s">
        <v>19</v>
      </c>
      <c r="D1557" t="s">
        <v>66</v>
      </c>
      <c r="E1557" s="1">
        <v>45063</v>
      </c>
      <c r="F1557" s="3">
        <v>45078</v>
      </c>
      <c r="G1557" t="s">
        <v>62</v>
      </c>
      <c r="H1557" t="s">
        <v>63</v>
      </c>
      <c r="I1557" t="s">
        <v>81</v>
      </c>
      <c r="J1557">
        <v>11671.77</v>
      </c>
      <c r="K1557">
        <v>15</v>
      </c>
      <c r="L1557" t="s">
        <v>36</v>
      </c>
      <c r="M1557" t="s">
        <v>25</v>
      </c>
      <c r="N1557" t="s">
        <v>55</v>
      </c>
      <c r="O1557" t="s">
        <v>56</v>
      </c>
      <c r="P1557" t="s">
        <v>50</v>
      </c>
      <c r="Q1557">
        <v>14</v>
      </c>
      <c r="R1557">
        <v>3201.88</v>
      </c>
      <c r="S1557" t="s">
        <v>29</v>
      </c>
    </row>
    <row r="1558" spans="1:19" x14ac:dyDescent="0.3">
      <c r="A1558" t="s">
        <v>1628</v>
      </c>
      <c r="B1558">
        <v>62</v>
      </c>
      <c r="C1558" t="s">
        <v>19</v>
      </c>
      <c r="D1558" t="s">
        <v>66</v>
      </c>
      <c r="E1558" s="1">
        <v>45762</v>
      </c>
      <c r="F1558" s="3">
        <v>45776</v>
      </c>
      <c r="G1558" t="s">
        <v>71</v>
      </c>
      <c r="H1558" t="s">
        <v>72</v>
      </c>
      <c r="I1558" t="s">
        <v>81</v>
      </c>
      <c r="J1558">
        <v>11294.25</v>
      </c>
      <c r="K1558">
        <v>14</v>
      </c>
      <c r="L1558" t="s">
        <v>36</v>
      </c>
      <c r="M1558" t="s">
        <v>76</v>
      </c>
      <c r="N1558" t="s">
        <v>26</v>
      </c>
      <c r="O1558" t="s">
        <v>56</v>
      </c>
      <c r="P1558" t="s">
        <v>50</v>
      </c>
      <c r="Q1558">
        <v>8</v>
      </c>
      <c r="R1558">
        <v>4090.94</v>
      </c>
      <c r="S1558" t="s">
        <v>29</v>
      </c>
    </row>
    <row r="1559" spans="1:19" x14ac:dyDescent="0.3">
      <c r="A1559" t="s">
        <v>1629</v>
      </c>
      <c r="B1559">
        <v>28</v>
      </c>
      <c r="C1559" t="s">
        <v>31</v>
      </c>
      <c r="D1559" t="s">
        <v>79</v>
      </c>
      <c r="E1559" s="1">
        <v>45254</v>
      </c>
      <c r="F1559" s="3">
        <v>45266</v>
      </c>
      <c r="G1559" t="s">
        <v>74</v>
      </c>
      <c r="H1559" t="s">
        <v>75</v>
      </c>
      <c r="I1559" t="s">
        <v>35</v>
      </c>
      <c r="J1559">
        <v>4766.8999999999996</v>
      </c>
      <c r="K1559">
        <v>12</v>
      </c>
      <c r="L1559" t="s">
        <v>36</v>
      </c>
      <c r="M1559" t="s">
        <v>25</v>
      </c>
      <c r="N1559" t="s">
        <v>26</v>
      </c>
      <c r="O1559" t="s">
        <v>27</v>
      </c>
      <c r="P1559" t="s">
        <v>50</v>
      </c>
      <c r="Q1559">
        <v>10</v>
      </c>
      <c r="R1559">
        <v>1091.23</v>
      </c>
      <c r="S1559" t="s">
        <v>29</v>
      </c>
    </row>
    <row r="1560" spans="1:19" x14ac:dyDescent="0.3">
      <c r="A1560" t="s">
        <v>1630</v>
      </c>
      <c r="B1560">
        <v>32</v>
      </c>
      <c r="C1560" t="s">
        <v>19</v>
      </c>
      <c r="D1560" t="s">
        <v>70</v>
      </c>
      <c r="E1560" s="1">
        <v>45911</v>
      </c>
      <c r="F1560" s="3">
        <v>45928</v>
      </c>
      <c r="G1560" t="s">
        <v>74</v>
      </c>
      <c r="H1560" t="s">
        <v>75</v>
      </c>
      <c r="I1560" t="s">
        <v>58</v>
      </c>
      <c r="J1560">
        <v>9242.6</v>
      </c>
      <c r="K1560">
        <v>17</v>
      </c>
      <c r="L1560" t="s">
        <v>36</v>
      </c>
      <c r="M1560" t="s">
        <v>25</v>
      </c>
      <c r="N1560" t="s">
        <v>44</v>
      </c>
      <c r="O1560" t="s">
        <v>56</v>
      </c>
      <c r="P1560" t="s">
        <v>28</v>
      </c>
      <c r="Q1560">
        <v>14</v>
      </c>
      <c r="R1560">
        <v>3291.65</v>
      </c>
      <c r="S1560" t="s">
        <v>29</v>
      </c>
    </row>
    <row r="1561" spans="1:19" x14ac:dyDescent="0.3">
      <c r="A1561" t="s">
        <v>1631</v>
      </c>
      <c r="B1561">
        <v>52</v>
      </c>
      <c r="C1561" t="s">
        <v>19</v>
      </c>
      <c r="D1561" t="s">
        <v>20</v>
      </c>
      <c r="E1561" s="1">
        <v>45847</v>
      </c>
      <c r="F1561" s="3">
        <v>45866</v>
      </c>
      <c r="G1561" t="s">
        <v>74</v>
      </c>
      <c r="H1561" t="s">
        <v>75</v>
      </c>
      <c r="I1561" t="s">
        <v>35</v>
      </c>
      <c r="J1561">
        <v>12134.97</v>
      </c>
      <c r="K1561">
        <v>19</v>
      </c>
      <c r="L1561" t="s">
        <v>36</v>
      </c>
      <c r="M1561" t="s">
        <v>25</v>
      </c>
      <c r="N1561" t="s">
        <v>44</v>
      </c>
      <c r="O1561" t="s">
        <v>56</v>
      </c>
      <c r="P1561" t="s">
        <v>28</v>
      </c>
      <c r="Q1561">
        <v>4</v>
      </c>
      <c r="R1561">
        <v>3637.43</v>
      </c>
      <c r="S1561" t="s">
        <v>29</v>
      </c>
    </row>
    <row r="1562" spans="1:19" x14ac:dyDescent="0.3">
      <c r="A1562" t="s">
        <v>1632</v>
      </c>
      <c r="B1562">
        <v>82</v>
      </c>
      <c r="C1562" t="s">
        <v>19</v>
      </c>
      <c r="D1562" t="s">
        <v>79</v>
      </c>
      <c r="E1562" s="1">
        <v>45154</v>
      </c>
      <c r="F1562" s="3">
        <v>45156</v>
      </c>
      <c r="G1562" t="s">
        <v>48</v>
      </c>
      <c r="H1562" t="s">
        <v>22</v>
      </c>
      <c r="I1562" t="s">
        <v>81</v>
      </c>
      <c r="J1562">
        <v>3989.88</v>
      </c>
      <c r="K1562">
        <v>2</v>
      </c>
      <c r="L1562" t="s">
        <v>24</v>
      </c>
      <c r="M1562" t="s">
        <v>25</v>
      </c>
      <c r="N1562" t="s">
        <v>26</v>
      </c>
      <c r="O1562" t="s">
        <v>27</v>
      </c>
      <c r="P1562" t="s">
        <v>50</v>
      </c>
      <c r="Q1562">
        <v>4</v>
      </c>
      <c r="R1562">
        <v>643.52</v>
      </c>
      <c r="S1562" t="s">
        <v>29</v>
      </c>
    </row>
    <row r="1563" spans="1:19" x14ac:dyDescent="0.3">
      <c r="A1563" t="s">
        <v>1633</v>
      </c>
      <c r="B1563">
        <v>40</v>
      </c>
      <c r="C1563" t="s">
        <v>19</v>
      </c>
      <c r="D1563" t="s">
        <v>89</v>
      </c>
      <c r="E1563" s="1">
        <v>45606</v>
      </c>
      <c r="F1563" s="3">
        <v>45619</v>
      </c>
      <c r="G1563" t="s">
        <v>62</v>
      </c>
      <c r="H1563" t="s">
        <v>63</v>
      </c>
      <c r="I1563" t="s">
        <v>83</v>
      </c>
      <c r="J1563">
        <v>7539.46</v>
      </c>
      <c r="K1563">
        <v>13</v>
      </c>
      <c r="L1563" t="s">
        <v>36</v>
      </c>
      <c r="M1563" t="s">
        <v>76</v>
      </c>
      <c r="N1563" t="s">
        <v>44</v>
      </c>
      <c r="O1563" t="s">
        <v>56</v>
      </c>
      <c r="P1563" t="s">
        <v>50</v>
      </c>
      <c r="Q1563">
        <v>6</v>
      </c>
      <c r="R1563">
        <v>2579.3000000000002</v>
      </c>
      <c r="S1563" t="s">
        <v>29</v>
      </c>
    </row>
    <row r="1564" spans="1:19" x14ac:dyDescent="0.3">
      <c r="A1564" t="s">
        <v>1634</v>
      </c>
      <c r="B1564">
        <v>82</v>
      </c>
      <c r="C1564" t="s">
        <v>19</v>
      </c>
      <c r="D1564" t="s">
        <v>66</v>
      </c>
      <c r="E1564" s="1">
        <v>45708</v>
      </c>
      <c r="F1564" s="3">
        <v>45737</v>
      </c>
      <c r="G1564" t="s">
        <v>52</v>
      </c>
      <c r="H1564" t="s">
        <v>53</v>
      </c>
      <c r="I1564" t="s">
        <v>23</v>
      </c>
      <c r="J1564">
        <v>18830.2</v>
      </c>
      <c r="K1564">
        <v>29</v>
      </c>
      <c r="L1564" t="s">
        <v>36</v>
      </c>
      <c r="M1564" t="s">
        <v>25</v>
      </c>
      <c r="N1564" t="s">
        <v>26</v>
      </c>
      <c r="O1564" t="s">
        <v>49</v>
      </c>
      <c r="P1564" t="s">
        <v>45</v>
      </c>
      <c r="Q1564">
        <v>2</v>
      </c>
      <c r="R1564">
        <v>5212.67</v>
      </c>
      <c r="S1564" t="s">
        <v>29</v>
      </c>
    </row>
    <row r="1565" spans="1:19" x14ac:dyDescent="0.3">
      <c r="A1565" t="s">
        <v>1635</v>
      </c>
      <c r="B1565">
        <v>64</v>
      </c>
      <c r="C1565" t="s">
        <v>31</v>
      </c>
      <c r="D1565" t="s">
        <v>47</v>
      </c>
      <c r="E1565" s="1">
        <v>45592</v>
      </c>
      <c r="F1565" s="3">
        <v>45600</v>
      </c>
      <c r="G1565" t="s">
        <v>21</v>
      </c>
      <c r="H1565" t="s">
        <v>22</v>
      </c>
      <c r="I1565" t="s">
        <v>43</v>
      </c>
      <c r="J1565">
        <v>6258.56</v>
      </c>
      <c r="K1565">
        <v>8</v>
      </c>
      <c r="L1565" t="s">
        <v>36</v>
      </c>
      <c r="M1565" t="s">
        <v>25</v>
      </c>
      <c r="N1565" t="s">
        <v>44</v>
      </c>
      <c r="O1565" t="s">
        <v>56</v>
      </c>
      <c r="P1565" t="s">
        <v>45</v>
      </c>
      <c r="Q1565">
        <v>1</v>
      </c>
      <c r="R1565">
        <v>1680.85</v>
      </c>
      <c r="S1565" t="s">
        <v>39</v>
      </c>
    </row>
    <row r="1566" spans="1:19" x14ac:dyDescent="0.3">
      <c r="A1566" t="s">
        <v>1636</v>
      </c>
      <c r="B1566">
        <v>62</v>
      </c>
      <c r="C1566" t="s">
        <v>31</v>
      </c>
      <c r="D1566" t="s">
        <v>20</v>
      </c>
      <c r="E1566" s="1">
        <v>45480</v>
      </c>
      <c r="F1566" s="3">
        <v>45492</v>
      </c>
      <c r="G1566" t="s">
        <v>52</v>
      </c>
      <c r="H1566" t="s">
        <v>53</v>
      </c>
      <c r="I1566" t="s">
        <v>43</v>
      </c>
      <c r="J1566">
        <v>9733.7999999999993</v>
      </c>
      <c r="K1566">
        <v>12</v>
      </c>
      <c r="L1566" t="s">
        <v>24</v>
      </c>
      <c r="M1566" t="s">
        <v>25</v>
      </c>
      <c r="N1566" t="s">
        <v>55</v>
      </c>
      <c r="O1566" t="s">
        <v>27</v>
      </c>
      <c r="P1566" t="s">
        <v>38</v>
      </c>
      <c r="Q1566">
        <v>5</v>
      </c>
      <c r="R1566">
        <v>3862.66</v>
      </c>
      <c r="S1566" t="s">
        <v>29</v>
      </c>
    </row>
    <row r="1567" spans="1:19" x14ac:dyDescent="0.3">
      <c r="A1567" t="s">
        <v>1637</v>
      </c>
      <c r="B1567">
        <v>57</v>
      </c>
      <c r="C1567" t="s">
        <v>31</v>
      </c>
      <c r="D1567" t="s">
        <v>20</v>
      </c>
      <c r="E1567" s="1">
        <v>45024</v>
      </c>
      <c r="F1567" s="3">
        <v>45043</v>
      </c>
      <c r="G1567" t="s">
        <v>21</v>
      </c>
      <c r="H1567" t="s">
        <v>22</v>
      </c>
      <c r="I1567" t="s">
        <v>81</v>
      </c>
      <c r="J1567">
        <v>16598.990000000002</v>
      </c>
      <c r="K1567">
        <v>19</v>
      </c>
      <c r="L1567" t="s">
        <v>36</v>
      </c>
      <c r="M1567" t="s">
        <v>25</v>
      </c>
      <c r="N1567" t="s">
        <v>26</v>
      </c>
      <c r="O1567" t="s">
        <v>49</v>
      </c>
      <c r="P1567" t="s">
        <v>50</v>
      </c>
      <c r="Q1567">
        <v>3</v>
      </c>
      <c r="R1567">
        <v>5529.97</v>
      </c>
      <c r="S1567" t="s">
        <v>29</v>
      </c>
    </row>
    <row r="1568" spans="1:19" x14ac:dyDescent="0.3">
      <c r="A1568" t="s">
        <v>1638</v>
      </c>
      <c r="B1568">
        <v>60</v>
      </c>
      <c r="C1568" t="s">
        <v>31</v>
      </c>
      <c r="D1568" t="s">
        <v>89</v>
      </c>
      <c r="E1568" s="1">
        <v>45055</v>
      </c>
      <c r="F1568" s="3">
        <v>45067</v>
      </c>
      <c r="G1568" t="s">
        <v>52</v>
      </c>
      <c r="H1568" t="s">
        <v>53</v>
      </c>
      <c r="I1568" t="s">
        <v>54</v>
      </c>
      <c r="J1568">
        <v>3895.39</v>
      </c>
      <c r="K1568">
        <v>12</v>
      </c>
      <c r="L1568" t="s">
        <v>36</v>
      </c>
      <c r="M1568" t="s">
        <v>25</v>
      </c>
      <c r="N1568" t="s">
        <v>26</v>
      </c>
      <c r="O1568" t="s">
        <v>56</v>
      </c>
      <c r="P1568" t="s">
        <v>50</v>
      </c>
      <c r="Q1568">
        <v>3</v>
      </c>
      <c r="R1568">
        <v>1043.02</v>
      </c>
      <c r="S1568" t="s">
        <v>29</v>
      </c>
    </row>
    <row r="1569" spans="1:19" x14ac:dyDescent="0.3">
      <c r="A1569" t="s">
        <v>1639</v>
      </c>
      <c r="B1569">
        <v>74</v>
      </c>
      <c r="C1569" t="s">
        <v>19</v>
      </c>
      <c r="D1569" t="s">
        <v>32</v>
      </c>
      <c r="E1569" s="1">
        <v>45060</v>
      </c>
      <c r="F1569" s="3">
        <v>45079</v>
      </c>
      <c r="G1569" t="s">
        <v>67</v>
      </c>
      <c r="H1569" t="s">
        <v>42</v>
      </c>
      <c r="I1569" t="s">
        <v>91</v>
      </c>
      <c r="J1569">
        <v>11069.43</v>
      </c>
      <c r="K1569">
        <v>19</v>
      </c>
      <c r="L1569" t="s">
        <v>24</v>
      </c>
      <c r="M1569" t="s">
        <v>59</v>
      </c>
      <c r="N1569" t="s">
        <v>26</v>
      </c>
      <c r="O1569" t="s">
        <v>27</v>
      </c>
      <c r="P1569" t="s">
        <v>50</v>
      </c>
      <c r="Q1569">
        <v>8</v>
      </c>
      <c r="R1569">
        <v>3463.27</v>
      </c>
      <c r="S1569" t="s">
        <v>29</v>
      </c>
    </row>
    <row r="1570" spans="1:19" x14ac:dyDescent="0.3">
      <c r="A1570" t="s">
        <v>1640</v>
      </c>
      <c r="B1570">
        <v>62</v>
      </c>
      <c r="C1570" t="s">
        <v>31</v>
      </c>
      <c r="D1570" t="s">
        <v>89</v>
      </c>
      <c r="E1570" s="1">
        <v>45460</v>
      </c>
      <c r="F1570" s="3">
        <v>45470</v>
      </c>
      <c r="G1570" t="s">
        <v>21</v>
      </c>
      <c r="H1570" t="s">
        <v>22</v>
      </c>
      <c r="I1570" t="s">
        <v>81</v>
      </c>
      <c r="J1570">
        <v>7212.98</v>
      </c>
      <c r="K1570">
        <v>10</v>
      </c>
      <c r="L1570" t="s">
        <v>36</v>
      </c>
      <c r="M1570" t="s">
        <v>25</v>
      </c>
      <c r="N1570" t="s">
        <v>55</v>
      </c>
      <c r="O1570" t="s">
        <v>56</v>
      </c>
      <c r="P1570" t="s">
        <v>50</v>
      </c>
      <c r="Q1570">
        <v>11</v>
      </c>
      <c r="R1570">
        <v>1841.9</v>
      </c>
      <c r="S1570" t="s">
        <v>29</v>
      </c>
    </row>
    <row r="1571" spans="1:19" x14ac:dyDescent="0.3">
      <c r="A1571" t="s">
        <v>1641</v>
      </c>
      <c r="B1571">
        <v>53</v>
      </c>
      <c r="C1571" t="s">
        <v>31</v>
      </c>
      <c r="D1571" t="s">
        <v>70</v>
      </c>
      <c r="E1571" s="1">
        <v>45180</v>
      </c>
      <c r="F1571" s="3">
        <v>45192</v>
      </c>
      <c r="G1571" t="s">
        <v>52</v>
      </c>
      <c r="H1571" t="s">
        <v>53</v>
      </c>
      <c r="I1571" t="s">
        <v>54</v>
      </c>
      <c r="J1571">
        <v>9567.59</v>
      </c>
      <c r="K1571">
        <v>12</v>
      </c>
      <c r="L1571" t="s">
        <v>24</v>
      </c>
      <c r="M1571" t="s">
        <v>59</v>
      </c>
      <c r="N1571" t="s">
        <v>44</v>
      </c>
      <c r="O1571" t="s">
        <v>37</v>
      </c>
      <c r="P1571" t="s">
        <v>38</v>
      </c>
      <c r="Q1571">
        <v>15</v>
      </c>
      <c r="R1571">
        <v>1548.07</v>
      </c>
      <c r="S1571" t="s">
        <v>29</v>
      </c>
    </row>
    <row r="1572" spans="1:19" x14ac:dyDescent="0.3">
      <c r="A1572" t="s">
        <v>1642</v>
      </c>
      <c r="B1572">
        <v>69</v>
      </c>
      <c r="C1572" t="s">
        <v>31</v>
      </c>
      <c r="D1572" t="s">
        <v>32</v>
      </c>
      <c r="E1572" s="1">
        <v>45019</v>
      </c>
      <c r="F1572" s="3">
        <v>45030</v>
      </c>
      <c r="G1572" t="s">
        <v>52</v>
      </c>
      <c r="H1572" t="s">
        <v>53</v>
      </c>
      <c r="I1572" t="s">
        <v>91</v>
      </c>
      <c r="J1572">
        <v>8548.11</v>
      </c>
      <c r="K1572">
        <v>11</v>
      </c>
      <c r="L1572" t="s">
        <v>24</v>
      </c>
      <c r="M1572" t="s">
        <v>25</v>
      </c>
      <c r="N1572" t="s">
        <v>55</v>
      </c>
      <c r="O1572" t="s">
        <v>56</v>
      </c>
      <c r="P1572" t="s">
        <v>38</v>
      </c>
      <c r="Q1572">
        <v>6</v>
      </c>
      <c r="R1572">
        <v>1930.92</v>
      </c>
      <c r="S1572" t="s">
        <v>29</v>
      </c>
    </row>
    <row r="1573" spans="1:19" x14ac:dyDescent="0.3">
      <c r="A1573" t="s">
        <v>1643</v>
      </c>
      <c r="B1573">
        <v>41</v>
      </c>
      <c r="C1573" t="s">
        <v>19</v>
      </c>
      <c r="D1573" t="s">
        <v>66</v>
      </c>
      <c r="E1573" s="1">
        <v>45372</v>
      </c>
      <c r="F1573" s="3">
        <v>45381</v>
      </c>
      <c r="G1573" t="s">
        <v>74</v>
      </c>
      <c r="H1573" t="s">
        <v>75</v>
      </c>
      <c r="I1573" t="s">
        <v>43</v>
      </c>
      <c r="J1573">
        <v>2989.68</v>
      </c>
      <c r="K1573">
        <v>9</v>
      </c>
      <c r="L1573" t="s">
        <v>24</v>
      </c>
      <c r="M1573" t="s">
        <v>25</v>
      </c>
      <c r="N1573" t="s">
        <v>26</v>
      </c>
      <c r="O1573" t="s">
        <v>37</v>
      </c>
      <c r="P1573" t="s">
        <v>38</v>
      </c>
      <c r="Q1573">
        <v>5</v>
      </c>
      <c r="R1573">
        <v>632.63</v>
      </c>
      <c r="S1573" t="s">
        <v>29</v>
      </c>
    </row>
    <row r="1574" spans="1:19" x14ac:dyDescent="0.3">
      <c r="A1574" t="s">
        <v>1644</v>
      </c>
      <c r="B1574">
        <v>42</v>
      </c>
      <c r="C1574" t="s">
        <v>19</v>
      </c>
      <c r="D1574" t="s">
        <v>61</v>
      </c>
      <c r="E1574" s="1">
        <v>45251</v>
      </c>
      <c r="F1574" s="3">
        <v>45270</v>
      </c>
      <c r="G1574" t="s">
        <v>62</v>
      </c>
      <c r="H1574" t="s">
        <v>63</v>
      </c>
      <c r="I1574" t="s">
        <v>35</v>
      </c>
      <c r="J1574">
        <v>7839.19</v>
      </c>
      <c r="K1574">
        <v>19</v>
      </c>
      <c r="L1574" t="s">
        <v>24</v>
      </c>
      <c r="M1574" t="s">
        <v>25</v>
      </c>
      <c r="N1574" t="s">
        <v>26</v>
      </c>
      <c r="O1574" t="s">
        <v>37</v>
      </c>
      <c r="P1574" t="s">
        <v>28</v>
      </c>
      <c r="Q1574">
        <v>11</v>
      </c>
      <c r="R1574">
        <v>2043.66</v>
      </c>
      <c r="S1574" t="s">
        <v>29</v>
      </c>
    </row>
    <row r="1575" spans="1:19" x14ac:dyDescent="0.3">
      <c r="A1575" t="s">
        <v>1645</v>
      </c>
      <c r="B1575">
        <v>34</v>
      </c>
      <c r="C1575" t="s">
        <v>31</v>
      </c>
      <c r="D1575" t="s">
        <v>66</v>
      </c>
      <c r="E1575" s="1">
        <v>45023</v>
      </c>
      <c r="F1575" s="3">
        <v>45051</v>
      </c>
      <c r="G1575" t="s">
        <v>71</v>
      </c>
      <c r="H1575" t="s">
        <v>72</v>
      </c>
      <c r="I1575" t="s">
        <v>35</v>
      </c>
      <c r="J1575">
        <v>13916.47</v>
      </c>
      <c r="K1575">
        <v>28</v>
      </c>
      <c r="L1575" t="s">
        <v>36</v>
      </c>
      <c r="M1575" t="s">
        <v>25</v>
      </c>
      <c r="N1575" t="s">
        <v>55</v>
      </c>
      <c r="O1575" t="s">
        <v>49</v>
      </c>
      <c r="P1575" t="s">
        <v>38</v>
      </c>
      <c r="Q1575">
        <v>6</v>
      </c>
      <c r="R1575">
        <v>5557.61</v>
      </c>
      <c r="S1575" t="s">
        <v>29</v>
      </c>
    </row>
    <row r="1576" spans="1:19" x14ac:dyDescent="0.3">
      <c r="A1576" t="s">
        <v>1646</v>
      </c>
      <c r="B1576">
        <v>85</v>
      </c>
      <c r="C1576" t="s">
        <v>19</v>
      </c>
      <c r="D1576" t="s">
        <v>70</v>
      </c>
      <c r="E1576" s="1">
        <v>45637</v>
      </c>
      <c r="F1576" s="3">
        <v>45652</v>
      </c>
      <c r="G1576" t="s">
        <v>93</v>
      </c>
      <c r="H1576" t="s">
        <v>72</v>
      </c>
      <c r="I1576" t="s">
        <v>83</v>
      </c>
      <c r="J1576">
        <v>6854.1</v>
      </c>
      <c r="K1576">
        <v>15</v>
      </c>
      <c r="L1576" t="s">
        <v>36</v>
      </c>
      <c r="M1576" t="s">
        <v>25</v>
      </c>
      <c r="N1576" t="s">
        <v>26</v>
      </c>
      <c r="O1576" t="s">
        <v>27</v>
      </c>
      <c r="P1576" t="s">
        <v>50</v>
      </c>
      <c r="Q1576">
        <v>15</v>
      </c>
      <c r="R1576">
        <v>2614.02</v>
      </c>
      <c r="S1576" t="s">
        <v>29</v>
      </c>
    </row>
    <row r="1577" spans="1:19" x14ac:dyDescent="0.3">
      <c r="A1577" t="s">
        <v>1647</v>
      </c>
      <c r="B1577">
        <v>23</v>
      </c>
      <c r="C1577" t="s">
        <v>31</v>
      </c>
      <c r="D1577" t="s">
        <v>32</v>
      </c>
      <c r="E1577" s="1">
        <v>45857</v>
      </c>
      <c r="F1577" s="3">
        <v>45867</v>
      </c>
      <c r="G1577" t="s">
        <v>52</v>
      </c>
      <c r="H1577" t="s">
        <v>53</v>
      </c>
      <c r="I1577" t="s">
        <v>43</v>
      </c>
      <c r="J1577">
        <v>9470.43</v>
      </c>
      <c r="K1577">
        <v>10</v>
      </c>
      <c r="L1577" t="s">
        <v>24</v>
      </c>
      <c r="M1577" t="s">
        <v>25</v>
      </c>
      <c r="N1577" t="s">
        <v>44</v>
      </c>
      <c r="O1577" t="s">
        <v>49</v>
      </c>
      <c r="P1577" t="s">
        <v>28</v>
      </c>
      <c r="Q1577">
        <v>14</v>
      </c>
      <c r="R1577">
        <v>1499.62</v>
      </c>
      <c r="S1577" t="s">
        <v>29</v>
      </c>
    </row>
    <row r="1578" spans="1:19" x14ac:dyDescent="0.3">
      <c r="A1578" t="s">
        <v>1648</v>
      </c>
      <c r="B1578">
        <v>84</v>
      </c>
      <c r="C1578" t="s">
        <v>19</v>
      </c>
      <c r="D1578" t="s">
        <v>66</v>
      </c>
      <c r="E1578" s="1">
        <v>45706</v>
      </c>
      <c r="F1578" s="3">
        <v>45719</v>
      </c>
      <c r="G1578" t="s">
        <v>71</v>
      </c>
      <c r="H1578" t="s">
        <v>72</v>
      </c>
      <c r="I1578" t="s">
        <v>35</v>
      </c>
      <c r="J1578">
        <v>5854.05</v>
      </c>
      <c r="K1578">
        <v>13</v>
      </c>
      <c r="L1578" t="s">
        <v>36</v>
      </c>
      <c r="M1578" t="s">
        <v>59</v>
      </c>
      <c r="N1578" t="s">
        <v>55</v>
      </c>
      <c r="O1578" t="s">
        <v>37</v>
      </c>
      <c r="P1578" t="s">
        <v>28</v>
      </c>
      <c r="Q1578">
        <v>15</v>
      </c>
      <c r="R1578">
        <v>1967.89</v>
      </c>
      <c r="S1578" t="s">
        <v>29</v>
      </c>
    </row>
    <row r="1579" spans="1:19" x14ac:dyDescent="0.3">
      <c r="A1579" t="s">
        <v>1649</v>
      </c>
      <c r="B1579">
        <v>28</v>
      </c>
      <c r="C1579" t="s">
        <v>31</v>
      </c>
      <c r="D1579" t="s">
        <v>79</v>
      </c>
      <c r="E1579" s="1">
        <v>45272</v>
      </c>
      <c r="F1579" s="3">
        <v>45273</v>
      </c>
      <c r="G1579" t="s">
        <v>62</v>
      </c>
      <c r="H1579" t="s">
        <v>63</v>
      </c>
      <c r="I1579" t="s">
        <v>91</v>
      </c>
      <c r="J1579">
        <v>2989.53</v>
      </c>
      <c r="K1579">
        <v>1</v>
      </c>
      <c r="L1579" t="s">
        <v>36</v>
      </c>
      <c r="M1579" t="s">
        <v>25</v>
      </c>
      <c r="N1579" t="s">
        <v>55</v>
      </c>
      <c r="O1579" t="s">
        <v>37</v>
      </c>
      <c r="P1579" t="s">
        <v>45</v>
      </c>
      <c r="Q1579">
        <v>10</v>
      </c>
      <c r="R1579">
        <v>834.99</v>
      </c>
      <c r="S1579" t="s">
        <v>29</v>
      </c>
    </row>
    <row r="1580" spans="1:19" x14ac:dyDescent="0.3">
      <c r="A1580" t="s">
        <v>1650</v>
      </c>
      <c r="B1580">
        <v>79</v>
      </c>
      <c r="C1580" t="s">
        <v>31</v>
      </c>
      <c r="D1580" t="s">
        <v>32</v>
      </c>
      <c r="E1580" s="1">
        <v>45443</v>
      </c>
      <c r="F1580" s="3">
        <v>45458</v>
      </c>
      <c r="G1580" t="s">
        <v>71</v>
      </c>
      <c r="H1580" t="s">
        <v>72</v>
      </c>
      <c r="I1580" t="s">
        <v>35</v>
      </c>
      <c r="J1580">
        <v>7248.91</v>
      </c>
      <c r="K1580">
        <v>15</v>
      </c>
      <c r="L1580" t="s">
        <v>24</v>
      </c>
      <c r="M1580" t="s">
        <v>25</v>
      </c>
      <c r="N1580" t="s">
        <v>26</v>
      </c>
      <c r="O1580" t="s">
        <v>56</v>
      </c>
      <c r="P1580" t="s">
        <v>50</v>
      </c>
      <c r="Q1580">
        <v>7</v>
      </c>
      <c r="R1580">
        <v>1564.32</v>
      </c>
      <c r="S1580" t="s">
        <v>29</v>
      </c>
    </row>
    <row r="1581" spans="1:19" x14ac:dyDescent="0.3">
      <c r="A1581" t="s">
        <v>1651</v>
      </c>
      <c r="B1581">
        <v>19</v>
      </c>
      <c r="C1581" t="s">
        <v>19</v>
      </c>
      <c r="D1581" t="s">
        <v>70</v>
      </c>
      <c r="E1581" s="1">
        <v>44976</v>
      </c>
      <c r="F1581" s="3">
        <v>44985</v>
      </c>
      <c r="G1581" t="s">
        <v>21</v>
      </c>
      <c r="H1581" t="s">
        <v>22</v>
      </c>
      <c r="I1581" t="s">
        <v>23</v>
      </c>
      <c r="J1581">
        <v>6315.96</v>
      </c>
      <c r="K1581">
        <v>9</v>
      </c>
      <c r="L1581" t="s">
        <v>36</v>
      </c>
      <c r="M1581" t="s">
        <v>25</v>
      </c>
      <c r="N1581" t="s">
        <v>26</v>
      </c>
      <c r="O1581" t="s">
        <v>56</v>
      </c>
      <c r="P1581" t="s">
        <v>50</v>
      </c>
      <c r="Q1581">
        <v>13</v>
      </c>
      <c r="R1581">
        <v>1672.12</v>
      </c>
      <c r="S1581" t="s">
        <v>29</v>
      </c>
    </row>
    <row r="1582" spans="1:19" x14ac:dyDescent="0.3">
      <c r="A1582" t="s">
        <v>1652</v>
      </c>
      <c r="B1582">
        <v>38</v>
      </c>
      <c r="C1582" t="s">
        <v>31</v>
      </c>
      <c r="D1582" t="s">
        <v>20</v>
      </c>
      <c r="E1582" s="1">
        <v>45340</v>
      </c>
      <c r="F1582" s="3">
        <v>45354</v>
      </c>
      <c r="G1582" t="s">
        <v>71</v>
      </c>
      <c r="H1582" t="s">
        <v>72</v>
      </c>
      <c r="I1582" t="s">
        <v>43</v>
      </c>
      <c r="J1582">
        <v>7741.16</v>
      </c>
      <c r="K1582">
        <v>14</v>
      </c>
      <c r="L1582" t="s">
        <v>36</v>
      </c>
      <c r="M1582" t="s">
        <v>101</v>
      </c>
      <c r="N1582" t="s">
        <v>26</v>
      </c>
      <c r="O1582" t="s">
        <v>37</v>
      </c>
      <c r="P1582" t="s">
        <v>45</v>
      </c>
      <c r="Q1582">
        <v>12</v>
      </c>
      <c r="R1582">
        <v>2515.91</v>
      </c>
      <c r="S1582" t="s">
        <v>29</v>
      </c>
    </row>
    <row r="1583" spans="1:19" x14ac:dyDescent="0.3">
      <c r="A1583" t="s">
        <v>1653</v>
      </c>
      <c r="B1583">
        <v>18</v>
      </c>
      <c r="C1583" t="s">
        <v>31</v>
      </c>
      <c r="D1583" t="s">
        <v>66</v>
      </c>
      <c r="E1583" s="1">
        <v>45594</v>
      </c>
      <c r="F1583" s="3">
        <v>45607</v>
      </c>
      <c r="G1583" t="s">
        <v>48</v>
      </c>
      <c r="H1583" t="s">
        <v>22</v>
      </c>
      <c r="I1583" t="s">
        <v>54</v>
      </c>
      <c r="J1583">
        <v>3904.04</v>
      </c>
      <c r="K1583">
        <v>13</v>
      </c>
      <c r="L1583" t="s">
        <v>24</v>
      </c>
      <c r="M1583" t="s">
        <v>25</v>
      </c>
      <c r="N1583" t="s">
        <v>44</v>
      </c>
      <c r="O1583" t="s">
        <v>56</v>
      </c>
      <c r="P1583" t="s">
        <v>28</v>
      </c>
      <c r="Q1583">
        <v>4</v>
      </c>
      <c r="R1583">
        <v>698.52</v>
      </c>
      <c r="S1583" t="s">
        <v>29</v>
      </c>
    </row>
    <row r="1584" spans="1:19" x14ac:dyDescent="0.3">
      <c r="A1584" t="s">
        <v>1654</v>
      </c>
      <c r="B1584">
        <v>34</v>
      </c>
      <c r="C1584" t="s">
        <v>31</v>
      </c>
      <c r="D1584" t="s">
        <v>66</v>
      </c>
      <c r="E1584" s="1">
        <v>45586</v>
      </c>
      <c r="F1584" s="3">
        <v>45591</v>
      </c>
      <c r="G1584" t="s">
        <v>33</v>
      </c>
      <c r="H1584" t="s">
        <v>34</v>
      </c>
      <c r="I1584" t="s">
        <v>91</v>
      </c>
      <c r="J1584">
        <v>4852.74</v>
      </c>
      <c r="K1584">
        <v>5</v>
      </c>
      <c r="L1584" t="s">
        <v>36</v>
      </c>
      <c r="M1584" t="s">
        <v>25</v>
      </c>
      <c r="N1584" t="s">
        <v>26</v>
      </c>
      <c r="O1584" t="s">
        <v>56</v>
      </c>
      <c r="P1584" t="s">
        <v>50</v>
      </c>
      <c r="Q1584">
        <v>1</v>
      </c>
      <c r="R1584">
        <v>1144.6400000000001</v>
      </c>
      <c r="S1584" t="s">
        <v>29</v>
      </c>
    </row>
    <row r="1585" spans="1:19" x14ac:dyDescent="0.3">
      <c r="A1585" t="s">
        <v>1655</v>
      </c>
      <c r="B1585">
        <v>28</v>
      </c>
      <c r="C1585" t="s">
        <v>31</v>
      </c>
      <c r="D1585" t="s">
        <v>70</v>
      </c>
      <c r="E1585" s="1">
        <v>45411</v>
      </c>
      <c r="F1585" s="3">
        <v>45422</v>
      </c>
      <c r="G1585" t="s">
        <v>71</v>
      </c>
      <c r="H1585" t="s">
        <v>72</v>
      </c>
      <c r="I1585" t="s">
        <v>83</v>
      </c>
      <c r="J1585">
        <v>14032.42</v>
      </c>
      <c r="K1585">
        <v>11</v>
      </c>
      <c r="L1585" t="s">
        <v>24</v>
      </c>
      <c r="M1585" t="s">
        <v>25</v>
      </c>
      <c r="N1585" t="s">
        <v>55</v>
      </c>
      <c r="O1585" t="s">
        <v>49</v>
      </c>
      <c r="P1585" t="s">
        <v>50</v>
      </c>
      <c r="Q1585">
        <v>14</v>
      </c>
      <c r="R1585">
        <v>2145.39</v>
      </c>
      <c r="S1585" t="s">
        <v>29</v>
      </c>
    </row>
    <row r="1586" spans="1:19" x14ac:dyDescent="0.3">
      <c r="A1586" t="s">
        <v>1656</v>
      </c>
      <c r="B1586">
        <v>43</v>
      </c>
      <c r="C1586" t="s">
        <v>31</v>
      </c>
      <c r="D1586" t="s">
        <v>47</v>
      </c>
      <c r="E1586" s="1">
        <v>44947</v>
      </c>
      <c r="F1586" s="3">
        <v>44955</v>
      </c>
      <c r="G1586" t="s">
        <v>48</v>
      </c>
      <c r="H1586" t="s">
        <v>22</v>
      </c>
      <c r="I1586" t="s">
        <v>91</v>
      </c>
      <c r="J1586">
        <v>3917.41</v>
      </c>
      <c r="K1586">
        <v>8</v>
      </c>
      <c r="L1586" t="s">
        <v>24</v>
      </c>
      <c r="M1586" t="s">
        <v>25</v>
      </c>
      <c r="N1586" t="s">
        <v>44</v>
      </c>
      <c r="O1586" t="s">
        <v>27</v>
      </c>
      <c r="P1586" t="s">
        <v>50</v>
      </c>
      <c r="Q1586">
        <v>15</v>
      </c>
      <c r="R1586">
        <v>1234.31</v>
      </c>
      <c r="S1586" t="s">
        <v>29</v>
      </c>
    </row>
    <row r="1587" spans="1:19" x14ac:dyDescent="0.3">
      <c r="A1587" t="s">
        <v>1657</v>
      </c>
      <c r="B1587">
        <v>22</v>
      </c>
      <c r="C1587" t="s">
        <v>31</v>
      </c>
      <c r="D1587" t="s">
        <v>79</v>
      </c>
      <c r="E1587" s="1">
        <v>45463</v>
      </c>
      <c r="F1587" s="3">
        <v>45481</v>
      </c>
      <c r="G1587" t="s">
        <v>67</v>
      </c>
      <c r="H1587" t="s">
        <v>42</v>
      </c>
      <c r="I1587" t="s">
        <v>58</v>
      </c>
      <c r="J1587">
        <v>4755.87</v>
      </c>
      <c r="K1587">
        <v>18</v>
      </c>
      <c r="L1587" t="s">
        <v>24</v>
      </c>
      <c r="M1587" t="s">
        <v>59</v>
      </c>
      <c r="N1587" t="s">
        <v>44</v>
      </c>
      <c r="O1587" t="s">
        <v>27</v>
      </c>
      <c r="P1587" t="s">
        <v>28</v>
      </c>
      <c r="Q1587">
        <v>12</v>
      </c>
      <c r="R1587">
        <v>826.39</v>
      </c>
      <c r="S1587" t="s">
        <v>29</v>
      </c>
    </row>
    <row r="1588" spans="1:19" x14ac:dyDescent="0.3">
      <c r="A1588" t="s">
        <v>1658</v>
      </c>
      <c r="B1588">
        <v>82</v>
      </c>
      <c r="C1588" t="s">
        <v>31</v>
      </c>
      <c r="D1588" t="s">
        <v>66</v>
      </c>
      <c r="E1588" s="1">
        <v>45512</v>
      </c>
      <c r="F1588" s="3">
        <v>45529</v>
      </c>
      <c r="G1588" t="s">
        <v>48</v>
      </c>
      <c r="H1588" t="s">
        <v>22</v>
      </c>
      <c r="I1588" t="s">
        <v>81</v>
      </c>
      <c r="J1588">
        <v>5489.54</v>
      </c>
      <c r="K1588">
        <v>17</v>
      </c>
      <c r="L1588" t="s">
        <v>36</v>
      </c>
      <c r="M1588" t="s">
        <v>59</v>
      </c>
      <c r="N1588" t="s">
        <v>55</v>
      </c>
      <c r="O1588" t="s">
        <v>37</v>
      </c>
      <c r="P1588" t="s">
        <v>38</v>
      </c>
      <c r="Q1588">
        <v>12</v>
      </c>
      <c r="R1588">
        <v>834.21</v>
      </c>
      <c r="S1588" t="s">
        <v>39</v>
      </c>
    </row>
    <row r="1589" spans="1:19" x14ac:dyDescent="0.3">
      <c r="A1589" t="s">
        <v>1659</v>
      </c>
      <c r="B1589">
        <v>68</v>
      </c>
      <c r="C1589" t="s">
        <v>31</v>
      </c>
      <c r="D1589" t="s">
        <v>70</v>
      </c>
      <c r="E1589" s="1">
        <v>45557</v>
      </c>
      <c r="F1589" s="3">
        <v>45576</v>
      </c>
      <c r="G1589" t="s">
        <v>74</v>
      </c>
      <c r="H1589" t="s">
        <v>75</v>
      </c>
      <c r="I1589" t="s">
        <v>54</v>
      </c>
      <c r="J1589">
        <v>14513.41</v>
      </c>
      <c r="K1589">
        <v>19</v>
      </c>
      <c r="L1589" t="s">
        <v>36</v>
      </c>
      <c r="M1589" t="s">
        <v>25</v>
      </c>
      <c r="N1589" t="s">
        <v>55</v>
      </c>
      <c r="O1589" t="s">
        <v>49</v>
      </c>
      <c r="P1589" t="s">
        <v>45</v>
      </c>
      <c r="Q1589">
        <v>5</v>
      </c>
      <c r="R1589">
        <v>4075.53</v>
      </c>
      <c r="S1589" t="s">
        <v>29</v>
      </c>
    </row>
    <row r="1590" spans="1:19" x14ac:dyDescent="0.3">
      <c r="A1590" t="s">
        <v>1660</v>
      </c>
      <c r="B1590">
        <v>69</v>
      </c>
      <c r="C1590" t="s">
        <v>19</v>
      </c>
      <c r="D1590" t="s">
        <v>61</v>
      </c>
      <c r="E1590" s="1">
        <v>45419</v>
      </c>
      <c r="F1590" s="3">
        <v>45427</v>
      </c>
      <c r="G1590" t="s">
        <v>71</v>
      </c>
      <c r="H1590" t="s">
        <v>72</v>
      </c>
      <c r="I1590" t="s">
        <v>35</v>
      </c>
      <c r="J1590">
        <v>5082.13</v>
      </c>
      <c r="K1590">
        <v>8</v>
      </c>
      <c r="L1590" t="s">
        <v>24</v>
      </c>
      <c r="M1590" t="s">
        <v>25</v>
      </c>
      <c r="N1590" t="s">
        <v>44</v>
      </c>
      <c r="O1590" t="s">
        <v>27</v>
      </c>
      <c r="P1590" t="s">
        <v>38</v>
      </c>
      <c r="Q1590">
        <v>5</v>
      </c>
      <c r="R1590">
        <v>1487.95</v>
      </c>
      <c r="S1590" t="s">
        <v>29</v>
      </c>
    </row>
    <row r="1591" spans="1:19" x14ac:dyDescent="0.3">
      <c r="A1591" t="s">
        <v>1661</v>
      </c>
      <c r="B1591">
        <v>74</v>
      </c>
      <c r="C1591" t="s">
        <v>19</v>
      </c>
      <c r="D1591" t="s">
        <v>47</v>
      </c>
      <c r="E1591" s="1">
        <v>45673</v>
      </c>
      <c r="F1591" s="3">
        <v>45692</v>
      </c>
      <c r="G1591" t="s">
        <v>93</v>
      </c>
      <c r="H1591" t="s">
        <v>72</v>
      </c>
      <c r="I1591" t="s">
        <v>81</v>
      </c>
      <c r="J1591">
        <v>13239.95</v>
      </c>
      <c r="K1591">
        <v>19</v>
      </c>
      <c r="L1591" t="s">
        <v>36</v>
      </c>
      <c r="M1591" t="s">
        <v>25</v>
      </c>
      <c r="N1591" t="s">
        <v>26</v>
      </c>
      <c r="O1591" t="s">
        <v>49</v>
      </c>
      <c r="P1591" t="s">
        <v>28</v>
      </c>
      <c r="Q1591">
        <v>15</v>
      </c>
      <c r="R1591">
        <v>5087.43</v>
      </c>
      <c r="S1591" t="s">
        <v>29</v>
      </c>
    </row>
    <row r="1592" spans="1:19" x14ac:dyDescent="0.3">
      <c r="A1592" t="s">
        <v>1662</v>
      </c>
      <c r="B1592">
        <v>23</v>
      </c>
      <c r="C1592" t="s">
        <v>19</v>
      </c>
      <c r="D1592" t="s">
        <v>61</v>
      </c>
      <c r="E1592" s="1">
        <v>45565</v>
      </c>
      <c r="F1592" s="3">
        <v>45577</v>
      </c>
      <c r="G1592" t="s">
        <v>74</v>
      </c>
      <c r="H1592" t="s">
        <v>75</v>
      </c>
      <c r="I1592" t="s">
        <v>81</v>
      </c>
      <c r="J1592">
        <v>9696.85</v>
      </c>
      <c r="K1592">
        <v>12</v>
      </c>
      <c r="L1592" t="s">
        <v>36</v>
      </c>
      <c r="M1592" t="s">
        <v>25</v>
      </c>
      <c r="N1592" t="s">
        <v>26</v>
      </c>
      <c r="O1592" t="s">
        <v>37</v>
      </c>
      <c r="P1592" t="s">
        <v>28</v>
      </c>
      <c r="Q1592">
        <v>11</v>
      </c>
      <c r="R1592">
        <v>3176.72</v>
      </c>
      <c r="S1592" t="s">
        <v>29</v>
      </c>
    </row>
    <row r="1593" spans="1:19" x14ac:dyDescent="0.3">
      <c r="A1593" t="s">
        <v>1663</v>
      </c>
      <c r="B1593">
        <v>40</v>
      </c>
      <c r="C1593" t="s">
        <v>19</v>
      </c>
      <c r="D1593" t="s">
        <v>20</v>
      </c>
      <c r="E1593" s="1">
        <v>45555</v>
      </c>
      <c r="F1593" s="3">
        <v>45567</v>
      </c>
      <c r="G1593" t="s">
        <v>71</v>
      </c>
      <c r="H1593" t="s">
        <v>72</v>
      </c>
      <c r="I1593" t="s">
        <v>54</v>
      </c>
      <c r="J1593">
        <v>5178.21</v>
      </c>
      <c r="K1593">
        <v>12</v>
      </c>
      <c r="L1593" t="s">
        <v>36</v>
      </c>
      <c r="M1593" t="s">
        <v>25</v>
      </c>
      <c r="N1593" t="s">
        <v>44</v>
      </c>
      <c r="O1593" t="s">
        <v>56</v>
      </c>
      <c r="P1593" t="s">
        <v>38</v>
      </c>
      <c r="Q1593">
        <v>9</v>
      </c>
      <c r="R1593">
        <v>1009.39</v>
      </c>
      <c r="S1593" t="s">
        <v>39</v>
      </c>
    </row>
    <row r="1594" spans="1:19" x14ac:dyDescent="0.3">
      <c r="A1594" t="s">
        <v>1664</v>
      </c>
      <c r="B1594">
        <v>53</v>
      </c>
      <c r="C1594" t="s">
        <v>19</v>
      </c>
      <c r="D1594" t="s">
        <v>32</v>
      </c>
      <c r="E1594" s="1">
        <v>45824</v>
      </c>
      <c r="F1594" s="3">
        <v>45841</v>
      </c>
      <c r="G1594" t="s">
        <v>93</v>
      </c>
      <c r="H1594" t="s">
        <v>72</v>
      </c>
      <c r="I1594" t="s">
        <v>83</v>
      </c>
      <c r="J1594">
        <v>15732.91</v>
      </c>
      <c r="K1594">
        <v>17</v>
      </c>
      <c r="L1594" t="s">
        <v>36</v>
      </c>
      <c r="M1594" t="s">
        <v>25</v>
      </c>
      <c r="N1594" t="s">
        <v>26</v>
      </c>
      <c r="O1594" t="s">
        <v>49</v>
      </c>
      <c r="P1594" t="s">
        <v>50</v>
      </c>
      <c r="Q1594">
        <v>4</v>
      </c>
      <c r="R1594">
        <v>4782.01</v>
      </c>
      <c r="S1594" t="s">
        <v>39</v>
      </c>
    </row>
    <row r="1595" spans="1:19" x14ac:dyDescent="0.3">
      <c r="A1595" t="s">
        <v>1665</v>
      </c>
      <c r="B1595">
        <v>69</v>
      </c>
      <c r="C1595" t="s">
        <v>19</v>
      </c>
      <c r="D1595" t="s">
        <v>32</v>
      </c>
      <c r="E1595" s="1">
        <v>44936</v>
      </c>
      <c r="F1595" s="3">
        <v>44945</v>
      </c>
      <c r="G1595" t="s">
        <v>21</v>
      </c>
      <c r="H1595" t="s">
        <v>22</v>
      </c>
      <c r="I1595" t="s">
        <v>58</v>
      </c>
      <c r="J1595">
        <v>7096.15</v>
      </c>
      <c r="K1595">
        <v>9</v>
      </c>
      <c r="L1595" t="s">
        <v>36</v>
      </c>
      <c r="M1595" t="s">
        <v>25</v>
      </c>
      <c r="N1595" t="s">
        <v>55</v>
      </c>
      <c r="O1595" t="s">
        <v>37</v>
      </c>
      <c r="P1595" t="s">
        <v>28</v>
      </c>
      <c r="Q1595">
        <v>3</v>
      </c>
      <c r="R1595">
        <v>2335.92</v>
      </c>
      <c r="S1595" t="s">
        <v>29</v>
      </c>
    </row>
    <row r="1596" spans="1:19" x14ac:dyDescent="0.3">
      <c r="A1596" t="s">
        <v>1666</v>
      </c>
      <c r="B1596">
        <v>58</v>
      </c>
      <c r="C1596" t="s">
        <v>19</v>
      </c>
      <c r="D1596" t="s">
        <v>79</v>
      </c>
      <c r="E1596" s="1">
        <v>45701</v>
      </c>
      <c r="F1596" s="3">
        <v>45714</v>
      </c>
      <c r="G1596" t="s">
        <v>48</v>
      </c>
      <c r="H1596" t="s">
        <v>22</v>
      </c>
      <c r="I1596" t="s">
        <v>58</v>
      </c>
      <c r="J1596">
        <v>9683.2800000000007</v>
      </c>
      <c r="K1596">
        <v>13</v>
      </c>
      <c r="L1596" t="s">
        <v>36</v>
      </c>
      <c r="M1596" t="s">
        <v>59</v>
      </c>
      <c r="N1596" t="s">
        <v>26</v>
      </c>
      <c r="O1596" t="s">
        <v>49</v>
      </c>
      <c r="P1596" t="s">
        <v>50</v>
      </c>
      <c r="Q1596">
        <v>10</v>
      </c>
      <c r="R1596">
        <v>3173.87</v>
      </c>
      <c r="S1596" t="s">
        <v>29</v>
      </c>
    </row>
    <row r="1597" spans="1:19" x14ac:dyDescent="0.3">
      <c r="A1597" t="s">
        <v>1667</v>
      </c>
      <c r="B1597">
        <v>71</v>
      </c>
      <c r="C1597" t="s">
        <v>19</v>
      </c>
      <c r="D1597" t="s">
        <v>32</v>
      </c>
      <c r="E1597" s="1">
        <v>44930</v>
      </c>
      <c r="F1597" s="3">
        <v>44931</v>
      </c>
      <c r="G1597" t="s">
        <v>52</v>
      </c>
      <c r="H1597" t="s">
        <v>53</v>
      </c>
      <c r="I1597" t="s">
        <v>58</v>
      </c>
      <c r="J1597">
        <v>3374.69</v>
      </c>
      <c r="K1597">
        <v>1</v>
      </c>
      <c r="L1597" t="s">
        <v>24</v>
      </c>
      <c r="M1597" t="s">
        <v>25</v>
      </c>
      <c r="N1597" t="s">
        <v>26</v>
      </c>
      <c r="O1597" t="s">
        <v>56</v>
      </c>
      <c r="P1597" t="s">
        <v>45</v>
      </c>
      <c r="Q1597">
        <v>6</v>
      </c>
      <c r="R1597">
        <v>751.06</v>
      </c>
      <c r="S1597" t="s">
        <v>29</v>
      </c>
    </row>
    <row r="1598" spans="1:19" x14ac:dyDescent="0.3">
      <c r="A1598" t="s">
        <v>1668</v>
      </c>
      <c r="B1598">
        <v>22</v>
      </c>
      <c r="C1598" t="s">
        <v>19</v>
      </c>
      <c r="D1598" t="s">
        <v>70</v>
      </c>
      <c r="E1598" s="1">
        <v>45798</v>
      </c>
      <c r="F1598" s="3">
        <v>45814</v>
      </c>
      <c r="G1598" t="s">
        <v>41</v>
      </c>
      <c r="H1598" t="s">
        <v>42</v>
      </c>
      <c r="I1598" t="s">
        <v>43</v>
      </c>
      <c r="J1598">
        <v>8748.35</v>
      </c>
      <c r="K1598">
        <v>16</v>
      </c>
      <c r="L1598" t="s">
        <v>24</v>
      </c>
      <c r="M1598" t="s">
        <v>59</v>
      </c>
      <c r="N1598" t="s">
        <v>55</v>
      </c>
      <c r="O1598" t="s">
        <v>56</v>
      </c>
      <c r="P1598" t="s">
        <v>50</v>
      </c>
      <c r="Q1598">
        <v>10</v>
      </c>
      <c r="R1598">
        <v>3359.2</v>
      </c>
      <c r="S1598" t="s">
        <v>29</v>
      </c>
    </row>
    <row r="1599" spans="1:19" x14ac:dyDescent="0.3">
      <c r="A1599" t="s">
        <v>1669</v>
      </c>
      <c r="B1599">
        <v>27</v>
      </c>
      <c r="C1599" t="s">
        <v>31</v>
      </c>
      <c r="D1599" t="s">
        <v>32</v>
      </c>
      <c r="E1599" s="1">
        <v>45509</v>
      </c>
      <c r="F1599" s="3">
        <v>45527</v>
      </c>
      <c r="G1599" t="s">
        <v>71</v>
      </c>
      <c r="H1599" t="s">
        <v>72</v>
      </c>
      <c r="I1599" t="s">
        <v>54</v>
      </c>
      <c r="J1599">
        <v>10182.629999999999</v>
      </c>
      <c r="K1599">
        <v>18</v>
      </c>
      <c r="L1599" t="s">
        <v>36</v>
      </c>
      <c r="M1599" t="s">
        <v>25</v>
      </c>
      <c r="N1599" t="s">
        <v>26</v>
      </c>
      <c r="O1599" t="s">
        <v>56</v>
      </c>
      <c r="P1599" t="s">
        <v>28</v>
      </c>
      <c r="Q1599">
        <v>1</v>
      </c>
      <c r="R1599">
        <v>4048.73</v>
      </c>
      <c r="S1599" t="s">
        <v>29</v>
      </c>
    </row>
    <row r="1600" spans="1:19" x14ac:dyDescent="0.3">
      <c r="A1600" t="s">
        <v>1670</v>
      </c>
      <c r="B1600">
        <v>63</v>
      </c>
      <c r="C1600" t="s">
        <v>31</v>
      </c>
      <c r="D1600" t="s">
        <v>66</v>
      </c>
      <c r="E1600" s="1">
        <v>45615</v>
      </c>
      <c r="F1600" s="3">
        <v>45630</v>
      </c>
      <c r="G1600" t="s">
        <v>52</v>
      </c>
      <c r="H1600" t="s">
        <v>53</v>
      </c>
      <c r="I1600" t="s">
        <v>23</v>
      </c>
      <c r="J1600">
        <v>8436.7800000000007</v>
      </c>
      <c r="K1600">
        <v>15</v>
      </c>
      <c r="L1600" t="s">
        <v>24</v>
      </c>
      <c r="M1600" t="s">
        <v>25</v>
      </c>
      <c r="N1600" t="s">
        <v>26</v>
      </c>
      <c r="O1600" t="s">
        <v>56</v>
      </c>
      <c r="P1600" t="s">
        <v>50</v>
      </c>
      <c r="Q1600">
        <v>9</v>
      </c>
      <c r="R1600">
        <v>2729.39</v>
      </c>
      <c r="S1600" t="s">
        <v>29</v>
      </c>
    </row>
    <row r="1601" spans="1:19" x14ac:dyDescent="0.3">
      <c r="A1601" t="s">
        <v>1671</v>
      </c>
      <c r="B1601">
        <v>62</v>
      </c>
      <c r="C1601" t="s">
        <v>19</v>
      </c>
      <c r="D1601" t="s">
        <v>47</v>
      </c>
      <c r="E1601" s="1">
        <v>44978</v>
      </c>
      <c r="F1601" s="3">
        <v>44982</v>
      </c>
      <c r="G1601" t="s">
        <v>93</v>
      </c>
      <c r="H1601" t="s">
        <v>72</v>
      </c>
      <c r="I1601" t="s">
        <v>54</v>
      </c>
      <c r="J1601">
        <v>4116.62</v>
      </c>
      <c r="K1601">
        <v>4</v>
      </c>
      <c r="L1601" t="s">
        <v>24</v>
      </c>
      <c r="M1601" t="s">
        <v>25</v>
      </c>
      <c r="N1601" t="s">
        <v>55</v>
      </c>
      <c r="O1601" t="s">
        <v>37</v>
      </c>
      <c r="P1601" t="s">
        <v>45</v>
      </c>
      <c r="Q1601">
        <v>8</v>
      </c>
      <c r="R1601">
        <v>859.62</v>
      </c>
      <c r="S1601" t="s">
        <v>29</v>
      </c>
    </row>
    <row r="1602" spans="1:19" x14ac:dyDescent="0.3">
      <c r="A1602" t="s">
        <v>1672</v>
      </c>
      <c r="B1602">
        <v>29</v>
      </c>
      <c r="C1602" t="s">
        <v>31</v>
      </c>
      <c r="D1602" t="s">
        <v>70</v>
      </c>
      <c r="E1602" s="1">
        <v>45031</v>
      </c>
      <c r="F1602" s="3">
        <v>45048</v>
      </c>
      <c r="G1602" t="s">
        <v>52</v>
      </c>
      <c r="H1602" t="s">
        <v>53</v>
      </c>
      <c r="I1602" t="s">
        <v>23</v>
      </c>
      <c r="J1602">
        <v>11080.83</v>
      </c>
      <c r="K1602">
        <v>17</v>
      </c>
      <c r="L1602" t="s">
        <v>24</v>
      </c>
      <c r="M1602" t="s">
        <v>25</v>
      </c>
      <c r="N1602" t="s">
        <v>55</v>
      </c>
      <c r="O1602" t="s">
        <v>37</v>
      </c>
      <c r="P1602" t="s">
        <v>38</v>
      </c>
      <c r="Q1602">
        <v>10</v>
      </c>
      <c r="R1602">
        <v>3566.94</v>
      </c>
      <c r="S1602" t="s">
        <v>29</v>
      </c>
    </row>
    <row r="1603" spans="1:19" x14ac:dyDescent="0.3">
      <c r="A1603" t="s">
        <v>1673</v>
      </c>
      <c r="B1603">
        <v>44</v>
      </c>
      <c r="C1603" t="s">
        <v>19</v>
      </c>
      <c r="D1603" t="s">
        <v>79</v>
      </c>
      <c r="E1603" s="1">
        <v>45126</v>
      </c>
      <c r="F1603" s="3">
        <v>45130</v>
      </c>
      <c r="G1603" t="s">
        <v>33</v>
      </c>
      <c r="H1603" t="s">
        <v>34</v>
      </c>
      <c r="I1603" t="s">
        <v>23</v>
      </c>
      <c r="J1603">
        <v>9062.11</v>
      </c>
      <c r="K1603">
        <v>4</v>
      </c>
      <c r="L1603" t="s">
        <v>36</v>
      </c>
      <c r="M1603" t="s">
        <v>59</v>
      </c>
      <c r="N1603" t="s">
        <v>55</v>
      </c>
      <c r="O1603" t="s">
        <v>49</v>
      </c>
      <c r="P1603" t="s">
        <v>28</v>
      </c>
      <c r="Q1603">
        <v>1</v>
      </c>
      <c r="R1603">
        <v>2787.57</v>
      </c>
      <c r="S1603" t="s">
        <v>29</v>
      </c>
    </row>
    <row r="1604" spans="1:19" x14ac:dyDescent="0.3">
      <c r="A1604" t="s">
        <v>1674</v>
      </c>
      <c r="B1604">
        <v>77</v>
      </c>
      <c r="C1604" t="s">
        <v>31</v>
      </c>
      <c r="D1604" t="s">
        <v>61</v>
      </c>
      <c r="E1604" s="1">
        <v>45789</v>
      </c>
      <c r="F1604" s="3">
        <v>45797</v>
      </c>
      <c r="G1604" t="s">
        <v>21</v>
      </c>
      <c r="H1604" t="s">
        <v>22</v>
      </c>
      <c r="I1604" t="s">
        <v>83</v>
      </c>
      <c r="J1604">
        <v>6608.94</v>
      </c>
      <c r="K1604">
        <v>8</v>
      </c>
      <c r="L1604" t="s">
        <v>24</v>
      </c>
      <c r="M1604" t="s">
        <v>25</v>
      </c>
      <c r="N1604" t="s">
        <v>55</v>
      </c>
      <c r="O1604" t="s">
        <v>27</v>
      </c>
      <c r="P1604" t="s">
        <v>50</v>
      </c>
      <c r="Q1604">
        <v>3</v>
      </c>
      <c r="R1604">
        <v>2021.47</v>
      </c>
      <c r="S1604" t="s">
        <v>29</v>
      </c>
    </row>
    <row r="1605" spans="1:19" x14ac:dyDescent="0.3">
      <c r="A1605" t="s">
        <v>1675</v>
      </c>
      <c r="B1605">
        <v>89</v>
      </c>
      <c r="C1605" t="s">
        <v>19</v>
      </c>
      <c r="D1605" t="s">
        <v>89</v>
      </c>
      <c r="E1605" s="1">
        <v>45835</v>
      </c>
      <c r="F1605" s="3">
        <v>45853</v>
      </c>
      <c r="G1605" t="s">
        <v>71</v>
      </c>
      <c r="H1605" t="s">
        <v>72</v>
      </c>
      <c r="I1605" t="s">
        <v>83</v>
      </c>
      <c r="J1605">
        <v>14099.8</v>
      </c>
      <c r="K1605">
        <v>18</v>
      </c>
      <c r="L1605" t="s">
        <v>36</v>
      </c>
      <c r="M1605" t="s">
        <v>25</v>
      </c>
      <c r="N1605" t="s">
        <v>55</v>
      </c>
      <c r="O1605" t="s">
        <v>27</v>
      </c>
      <c r="P1605" t="s">
        <v>38</v>
      </c>
      <c r="Q1605">
        <v>15</v>
      </c>
      <c r="R1605">
        <v>5046.97</v>
      </c>
      <c r="S1605" t="s">
        <v>29</v>
      </c>
    </row>
    <row r="1606" spans="1:19" x14ac:dyDescent="0.3">
      <c r="A1606" t="s">
        <v>1676</v>
      </c>
      <c r="B1606">
        <v>35</v>
      </c>
      <c r="C1606" t="s">
        <v>31</v>
      </c>
      <c r="D1606" t="s">
        <v>66</v>
      </c>
      <c r="E1606" s="1">
        <v>45536</v>
      </c>
      <c r="F1606" s="3">
        <v>45555</v>
      </c>
      <c r="G1606" t="s">
        <v>41</v>
      </c>
      <c r="H1606" t="s">
        <v>42</v>
      </c>
      <c r="I1606" t="s">
        <v>81</v>
      </c>
      <c r="J1606">
        <v>11601.82</v>
      </c>
      <c r="K1606">
        <v>19</v>
      </c>
      <c r="L1606" t="s">
        <v>24</v>
      </c>
      <c r="M1606" t="s">
        <v>25</v>
      </c>
      <c r="N1606" t="s">
        <v>55</v>
      </c>
      <c r="O1606" t="s">
        <v>49</v>
      </c>
      <c r="P1606" t="s">
        <v>28</v>
      </c>
      <c r="Q1606">
        <v>12</v>
      </c>
      <c r="R1606">
        <v>2878.16</v>
      </c>
      <c r="S1606" t="s">
        <v>39</v>
      </c>
    </row>
    <row r="1607" spans="1:19" x14ac:dyDescent="0.3">
      <c r="A1607" t="s">
        <v>1677</v>
      </c>
      <c r="B1607">
        <v>55</v>
      </c>
      <c r="C1607" t="s">
        <v>31</v>
      </c>
      <c r="D1607" t="s">
        <v>61</v>
      </c>
      <c r="E1607" s="1">
        <v>45286</v>
      </c>
      <c r="F1607" s="3">
        <v>45288</v>
      </c>
      <c r="G1607" t="s">
        <v>48</v>
      </c>
      <c r="H1607" t="s">
        <v>22</v>
      </c>
      <c r="I1607" t="s">
        <v>91</v>
      </c>
      <c r="J1607">
        <v>1386.2</v>
      </c>
      <c r="K1607">
        <v>2</v>
      </c>
      <c r="L1607" t="s">
        <v>36</v>
      </c>
      <c r="M1607" t="s">
        <v>25</v>
      </c>
      <c r="N1607" t="s">
        <v>44</v>
      </c>
      <c r="O1607" t="s">
        <v>27</v>
      </c>
      <c r="P1607" t="s">
        <v>45</v>
      </c>
      <c r="Q1607">
        <v>5</v>
      </c>
      <c r="R1607">
        <v>242.07</v>
      </c>
      <c r="S1607" t="s">
        <v>29</v>
      </c>
    </row>
    <row r="1608" spans="1:19" x14ac:dyDescent="0.3">
      <c r="A1608" t="s">
        <v>1678</v>
      </c>
      <c r="B1608">
        <v>26</v>
      </c>
      <c r="C1608" t="s">
        <v>19</v>
      </c>
      <c r="D1608" t="s">
        <v>47</v>
      </c>
      <c r="E1608" s="1">
        <v>45244</v>
      </c>
      <c r="F1608" s="3">
        <v>45258</v>
      </c>
      <c r="G1608" t="s">
        <v>62</v>
      </c>
      <c r="H1608" t="s">
        <v>63</v>
      </c>
      <c r="I1608" t="s">
        <v>83</v>
      </c>
      <c r="J1608">
        <v>13171.68</v>
      </c>
      <c r="K1608">
        <v>14</v>
      </c>
      <c r="L1608" t="s">
        <v>36</v>
      </c>
      <c r="M1608" t="s">
        <v>25</v>
      </c>
      <c r="N1608" t="s">
        <v>26</v>
      </c>
      <c r="O1608" t="s">
        <v>49</v>
      </c>
      <c r="P1608" t="s">
        <v>50</v>
      </c>
      <c r="Q1608">
        <v>5</v>
      </c>
      <c r="R1608">
        <v>3440.86</v>
      </c>
      <c r="S1608" t="s">
        <v>29</v>
      </c>
    </row>
    <row r="1609" spans="1:19" x14ac:dyDescent="0.3">
      <c r="A1609" t="s">
        <v>1679</v>
      </c>
      <c r="B1609">
        <v>57</v>
      </c>
      <c r="C1609" t="s">
        <v>19</v>
      </c>
      <c r="D1609" t="s">
        <v>70</v>
      </c>
      <c r="E1609" s="1">
        <v>45081</v>
      </c>
      <c r="F1609" s="3">
        <v>45095</v>
      </c>
      <c r="G1609" t="s">
        <v>62</v>
      </c>
      <c r="H1609" t="s">
        <v>63</v>
      </c>
      <c r="I1609" t="s">
        <v>43</v>
      </c>
      <c r="J1609">
        <v>11068.84</v>
      </c>
      <c r="K1609">
        <v>14</v>
      </c>
      <c r="L1609" t="s">
        <v>36</v>
      </c>
      <c r="M1609" t="s">
        <v>25</v>
      </c>
      <c r="N1609" t="s">
        <v>26</v>
      </c>
      <c r="O1609" t="s">
        <v>49</v>
      </c>
      <c r="P1609" t="s">
        <v>38</v>
      </c>
      <c r="Q1609">
        <v>5</v>
      </c>
      <c r="R1609">
        <v>2875.18</v>
      </c>
      <c r="S1609" t="s">
        <v>29</v>
      </c>
    </row>
    <row r="1610" spans="1:19" x14ac:dyDescent="0.3">
      <c r="A1610" t="s">
        <v>1680</v>
      </c>
      <c r="B1610">
        <v>71</v>
      </c>
      <c r="C1610" t="s">
        <v>31</v>
      </c>
      <c r="D1610" t="s">
        <v>20</v>
      </c>
      <c r="E1610" s="1">
        <v>45811</v>
      </c>
      <c r="F1610" s="3">
        <v>45814</v>
      </c>
      <c r="G1610" t="s">
        <v>93</v>
      </c>
      <c r="H1610" t="s">
        <v>72</v>
      </c>
      <c r="I1610" t="s">
        <v>35</v>
      </c>
      <c r="J1610">
        <v>4990.13</v>
      </c>
      <c r="K1610">
        <v>3</v>
      </c>
      <c r="L1610" t="s">
        <v>24</v>
      </c>
      <c r="M1610" t="s">
        <v>25</v>
      </c>
      <c r="N1610" t="s">
        <v>26</v>
      </c>
      <c r="O1610" t="s">
        <v>37</v>
      </c>
      <c r="P1610" t="s">
        <v>45</v>
      </c>
      <c r="Q1610">
        <v>9</v>
      </c>
      <c r="R1610">
        <v>1687.14</v>
      </c>
      <c r="S1610" t="s">
        <v>29</v>
      </c>
    </row>
    <row r="1611" spans="1:19" x14ac:dyDescent="0.3">
      <c r="A1611" t="s">
        <v>1681</v>
      </c>
      <c r="B1611">
        <v>20</v>
      </c>
      <c r="C1611" t="s">
        <v>31</v>
      </c>
      <c r="D1611" t="s">
        <v>66</v>
      </c>
      <c r="E1611" s="1">
        <v>45002</v>
      </c>
      <c r="F1611" s="3">
        <v>45012</v>
      </c>
      <c r="G1611" t="s">
        <v>74</v>
      </c>
      <c r="H1611" t="s">
        <v>75</v>
      </c>
      <c r="I1611" t="s">
        <v>81</v>
      </c>
      <c r="J1611">
        <v>7088.03</v>
      </c>
      <c r="K1611">
        <v>10</v>
      </c>
      <c r="L1611" t="s">
        <v>36</v>
      </c>
      <c r="M1611" t="s">
        <v>25</v>
      </c>
      <c r="N1611" t="s">
        <v>26</v>
      </c>
      <c r="O1611" t="s">
        <v>27</v>
      </c>
      <c r="P1611" t="s">
        <v>38</v>
      </c>
      <c r="Q1611">
        <v>3</v>
      </c>
      <c r="R1611">
        <v>1375.43</v>
      </c>
      <c r="S1611" t="s">
        <v>29</v>
      </c>
    </row>
    <row r="1612" spans="1:19" x14ac:dyDescent="0.3">
      <c r="A1612" t="s">
        <v>1682</v>
      </c>
      <c r="B1612">
        <v>58</v>
      </c>
      <c r="C1612" t="s">
        <v>19</v>
      </c>
      <c r="D1612" t="s">
        <v>70</v>
      </c>
      <c r="E1612" s="1">
        <v>45176</v>
      </c>
      <c r="F1612" s="3">
        <v>45179</v>
      </c>
      <c r="G1612" t="s">
        <v>74</v>
      </c>
      <c r="H1612" t="s">
        <v>75</v>
      </c>
      <c r="I1612" t="s">
        <v>35</v>
      </c>
      <c r="J1612">
        <v>2662.63</v>
      </c>
      <c r="K1612">
        <v>3</v>
      </c>
      <c r="L1612" t="s">
        <v>36</v>
      </c>
      <c r="M1612" t="s">
        <v>59</v>
      </c>
      <c r="N1612" t="s">
        <v>55</v>
      </c>
      <c r="O1612" t="s">
        <v>56</v>
      </c>
      <c r="P1612" t="s">
        <v>38</v>
      </c>
      <c r="Q1612">
        <v>7</v>
      </c>
      <c r="R1612">
        <v>437.52</v>
      </c>
      <c r="S1612" t="s">
        <v>29</v>
      </c>
    </row>
    <row r="1613" spans="1:19" x14ac:dyDescent="0.3">
      <c r="A1613" t="s">
        <v>1683</v>
      </c>
      <c r="B1613">
        <v>30</v>
      </c>
      <c r="C1613" t="s">
        <v>19</v>
      </c>
      <c r="D1613" t="s">
        <v>70</v>
      </c>
      <c r="E1613" s="1">
        <v>45304</v>
      </c>
      <c r="F1613" s="3">
        <v>45329</v>
      </c>
      <c r="G1613" t="s">
        <v>48</v>
      </c>
      <c r="H1613" t="s">
        <v>22</v>
      </c>
      <c r="I1613" t="s">
        <v>91</v>
      </c>
      <c r="J1613">
        <v>23659.87</v>
      </c>
      <c r="K1613">
        <v>25</v>
      </c>
      <c r="L1613" t="s">
        <v>24</v>
      </c>
      <c r="M1613" t="s">
        <v>25</v>
      </c>
      <c r="N1613" t="s">
        <v>55</v>
      </c>
      <c r="O1613" t="s">
        <v>49</v>
      </c>
      <c r="P1613" t="s">
        <v>28</v>
      </c>
      <c r="Q1613">
        <v>6</v>
      </c>
      <c r="R1613">
        <v>5375.53</v>
      </c>
      <c r="S1613" t="s">
        <v>29</v>
      </c>
    </row>
    <row r="1614" spans="1:19" x14ac:dyDescent="0.3">
      <c r="A1614" t="s">
        <v>1684</v>
      </c>
      <c r="B1614">
        <v>46</v>
      </c>
      <c r="C1614" t="s">
        <v>31</v>
      </c>
      <c r="D1614" t="s">
        <v>89</v>
      </c>
      <c r="E1614" s="1">
        <v>45270</v>
      </c>
      <c r="F1614" s="3">
        <v>45272</v>
      </c>
      <c r="G1614" t="s">
        <v>67</v>
      </c>
      <c r="H1614" t="s">
        <v>42</v>
      </c>
      <c r="I1614" t="s">
        <v>91</v>
      </c>
      <c r="J1614">
        <v>2635.38</v>
      </c>
      <c r="K1614">
        <v>2</v>
      </c>
      <c r="L1614" t="s">
        <v>36</v>
      </c>
      <c r="M1614" t="s">
        <v>25</v>
      </c>
      <c r="N1614" t="s">
        <v>26</v>
      </c>
      <c r="O1614" t="s">
        <v>56</v>
      </c>
      <c r="P1614" t="s">
        <v>50</v>
      </c>
      <c r="Q1614">
        <v>13</v>
      </c>
      <c r="R1614">
        <v>992.89</v>
      </c>
      <c r="S1614" t="s">
        <v>29</v>
      </c>
    </row>
    <row r="1615" spans="1:19" x14ac:dyDescent="0.3">
      <c r="A1615" t="s">
        <v>1685</v>
      </c>
      <c r="B1615">
        <v>70</v>
      </c>
      <c r="C1615" t="s">
        <v>19</v>
      </c>
      <c r="D1615" t="s">
        <v>70</v>
      </c>
      <c r="E1615" s="1">
        <v>45823</v>
      </c>
      <c r="F1615" s="3">
        <v>45836</v>
      </c>
      <c r="G1615" t="s">
        <v>33</v>
      </c>
      <c r="H1615" t="s">
        <v>34</v>
      </c>
      <c r="I1615" t="s">
        <v>35</v>
      </c>
      <c r="J1615">
        <v>5540.66</v>
      </c>
      <c r="K1615">
        <v>13</v>
      </c>
      <c r="L1615" t="s">
        <v>24</v>
      </c>
      <c r="M1615" t="s">
        <v>25</v>
      </c>
      <c r="N1615" t="s">
        <v>26</v>
      </c>
      <c r="O1615" t="s">
        <v>56</v>
      </c>
      <c r="P1615" t="s">
        <v>38</v>
      </c>
      <c r="Q1615">
        <v>7</v>
      </c>
      <c r="R1615">
        <v>1878.31</v>
      </c>
      <c r="S1615" t="s">
        <v>29</v>
      </c>
    </row>
    <row r="1616" spans="1:19" x14ac:dyDescent="0.3">
      <c r="A1616" t="s">
        <v>1686</v>
      </c>
      <c r="B1616">
        <v>42</v>
      </c>
      <c r="C1616" t="s">
        <v>31</v>
      </c>
      <c r="D1616" t="s">
        <v>20</v>
      </c>
      <c r="E1616" s="1">
        <v>45196</v>
      </c>
      <c r="F1616" s="3">
        <v>45213</v>
      </c>
      <c r="G1616" t="s">
        <v>48</v>
      </c>
      <c r="H1616" t="s">
        <v>22</v>
      </c>
      <c r="I1616" t="s">
        <v>54</v>
      </c>
      <c r="J1616">
        <v>7633.11</v>
      </c>
      <c r="K1616">
        <v>17</v>
      </c>
      <c r="L1616" t="s">
        <v>24</v>
      </c>
      <c r="M1616" t="s">
        <v>25</v>
      </c>
      <c r="N1616" t="s">
        <v>55</v>
      </c>
      <c r="O1616" t="s">
        <v>27</v>
      </c>
      <c r="P1616" t="s">
        <v>28</v>
      </c>
      <c r="Q1616">
        <v>7</v>
      </c>
      <c r="R1616">
        <v>1428.67</v>
      </c>
      <c r="S1616" t="s">
        <v>29</v>
      </c>
    </row>
    <row r="1617" spans="1:19" x14ac:dyDescent="0.3">
      <c r="A1617" t="s">
        <v>1687</v>
      </c>
      <c r="B1617">
        <v>65</v>
      </c>
      <c r="C1617" t="s">
        <v>31</v>
      </c>
      <c r="D1617" t="s">
        <v>89</v>
      </c>
      <c r="E1617" s="1">
        <v>45321</v>
      </c>
      <c r="F1617" s="3">
        <v>45324</v>
      </c>
      <c r="G1617" t="s">
        <v>52</v>
      </c>
      <c r="H1617" t="s">
        <v>53</v>
      </c>
      <c r="I1617" t="s">
        <v>23</v>
      </c>
      <c r="J1617">
        <v>1088.18</v>
      </c>
      <c r="K1617">
        <v>3</v>
      </c>
      <c r="L1617" t="s">
        <v>36</v>
      </c>
      <c r="M1617" t="s">
        <v>25</v>
      </c>
      <c r="N1617" t="s">
        <v>26</v>
      </c>
      <c r="O1617" t="s">
        <v>27</v>
      </c>
      <c r="P1617" t="s">
        <v>45</v>
      </c>
      <c r="Q1617">
        <v>4</v>
      </c>
      <c r="R1617">
        <v>196.94</v>
      </c>
      <c r="S1617" t="s">
        <v>39</v>
      </c>
    </row>
    <row r="1618" spans="1:19" x14ac:dyDescent="0.3">
      <c r="A1618" t="s">
        <v>1688</v>
      </c>
      <c r="B1618">
        <v>79</v>
      </c>
      <c r="C1618" t="s">
        <v>19</v>
      </c>
      <c r="D1618" t="s">
        <v>32</v>
      </c>
      <c r="E1618" s="1">
        <v>45665</v>
      </c>
      <c r="F1618" s="3">
        <v>45683</v>
      </c>
      <c r="G1618" t="s">
        <v>93</v>
      </c>
      <c r="H1618" t="s">
        <v>72</v>
      </c>
      <c r="I1618" t="s">
        <v>91</v>
      </c>
      <c r="J1618">
        <v>10618</v>
      </c>
      <c r="K1618">
        <v>18</v>
      </c>
      <c r="L1618" t="s">
        <v>24</v>
      </c>
      <c r="M1618" t="s">
        <v>25</v>
      </c>
      <c r="N1618" t="s">
        <v>55</v>
      </c>
      <c r="O1618" t="s">
        <v>56</v>
      </c>
      <c r="P1618" t="s">
        <v>28</v>
      </c>
      <c r="Q1618">
        <v>8</v>
      </c>
      <c r="R1618">
        <v>3454.9</v>
      </c>
      <c r="S1618" t="s">
        <v>29</v>
      </c>
    </row>
    <row r="1619" spans="1:19" x14ac:dyDescent="0.3">
      <c r="A1619" t="s">
        <v>1689</v>
      </c>
      <c r="B1619">
        <v>37</v>
      </c>
      <c r="C1619" t="s">
        <v>31</v>
      </c>
      <c r="D1619" t="s">
        <v>66</v>
      </c>
      <c r="E1619" s="1">
        <v>45080</v>
      </c>
      <c r="F1619" s="3">
        <v>45099</v>
      </c>
      <c r="G1619" t="s">
        <v>21</v>
      </c>
      <c r="H1619" t="s">
        <v>22</v>
      </c>
      <c r="I1619" t="s">
        <v>58</v>
      </c>
      <c r="J1619">
        <v>9644.66</v>
      </c>
      <c r="K1619">
        <v>19</v>
      </c>
      <c r="L1619" t="s">
        <v>24</v>
      </c>
      <c r="M1619" t="s">
        <v>25</v>
      </c>
      <c r="N1619" t="s">
        <v>55</v>
      </c>
      <c r="O1619" t="s">
        <v>37</v>
      </c>
      <c r="P1619" t="s">
        <v>38</v>
      </c>
      <c r="Q1619">
        <v>14</v>
      </c>
      <c r="R1619">
        <v>3588.65</v>
      </c>
      <c r="S1619" t="s">
        <v>29</v>
      </c>
    </row>
    <row r="1620" spans="1:19" x14ac:dyDescent="0.3">
      <c r="A1620" t="s">
        <v>1690</v>
      </c>
      <c r="B1620">
        <v>24</v>
      </c>
      <c r="C1620" t="s">
        <v>19</v>
      </c>
      <c r="D1620" t="s">
        <v>20</v>
      </c>
      <c r="E1620" s="1">
        <v>45596</v>
      </c>
      <c r="F1620" s="3">
        <v>45605</v>
      </c>
      <c r="G1620" t="s">
        <v>21</v>
      </c>
      <c r="H1620" t="s">
        <v>22</v>
      </c>
      <c r="I1620" t="s">
        <v>81</v>
      </c>
      <c r="J1620">
        <v>3926.66</v>
      </c>
      <c r="K1620">
        <v>9</v>
      </c>
      <c r="L1620" t="s">
        <v>36</v>
      </c>
      <c r="M1620" t="s">
        <v>59</v>
      </c>
      <c r="N1620" t="s">
        <v>55</v>
      </c>
      <c r="O1620" t="s">
        <v>27</v>
      </c>
      <c r="P1620" t="s">
        <v>45</v>
      </c>
      <c r="Q1620">
        <v>14</v>
      </c>
      <c r="R1620">
        <v>1020.64</v>
      </c>
      <c r="S1620" t="s">
        <v>29</v>
      </c>
    </row>
    <row r="1621" spans="1:19" x14ac:dyDescent="0.3">
      <c r="A1621" t="s">
        <v>1691</v>
      </c>
      <c r="B1621">
        <v>65</v>
      </c>
      <c r="C1621" t="s">
        <v>31</v>
      </c>
      <c r="D1621" t="s">
        <v>32</v>
      </c>
      <c r="E1621" s="1">
        <v>45451</v>
      </c>
      <c r="F1621" s="3">
        <v>45465</v>
      </c>
      <c r="G1621" t="s">
        <v>33</v>
      </c>
      <c r="H1621" t="s">
        <v>34</v>
      </c>
      <c r="I1621" t="s">
        <v>35</v>
      </c>
      <c r="J1621">
        <v>3428.37</v>
      </c>
      <c r="K1621">
        <v>14</v>
      </c>
      <c r="L1621" t="s">
        <v>24</v>
      </c>
      <c r="M1621" t="s">
        <v>25</v>
      </c>
      <c r="N1621" t="s">
        <v>55</v>
      </c>
      <c r="O1621" t="s">
        <v>27</v>
      </c>
      <c r="P1621" t="s">
        <v>28</v>
      </c>
      <c r="Q1621">
        <v>1</v>
      </c>
      <c r="R1621">
        <v>1045.94</v>
      </c>
      <c r="S1621" t="s">
        <v>29</v>
      </c>
    </row>
    <row r="1622" spans="1:19" x14ac:dyDescent="0.3">
      <c r="A1622" t="s">
        <v>1692</v>
      </c>
      <c r="B1622">
        <v>51</v>
      </c>
      <c r="C1622" t="s">
        <v>31</v>
      </c>
      <c r="D1622" t="s">
        <v>32</v>
      </c>
      <c r="E1622" s="1">
        <v>45196</v>
      </c>
      <c r="F1622" s="3">
        <v>45212</v>
      </c>
      <c r="G1622" t="s">
        <v>33</v>
      </c>
      <c r="H1622" t="s">
        <v>34</v>
      </c>
      <c r="I1622" t="s">
        <v>35</v>
      </c>
      <c r="J1622">
        <v>10554.25</v>
      </c>
      <c r="K1622">
        <v>16</v>
      </c>
      <c r="L1622" t="s">
        <v>24</v>
      </c>
      <c r="M1622" t="s">
        <v>25</v>
      </c>
      <c r="N1622" t="s">
        <v>44</v>
      </c>
      <c r="O1622" t="s">
        <v>49</v>
      </c>
      <c r="P1622" t="s">
        <v>28</v>
      </c>
      <c r="Q1622">
        <v>9</v>
      </c>
      <c r="R1622">
        <v>3798.04</v>
      </c>
      <c r="S1622" t="s">
        <v>39</v>
      </c>
    </row>
    <row r="1623" spans="1:19" x14ac:dyDescent="0.3">
      <c r="A1623" t="s">
        <v>1693</v>
      </c>
      <c r="B1623">
        <v>78</v>
      </c>
      <c r="C1623" t="s">
        <v>19</v>
      </c>
      <c r="D1623" t="s">
        <v>20</v>
      </c>
      <c r="E1623" s="1">
        <v>45182</v>
      </c>
      <c r="F1623" s="3">
        <v>45188</v>
      </c>
      <c r="G1623" t="s">
        <v>93</v>
      </c>
      <c r="H1623" t="s">
        <v>72</v>
      </c>
      <c r="I1623" t="s">
        <v>43</v>
      </c>
      <c r="J1623">
        <v>7030.83</v>
      </c>
      <c r="K1623">
        <v>6</v>
      </c>
      <c r="L1623" t="s">
        <v>36</v>
      </c>
      <c r="M1623" t="s">
        <v>25</v>
      </c>
      <c r="N1623" t="s">
        <v>44</v>
      </c>
      <c r="O1623" t="s">
        <v>37</v>
      </c>
      <c r="P1623" t="s">
        <v>28</v>
      </c>
      <c r="Q1623">
        <v>1</v>
      </c>
      <c r="R1623">
        <v>1424.46</v>
      </c>
      <c r="S1623" t="s">
        <v>29</v>
      </c>
    </row>
    <row r="1624" spans="1:19" x14ac:dyDescent="0.3">
      <c r="A1624" t="s">
        <v>1694</v>
      </c>
      <c r="B1624">
        <v>58</v>
      </c>
      <c r="C1624" t="s">
        <v>31</v>
      </c>
      <c r="D1624" t="s">
        <v>61</v>
      </c>
      <c r="E1624" s="1">
        <v>45903</v>
      </c>
      <c r="F1624" s="3">
        <v>45912</v>
      </c>
      <c r="G1624" t="s">
        <v>93</v>
      </c>
      <c r="H1624" t="s">
        <v>72</v>
      </c>
      <c r="I1624" t="s">
        <v>35</v>
      </c>
      <c r="J1624">
        <v>5256.7</v>
      </c>
      <c r="K1624">
        <v>9</v>
      </c>
      <c r="L1624" t="s">
        <v>36</v>
      </c>
      <c r="M1624" t="s">
        <v>25</v>
      </c>
      <c r="N1624" t="s">
        <v>26</v>
      </c>
      <c r="O1624" t="s">
        <v>37</v>
      </c>
      <c r="P1624" t="s">
        <v>45</v>
      </c>
      <c r="Q1624">
        <v>12</v>
      </c>
      <c r="R1624">
        <v>1914.14</v>
      </c>
      <c r="S1624" t="s">
        <v>29</v>
      </c>
    </row>
    <row r="1625" spans="1:19" x14ac:dyDescent="0.3">
      <c r="A1625" t="s">
        <v>1695</v>
      </c>
      <c r="B1625">
        <v>37</v>
      </c>
      <c r="C1625" t="s">
        <v>31</v>
      </c>
      <c r="D1625" t="s">
        <v>89</v>
      </c>
      <c r="E1625" s="1">
        <v>45451</v>
      </c>
      <c r="F1625" s="3">
        <v>45463</v>
      </c>
      <c r="G1625" t="s">
        <v>48</v>
      </c>
      <c r="H1625" t="s">
        <v>22</v>
      </c>
      <c r="I1625" t="s">
        <v>54</v>
      </c>
      <c r="J1625">
        <v>10702.92</v>
      </c>
      <c r="K1625">
        <v>12</v>
      </c>
      <c r="L1625" t="s">
        <v>36</v>
      </c>
      <c r="M1625" t="s">
        <v>25</v>
      </c>
      <c r="N1625" t="s">
        <v>55</v>
      </c>
      <c r="O1625" t="s">
        <v>56</v>
      </c>
      <c r="P1625" t="s">
        <v>28</v>
      </c>
      <c r="Q1625">
        <v>1</v>
      </c>
      <c r="R1625">
        <v>3565.82</v>
      </c>
      <c r="S1625" t="s">
        <v>29</v>
      </c>
    </row>
    <row r="1626" spans="1:19" x14ac:dyDescent="0.3">
      <c r="A1626" t="s">
        <v>1696</v>
      </c>
      <c r="B1626">
        <v>58</v>
      </c>
      <c r="C1626" t="s">
        <v>31</v>
      </c>
      <c r="D1626" t="s">
        <v>61</v>
      </c>
      <c r="E1626" s="1">
        <v>45074</v>
      </c>
      <c r="F1626" s="3">
        <v>45082</v>
      </c>
      <c r="G1626" t="s">
        <v>93</v>
      </c>
      <c r="H1626" t="s">
        <v>72</v>
      </c>
      <c r="I1626" t="s">
        <v>83</v>
      </c>
      <c r="J1626">
        <v>6131.22</v>
      </c>
      <c r="K1626">
        <v>8</v>
      </c>
      <c r="L1626" t="s">
        <v>24</v>
      </c>
      <c r="M1626" t="s">
        <v>76</v>
      </c>
      <c r="N1626" t="s">
        <v>26</v>
      </c>
      <c r="O1626" t="s">
        <v>27</v>
      </c>
      <c r="P1626" t="s">
        <v>38</v>
      </c>
      <c r="Q1626">
        <v>1</v>
      </c>
      <c r="R1626">
        <v>1152</v>
      </c>
      <c r="S1626" t="s">
        <v>29</v>
      </c>
    </row>
    <row r="1627" spans="1:19" x14ac:dyDescent="0.3">
      <c r="A1627" t="s">
        <v>1697</v>
      </c>
      <c r="B1627">
        <v>82</v>
      </c>
      <c r="C1627" t="s">
        <v>31</v>
      </c>
      <c r="D1627" t="s">
        <v>47</v>
      </c>
      <c r="E1627" s="1">
        <v>45198</v>
      </c>
      <c r="F1627" s="3">
        <v>45216</v>
      </c>
      <c r="G1627" t="s">
        <v>93</v>
      </c>
      <c r="H1627" t="s">
        <v>72</v>
      </c>
      <c r="I1627" t="s">
        <v>43</v>
      </c>
      <c r="J1627">
        <v>6977.54</v>
      </c>
      <c r="K1627">
        <v>18</v>
      </c>
      <c r="L1627" t="s">
        <v>36</v>
      </c>
      <c r="M1627" t="s">
        <v>25</v>
      </c>
      <c r="N1627" t="s">
        <v>55</v>
      </c>
      <c r="O1627" t="s">
        <v>27</v>
      </c>
      <c r="P1627" t="s">
        <v>45</v>
      </c>
      <c r="Q1627">
        <v>6</v>
      </c>
      <c r="R1627">
        <v>2579.83</v>
      </c>
      <c r="S1627" t="s">
        <v>29</v>
      </c>
    </row>
    <row r="1628" spans="1:19" x14ac:dyDescent="0.3">
      <c r="A1628" t="s">
        <v>1698</v>
      </c>
      <c r="B1628">
        <v>81</v>
      </c>
      <c r="C1628" t="s">
        <v>19</v>
      </c>
      <c r="D1628" t="s">
        <v>47</v>
      </c>
      <c r="E1628" s="1">
        <v>45109</v>
      </c>
      <c r="F1628" s="3">
        <v>45115</v>
      </c>
      <c r="G1628" t="s">
        <v>33</v>
      </c>
      <c r="H1628" t="s">
        <v>34</v>
      </c>
      <c r="I1628" t="s">
        <v>54</v>
      </c>
      <c r="J1628">
        <v>4587.12</v>
      </c>
      <c r="K1628">
        <v>6</v>
      </c>
      <c r="L1628" t="s">
        <v>36</v>
      </c>
      <c r="M1628" t="s">
        <v>25</v>
      </c>
      <c r="N1628" t="s">
        <v>26</v>
      </c>
      <c r="O1628" t="s">
        <v>27</v>
      </c>
      <c r="P1628" t="s">
        <v>50</v>
      </c>
      <c r="Q1628">
        <v>15</v>
      </c>
      <c r="R1628">
        <v>1260.99</v>
      </c>
      <c r="S1628" t="s">
        <v>29</v>
      </c>
    </row>
    <row r="1629" spans="1:19" x14ac:dyDescent="0.3">
      <c r="A1629" t="s">
        <v>1699</v>
      </c>
      <c r="B1629">
        <v>64</v>
      </c>
      <c r="C1629" t="s">
        <v>31</v>
      </c>
      <c r="D1629" t="s">
        <v>20</v>
      </c>
      <c r="E1629" s="1">
        <v>45212</v>
      </c>
      <c r="F1629" s="3">
        <v>45227</v>
      </c>
      <c r="G1629" t="s">
        <v>71</v>
      </c>
      <c r="H1629" t="s">
        <v>72</v>
      </c>
      <c r="I1629" t="s">
        <v>83</v>
      </c>
      <c r="J1629">
        <v>5844.39</v>
      </c>
      <c r="K1629">
        <v>15</v>
      </c>
      <c r="L1629" t="s">
        <v>24</v>
      </c>
      <c r="M1629" t="s">
        <v>59</v>
      </c>
      <c r="N1629" t="s">
        <v>26</v>
      </c>
      <c r="O1629" t="s">
        <v>27</v>
      </c>
      <c r="P1629" t="s">
        <v>28</v>
      </c>
      <c r="Q1629">
        <v>12</v>
      </c>
      <c r="R1629">
        <v>2166.7600000000002</v>
      </c>
      <c r="S1629" t="s">
        <v>29</v>
      </c>
    </row>
    <row r="1630" spans="1:19" x14ac:dyDescent="0.3">
      <c r="A1630" t="s">
        <v>1700</v>
      </c>
      <c r="B1630">
        <v>44</v>
      </c>
      <c r="C1630" t="s">
        <v>31</v>
      </c>
      <c r="D1630" t="s">
        <v>47</v>
      </c>
      <c r="E1630" s="1">
        <v>45324</v>
      </c>
      <c r="F1630" s="3">
        <v>45333</v>
      </c>
      <c r="G1630" t="s">
        <v>67</v>
      </c>
      <c r="H1630" t="s">
        <v>42</v>
      </c>
      <c r="I1630" t="s">
        <v>35</v>
      </c>
      <c r="J1630">
        <v>3416.14</v>
      </c>
      <c r="K1630">
        <v>9</v>
      </c>
      <c r="L1630" t="s">
        <v>24</v>
      </c>
      <c r="M1630" t="s">
        <v>25</v>
      </c>
      <c r="N1630" t="s">
        <v>44</v>
      </c>
      <c r="O1630" t="s">
        <v>56</v>
      </c>
      <c r="P1630" t="s">
        <v>28</v>
      </c>
      <c r="Q1630">
        <v>10</v>
      </c>
      <c r="R1630">
        <v>541.51</v>
      </c>
      <c r="S1630" t="s">
        <v>29</v>
      </c>
    </row>
    <row r="1631" spans="1:19" x14ac:dyDescent="0.3">
      <c r="A1631" t="s">
        <v>1701</v>
      </c>
      <c r="B1631">
        <v>73</v>
      </c>
      <c r="C1631" t="s">
        <v>31</v>
      </c>
      <c r="D1631" t="s">
        <v>61</v>
      </c>
      <c r="E1631" s="1">
        <v>45893</v>
      </c>
      <c r="F1631" s="3">
        <v>45896</v>
      </c>
      <c r="G1631" t="s">
        <v>71</v>
      </c>
      <c r="H1631" t="s">
        <v>72</v>
      </c>
      <c r="I1631" t="s">
        <v>81</v>
      </c>
      <c r="J1631">
        <v>1690.24</v>
      </c>
      <c r="K1631">
        <v>3</v>
      </c>
      <c r="L1631" t="s">
        <v>36</v>
      </c>
      <c r="M1631" t="s">
        <v>25</v>
      </c>
      <c r="N1631" t="s">
        <v>26</v>
      </c>
      <c r="O1631" t="s">
        <v>27</v>
      </c>
      <c r="P1631" t="s">
        <v>38</v>
      </c>
      <c r="Q1631">
        <v>15</v>
      </c>
      <c r="R1631">
        <v>618.77</v>
      </c>
      <c r="S1631" t="s">
        <v>29</v>
      </c>
    </row>
    <row r="1632" spans="1:19" x14ac:dyDescent="0.3">
      <c r="A1632" t="s">
        <v>1702</v>
      </c>
      <c r="B1632">
        <v>21</v>
      </c>
      <c r="C1632" t="s">
        <v>31</v>
      </c>
      <c r="D1632" t="s">
        <v>20</v>
      </c>
      <c r="E1632" s="1">
        <v>45328</v>
      </c>
      <c r="F1632" s="3">
        <v>45332</v>
      </c>
      <c r="G1632" t="s">
        <v>62</v>
      </c>
      <c r="H1632" t="s">
        <v>63</v>
      </c>
      <c r="I1632" t="s">
        <v>43</v>
      </c>
      <c r="J1632">
        <v>3650.02</v>
      </c>
      <c r="K1632">
        <v>4</v>
      </c>
      <c r="L1632" t="s">
        <v>36</v>
      </c>
      <c r="M1632" t="s">
        <v>59</v>
      </c>
      <c r="N1632" t="s">
        <v>26</v>
      </c>
      <c r="O1632" t="s">
        <v>27</v>
      </c>
      <c r="P1632" t="s">
        <v>45</v>
      </c>
      <c r="Q1632">
        <v>4</v>
      </c>
      <c r="R1632">
        <v>817.35</v>
      </c>
      <c r="S1632" t="s">
        <v>29</v>
      </c>
    </row>
    <row r="1633" spans="1:19" x14ac:dyDescent="0.3">
      <c r="A1633" t="s">
        <v>1703</v>
      </c>
      <c r="B1633">
        <v>54</v>
      </c>
      <c r="C1633" t="s">
        <v>19</v>
      </c>
      <c r="D1633" t="s">
        <v>89</v>
      </c>
      <c r="E1633" s="1">
        <v>45508</v>
      </c>
      <c r="F1633" s="3">
        <v>45525</v>
      </c>
      <c r="G1633" t="s">
        <v>67</v>
      </c>
      <c r="H1633" t="s">
        <v>42</v>
      </c>
      <c r="I1633" t="s">
        <v>35</v>
      </c>
      <c r="J1633">
        <v>9544.84</v>
      </c>
      <c r="K1633">
        <v>17</v>
      </c>
      <c r="L1633" t="s">
        <v>36</v>
      </c>
      <c r="M1633" t="s">
        <v>59</v>
      </c>
      <c r="N1633" t="s">
        <v>55</v>
      </c>
      <c r="O1633" t="s">
        <v>37</v>
      </c>
      <c r="P1633" t="s">
        <v>50</v>
      </c>
      <c r="Q1633">
        <v>15</v>
      </c>
      <c r="R1633">
        <v>2988.02</v>
      </c>
      <c r="S1633" t="s">
        <v>29</v>
      </c>
    </row>
    <row r="1634" spans="1:19" x14ac:dyDescent="0.3">
      <c r="A1634" t="s">
        <v>1704</v>
      </c>
      <c r="B1634">
        <v>57</v>
      </c>
      <c r="C1634" t="s">
        <v>31</v>
      </c>
      <c r="D1634" t="s">
        <v>70</v>
      </c>
      <c r="E1634" s="1">
        <v>45487</v>
      </c>
      <c r="F1634" s="3">
        <v>45502</v>
      </c>
      <c r="G1634" t="s">
        <v>93</v>
      </c>
      <c r="H1634" t="s">
        <v>72</v>
      </c>
      <c r="I1634" t="s">
        <v>83</v>
      </c>
      <c r="J1634">
        <v>5257.03</v>
      </c>
      <c r="K1634">
        <v>15</v>
      </c>
      <c r="L1634" t="s">
        <v>36</v>
      </c>
      <c r="M1634" t="s">
        <v>59</v>
      </c>
      <c r="N1634" t="s">
        <v>55</v>
      </c>
      <c r="O1634" t="s">
        <v>56</v>
      </c>
      <c r="P1634" t="s">
        <v>45</v>
      </c>
      <c r="Q1634">
        <v>13</v>
      </c>
      <c r="R1634">
        <v>1500.64</v>
      </c>
      <c r="S1634" t="s">
        <v>29</v>
      </c>
    </row>
    <row r="1635" spans="1:19" x14ac:dyDescent="0.3">
      <c r="A1635" t="s">
        <v>1705</v>
      </c>
      <c r="B1635">
        <v>90</v>
      </c>
      <c r="C1635" t="s">
        <v>31</v>
      </c>
      <c r="D1635" t="s">
        <v>20</v>
      </c>
      <c r="E1635" s="1">
        <v>45819</v>
      </c>
      <c r="F1635" s="3">
        <v>45824</v>
      </c>
      <c r="G1635" t="s">
        <v>67</v>
      </c>
      <c r="H1635" t="s">
        <v>42</v>
      </c>
      <c r="I1635" t="s">
        <v>91</v>
      </c>
      <c r="J1635">
        <v>5392.18</v>
      </c>
      <c r="K1635">
        <v>5</v>
      </c>
      <c r="L1635" t="s">
        <v>36</v>
      </c>
      <c r="M1635" t="s">
        <v>101</v>
      </c>
      <c r="N1635" t="s">
        <v>44</v>
      </c>
      <c r="O1635" t="s">
        <v>27</v>
      </c>
      <c r="P1635" t="s">
        <v>28</v>
      </c>
      <c r="Q1635">
        <v>7</v>
      </c>
      <c r="R1635">
        <v>1374.71</v>
      </c>
      <c r="S1635" t="s">
        <v>29</v>
      </c>
    </row>
    <row r="1636" spans="1:19" x14ac:dyDescent="0.3">
      <c r="A1636" t="s">
        <v>1706</v>
      </c>
      <c r="B1636">
        <v>47</v>
      </c>
      <c r="C1636" t="s">
        <v>19</v>
      </c>
      <c r="D1636" t="s">
        <v>47</v>
      </c>
      <c r="E1636" s="1">
        <v>45762</v>
      </c>
      <c r="F1636" s="3">
        <v>45775</v>
      </c>
      <c r="G1636" t="s">
        <v>48</v>
      </c>
      <c r="H1636" t="s">
        <v>22</v>
      </c>
      <c r="I1636" t="s">
        <v>58</v>
      </c>
      <c r="J1636">
        <v>6648.26</v>
      </c>
      <c r="K1636">
        <v>13</v>
      </c>
      <c r="L1636" t="s">
        <v>24</v>
      </c>
      <c r="M1636" t="s">
        <v>25</v>
      </c>
      <c r="N1636" t="s">
        <v>55</v>
      </c>
      <c r="O1636" t="s">
        <v>27</v>
      </c>
      <c r="P1636" t="s">
        <v>45</v>
      </c>
      <c r="Q1636">
        <v>8</v>
      </c>
      <c r="R1636">
        <v>2502.8000000000002</v>
      </c>
      <c r="S1636" t="s">
        <v>29</v>
      </c>
    </row>
    <row r="1637" spans="1:19" x14ac:dyDescent="0.3">
      <c r="A1637" t="s">
        <v>1707</v>
      </c>
      <c r="B1637">
        <v>41</v>
      </c>
      <c r="C1637" t="s">
        <v>19</v>
      </c>
      <c r="D1637" t="s">
        <v>66</v>
      </c>
      <c r="E1637" s="1">
        <v>45892</v>
      </c>
      <c r="F1637" s="3">
        <v>45911</v>
      </c>
      <c r="G1637" t="s">
        <v>33</v>
      </c>
      <c r="H1637" t="s">
        <v>34</v>
      </c>
      <c r="I1637" t="s">
        <v>23</v>
      </c>
      <c r="J1637">
        <v>8835.9</v>
      </c>
      <c r="K1637">
        <v>19</v>
      </c>
      <c r="L1637" t="s">
        <v>24</v>
      </c>
      <c r="M1637" t="s">
        <v>25</v>
      </c>
      <c r="N1637" t="s">
        <v>26</v>
      </c>
      <c r="O1637" t="s">
        <v>37</v>
      </c>
      <c r="P1637" t="s">
        <v>50</v>
      </c>
      <c r="Q1637">
        <v>10</v>
      </c>
      <c r="R1637">
        <v>3054.06</v>
      </c>
      <c r="S1637" t="s">
        <v>29</v>
      </c>
    </row>
    <row r="1638" spans="1:19" x14ac:dyDescent="0.3">
      <c r="A1638" t="s">
        <v>1708</v>
      </c>
      <c r="B1638">
        <v>47</v>
      </c>
      <c r="C1638" t="s">
        <v>19</v>
      </c>
      <c r="D1638" t="s">
        <v>79</v>
      </c>
      <c r="E1638" s="1">
        <v>45788</v>
      </c>
      <c r="F1638" s="3">
        <v>45796</v>
      </c>
      <c r="G1638" t="s">
        <v>93</v>
      </c>
      <c r="H1638" t="s">
        <v>72</v>
      </c>
      <c r="I1638" t="s">
        <v>43</v>
      </c>
      <c r="J1638">
        <v>5802.71</v>
      </c>
      <c r="K1638">
        <v>8</v>
      </c>
      <c r="L1638" t="s">
        <v>24</v>
      </c>
      <c r="M1638" t="s">
        <v>25</v>
      </c>
      <c r="N1638" t="s">
        <v>55</v>
      </c>
      <c r="O1638" t="s">
        <v>56</v>
      </c>
      <c r="P1638" t="s">
        <v>38</v>
      </c>
      <c r="Q1638">
        <v>9</v>
      </c>
      <c r="R1638">
        <v>1201.8800000000001</v>
      </c>
      <c r="S1638" t="s">
        <v>29</v>
      </c>
    </row>
    <row r="1639" spans="1:19" x14ac:dyDescent="0.3">
      <c r="A1639" t="s">
        <v>1709</v>
      </c>
      <c r="B1639">
        <v>51</v>
      </c>
      <c r="C1639" t="s">
        <v>19</v>
      </c>
      <c r="D1639" t="s">
        <v>70</v>
      </c>
      <c r="E1639" s="1">
        <v>45023</v>
      </c>
      <c r="F1639" s="3">
        <v>45043</v>
      </c>
      <c r="G1639" t="s">
        <v>71</v>
      </c>
      <c r="H1639" t="s">
        <v>72</v>
      </c>
      <c r="I1639" t="s">
        <v>43</v>
      </c>
      <c r="J1639">
        <v>16098.4</v>
      </c>
      <c r="K1639">
        <v>20</v>
      </c>
      <c r="L1639" t="s">
        <v>24</v>
      </c>
      <c r="M1639" t="s">
        <v>25</v>
      </c>
      <c r="N1639" t="s">
        <v>26</v>
      </c>
      <c r="O1639" t="s">
        <v>56</v>
      </c>
      <c r="P1639" t="s">
        <v>50</v>
      </c>
      <c r="Q1639">
        <v>11</v>
      </c>
      <c r="R1639">
        <v>5136.9799999999996</v>
      </c>
      <c r="S1639" t="s">
        <v>39</v>
      </c>
    </row>
    <row r="1640" spans="1:19" x14ac:dyDescent="0.3">
      <c r="A1640" t="s">
        <v>1710</v>
      </c>
      <c r="B1640">
        <v>54</v>
      </c>
      <c r="C1640" t="s">
        <v>19</v>
      </c>
      <c r="D1640" t="s">
        <v>61</v>
      </c>
      <c r="E1640" s="1">
        <v>45863</v>
      </c>
      <c r="F1640" s="3">
        <v>45882</v>
      </c>
      <c r="G1640" t="s">
        <v>52</v>
      </c>
      <c r="H1640" t="s">
        <v>53</v>
      </c>
      <c r="I1640" t="s">
        <v>23</v>
      </c>
      <c r="J1640">
        <v>9170.98</v>
      </c>
      <c r="K1640">
        <v>19</v>
      </c>
      <c r="L1640" t="s">
        <v>24</v>
      </c>
      <c r="M1640" t="s">
        <v>25</v>
      </c>
      <c r="N1640" t="s">
        <v>55</v>
      </c>
      <c r="O1640" t="s">
        <v>37</v>
      </c>
      <c r="P1640" t="s">
        <v>45</v>
      </c>
      <c r="Q1640">
        <v>2</v>
      </c>
      <c r="R1640">
        <v>1922.64</v>
      </c>
      <c r="S1640" t="s">
        <v>29</v>
      </c>
    </row>
    <row r="1641" spans="1:19" x14ac:dyDescent="0.3">
      <c r="A1641" t="s">
        <v>1711</v>
      </c>
      <c r="B1641">
        <v>77</v>
      </c>
      <c r="C1641" t="s">
        <v>31</v>
      </c>
      <c r="D1641" t="s">
        <v>70</v>
      </c>
      <c r="E1641" s="1">
        <v>45157</v>
      </c>
      <c r="F1641" s="3">
        <v>45162</v>
      </c>
      <c r="G1641" t="s">
        <v>93</v>
      </c>
      <c r="H1641" t="s">
        <v>72</v>
      </c>
      <c r="I1641" t="s">
        <v>81</v>
      </c>
      <c r="J1641">
        <v>2749.45</v>
      </c>
      <c r="K1641">
        <v>5</v>
      </c>
      <c r="L1641" t="s">
        <v>24</v>
      </c>
      <c r="M1641" t="s">
        <v>59</v>
      </c>
      <c r="N1641" t="s">
        <v>55</v>
      </c>
      <c r="O1641" t="s">
        <v>56</v>
      </c>
      <c r="P1641" t="s">
        <v>50</v>
      </c>
      <c r="Q1641">
        <v>4</v>
      </c>
      <c r="R1641">
        <v>501.42</v>
      </c>
      <c r="S1641" t="s">
        <v>29</v>
      </c>
    </row>
    <row r="1642" spans="1:19" x14ac:dyDescent="0.3">
      <c r="A1642" t="s">
        <v>1712</v>
      </c>
      <c r="B1642">
        <v>18</v>
      </c>
      <c r="C1642" t="s">
        <v>31</v>
      </c>
      <c r="D1642" t="s">
        <v>66</v>
      </c>
      <c r="E1642" s="1">
        <v>45571</v>
      </c>
      <c r="F1642" s="3">
        <v>45573</v>
      </c>
      <c r="G1642" t="s">
        <v>52</v>
      </c>
      <c r="H1642" t="s">
        <v>53</v>
      </c>
      <c r="I1642" t="s">
        <v>43</v>
      </c>
      <c r="J1642">
        <v>2366.08</v>
      </c>
      <c r="K1642">
        <v>2</v>
      </c>
      <c r="L1642" t="s">
        <v>36</v>
      </c>
      <c r="M1642" t="s">
        <v>25</v>
      </c>
      <c r="N1642" t="s">
        <v>55</v>
      </c>
      <c r="O1642" t="s">
        <v>27</v>
      </c>
      <c r="P1642" t="s">
        <v>28</v>
      </c>
      <c r="Q1642">
        <v>4</v>
      </c>
      <c r="R1642">
        <v>449.55</v>
      </c>
      <c r="S1642" t="s">
        <v>39</v>
      </c>
    </row>
    <row r="1643" spans="1:19" x14ac:dyDescent="0.3">
      <c r="A1643" t="s">
        <v>1713</v>
      </c>
      <c r="B1643">
        <v>54</v>
      </c>
      <c r="C1643" t="s">
        <v>31</v>
      </c>
      <c r="D1643" t="s">
        <v>61</v>
      </c>
      <c r="E1643" s="1">
        <v>45125</v>
      </c>
      <c r="F1643" s="3">
        <v>45137</v>
      </c>
      <c r="G1643" t="s">
        <v>71</v>
      </c>
      <c r="H1643" t="s">
        <v>72</v>
      </c>
      <c r="I1643" t="s">
        <v>91</v>
      </c>
      <c r="J1643">
        <v>6226.95</v>
      </c>
      <c r="K1643">
        <v>12</v>
      </c>
      <c r="L1643" t="s">
        <v>36</v>
      </c>
      <c r="M1643" t="s">
        <v>25</v>
      </c>
      <c r="N1643" t="s">
        <v>44</v>
      </c>
      <c r="O1643" t="s">
        <v>37</v>
      </c>
      <c r="P1643" t="s">
        <v>38</v>
      </c>
      <c r="Q1643">
        <v>9</v>
      </c>
      <c r="R1643">
        <v>1067.52</v>
      </c>
      <c r="S1643" t="s">
        <v>39</v>
      </c>
    </row>
    <row r="1644" spans="1:19" x14ac:dyDescent="0.3">
      <c r="A1644" t="s">
        <v>1714</v>
      </c>
      <c r="B1644">
        <v>27</v>
      </c>
      <c r="C1644" t="s">
        <v>31</v>
      </c>
      <c r="D1644" t="s">
        <v>89</v>
      </c>
      <c r="E1644" s="1">
        <v>45540</v>
      </c>
      <c r="F1644" s="3">
        <v>45560</v>
      </c>
      <c r="G1644" t="s">
        <v>67</v>
      </c>
      <c r="H1644" t="s">
        <v>42</v>
      </c>
      <c r="I1644" t="s">
        <v>81</v>
      </c>
      <c r="J1644">
        <v>7480.06</v>
      </c>
      <c r="K1644">
        <v>20</v>
      </c>
      <c r="L1644" t="s">
        <v>24</v>
      </c>
      <c r="M1644" t="s">
        <v>101</v>
      </c>
      <c r="N1644" t="s">
        <v>44</v>
      </c>
      <c r="O1644" t="s">
        <v>37</v>
      </c>
      <c r="P1644" t="s">
        <v>28</v>
      </c>
      <c r="Q1644">
        <v>2</v>
      </c>
      <c r="R1644">
        <v>2109.7600000000002</v>
      </c>
      <c r="S1644" t="s">
        <v>29</v>
      </c>
    </row>
    <row r="1645" spans="1:19" x14ac:dyDescent="0.3">
      <c r="A1645" t="s">
        <v>1715</v>
      </c>
      <c r="B1645">
        <v>18</v>
      </c>
      <c r="C1645" t="s">
        <v>19</v>
      </c>
      <c r="D1645" t="s">
        <v>61</v>
      </c>
      <c r="E1645" s="1">
        <v>45017</v>
      </c>
      <c r="F1645" s="3">
        <v>45028</v>
      </c>
      <c r="G1645" t="s">
        <v>67</v>
      </c>
      <c r="H1645" t="s">
        <v>42</v>
      </c>
      <c r="I1645" t="s">
        <v>54</v>
      </c>
      <c r="J1645">
        <v>4448.76</v>
      </c>
      <c r="K1645">
        <v>11</v>
      </c>
      <c r="L1645" t="s">
        <v>24</v>
      </c>
      <c r="M1645" t="s">
        <v>59</v>
      </c>
      <c r="N1645" t="s">
        <v>44</v>
      </c>
      <c r="O1645" t="s">
        <v>27</v>
      </c>
      <c r="P1645" t="s">
        <v>50</v>
      </c>
      <c r="Q1645">
        <v>3</v>
      </c>
      <c r="R1645">
        <v>914.42</v>
      </c>
      <c r="S1645" t="s">
        <v>29</v>
      </c>
    </row>
    <row r="1646" spans="1:19" x14ac:dyDescent="0.3">
      <c r="A1646" t="s">
        <v>1716</v>
      </c>
      <c r="B1646">
        <v>48</v>
      </c>
      <c r="C1646" t="s">
        <v>19</v>
      </c>
      <c r="D1646" t="s">
        <v>47</v>
      </c>
      <c r="E1646" s="1">
        <v>45921</v>
      </c>
      <c r="F1646" s="3">
        <v>45949</v>
      </c>
      <c r="G1646" t="s">
        <v>71</v>
      </c>
      <c r="H1646" t="s">
        <v>72</v>
      </c>
      <c r="I1646" t="s">
        <v>35</v>
      </c>
      <c r="J1646">
        <v>24427.73</v>
      </c>
      <c r="K1646">
        <v>28</v>
      </c>
      <c r="L1646" t="s">
        <v>36</v>
      </c>
      <c r="M1646" t="s">
        <v>76</v>
      </c>
      <c r="N1646" t="s">
        <v>55</v>
      </c>
      <c r="O1646" t="s">
        <v>49</v>
      </c>
      <c r="P1646" t="s">
        <v>45</v>
      </c>
      <c r="Q1646">
        <v>1</v>
      </c>
      <c r="R1646">
        <v>6557.57</v>
      </c>
      <c r="S1646" t="s">
        <v>29</v>
      </c>
    </row>
    <row r="1647" spans="1:19" x14ac:dyDescent="0.3">
      <c r="A1647" t="s">
        <v>1717</v>
      </c>
      <c r="B1647">
        <v>82</v>
      </c>
      <c r="C1647" t="s">
        <v>19</v>
      </c>
      <c r="D1647" t="s">
        <v>20</v>
      </c>
      <c r="E1647" s="1">
        <v>45312</v>
      </c>
      <c r="F1647" s="3">
        <v>45319</v>
      </c>
      <c r="G1647" t="s">
        <v>41</v>
      </c>
      <c r="H1647" t="s">
        <v>42</v>
      </c>
      <c r="I1647" t="s">
        <v>81</v>
      </c>
      <c r="J1647">
        <v>5202.82</v>
      </c>
      <c r="K1647">
        <v>7</v>
      </c>
      <c r="L1647" t="s">
        <v>36</v>
      </c>
      <c r="M1647" t="s">
        <v>25</v>
      </c>
      <c r="N1647" t="s">
        <v>55</v>
      </c>
      <c r="O1647" t="s">
        <v>56</v>
      </c>
      <c r="P1647" t="s">
        <v>38</v>
      </c>
      <c r="Q1647">
        <v>2</v>
      </c>
      <c r="R1647">
        <v>1329.64</v>
      </c>
      <c r="S1647" t="s">
        <v>29</v>
      </c>
    </row>
    <row r="1648" spans="1:19" x14ac:dyDescent="0.3">
      <c r="A1648" t="s">
        <v>1718</v>
      </c>
      <c r="B1648">
        <v>84</v>
      </c>
      <c r="C1648" t="s">
        <v>31</v>
      </c>
      <c r="D1648" t="s">
        <v>47</v>
      </c>
      <c r="E1648" s="1">
        <v>45665</v>
      </c>
      <c r="F1648" s="3">
        <v>45672</v>
      </c>
      <c r="G1648" t="s">
        <v>52</v>
      </c>
      <c r="H1648" t="s">
        <v>53</v>
      </c>
      <c r="I1648" t="s">
        <v>81</v>
      </c>
      <c r="J1648">
        <v>2492.4899999999998</v>
      </c>
      <c r="K1648">
        <v>7</v>
      </c>
      <c r="L1648" t="s">
        <v>36</v>
      </c>
      <c r="M1648" t="s">
        <v>25</v>
      </c>
      <c r="N1648" t="s">
        <v>44</v>
      </c>
      <c r="O1648" t="s">
        <v>27</v>
      </c>
      <c r="P1648" t="s">
        <v>50</v>
      </c>
      <c r="Q1648">
        <v>3</v>
      </c>
      <c r="R1648">
        <v>839.83</v>
      </c>
      <c r="S1648" t="s">
        <v>29</v>
      </c>
    </row>
    <row r="1649" spans="1:19" x14ac:dyDescent="0.3">
      <c r="A1649" t="s">
        <v>1719</v>
      </c>
      <c r="B1649">
        <v>43</v>
      </c>
      <c r="C1649" t="s">
        <v>31</v>
      </c>
      <c r="D1649" t="s">
        <v>79</v>
      </c>
      <c r="E1649" s="1">
        <v>45222</v>
      </c>
      <c r="F1649" s="3">
        <v>45228</v>
      </c>
      <c r="G1649" t="s">
        <v>62</v>
      </c>
      <c r="H1649" t="s">
        <v>63</v>
      </c>
      <c r="I1649" t="s">
        <v>43</v>
      </c>
      <c r="J1649">
        <v>3235.19</v>
      </c>
      <c r="K1649">
        <v>6</v>
      </c>
      <c r="L1649" t="s">
        <v>24</v>
      </c>
      <c r="M1649" t="s">
        <v>101</v>
      </c>
      <c r="N1649" t="s">
        <v>44</v>
      </c>
      <c r="O1649" t="s">
        <v>27</v>
      </c>
      <c r="P1649" t="s">
        <v>28</v>
      </c>
      <c r="Q1649">
        <v>14</v>
      </c>
      <c r="R1649">
        <v>1242</v>
      </c>
      <c r="S1649" t="s">
        <v>29</v>
      </c>
    </row>
    <row r="1650" spans="1:19" x14ac:dyDescent="0.3">
      <c r="A1650" t="s">
        <v>1720</v>
      </c>
      <c r="B1650">
        <v>18</v>
      </c>
      <c r="C1650" t="s">
        <v>31</v>
      </c>
      <c r="D1650" t="s">
        <v>61</v>
      </c>
      <c r="E1650" s="1">
        <v>45788</v>
      </c>
      <c r="F1650" s="3">
        <v>45791</v>
      </c>
      <c r="G1650" t="s">
        <v>48</v>
      </c>
      <c r="H1650" t="s">
        <v>22</v>
      </c>
      <c r="I1650" t="s">
        <v>54</v>
      </c>
      <c r="J1650">
        <v>2894.31</v>
      </c>
      <c r="K1650">
        <v>3</v>
      </c>
      <c r="L1650" t="s">
        <v>24</v>
      </c>
      <c r="M1650" t="s">
        <v>25</v>
      </c>
      <c r="N1650" t="s">
        <v>44</v>
      </c>
      <c r="O1650" t="s">
        <v>27</v>
      </c>
      <c r="P1650" t="s">
        <v>28</v>
      </c>
      <c r="Q1650">
        <v>4</v>
      </c>
      <c r="R1650">
        <v>998.38</v>
      </c>
      <c r="S1650" t="s">
        <v>29</v>
      </c>
    </row>
    <row r="1651" spans="1:19" x14ac:dyDescent="0.3">
      <c r="A1651" t="s">
        <v>1721</v>
      </c>
      <c r="B1651">
        <v>73</v>
      </c>
      <c r="C1651" t="s">
        <v>31</v>
      </c>
      <c r="D1651" t="s">
        <v>20</v>
      </c>
      <c r="E1651" s="1">
        <v>45840</v>
      </c>
      <c r="F1651" s="3">
        <v>45850</v>
      </c>
      <c r="G1651" t="s">
        <v>67</v>
      </c>
      <c r="H1651" t="s">
        <v>42</v>
      </c>
      <c r="I1651" t="s">
        <v>35</v>
      </c>
      <c r="J1651">
        <v>4648.57</v>
      </c>
      <c r="K1651">
        <v>10</v>
      </c>
      <c r="L1651" t="s">
        <v>24</v>
      </c>
      <c r="M1651" t="s">
        <v>25</v>
      </c>
      <c r="N1651" t="s">
        <v>44</v>
      </c>
      <c r="O1651" t="s">
        <v>37</v>
      </c>
      <c r="P1651" t="s">
        <v>45</v>
      </c>
      <c r="Q1651">
        <v>10</v>
      </c>
      <c r="R1651">
        <v>777.16</v>
      </c>
      <c r="S1651" t="s">
        <v>29</v>
      </c>
    </row>
    <row r="1652" spans="1:19" x14ac:dyDescent="0.3">
      <c r="A1652" t="s">
        <v>1722</v>
      </c>
      <c r="B1652">
        <v>76</v>
      </c>
      <c r="C1652" t="s">
        <v>31</v>
      </c>
      <c r="D1652" t="s">
        <v>66</v>
      </c>
      <c r="E1652" s="1">
        <v>45155</v>
      </c>
      <c r="F1652" s="3">
        <v>45169</v>
      </c>
      <c r="G1652" t="s">
        <v>41</v>
      </c>
      <c r="H1652" t="s">
        <v>42</v>
      </c>
      <c r="I1652" t="s">
        <v>54</v>
      </c>
      <c r="J1652">
        <v>9754.9500000000007</v>
      </c>
      <c r="K1652">
        <v>14</v>
      </c>
      <c r="L1652" t="s">
        <v>24</v>
      </c>
      <c r="M1652" t="s">
        <v>101</v>
      </c>
      <c r="N1652" t="s">
        <v>55</v>
      </c>
      <c r="O1652" t="s">
        <v>37</v>
      </c>
      <c r="P1652" t="s">
        <v>45</v>
      </c>
      <c r="Q1652">
        <v>7</v>
      </c>
      <c r="R1652">
        <v>1573</v>
      </c>
      <c r="S1652" t="s">
        <v>29</v>
      </c>
    </row>
    <row r="1653" spans="1:19" x14ac:dyDescent="0.3">
      <c r="A1653" t="s">
        <v>1723</v>
      </c>
      <c r="B1653">
        <v>84</v>
      </c>
      <c r="C1653" t="s">
        <v>19</v>
      </c>
      <c r="D1653" t="s">
        <v>20</v>
      </c>
      <c r="E1653" s="1">
        <v>45606</v>
      </c>
      <c r="F1653" s="3">
        <v>45607</v>
      </c>
      <c r="G1653" t="s">
        <v>71</v>
      </c>
      <c r="H1653" t="s">
        <v>72</v>
      </c>
      <c r="I1653" t="s">
        <v>23</v>
      </c>
      <c r="J1653">
        <v>2313.63</v>
      </c>
      <c r="K1653">
        <v>1</v>
      </c>
      <c r="L1653" t="s">
        <v>36</v>
      </c>
      <c r="M1653" t="s">
        <v>25</v>
      </c>
      <c r="N1653" t="s">
        <v>55</v>
      </c>
      <c r="O1653" t="s">
        <v>27</v>
      </c>
      <c r="P1653" t="s">
        <v>38</v>
      </c>
      <c r="Q1653">
        <v>15</v>
      </c>
      <c r="R1653">
        <v>447.37</v>
      </c>
      <c r="S1653" t="s">
        <v>29</v>
      </c>
    </row>
    <row r="1654" spans="1:19" x14ac:dyDescent="0.3">
      <c r="A1654" t="s">
        <v>1724</v>
      </c>
      <c r="B1654">
        <v>77</v>
      </c>
      <c r="C1654" t="s">
        <v>19</v>
      </c>
      <c r="D1654" t="s">
        <v>20</v>
      </c>
      <c r="E1654" s="1">
        <v>45269</v>
      </c>
      <c r="F1654" s="3">
        <v>45273</v>
      </c>
      <c r="G1654" t="s">
        <v>93</v>
      </c>
      <c r="H1654" t="s">
        <v>72</v>
      </c>
      <c r="I1654" t="s">
        <v>23</v>
      </c>
      <c r="J1654">
        <v>3202.23</v>
      </c>
      <c r="K1654">
        <v>4</v>
      </c>
      <c r="L1654" t="s">
        <v>36</v>
      </c>
      <c r="M1654" t="s">
        <v>25</v>
      </c>
      <c r="N1654" t="s">
        <v>44</v>
      </c>
      <c r="O1654" t="s">
        <v>37</v>
      </c>
      <c r="P1654" t="s">
        <v>28</v>
      </c>
      <c r="Q1654">
        <v>12</v>
      </c>
      <c r="R1654">
        <v>544.54</v>
      </c>
      <c r="S1654" t="s">
        <v>29</v>
      </c>
    </row>
    <row r="1655" spans="1:19" x14ac:dyDescent="0.3">
      <c r="A1655" t="s">
        <v>1725</v>
      </c>
      <c r="B1655">
        <v>19</v>
      </c>
      <c r="C1655" t="s">
        <v>31</v>
      </c>
      <c r="D1655" t="s">
        <v>66</v>
      </c>
      <c r="E1655" s="1">
        <v>45569</v>
      </c>
      <c r="F1655" s="3">
        <v>45580</v>
      </c>
      <c r="G1655" t="s">
        <v>41</v>
      </c>
      <c r="H1655" t="s">
        <v>42</v>
      </c>
      <c r="I1655" t="s">
        <v>35</v>
      </c>
      <c r="J1655">
        <v>6972.97</v>
      </c>
      <c r="K1655">
        <v>11</v>
      </c>
      <c r="L1655" t="s">
        <v>36</v>
      </c>
      <c r="M1655" t="s">
        <v>25</v>
      </c>
      <c r="N1655" t="s">
        <v>55</v>
      </c>
      <c r="O1655" t="s">
        <v>27</v>
      </c>
      <c r="P1655" t="s">
        <v>38</v>
      </c>
      <c r="Q1655">
        <v>1</v>
      </c>
      <c r="R1655">
        <v>1210.4000000000001</v>
      </c>
      <c r="S1655" t="s">
        <v>29</v>
      </c>
    </row>
    <row r="1656" spans="1:19" x14ac:dyDescent="0.3">
      <c r="A1656" t="s">
        <v>1726</v>
      </c>
      <c r="B1656">
        <v>39</v>
      </c>
      <c r="C1656" t="s">
        <v>31</v>
      </c>
      <c r="D1656" t="s">
        <v>66</v>
      </c>
      <c r="E1656" s="1">
        <v>45087</v>
      </c>
      <c r="F1656" s="3">
        <v>45109</v>
      </c>
      <c r="G1656" t="s">
        <v>74</v>
      </c>
      <c r="H1656" t="s">
        <v>75</v>
      </c>
      <c r="I1656" t="s">
        <v>91</v>
      </c>
      <c r="J1656">
        <v>17735.87</v>
      </c>
      <c r="K1656">
        <v>22</v>
      </c>
      <c r="L1656" t="s">
        <v>36</v>
      </c>
      <c r="M1656" t="s">
        <v>25</v>
      </c>
      <c r="N1656" t="s">
        <v>44</v>
      </c>
      <c r="O1656" t="s">
        <v>49</v>
      </c>
      <c r="P1656" t="s">
        <v>38</v>
      </c>
      <c r="Q1656">
        <v>1</v>
      </c>
      <c r="R1656">
        <v>5242.79</v>
      </c>
      <c r="S1656" t="s">
        <v>29</v>
      </c>
    </row>
    <row r="1657" spans="1:19" x14ac:dyDescent="0.3">
      <c r="A1657" t="s">
        <v>1727</v>
      </c>
      <c r="B1657">
        <v>43</v>
      </c>
      <c r="C1657" t="s">
        <v>19</v>
      </c>
      <c r="D1657" t="s">
        <v>47</v>
      </c>
      <c r="E1657" s="1">
        <v>45582</v>
      </c>
      <c r="F1657" s="3">
        <v>45601</v>
      </c>
      <c r="G1657" t="s">
        <v>33</v>
      </c>
      <c r="H1657" t="s">
        <v>34</v>
      </c>
      <c r="I1657" t="s">
        <v>91</v>
      </c>
      <c r="J1657">
        <v>11246.63</v>
      </c>
      <c r="K1657">
        <v>19</v>
      </c>
      <c r="L1657" t="s">
        <v>24</v>
      </c>
      <c r="M1657" t="s">
        <v>25</v>
      </c>
      <c r="N1657" t="s">
        <v>44</v>
      </c>
      <c r="O1657" t="s">
        <v>27</v>
      </c>
      <c r="P1657" t="s">
        <v>45</v>
      </c>
      <c r="Q1657">
        <v>12</v>
      </c>
      <c r="R1657">
        <v>1948.87</v>
      </c>
      <c r="S1657" t="s">
        <v>29</v>
      </c>
    </row>
    <row r="1658" spans="1:19" x14ac:dyDescent="0.3">
      <c r="A1658" t="s">
        <v>1728</v>
      </c>
      <c r="B1658">
        <v>29</v>
      </c>
      <c r="C1658" t="s">
        <v>19</v>
      </c>
      <c r="D1658" t="s">
        <v>61</v>
      </c>
      <c r="E1658" s="1">
        <v>45529</v>
      </c>
      <c r="F1658" s="3">
        <v>45532</v>
      </c>
      <c r="G1658" t="s">
        <v>41</v>
      </c>
      <c r="H1658" t="s">
        <v>42</v>
      </c>
      <c r="I1658" t="s">
        <v>43</v>
      </c>
      <c r="J1658">
        <v>3844.39</v>
      </c>
      <c r="K1658">
        <v>3</v>
      </c>
      <c r="L1658" t="s">
        <v>36</v>
      </c>
      <c r="M1658" t="s">
        <v>25</v>
      </c>
      <c r="N1658" t="s">
        <v>26</v>
      </c>
      <c r="O1658" t="s">
        <v>27</v>
      </c>
      <c r="P1658" t="s">
        <v>45</v>
      </c>
      <c r="Q1658">
        <v>8</v>
      </c>
      <c r="R1658">
        <v>734.33</v>
      </c>
      <c r="S1658" t="s">
        <v>29</v>
      </c>
    </row>
    <row r="1659" spans="1:19" x14ac:dyDescent="0.3">
      <c r="A1659" t="s">
        <v>1729</v>
      </c>
      <c r="B1659">
        <v>74</v>
      </c>
      <c r="C1659" t="s">
        <v>31</v>
      </c>
      <c r="D1659" t="s">
        <v>79</v>
      </c>
      <c r="E1659" s="1">
        <v>45485</v>
      </c>
      <c r="F1659" s="3">
        <v>45491</v>
      </c>
      <c r="G1659" t="s">
        <v>71</v>
      </c>
      <c r="H1659" t="s">
        <v>72</v>
      </c>
      <c r="I1659" t="s">
        <v>35</v>
      </c>
      <c r="J1659">
        <v>3696.7</v>
      </c>
      <c r="K1659">
        <v>6</v>
      </c>
      <c r="L1659" t="s">
        <v>24</v>
      </c>
      <c r="M1659" t="s">
        <v>25</v>
      </c>
      <c r="N1659" t="s">
        <v>55</v>
      </c>
      <c r="O1659" t="s">
        <v>27</v>
      </c>
      <c r="P1659" t="s">
        <v>50</v>
      </c>
      <c r="Q1659">
        <v>1</v>
      </c>
      <c r="R1659">
        <v>1020.76</v>
      </c>
      <c r="S1659" t="s">
        <v>29</v>
      </c>
    </row>
    <row r="1660" spans="1:19" x14ac:dyDescent="0.3">
      <c r="A1660" t="s">
        <v>1730</v>
      </c>
      <c r="B1660">
        <v>48</v>
      </c>
      <c r="C1660" t="s">
        <v>31</v>
      </c>
      <c r="D1660" t="s">
        <v>61</v>
      </c>
      <c r="E1660" s="1">
        <v>45340</v>
      </c>
      <c r="F1660" s="3">
        <v>45345</v>
      </c>
      <c r="G1660" t="s">
        <v>52</v>
      </c>
      <c r="H1660" t="s">
        <v>53</v>
      </c>
      <c r="I1660" t="s">
        <v>58</v>
      </c>
      <c r="J1660">
        <v>2907.53</v>
      </c>
      <c r="K1660">
        <v>5</v>
      </c>
      <c r="L1660" t="s">
        <v>36</v>
      </c>
      <c r="M1660" t="s">
        <v>25</v>
      </c>
      <c r="N1660" t="s">
        <v>55</v>
      </c>
      <c r="O1660" t="s">
        <v>27</v>
      </c>
      <c r="P1660" t="s">
        <v>50</v>
      </c>
      <c r="Q1660">
        <v>4</v>
      </c>
      <c r="R1660">
        <v>918.68</v>
      </c>
      <c r="S1660" t="s">
        <v>29</v>
      </c>
    </row>
    <row r="1661" spans="1:19" x14ac:dyDescent="0.3">
      <c r="A1661" t="s">
        <v>1731</v>
      </c>
      <c r="B1661">
        <v>74</v>
      </c>
      <c r="C1661" t="s">
        <v>19</v>
      </c>
      <c r="D1661" t="s">
        <v>61</v>
      </c>
      <c r="E1661" s="1">
        <v>45260</v>
      </c>
      <c r="F1661" s="3">
        <v>45281</v>
      </c>
      <c r="G1661" t="s">
        <v>52</v>
      </c>
      <c r="H1661" t="s">
        <v>53</v>
      </c>
      <c r="I1661" t="s">
        <v>91</v>
      </c>
      <c r="J1661">
        <v>15850.5</v>
      </c>
      <c r="K1661">
        <v>21</v>
      </c>
      <c r="L1661" t="s">
        <v>24</v>
      </c>
      <c r="M1661" t="s">
        <v>25</v>
      </c>
      <c r="N1661" t="s">
        <v>44</v>
      </c>
      <c r="O1661" t="s">
        <v>49</v>
      </c>
      <c r="P1661" t="s">
        <v>45</v>
      </c>
      <c r="Q1661">
        <v>9</v>
      </c>
      <c r="R1661">
        <v>3465.12</v>
      </c>
      <c r="S1661" t="s">
        <v>29</v>
      </c>
    </row>
    <row r="1662" spans="1:19" x14ac:dyDescent="0.3">
      <c r="A1662" t="s">
        <v>1732</v>
      </c>
      <c r="B1662">
        <v>55</v>
      </c>
      <c r="C1662" t="s">
        <v>31</v>
      </c>
      <c r="D1662" t="s">
        <v>70</v>
      </c>
      <c r="E1662" s="1">
        <v>45676</v>
      </c>
      <c r="F1662" s="3">
        <v>45691</v>
      </c>
      <c r="G1662" t="s">
        <v>52</v>
      </c>
      <c r="H1662" t="s">
        <v>53</v>
      </c>
      <c r="I1662" t="s">
        <v>43</v>
      </c>
      <c r="J1662">
        <v>6146.39</v>
      </c>
      <c r="K1662">
        <v>15</v>
      </c>
      <c r="L1662" t="s">
        <v>36</v>
      </c>
      <c r="M1662" t="s">
        <v>25</v>
      </c>
      <c r="N1662" t="s">
        <v>55</v>
      </c>
      <c r="O1662" t="s">
        <v>56</v>
      </c>
      <c r="P1662" t="s">
        <v>50</v>
      </c>
      <c r="Q1662">
        <v>10</v>
      </c>
      <c r="R1662">
        <v>928.74</v>
      </c>
      <c r="S1662" t="s">
        <v>39</v>
      </c>
    </row>
    <row r="1663" spans="1:19" x14ac:dyDescent="0.3">
      <c r="A1663" t="s">
        <v>1733</v>
      </c>
      <c r="B1663">
        <v>24</v>
      </c>
      <c r="C1663" t="s">
        <v>19</v>
      </c>
      <c r="D1663" t="s">
        <v>32</v>
      </c>
      <c r="E1663" s="1">
        <v>45293</v>
      </c>
      <c r="F1663" s="3">
        <v>45301</v>
      </c>
      <c r="G1663" t="s">
        <v>71</v>
      </c>
      <c r="H1663" t="s">
        <v>72</v>
      </c>
      <c r="I1663" t="s">
        <v>43</v>
      </c>
      <c r="J1663">
        <v>8707.92</v>
      </c>
      <c r="K1663">
        <v>8</v>
      </c>
      <c r="L1663" t="s">
        <v>24</v>
      </c>
      <c r="M1663" t="s">
        <v>25</v>
      </c>
      <c r="N1663" t="s">
        <v>55</v>
      </c>
      <c r="O1663" t="s">
        <v>49</v>
      </c>
      <c r="P1663" t="s">
        <v>38</v>
      </c>
      <c r="Q1663">
        <v>11</v>
      </c>
      <c r="R1663">
        <v>1490.97</v>
      </c>
      <c r="S1663" t="s">
        <v>29</v>
      </c>
    </row>
    <row r="1664" spans="1:19" x14ac:dyDescent="0.3">
      <c r="A1664" t="s">
        <v>1734</v>
      </c>
      <c r="B1664">
        <v>62</v>
      </c>
      <c r="C1664" t="s">
        <v>31</v>
      </c>
      <c r="D1664" t="s">
        <v>61</v>
      </c>
      <c r="E1664" s="1">
        <v>45476</v>
      </c>
      <c r="F1664" s="3">
        <v>45488</v>
      </c>
      <c r="G1664" t="s">
        <v>62</v>
      </c>
      <c r="H1664" t="s">
        <v>63</v>
      </c>
      <c r="I1664" t="s">
        <v>23</v>
      </c>
      <c r="J1664">
        <v>13388.67</v>
      </c>
      <c r="K1664">
        <v>12</v>
      </c>
      <c r="L1664" t="s">
        <v>36</v>
      </c>
      <c r="M1664" t="s">
        <v>25</v>
      </c>
      <c r="N1664" t="s">
        <v>26</v>
      </c>
      <c r="O1664" t="s">
        <v>49</v>
      </c>
      <c r="P1664" t="s">
        <v>45</v>
      </c>
      <c r="Q1664">
        <v>8</v>
      </c>
      <c r="R1664">
        <v>4427.07</v>
      </c>
      <c r="S1664" t="s">
        <v>39</v>
      </c>
    </row>
    <row r="1665" spans="1:19" x14ac:dyDescent="0.3">
      <c r="A1665" t="s">
        <v>1735</v>
      </c>
      <c r="B1665">
        <v>26</v>
      </c>
      <c r="C1665" t="s">
        <v>19</v>
      </c>
      <c r="D1665" t="s">
        <v>79</v>
      </c>
      <c r="E1665" s="1">
        <v>45845</v>
      </c>
      <c r="F1665" s="3">
        <v>45851</v>
      </c>
      <c r="G1665" t="s">
        <v>21</v>
      </c>
      <c r="H1665" t="s">
        <v>22</v>
      </c>
      <c r="I1665" t="s">
        <v>58</v>
      </c>
      <c r="J1665">
        <v>4126.42</v>
      </c>
      <c r="K1665">
        <v>6</v>
      </c>
      <c r="L1665" t="s">
        <v>36</v>
      </c>
      <c r="M1665" t="s">
        <v>25</v>
      </c>
      <c r="N1665" t="s">
        <v>26</v>
      </c>
      <c r="O1665" t="s">
        <v>56</v>
      </c>
      <c r="P1665" t="s">
        <v>45</v>
      </c>
      <c r="Q1665">
        <v>14</v>
      </c>
      <c r="R1665">
        <v>1313.62</v>
      </c>
      <c r="S1665" t="s">
        <v>29</v>
      </c>
    </row>
    <row r="1666" spans="1:19" x14ac:dyDescent="0.3">
      <c r="A1666" t="s">
        <v>1736</v>
      </c>
      <c r="B1666">
        <v>79</v>
      </c>
      <c r="C1666" t="s">
        <v>31</v>
      </c>
      <c r="D1666" t="s">
        <v>66</v>
      </c>
      <c r="E1666" s="1">
        <v>45551</v>
      </c>
      <c r="F1666" s="3">
        <v>45561</v>
      </c>
      <c r="G1666" t="s">
        <v>41</v>
      </c>
      <c r="H1666" t="s">
        <v>42</v>
      </c>
      <c r="I1666" t="s">
        <v>91</v>
      </c>
      <c r="J1666">
        <v>3630.31</v>
      </c>
      <c r="K1666">
        <v>10</v>
      </c>
      <c r="L1666" t="s">
        <v>36</v>
      </c>
      <c r="M1666" t="s">
        <v>25</v>
      </c>
      <c r="N1666" t="s">
        <v>44</v>
      </c>
      <c r="O1666" t="s">
        <v>37</v>
      </c>
      <c r="P1666" t="s">
        <v>50</v>
      </c>
      <c r="Q1666">
        <v>15</v>
      </c>
      <c r="R1666">
        <v>807.07</v>
      </c>
      <c r="S1666" t="s">
        <v>29</v>
      </c>
    </row>
    <row r="1667" spans="1:19" x14ac:dyDescent="0.3">
      <c r="A1667" t="s">
        <v>1737</v>
      </c>
      <c r="B1667">
        <v>30</v>
      </c>
      <c r="C1667" t="s">
        <v>19</v>
      </c>
      <c r="D1667" t="s">
        <v>66</v>
      </c>
      <c r="E1667" s="1">
        <v>45004</v>
      </c>
      <c r="F1667" s="3">
        <v>45011</v>
      </c>
      <c r="G1667" t="s">
        <v>52</v>
      </c>
      <c r="H1667" t="s">
        <v>53</v>
      </c>
      <c r="I1667" t="s">
        <v>83</v>
      </c>
      <c r="J1667">
        <v>11415.15</v>
      </c>
      <c r="K1667">
        <v>7</v>
      </c>
      <c r="L1667" t="s">
        <v>36</v>
      </c>
      <c r="M1667" t="s">
        <v>25</v>
      </c>
      <c r="N1667" t="s">
        <v>44</v>
      </c>
      <c r="O1667" t="s">
        <v>49</v>
      </c>
      <c r="P1667" t="s">
        <v>50</v>
      </c>
      <c r="Q1667">
        <v>8</v>
      </c>
      <c r="R1667">
        <v>2595.4299999999998</v>
      </c>
      <c r="S1667" t="s">
        <v>29</v>
      </c>
    </row>
    <row r="1668" spans="1:19" x14ac:dyDescent="0.3">
      <c r="A1668" t="s">
        <v>1738</v>
      </c>
      <c r="B1668">
        <v>76</v>
      </c>
      <c r="C1668" t="s">
        <v>19</v>
      </c>
      <c r="D1668" t="s">
        <v>89</v>
      </c>
      <c r="E1668" s="1">
        <v>44950</v>
      </c>
      <c r="F1668" s="3">
        <v>44952</v>
      </c>
      <c r="G1668" t="s">
        <v>74</v>
      </c>
      <c r="H1668" t="s">
        <v>75</v>
      </c>
      <c r="I1668" t="s">
        <v>54</v>
      </c>
      <c r="J1668">
        <v>1311.87</v>
      </c>
      <c r="K1668">
        <v>2</v>
      </c>
      <c r="L1668" t="s">
        <v>24</v>
      </c>
      <c r="M1668" t="s">
        <v>25</v>
      </c>
      <c r="N1668" t="s">
        <v>44</v>
      </c>
      <c r="O1668" t="s">
        <v>37</v>
      </c>
      <c r="P1668" t="s">
        <v>50</v>
      </c>
      <c r="Q1668">
        <v>6</v>
      </c>
      <c r="R1668">
        <v>254.37</v>
      </c>
      <c r="S1668" t="s">
        <v>29</v>
      </c>
    </row>
    <row r="1669" spans="1:19" x14ac:dyDescent="0.3">
      <c r="A1669" t="s">
        <v>1739</v>
      </c>
      <c r="B1669">
        <v>70</v>
      </c>
      <c r="C1669" t="s">
        <v>31</v>
      </c>
      <c r="D1669" t="s">
        <v>61</v>
      </c>
      <c r="E1669" s="1">
        <v>45540</v>
      </c>
      <c r="F1669" s="3">
        <v>45557</v>
      </c>
      <c r="G1669" t="s">
        <v>48</v>
      </c>
      <c r="H1669" t="s">
        <v>22</v>
      </c>
      <c r="I1669" t="s">
        <v>23</v>
      </c>
      <c r="J1669">
        <v>14907.06</v>
      </c>
      <c r="K1669">
        <v>17</v>
      </c>
      <c r="L1669" t="s">
        <v>24</v>
      </c>
      <c r="M1669" t="s">
        <v>25</v>
      </c>
      <c r="N1669" t="s">
        <v>44</v>
      </c>
      <c r="O1669" t="s">
        <v>49</v>
      </c>
      <c r="P1669" t="s">
        <v>50</v>
      </c>
      <c r="Q1669">
        <v>5</v>
      </c>
      <c r="R1669">
        <v>5058.8100000000004</v>
      </c>
      <c r="S1669" t="s">
        <v>29</v>
      </c>
    </row>
    <row r="1670" spans="1:19" x14ac:dyDescent="0.3">
      <c r="A1670" t="s">
        <v>1740</v>
      </c>
      <c r="B1670">
        <v>30</v>
      </c>
      <c r="C1670" t="s">
        <v>19</v>
      </c>
      <c r="D1670" t="s">
        <v>89</v>
      </c>
      <c r="E1670" s="1">
        <v>45365</v>
      </c>
      <c r="F1670" s="3">
        <v>45381</v>
      </c>
      <c r="G1670" t="s">
        <v>93</v>
      </c>
      <c r="H1670" t="s">
        <v>72</v>
      </c>
      <c r="I1670" t="s">
        <v>58</v>
      </c>
      <c r="J1670">
        <v>8005.67</v>
      </c>
      <c r="K1670">
        <v>16</v>
      </c>
      <c r="L1670" t="s">
        <v>36</v>
      </c>
      <c r="M1670" t="s">
        <v>25</v>
      </c>
      <c r="N1670" t="s">
        <v>55</v>
      </c>
      <c r="O1670" t="s">
        <v>27</v>
      </c>
      <c r="P1670" t="s">
        <v>50</v>
      </c>
      <c r="Q1670">
        <v>15</v>
      </c>
      <c r="R1670">
        <v>2905.42</v>
      </c>
      <c r="S1670" t="s">
        <v>29</v>
      </c>
    </row>
    <row r="1671" spans="1:19" x14ac:dyDescent="0.3">
      <c r="A1671" t="s">
        <v>1741</v>
      </c>
      <c r="B1671">
        <v>54</v>
      </c>
      <c r="C1671" t="s">
        <v>31</v>
      </c>
      <c r="D1671" t="s">
        <v>20</v>
      </c>
      <c r="E1671" s="1">
        <v>45551</v>
      </c>
      <c r="F1671" s="3">
        <v>45571</v>
      </c>
      <c r="G1671" t="s">
        <v>52</v>
      </c>
      <c r="H1671" t="s">
        <v>53</v>
      </c>
      <c r="I1671" t="s">
        <v>81</v>
      </c>
      <c r="J1671">
        <v>7334.71</v>
      </c>
      <c r="K1671">
        <v>20</v>
      </c>
      <c r="L1671" t="s">
        <v>36</v>
      </c>
      <c r="M1671" t="s">
        <v>59</v>
      </c>
      <c r="N1671" t="s">
        <v>44</v>
      </c>
      <c r="O1671" t="s">
        <v>56</v>
      </c>
      <c r="P1671" t="s">
        <v>45</v>
      </c>
      <c r="Q1671">
        <v>8</v>
      </c>
      <c r="R1671">
        <v>2391.46</v>
      </c>
      <c r="S1671" t="s">
        <v>39</v>
      </c>
    </row>
    <row r="1672" spans="1:19" x14ac:dyDescent="0.3">
      <c r="A1672" t="s">
        <v>1742</v>
      </c>
      <c r="B1672">
        <v>80</v>
      </c>
      <c r="C1672" t="s">
        <v>31</v>
      </c>
      <c r="D1672" t="s">
        <v>89</v>
      </c>
      <c r="E1672" s="1">
        <v>45519</v>
      </c>
      <c r="F1672" s="3">
        <v>45528</v>
      </c>
      <c r="G1672" t="s">
        <v>71</v>
      </c>
      <c r="H1672" t="s">
        <v>72</v>
      </c>
      <c r="I1672" t="s">
        <v>81</v>
      </c>
      <c r="J1672">
        <v>11286.52</v>
      </c>
      <c r="K1672">
        <v>9</v>
      </c>
      <c r="L1672" t="s">
        <v>24</v>
      </c>
      <c r="M1672" t="s">
        <v>25</v>
      </c>
      <c r="N1672" t="s">
        <v>44</v>
      </c>
      <c r="O1672" t="s">
        <v>49</v>
      </c>
      <c r="P1672" t="s">
        <v>45</v>
      </c>
      <c r="Q1672">
        <v>2</v>
      </c>
      <c r="R1672">
        <v>3581.97</v>
      </c>
      <c r="S1672" t="s">
        <v>29</v>
      </c>
    </row>
    <row r="1673" spans="1:19" x14ac:dyDescent="0.3">
      <c r="A1673" t="s">
        <v>1743</v>
      </c>
      <c r="B1673">
        <v>40</v>
      </c>
      <c r="C1673" t="s">
        <v>19</v>
      </c>
      <c r="D1673" t="s">
        <v>89</v>
      </c>
      <c r="E1673" s="1">
        <v>45821</v>
      </c>
      <c r="F1673" s="3">
        <v>45840</v>
      </c>
      <c r="G1673" t="s">
        <v>67</v>
      </c>
      <c r="H1673" t="s">
        <v>42</v>
      </c>
      <c r="I1673" t="s">
        <v>81</v>
      </c>
      <c r="J1673">
        <v>9122.68</v>
      </c>
      <c r="K1673">
        <v>19</v>
      </c>
      <c r="L1673" t="s">
        <v>24</v>
      </c>
      <c r="M1673" t="s">
        <v>25</v>
      </c>
      <c r="N1673" t="s">
        <v>44</v>
      </c>
      <c r="O1673" t="s">
        <v>27</v>
      </c>
      <c r="P1673" t="s">
        <v>50</v>
      </c>
      <c r="Q1673">
        <v>3</v>
      </c>
      <c r="R1673">
        <v>1837.14</v>
      </c>
      <c r="S1673" t="s">
        <v>29</v>
      </c>
    </row>
    <row r="1674" spans="1:19" x14ac:dyDescent="0.3">
      <c r="A1674" t="s">
        <v>1744</v>
      </c>
      <c r="B1674">
        <v>47</v>
      </c>
      <c r="C1674" t="s">
        <v>19</v>
      </c>
      <c r="D1674" t="s">
        <v>61</v>
      </c>
      <c r="E1674" s="1">
        <v>45762</v>
      </c>
      <c r="F1674" s="3">
        <v>45771</v>
      </c>
      <c r="G1674" t="s">
        <v>21</v>
      </c>
      <c r="H1674" t="s">
        <v>22</v>
      </c>
      <c r="I1674" t="s">
        <v>54</v>
      </c>
      <c r="J1674">
        <v>4953.59</v>
      </c>
      <c r="K1674">
        <v>9</v>
      </c>
      <c r="L1674" t="s">
        <v>24</v>
      </c>
      <c r="M1674" t="s">
        <v>25</v>
      </c>
      <c r="N1674" t="s">
        <v>55</v>
      </c>
      <c r="O1674" t="s">
        <v>56</v>
      </c>
      <c r="P1674" t="s">
        <v>28</v>
      </c>
      <c r="Q1674">
        <v>3</v>
      </c>
      <c r="R1674">
        <v>1828.35</v>
      </c>
      <c r="S1674" t="s">
        <v>29</v>
      </c>
    </row>
    <row r="1675" spans="1:19" x14ac:dyDescent="0.3">
      <c r="A1675" t="s">
        <v>1745</v>
      </c>
      <c r="B1675">
        <v>70</v>
      </c>
      <c r="C1675" t="s">
        <v>19</v>
      </c>
      <c r="D1675" t="s">
        <v>61</v>
      </c>
      <c r="E1675" s="1">
        <v>45367</v>
      </c>
      <c r="F1675" s="3">
        <v>45378</v>
      </c>
      <c r="G1675" t="s">
        <v>74</v>
      </c>
      <c r="H1675" t="s">
        <v>75</v>
      </c>
      <c r="I1675" t="s">
        <v>83</v>
      </c>
      <c r="J1675">
        <v>9180.18</v>
      </c>
      <c r="K1675">
        <v>11</v>
      </c>
      <c r="L1675" t="s">
        <v>36</v>
      </c>
      <c r="M1675" t="s">
        <v>76</v>
      </c>
      <c r="N1675" t="s">
        <v>55</v>
      </c>
      <c r="O1675" t="s">
        <v>49</v>
      </c>
      <c r="P1675" t="s">
        <v>28</v>
      </c>
      <c r="Q1675">
        <v>10</v>
      </c>
      <c r="R1675">
        <v>2459.77</v>
      </c>
      <c r="S1675" t="s">
        <v>29</v>
      </c>
    </row>
    <row r="1676" spans="1:19" x14ac:dyDescent="0.3">
      <c r="A1676" t="s">
        <v>1746</v>
      </c>
      <c r="B1676">
        <v>88</v>
      </c>
      <c r="C1676" t="s">
        <v>31</v>
      </c>
      <c r="D1676" t="s">
        <v>47</v>
      </c>
      <c r="E1676" s="1">
        <v>45674</v>
      </c>
      <c r="F1676" s="3">
        <v>45686</v>
      </c>
      <c r="G1676" t="s">
        <v>41</v>
      </c>
      <c r="H1676" t="s">
        <v>42</v>
      </c>
      <c r="I1676" t="s">
        <v>54</v>
      </c>
      <c r="J1676">
        <v>5807.12</v>
      </c>
      <c r="K1676">
        <v>12</v>
      </c>
      <c r="L1676" t="s">
        <v>36</v>
      </c>
      <c r="M1676" t="s">
        <v>25</v>
      </c>
      <c r="N1676" t="s">
        <v>26</v>
      </c>
      <c r="O1676" t="s">
        <v>27</v>
      </c>
      <c r="P1676" t="s">
        <v>50</v>
      </c>
      <c r="Q1676">
        <v>12</v>
      </c>
      <c r="R1676">
        <v>1101.08</v>
      </c>
      <c r="S1676" t="s">
        <v>29</v>
      </c>
    </row>
    <row r="1677" spans="1:19" x14ac:dyDescent="0.3">
      <c r="A1677" t="s">
        <v>1747</v>
      </c>
      <c r="B1677">
        <v>65</v>
      </c>
      <c r="C1677" t="s">
        <v>19</v>
      </c>
      <c r="D1677" t="s">
        <v>61</v>
      </c>
      <c r="E1677" s="1">
        <v>45172</v>
      </c>
      <c r="F1677" s="3">
        <v>45188</v>
      </c>
      <c r="G1677" t="s">
        <v>62</v>
      </c>
      <c r="H1677" t="s">
        <v>63</v>
      </c>
      <c r="I1677" t="s">
        <v>35</v>
      </c>
      <c r="J1677">
        <v>11669.72</v>
      </c>
      <c r="K1677">
        <v>16</v>
      </c>
      <c r="L1677" t="s">
        <v>24</v>
      </c>
      <c r="M1677" t="s">
        <v>25</v>
      </c>
      <c r="N1677" t="s">
        <v>26</v>
      </c>
      <c r="O1677" t="s">
        <v>56</v>
      </c>
      <c r="P1677" t="s">
        <v>28</v>
      </c>
      <c r="Q1677">
        <v>12</v>
      </c>
      <c r="R1677">
        <v>2874.51</v>
      </c>
      <c r="S1677" t="s">
        <v>29</v>
      </c>
    </row>
    <row r="1678" spans="1:19" x14ac:dyDescent="0.3">
      <c r="A1678" t="s">
        <v>1748</v>
      </c>
      <c r="B1678">
        <v>50</v>
      </c>
      <c r="C1678" t="s">
        <v>31</v>
      </c>
      <c r="D1678" t="s">
        <v>66</v>
      </c>
      <c r="E1678" s="1">
        <v>45792</v>
      </c>
      <c r="F1678" s="3">
        <v>45809</v>
      </c>
      <c r="G1678" t="s">
        <v>33</v>
      </c>
      <c r="H1678" t="s">
        <v>34</v>
      </c>
      <c r="I1678" t="s">
        <v>23</v>
      </c>
      <c r="J1678">
        <v>10408.94</v>
      </c>
      <c r="K1678">
        <v>17</v>
      </c>
      <c r="L1678" t="s">
        <v>24</v>
      </c>
      <c r="M1678" t="s">
        <v>76</v>
      </c>
      <c r="N1678" t="s">
        <v>44</v>
      </c>
      <c r="O1678" t="s">
        <v>56</v>
      </c>
      <c r="P1678" t="s">
        <v>45</v>
      </c>
      <c r="Q1678">
        <v>1</v>
      </c>
      <c r="R1678">
        <v>2459.04</v>
      </c>
      <c r="S1678" t="s">
        <v>29</v>
      </c>
    </row>
    <row r="1679" spans="1:19" x14ac:dyDescent="0.3">
      <c r="A1679" t="s">
        <v>1749</v>
      </c>
      <c r="B1679">
        <v>87</v>
      </c>
      <c r="C1679" t="s">
        <v>31</v>
      </c>
      <c r="D1679" t="s">
        <v>47</v>
      </c>
      <c r="E1679" s="1">
        <v>44954</v>
      </c>
      <c r="F1679" s="3">
        <v>44970</v>
      </c>
      <c r="G1679" t="s">
        <v>71</v>
      </c>
      <c r="H1679" t="s">
        <v>72</v>
      </c>
      <c r="I1679" t="s">
        <v>58</v>
      </c>
      <c r="J1679">
        <v>5717.98</v>
      </c>
      <c r="K1679">
        <v>16</v>
      </c>
      <c r="L1679" t="s">
        <v>24</v>
      </c>
      <c r="M1679" t="s">
        <v>25</v>
      </c>
      <c r="N1679" t="s">
        <v>44</v>
      </c>
      <c r="O1679" t="s">
        <v>27</v>
      </c>
      <c r="P1679" t="s">
        <v>38</v>
      </c>
      <c r="Q1679">
        <v>10</v>
      </c>
      <c r="R1679">
        <v>876.98</v>
      </c>
      <c r="S1679" t="s">
        <v>29</v>
      </c>
    </row>
    <row r="1680" spans="1:19" x14ac:dyDescent="0.3">
      <c r="A1680" t="s">
        <v>1750</v>
      </c>
      <c r="B1680">
        <v>68</v>
      </c>
      <c r="C1680" t="s">
        <v>19</v>
      </c>
      <c r="D1680" t="s">
        <v>79</v>
      </c>
      <c r="E1680" s="1">
        <v>45589</v>
      </c>
      <c r="F1680" s="3">
        <v>45597</v>
      </c>
      <c r="G1680" t="s">
        <v>33</v>
      </c>
      <c r="H1680" t="s">
        <v>34</v>
      </c>
      <c r="I1680" t="s">
        <v>91</v>
      </c>
      <c r="J1680">
        <v>5929.88</v>
      </c>
      <c r="K1680">
        <v>8</v>
      </c>
      <c r="L1680" t="s">
        <v>36</v>
      </c>
      <c r="M1680" t="s">
        <v>25</v>
      </c>
      <c r="N1680" t="s">
        <v>26</v>
      </c>
      <c r="O1680" t="s">
        <v>56</v>
      </c>
      <c r="P1680" t="s">
        <v>45</v>
      </c>
      <c r="Q1680">
        <v>8</v>
      </c>
      <c r="R1680">
        <v>1923.84</v>
      </c>
      <c r="S1680" t="s">
        <v>29</v>
      </c>
    </row>
    <row r="1681" spans="1:19" x14ac:dyDescent="0.3">
      <c r="A1681" t="s">
        <v>1751</v>
      </c>
      <c r="B1681">
        <v>55</v>
      </c>
      <c r="C1681" t="s">
        <v>19</v>
      </c>
      <c r="D1681" t="s">
        <v>61</v>
      </c>
      <c r="E1681" s="1">
        <v>45064</v>
      </c>
      <c r="F1681" s="3">
        <v>45083</v>
      </c>
      <c r="G1681" t="s">
        <v>33</v>
      </c>
      <c r="H1681" t="s">
        <v>34</v>
      </c>
      <c r="I1681" t="s">
        <v>58</v>
      </c>
      <c r="J1681">
        <v>5659.75</v>
      </c>
      <c r="K1681">
        <v>19</v>
      </c>
      <c r="L1681" t="s">
        <v>36</v>
      </c>
      <c r="M1681" t="s">
        <v>25</v>
      </c>
      <c r="N1681" t="s">
        <v>55</v>
      </c>
      <c r="O1681" t="s">
        <v>27</v>
      </c>
      <c r="P1681" t="s">
        <v>38</v>
      </c>
      <c r="Q1681">
        <v>9</v>
      </c>
      <c r="R1681">
        <v>2011.09</v>
      </c>
      <c r="S1681" t="s">
        <v>29</v>
      </c>
    </row>
    <row r="1682" spans="1:19" x14ac:dyDescent="0.3">
      <c r="A1682" t="s">
        <v>1752</v>
      </c>
      <c r="B1682">
        <v>39</v>
      </c>
      <c r="C1682" t="s">
        <v>19</v>
      </c>
      <c r="D1682" t="s">
        <v>47</v>
      </c>
      <c r="E1682" s="1">
        <v>45505</v>
      </c>
      <c r="F1682" s="3">
        <v>45529</v>
      </c>
      <c r="G1682" t="s">
        <v>74</v>
      </c>
      <c r="H1682" t="s">
        <v>75</v>
      </c>
      <c r="I1682" t="s">
        <v>54</v>
      </c>
      <c r="J1682">
        <v>13773.44</v>
      </c>
      <c r="K1682">
        <v>24</v>
      </c>
      <c r="L1682" t="s">
        <v>36</v>
      </c>
      <c r="M1682" t="s">
        <v>25</v>
      </c>
      <c r="N1682" t="s">
        <v>44</v>
      </c>
      <c r="O1682" t="s">
        <v>49</v>
      </c>
      <c r="P1682" t="s">
        <v>50</v>
      </c>
      <c r="Q1682">
        <v>4</v>
      </c>
      <c r="R1682">
        <v>3325.2</v>
      </c>
      <c r="S1682" t="s">
        <v>29</v>
      </c>
    </row>
    <row r="1683" spans="1:19" x14ac:dyDescent="0.3">
      <c r="A1683" t="s">
        <v>1753</v>
      </c>
      <c r="B1683">
        <v>43</v>
      </c>
      <c r="C1683" t="s">
        <v>31</v>
      </c>
      <c r="D1683" t="s">
        <v>20</v>
      </c>
      <c r="E1683" s="1">
        <v>45599</v>
      </c>
      <c r="F1683" s="3">
        <v>45612</v>
      </c>
      <c r="G1683" t="s">
        <v>21</v>
      </c>
      <c r="H1683" t="s">
        <v>22</v>
      </c>
      <c r="I1683" t="s">
        <v>81</v>
      </c>
      <c r="J1683">
        <v>5688.34</v>
      </c>
      <c r="K1683">
        <v>13</v>
      </c>
      <c r="L1683" t="s">
        <v>36</v>
      </c>
      <c r="M1683" t="s">
        <v>25</v>
      </c>
      <c r="N1683" t="s">
        <v>26</v>
      </c>
      <c r="O1683" t="s">
        <v>56</v>
      </c>
      <c r="P1683" t="s">
        <v>50</v>
      </c>
      <c r="Q1683">
        <v>9</v>
      </c>
      <c r="R1683">
        <v>2104.9899999999998</v>
      </c>
      <c r="S1683" t="s">
        <v>29</v>
      </c>
    </row>
    <row r="1684" spans="1:19" x14ac:dyDescent="0.3">
      <c r="A1684" t="s">
        <v>1754</v>
      </c>
      <c r="B1684">
        <v>74</v>
      </c>
      <c r="C1684" t="s">
        <v>31</v>
      </c>
      <c r="D1684" t="s">
        <v>20</v>
      </c>
      <c r="E1684" s="1">
        <v>45502</v>
      </c>
      <c r="F1684" s="3">
        <v>45521</v>
      </c>
      <c r="G1684" t="s">
        <v>33</v>
      </c>
      <c r="H1684" t="s">
        <v>34</v>
      </c>
      <c r="I1684" t="s">
        <v>58</v>
      </c>
      <c r="J1684">
        <v>11416.82</v>
      </c>
      <c r="K1684">
        <v>19</v>
      </c>
      <c r="L1684" t="s">
        <v>36</v>
      </c>
      <c r="M1684" t="s">
        <v>59</v>
      </c>
      <c r="N1684" t="s">
        <v>44</v>
      </c>
      <c r="O1684" t="s">
        <v>49</v>
      </c>
      <c r="P1684" t="s">
        <v>50</v>
      </c>
      <c r="Q1684">
        <v>4</v>
      </c>
      <c r="R1684">
        <v>2355.52</v>
      </c>
      <c r="S1684" t="s">
        <v>39</v>
      </c>
    </row>
    <row r="1685" spans="1:19" x14ac:dyDescent="0.3">
      <c r="A1685" t="s">
        <v>1755</v>
      </c>
      <c r="B1685">
        <v>22</v>
      </c>
      <c r="C1685" t="s">
        <v>31</v>
      </c>
      <c r="D1685" t="s">
        <v>20</v>
      </c>
      <c r="E1685" s="1">
        <v>45807</v>
      </c>
      <c r="F1685" s="3">
        <v>45836</v>
      </c>
      <c r="G1685" t="s">
        <v>52</v>
      </c>
      <c r="H1685" t="s">
        <v>53</v>
      </c>
      <c r="I1685" t="s">
        <v>35</v>
      </c>
      <c r="J1685">
        <v>13627.87</v>
      </c>
      <c r="K1685">
        <v>29</v>
      </c>
      <c r="L1685" t="s">
        <v>24</v>
      </c>
      <c r="M1685" t="s">
        <v>25</v>
      </c>
      <c r="N1685" t="s">
        <v>55</v>
      </c>
      <c r="O1685" t="s">
        <v>49</v>
      </c>
      <c r="P1685" t="s">
        <v>38</v>
      </c>
      <c r="Q1685">
        <v>6</v>
      </c>
      <c r="R1685">
        <v>2811.55</v>
      </c>
      <c r="S1685" t="s">
        <v>29</v>
      </c>
    </row>
    <row r="1686" spans="1:19" x14ac:dyDescent="0.3">
      <c r="A1686" t="s">
        <v>1756</v>
      </c>
      <c r="B1686">
        <v>63</v>
      </c>
      <c r="C1686" t="s">
        <v>31</v>
      </c>
      <c r="D1686" t="s">
        <v>32</v>
      </c>
      <c r="E1686" s="1">
        <v>45452</v>
      </c>
      <c r="F1686" s="3">
        <v>45454</v>
      </c>
      <c r="G1686" t="s">
        <v>62</v>
      </c>
      <c r="H1686" t="s">
        <v>63</v>
      </c>
      <c r="I1686" t="s">
        <v>35</v>
      </c>
      <c r="J1686">
        <v>1618.16</v>
      </c>
      <c r="K1686">
        <v>2</v>
      </c>
      <c r="L1686" t="s">
        <v>24</v>
      </c>
      <c r="M1686" t="s">
        <v>25</v>
      </c>
      <c r="N1686" t="s">
        <v>44</v>
      </c>
      <c r="O1686" t="s">
        <v>56</v>
      </c>
      <c r="P1686" t="s">
        <v>50</v>
      </c>
      <c r="Q1686">
        <v>8</v>
      </c>
      <c r="R1686">
        <v>262.16000000000003</v>
      </c>
      <c r="S1686" t="s">
        <v>29</v>
      </c>
    </row>
    <row r="1687" spans="1:19" x14ac:dyDescent="0.3">
      <c r="A1687" t="s">
        <v>1757</v>
      </c>
      <c r="B1687">
        <v>19</v>
      </c>
      <c r="C1687" t="s">
        <v>19</v>
      </c>
      <c r="D1687" t="s">
        <v>66</v>
      </c>
      <c r="E1687" s="1">
        <v>45367</v>
      </c>
      <c r="F1687" s="3">
        <v>45379</v>
      </c>
      <c r="G1687" t="s">
        <v>48</v>
      </c>
      <c r="H1687" t="s">
        <v>22</v>
      </c>
      <c r="I1687" t="s">
        <v>83</v>
      </c>
      <c r="J1687">
        <v>8940.32</v>
      </c>
      <c r="K1687">
        <v>12</v>
      </c>
      <c r="L1687" t="s">
        <v>36</v>
      </c>
      <c r="M1687" t="s">
        <v>59</v>
      </c>
      <c r="N1687" t="s">
        <v>55</v>
      </c>
      <c r="O1687" t="s">
        <v>27</v>
      </c>
      <c r="P1687" t="s">
        <v>50</v>
      </c>
      <c r="Q1687">
        <v>9</v>
      </c>
      <c r="R1687">
        <v>2661.81</v>
      </c>
      <c r="S1687" t="s">
        <v>29</v>
      </c>
    </row>
    <row r="1688" spans="1:19" x14ac:dyDescent="0.3">
      <c r="A1688" t="s">
        <v>1758</v>
      </c>
      <c r="B1688">
        <v>70</v>
      </c>
      <c r="C1688" t="s">
        <v>19</v>
      </c>
      <c r="D1688" t="s">
        <v>70</v>
      </c>
      <c r="E1688" s="1">
        <v>45715</v>
      </c>
      <c r="F1688" s="3">
        <v>45734</v>
      </c>
      <c r="G1688" t="s">
        <v>48</v>
      </c>
      <c r="H1688" t="s">
        <v>22</v>
      </c>
      <c r="I1688" t="s">
        <v>58</v>
      </c>
      <c r="J1688">
        <v>13159.5</v>
      </c>
      <c r="K1688">
        <v>19</v>
      </c>
      <c r="L1688" t="s">
        <v>36</v>
      </c>
      <c r="M1688" t="s">
        <v>25</v>
      </c>
      <c r="N1688" t="s">
        <v>55</v>
      </c>
      <c r="O1688" t="s">
        <v>56</v>
      </c>
      <c r="P1688" t="s">
        <v>50</v>
      </c>
      <c r="Q1688">
        <v>13</v>
      </c>
      <c r="R1688">
        <v>3328.03</v>
      </c>
      <c r="S1688" t="s">
        <v>29</v>
      </c>
    </row>
    <row r="1689" spans="1:19" x14ac:dyDescent="0.3">
      <c r="A1689" t="s">
        <v>1759</v>
      </c>
      <c r="B1689">
        <v>43</v>
      </c>
      <c r="C1689" t="s">
        <v>19</v>
      </c>
      <c r="D1689" t="s">
        <v>66</v>
      </c>
      <c r="E1689" s="1">
        <v>45121</v>
      </c>
      <c r="F1689" s="3">
        <v>45137</v>
      </c>
      <c r="G1689" t="s">
        <v>21</v>
      </c>
      <c r="H1689" t="s">
        <v>22</v>
      </c>
      <c r="I1689" t="s">
        <v>35</v>
      </c>
      <c r="J1689">
        <v>17535.84</v>
      </c>
      <c r="K1689">
        <v>16</v>
      </c>
      <c r="L1689" t="s">
        <v>24</v>
      </c>
      <c r="M1689" t="s">
        <v>25</v>
      </c>
      <c r="N1689" t="s">
        <v>26</v>
      </c>
      <c r="O1689" t="s">
        <v>49</v>
      </c>
      <c r="P1689" t="s">
        <v>50</v>
      </c>
      <c r="Q1689">
        <v>7</v>
      </c>
      <c r="R1689">
        <v>5173.92</v>
      </c>
      <c r="S1689" t="s">
        <v>29</v>
      </c>
    </row>
    <row r="1690" spans="1:19" x14ac:dyDescent="0.3">
      <c r="A1690" t="s">
        <v>1760</v>
      </c>
      <c r="B1690">
        <v>22</v>
      </c>
      <c r="C1690" t="s">
        <v>19</v>
      </c>
      <c r="D1690" t="s">
        <v>70</v>
      </c>
      <c r="E1690" s="1">
        <v>45706</v>
      </c>
      <c r="F1690" s="3">
        <v>45727</v>
      </c>
      <c r="G1690" t="s">
        <v>52</v>
      </c>
      <c r="H1690" t="s">
        <v>53</v>
      </c>
      <c r="I1690" t="s">
        <v>83</v>
      </c>
      <c r="J1690">
        <v>13279.07</v>
      </c>
      <c r="K1690">
        <v>21</v>
      </c>
      <c r="L1690" t="s">
        <v>36</v>
      </c>
      <c r="M1690" t="s">
        <v>25</v>
      </c>
      <c r="N1690" t="s">
        <v>44</v>
      </c>
      <c r="O1690" t="s">
        <v>49</v>
      </c>
      <c r="P1690" t="s">
        <v>50</v>
      </c>
      <c r="Q1690">
        <v>13</v>
      </c>
      <c r="R1690">
        <v>5156.91</v>
      </c>
      <c r="S1690" t="s">
        <v>29</v>
      </c>
    </row>
    <row r="1691" spans="1:19" x14ac:dyDescent="0.3">
      <c r="A1691" t="s">
        <v>1761</v>
      </c>
      <c r="B1691">
        <v>30</v>
      </c>
      <c r="C1691" t="s">
        <v>31</v>
      </c>
      <c r="D1691" t="s">
        <v>70</v>
      </c>
      <c r="E1691" s="1">
        <v>45079</v>
      </c>
      <c r="F1691" s="3">
        <v>45097</v>
      </c>
      <c r="G1691" t="s">
        <v>41</v>
      </c>
      <c r="H1691" t="s">
        <v>42</v>
      </c>
      <c r="I1691" t="s">
        <v>83</v>
      </c>
      <c r="J1691">
        <v>11592.58</v>
      </c>
      <c r="K1691">
        <v>18</v>
      </c>
      <c r="L1691" t="s">
        <v>36</v>
      </c>
      <c r="M1691" t="s">
        <v>25</v>
      </c>
      <c r="N1691" t="s">
        <v>55</v>
      </c>
      <c r="O1691" t="s">
        <v>49</v>
      </c>
      <c r="P1691" t="s">
        <v>28</v>
      </c>
      <c r="Q1691">
        <v>12</v>
      </c>
      <c r="R1691">
        <v>2828.15</v>
      </c>
      <c r="S1691" t="s">
        <v>29</v>
      </c>
    </row>
    <row r="1692" spans="1:19" x14ac:dyDescent="0.3">
      <c r="A1692" t="s">
        <v>1762</v>
      </c>
      <c r="B1692">
        <v>35</v>
      </c>
      <c r="C1692" t="s">
        <v>31</v>
      </c>
      <c r="D1692" t="s">
        <v>66</v>
      </c>
      <c r="E1692" s="1">
        <v>45538</v>
      </c>
      <c r="F1692" s="3">
        <v>45560</v>
      </c>
      <c r="G1692" t="s">
        <v>93</v>
      </c>
      <c r="H1692" t="s">
        <v>72</v>
      </c>
      <c r="I1692" t="s">
        <v>81</v>
      </c>
      <c r="J1692">
        <v>14271.39</v>
      </c>
      <c r="K1692">
        <v>22</v>
      </c>
      <c r="L1692" t="s">
        <v>36</v>
      </c>
      <c r="M1692" t="s">
        <v>101</v>
      </c>
      <c r="N1692" t="s">
        <v>26</v>
      </c>
      <c r="O1692" t="s">
        <v>49</v>
      </c>
      <c r="P1692" t="s">
        <v>50</v>
      </c>
      <c r="Q1692">
        <v>1</v>
      </c>
      <c r="R1692">
        <v>3606.37</v>
      </c>
      <c r="S1692" t="s">
        <v>29</v>
      </c>
    </row>
    <row r="1693" spans="1:19" x14ac:dyDescent="0.3">
      <c r="A1693" t="s">
        <v>1763</v>
      </c>
      <c r="B1693">
        <v>63</v>
      </c>
      <c r="C1693" t="s">
        <v>19</v>
      </c>
      <c r="D1693" t="s">
        <v>79</v>
      </c>
      <c r="E1693" s="1">
        <v>45198</v>
      </c>
      <c r="F1693" s="3">
        <v>45216</v>
      </c>
      <c r="G1693" t="s">
        <v>62</v>
      </c>
      <c r="H1693" t="s">
        <v>63</v>
      </c>
      <c r="I1693" t="s">
        <v>43</v>
      </c>
      <c r="J1693">
        <v>10088.43</v>
      </c>
      <c r="K1693">
        <v>18</v>
      </c>
      <c r="L1693" t="s">
        <v>36</v>
      </c>
      <c r="M1693" t="s">
        <v>25</v>
      </c>
      <c r="N1693" t="s">
        <v>44</v>
      </c>
      <c r="O1693" t="s">
        <v>27</v>
      </c>
      <c r="P1693" t="s">
        <v>50</v>
      </c>
      <c r="Q1693">
        <v>13</v>
      </c>
      <c r="R1693">
        <v>2612.06</v>
      </c>
      <c r="S1693" t="s">
        <v>29</v>
      </c>
    </row>
    <row r="1694" spans="1:19" x14ac:dyDescent="0.3">
      <c r="A1694" t="s">
        <v>1764</v>
      </c>
      <c r="B1694">
        <v>72</v>
      </c>
      <c r="C1694" t="s">
        <v>31</v>
      </c>
      <c r="D1694" t="s">
        <v>61</v>
      </c>
      <c r="E1694" s="1">
        <v>45506</v>
      </c>
      <c r="F1694" s="3">
        <v>45522</v>
      </c>
      <c r="G1694" t="s">
        <v>71</v>
      </c>
      <c r="H1694" t="s">
        <v>72</v>
      </c>
      <c r="I1694" t="s">
        <v>91</v>
      </c>
      <c r="J1694">
        <v>8575.34</v>
      </c>
      <c r="K1694">
        <v>16</v>
      </c>
      <c r="L1694" t="s">
        <v>24</v>
      </c>
      <c r="M1694" t="s">
        <v>25</v>
      </c>
      <c r="N1694" t="s">
        <v>44</v>
      </c>
      <c r="O1694" t="s">
        <v>37</v>
      </c>
      <c r="P1694" t="s">
        <v>45</v>
      </c>
      <c r="Q1694">
        <v>8</v>
      </c>
      <c r="R1694">
        <v>2778.18</v>
      </c>
      <c r="S1694" t="s">
        <v>29</v>
      </c>
    </row>
    <row r="1695" spans="1:19" x14ac:dyDescent="0.3">
      <c r="A1695" t="s">
        <v>1765</v>
      </c>
      <c r="B1695">
        <v>24</v>
      </c>
      <c r="C1695" t="s">
        <v>19</v>
      </c>
      <c r="D1695" t="s">
        <v>89</v>
      </c>
      <c r="E1695" s="1">
        <v>45073</v>
      </c>
      <c r="F1695" s="3">
        <v>45092</v>
      </c>
      <c r="G1695" t="s">
        <v>33</v>
      </c>
      <c r="H1695" t="s">
        <v>34</v>
      </c>
      <c r="I1695" t="s">
        <v>43</v>
      </c>
      <c r="J1695">
        <v>13122.03</v>
      </c>
      <c r="K1695">
        <v>19</v>
      </c>
      <c r="L1695" t="s">
        <v>24</v>
      </c>
      <c r="M1695" t="s">
        <v>25</v>
      </c>
      <c r="N1695" t="s">
        <v>55</v>
      </c>
      <c r="O1695" t="s">
        <v>56</v>
      </c>
      <c r="P1695" t="s">
        <v>38</v>
      </c>
      <c r="Q1695">
        <v>11</v>
      </c>
      <c r="R1695">
        <v>4635.7700000000004</v>
      </c>
      <c r="S1695" t="s">
        <v>29</v>
      </c>
    </row>
    <row r="1696" spans="1:19" x14ac:dyDescent="0.3">
      <c r="A1696" t="s">
        <v>1766</v>
      </c>
      <c r="B1696">
        <v>35</v>
      </c>
      <c r="C1696" t="s">
        <v>31</v>
      </c>
      <c r="D1696" t="s">
        <v>47</v>
      </c>
      <c r="E1696" s="1">
        <v>44999</v>
      </c>
      <c r="F1696" s="3">
        <v>45004</v>
      </c>
      <c r="G1696" t="s">
        <v>41</v>
      </c>
      <c r="H1696" t="s">
        <v>42</v>
      </c>
      <c r="I1696" t="s">
        <v>83</v>
      </c>
      <c r="J1696">
        <v>3041.84</v>
      </c>
      <c r="K1696">
        <v>5</v>
      </c>
      <c r="L1696" t="s">
        <v>24</v>
      </c>
      <c r="M1696" t="s">
        <v>25</v>
      </c>
      <c r="N1696" t="s">
        <v>26</v>
      </c>
      <c r="O1696" t="s">
        <v>56</v>
      </c>
      <c r="P1696" t="s">
        <v>38</v>
      </c>
      <c r="Q1696">
        <v>5</v>
      </c>
      <c r="R1696">
        <v>478.54</v>
      </c>
      <c r="S1696" t="s">
        <v>29</v>
      </c>
    </row>
    <row r="1697" spans="1:19" x14ac:dyDescent="0.3">
      <c r="A1697" t="s">
        <v>1767</v>
      </c>
      <c r="B1697">
        <v>34</v>
      </c>
      <c r="C1697" t="s">
        <v>31</v>
      </c>
      <c r="D1697" t="s">
        <v>61</v>
      </c>
      <c r="E1697" s="1">
        <v>45787</v>
      </c>
      <c r="F1697" s="3">
        <v>45791</v>
      </c>
      <c r="G1697" t="s">
        <v>67</v>
      </c>
      <c r="H1697" t="s">
        <v>42</v>
      </c>
      <c r="I1697" t="s">
        <v>81</v>
      </c>
      <c r="J1697">
        <v>2628.68</v>
      </c>
      <c r="K1697">
        <v>4</v>
      </c>
      <c r="L1697" t="s">
        <v>36</v>
      </c>
      <c r="M1697" t="s">
        <v>25</v>
      </c>
      <c r="N1697" t="s">
        <v>44</v>
      </c>
      <c r="O1697" t="s">
        <v>27</v>
      </c>
      <c r="P1697" t="s">
        <v>45</v>
      </c>
      <c r="Q1697">
        <v>10</v>
      </c>
      <c r="R1697">
        <v>537.6</v>
      </c>
      <c r="S1697" t="s">
        <v>39</v>
      </c>
    </row>
    <row r="1698" spans="1:19" x14ac:dyDescent="0.3">
      <c r="A1698" t="s">
        <v>1768</v>
      </c>
      <c r="B1698">
        <v>67</v>
      </c>
      <c r="C1698" t="s">
        <v>31</v>
      </c>
      <c r="D1698" t="s">
        <v>89</v>
      </c>
      <c r="E1698" s="1">
        <v>45629</v>
      </c>
      <c r="F1698" s="3">
        <v>45642</v>
      </c>
      <c r="G1698" t="s">
        <v>41</v>
      </c>
      <c r="H1698" t="s">
        <v>42</v>
      </c>
      <c r="I1698" t="s">
        <v>58</v>
      </c>
      <c r="J1698">
        <v>4910.6000000000004</v>
      </c>
      <c r="K1698">
        <v>13</v>
      </c>
      <c r="L1698" t="s">
        <v>36</v>
      </c>
      <c r="M1698" t="s">
        <v>25</v>
      </c>
      <c r="N1698" t="s">
        <v>26</v>
      </c>
      <c r="O1698" t="s">
        <v>27</v>
      </c>
      <c r="P1698" t="s">
        <v>50</v>
      </c>
      <c r="Q1698">
        <v>6</v>
      </c>
      <c r="R1698">
        <v>796.7</v>
      </c>
      <c r="S1698" t="s">
        <v>29</v>
      </c>
    </row>
    <row r="1699" spans="1:19" x14ac:dyDescent="0.3">
      <c r="A1699" t="s">
        <v>1769</v>
      </c>
      <c r="B1699">
        <v>38</v>
      </c>
      <c r="C1699" t="s">
        <v>31</v>
      </c>
      <c r="D1699" t="s">
        <v>89</v>
      </c>
      <c r="E1699" s="1">
        <v>45022</v>
      </c>
      <c r="F1699" s="3">
        <v>45035</v>
      </c>
      <c r="G1699" t="s">
        <v>52</v>
      </c>
      <c r="H1699" t="s">
        <v>53</v>
      </c>
      <c r="I1699" t="s">
        <v>23</v>
      </c>
      <c r="J1699">
        <v>4964.32</v>
      </c>
      <c r="K1699">
        <v>13</v>
      </c>
      <c r="L1699" t="s">
        <v>36</v>
      </c>
      <c r="M1699" t="s">
        <v>25</v>
      </c>
      <c r="N1699" t="s">
        <v>26</v>
      </c>
      <c r="O1699" t="s">
        <v>56</v>
      </c>
      <c r="P1699" t="s">
        <v>38</v>
      </c>
      <c r="Q1699">
        <v>4</v>
      </c>
      <c r="R1699">
        <v>925.29</v>
      </c>
      <c r="S1699" t="s">
        <v>39</v>
      </c>
    </row>
    <row r="1700" spans="1:19" x14ac:dyDescent="0.3">
      <c r="A1700" t="s">
        <v>1770</v>
      </c>
      <c r="B1700">
        <v>83</v>
      </c>
      <c r="C1700" t="s">
        <v>31</v>
      </c>
      <c r="D1700" t="s">
        <v>61</v>
      </c>
      <c r="E1700" s="1">
        <v>45724</v>
      </c>
      <c r="F1700" s="3">
        <v>45737</v>
      </c>
      <c r="G1700" t="s">
        <v>71</v>
      </c>
      <c r="H1700" t="s">
        <v>72</v>
      </c>
      <c r="I1700" t="s">
        <v>81</v>
      </c>
      <c r="J1700">
        <v>13110.09</v>
      </c>
      <c r="K1700">
        <v>13</v>
      </c>
      <c r="L1700" t="s">
        <v>24</v>
      </c>
      <c r="M1700" t="s">
        <v>25</v>
      </c>
      <c r="N1700" t="s">
        <v>26</v>
      </c>
      <c r="O1700" t="s">
        <v>49</v>
      </c>
      <c r="P1700" t="s">
        <v>45</v>
      </c>
      <c r="Q1700">
        <v>9</v>
      </c>
      <c r="R1700">
        <v>3192.48</v>
      </c>
      <c r="S1700" t="s">
        <v>39</v>
      </c>
    </row>
    <row r="1701" spans="1:19" x14ac:dyDescent="0.3">
      <c r="A1701" t="s">
        <v>1771</v>
      </c>
      <c r="B1701">
        <v>80</v>
      </c>
      <c r="C1701" t="s">
        <v>19</v>
      </c>
      <c r="D1701" t="s">
        <v>20</v>
      </c>
      <c r="E1701" s="1">
        <v>45671</v>
      </c>
      <c r="F1701" s="3">
        <v>45680</v>
      </c>
      <c r="G1701" t="s">
        <v>71</v>
      </c>
      <c r="H1701" t="s">
        <v>72</v>
      </c>
      <c r="I1701" t="s">
        <v>23</v>
      </c>
      <c r="J1701">
        <v>11205.57</v>
      </c>
      <c r="K1701">
        <v>9</v>
      </c>
      <c r="L1701" t="s">
        <v>36</v>
      </c>
      <c r="M1701" t="s">
        <v>101</v>
      </c>
      <c r="N1701" t="s">
        <v>55</v>
      </c>
      <c r="O1701" t="s">
        <v>49</v>
      </c>
      <c r="P1701" t="s">
        <v>28</v>
      </c>
      <c r="Q1701">
        <v>2</v>
      </c>
      <c r="R1701">
        <v>3497.14</v>
      </c>
      <c r="S1701" t="s">
        <v>29</v>
      </c>
    </row>
    <row r="1702" spans="1:19" x14ac:dyDescent="0.3">
      <c r="A1702" t="s">
        <v>1772</v>
      </c>
      <c r="B1702">
        <v>25</v>
      </c>
      <c r="C1702" t="s">
        <v>31</v>
      </c>
      <c r="D1702" t="s">
        <v>89</v>
      </c>
      <c r="E1702" s="1">
        <v>45910</v>
      </c>
      <c r="F1702" s="3">
        <v>45916</v>
      </c>
      <c r="G1702" t="s">
        <v>33</v>
      </c>
      <c r="H1702" t="s">
        <v>34</v>
      </c>
      <c r="I1702" t="s">
        <v>83</v>
      </c>
      <c r="J1702">
        <v>8733.91</v>
      </c>
      <c r="K1702">
        <v>6</v>
      </c>
      <c r="L1702" t="s">
        <v>36</v>
      </c>
      <c r="M1702" t="s">
        <v>25</v>
      </c>
      <c r="N1702" t="s">
        <v>26</v>
      </c>
      <c r="O1702" t="s">
        <v>49</v>
      </c>
      <c r="P1702" t="s">
        <v>28</v>
      </c>
      <c r="Q1702">
        <v>4</v>
      </c>
      <c r="R1702">
        <v>2832.44</v>
      </c>
      <c r="S1702" t="s">
        <v>29</v>
      </c>
    </row>
    <row r="1703" spans="1:19" x14ac:dyDescent="0.3">
      <c r="A1703" t="s">
        <v>1773</v>
      </c>
      <c r="B1703">
        <v>47</v>
      </c>
      <c r="C1703" t="s">
        <v>19</v>
      </c>
      <c r="D1703" t="s">
        <v>47</v>
      </c>
      <c r="E1703" s="1">
        <v>45720</v>
      </c>
      <c r="F1703" s="3">
        <v>45727</v>
      </c>
      <c r="G1703" t="s">
        <v>52</v>
      </c>
      <c r="H1703" t="s">
        <v>53</v>
      </c>
      <c r="I1703" t="s">
        <v>43</v>
      </c>
      <c r="J1703">
        <v>1688.31</v>
      </c>
      <c r="K1703">
        <v>7</v>
      </c>
      <c r="L1703" t="s">
        <v>24</v>
      </c>
      <c r="M1703" t="s">
        <v>25</v>
      </c>
      <c r="N1703" t="s">
        <v>26</v>
      </c>
      <c r="O1703" t="s">
        <v>27</v>
      </c>
      <c r="P1703" t="s">
        <v>28</v>
      </c>
      <c r="Q1703">
        <v>5</v>
      </c>
      <c r="R1703">
        <v>584.89</v>
      </c>
      <c r="S1703" t="s">
        <v>29</v>
      </c>
    </row>
    <row r="1704" spans="1:19" x14ac:dyDescent="0.3">
      <c r="A1704" t="s">
        <v>1774</v>
      </c>
      <c r="B1704">
        <v>51</v>
      </c>
      <c r="C1704" t="s">
        <v>19</v>
      </c>
      <c r="D1704" t="s">
        <v>70</v>
      </c>
      <c r="E1704" s="1">
        <v>45708</v>
      </c>
      <c r="F1704" s="3">
        <v>45715</v>
      </c>
      <c r="G1704" t="s">
        <v>41</v>
      </c>
      <c r="H1704" t="s">
        <v>42</v>
      </c>
      <c r="I1704" t="s">
        <v>81</v>
      </c>
      <c r="J1704">
        <v>4287.2</v>
      </c>
      <c r="K1704">
        <v>7</v>
      </c>
      <c r="L1704" t="s">
        <v>36</v>
      </c>
      <c r="M1704" t="s">
        <v>25</v>
      </c>
      <c r="N1704" t="s">
        <v>26</v>
      </c>
      <c r="O1704" t="s">
        <v>56</v>
      </c>
      <c r="P1704" t="s">
        <v>38</v>
      </c>
      <c r="Q1704">
        <v>7</v>
      </c>
      <c r="R1704">
        <v>714.15</v>
      </c>
      <c r="S1704" t="s">
        <v>29</v>
      </c>
    </row>
    <row r="1705" spans="1:19" x14ac:dyDescent="0.3">
      <c r="A1705" t="s">
        <v>1775</v>
      </c>
      <c r="B1705">
        <v>19</v>
      </c>
      <c r="C1705" t="s">
        <v>19</v>
      </c>
      <c r="D1705" t="s">
        <v>89</v>
      </c>
      <c r="E1705" s="1">
        <v>45026</v>
      </c>
      <c r="F1705" s="3">
        <v>45031</v>
      </c>
      <c r="G1705" t="s">
        <v>74</v>
      </c>
      <c r="H1705" t="s">
        <v>75</v>
      </c>
      <c r="I1705" t="s">
        <v>81</v>
      </c>
      <c r="J1705">
        <v>4779.22</v>
      </c>
      <c r="K1705">
        <v>5</v>
      </c>
      <c r="L1705" t="s">
        <v>36</v>
      </c>
      <c r="M1705" t="s">
        <v>25</v>
      </c>
      <c r="N1705" t="s">
        <v>44</v>
      </c>
      <c r="O1705" t="s">
        <v>37</v>
      </c>
      <c r="P1705" t="s">
        <v>50</v>
      </c>
      <c r="Q1705">
        <v>12</v>
      </c>
      <c r="R1705">
        <v>1725.6</v>
      </c>
      <c r="S1705" t="s">
        <v>29</v>
      </c>
    </row>
    <row r="1706" spans="1:19" x14ac:dyDescent="0.3">
      <c r="A1706" t="s">
        <v>1776</v>
      </c>
      <c r="B1706">
        <v>36</v>
      </c>
      <c r="C1706" t="s">
        <v>19</v>
      </c>
      <c r="D1706" t="s">
        <v>20</v>
      </c>
      <c r="E1706" s="1">
        <v>45401</v>
      </c>
      <c r="F1706" s="3">
        <v>45416</v>
      </c>
      <c r="G1706" t="s">
        <v>41</v>
      </c>
      <c r="H1706" t="s">
        <v>42</v>
      </c>
      <c r="I1706" t="s">
        <v>81</v>
      </c>
      <c r="J1706">
        <v>5789.73</v>
      </c>
      <c r="K1706">
        <v>15</v>
      </c>
      <c r="L1706" t="s">
        <v>36</v>
      </c>
      <c r="M1706" t="s">
        <v>25</v>
      </c>
      <c r="N1706" t="s">
        <v>26</v>
      </c>
      <c r="O1706" t="s">
        <v>37</v>
      </c>
      <c r="P1706" t="s">
        <v>50</v>
      </c>
      <c r="Q1706">
        <v>2</v>
      </c>
      <c r="R1706">
        <v>2167.17</v>
      </c>
      <c r="S1706" t="s">
        <v>29</v>
      </c>
    </row>
    <row r="1707" spans="1:19" x14ac:dyDescent="0.3">
      <c r="A1707" t="s">
        <v>1777</v>
      </c>
      <c r="B1707">
        <v>68</v>
      </c>
      <c r="C1707" t="s">
        <v>19</v>
      </c>
      <c r="D1707" t="s">
        <v>47</v>
      </c>
      <c r="E1707" s="1">
        <v>45054</v>
      </c>
      <c r="F1707" s="3">
        <v>45060</v>
      </c>
      <c r="G1707" t="s">
        <v>74</v>
      </c>
      <c r="H1707" t="s">
        <v>75</v>
      </c>
      <c r="I1707" t="s">
        <v>35</v>
      </c>
      <c r="J1707">
        <v>2526.5300000000002</v>
      </c>
      <c r="K1707">
        <v>6</v>
      </c>
      <c r="L1707" t="s">
        <v>24</v>
      </c>
      <c r="M1707" t="s">
        <v>101</v>
      </c>
      <c r="N1707" t="s">
        <v>44</v>
      </c>
      <c r="O1707" t="s">
        <v>56</v>
      </c>
      <c r="P1707" t="s">
        <v>50</v>
      </c>
      <c r="Q1707">
        <v>12</v>
      </c>
      <c r="R1707">
        <v>386.39</v>
      </c>
      <c r="S1707" t="s">
        <v>29</v>
      </c>
    </row>
    <row r="1708" spans="1:19" x14ac:dyDescent="0.3">
      <c r="A1708" t="s">
        <v>1778</v>
      </c>
      <c r="B1708">
        <v>27</v>
      </c>
      <c r="C1708" t="s">
        <v>19</v>
      </c>
      <c r="D1708" t="s">
        <v>61</v>
      </c>
      <c r="E1708" s="1">
        <v>45390</v>
      </c>
      <c r="F1708" s="3">
        <v>45391</v>
      </c>
      <c r="G1708" t="s">
        <v>67</v>
      </c>
      <c r="H1708" t="s">
        <v>42</v>
      </c>
      <c r="I1708" t="s">
        <v>83</v>
      </c>
      <c r="J1708">
        <v>968.12</v>
      </c>
      <c r="K1708">
        <v>1</v>
      </c>
      <c r="L1708" t="s">
        <v>36</v>
      </c>
      <c r="M1708" t="s">
        <v>25</v>
      </c>
      <c r="N1708" t="s">
        <v>26</v>
      </c>
      <c r="O1708" t="s">
        <v>27</v>
      </c>
      <c r="P1708" t="s">
        <v>45</v>
      </c>
      <c r="Q1708">
        <v>11</v>
      </c>
      <c r="R1708">
        <v>202.15</v>
      </c>
      <c r="S1708" t="s">
        <v>29</v>
      </c>
    </row>
    <row r="1709" spans="1:19" x14ac:dyDescent="0.3">
      <c r="A1709" t="s">
        <v>1779</v>
      </c>
      <c r="B1709">
        <v>83</v>
      </c>
      <c r="C1709" t="s">
        <v>31</v>
      </c>
      <c r="D1709" t="s">
        <v>89</v>
      </c>
      <c r="E1709" s="1">
        <v>44977</v>
      </c>
      <c r="F1709" s="3">
        <v>44994</v>
      </c>
      <c r="G1709" t="s">
        <v>41</v>
      </c>
      <c r="H1709" t="s">
        <v>42</v>
      </c>
      <c r="I1709" t="s">
        <v>83</v>
      </c>
      <c r="J1709">
        <v>5602.01</v>
      </c>
      <c r="K1709">
        <v>17</v>
      </c>
      <c r="L1709" t="s">
        <v>36</v>
      </c>
      <c r="M1709" t="s">
        <v>59</v>
      </c>
      <c r="N1709" t="s">
        <v>55</v>
      </c>
      <c r="O1709" t="s">
        <v>27</v>
      </c>
      <c r="P1709" t="s">
        <v>38</v>
      </c>
      <c r="Q1709">
        <v>6</v>
      </c>
      <c r="R1709">
        <v>1379.06</v>
      </c>
      <c r="S1709" t="s">
        <v>29</v>
      </c>
    </row>
    <row r="1710" spans="1:19" x14ac:dyDescent="0.3">
      <c r="A1710" t="s">
        <v>1780</v>
      </c>
      <c r="B1710">
        <v>22</v>
      </c>
      <c r="C1710" t="s">
        <v>19</v>
      </c>
      <c r="D1710" t="s">
        <v>66</v>
      </c>
      <c r="E1710" s="1">
        <v>45299</v>
      </c>
      <c r="F1710" s="3">
        <v>45325</v>
      </c>
      <c r="G1710" t="s">
        <v>74</v>
      </c>
      <c r="H1710" t="s">
        <v>75</v>
      </c>
      <c r="I1710" t="s">
        <v>81</v>
      </c>
      <c r="J1710">
        <v>17085.39</v>
      </c>
      <c r="K1710">
        <v>26</v>
      </c>
      <c r="L1710" t="s">
        <v>36</v>
      </c>
      <c r="M1710" t="s">
        <v>25</v>
      </c>
      <c r="N1710" t="s">
        <v>26</v>
      </c>
      <c r="O1710" t="s">
        <v>49</v>
      </c>
      <c r="P1710" t="s">
        <v>28</v>
      </c>
      <c r="Q1710">
        <v>13</v>
      </c>
      <c r="R1710">
        <v>5422.56</v>
      </c>
      <c r="S1710" t="s">
        <v>29</v>
      </c>
    </row>
    <row r="1711" spans="1:19" x14ac:dyDescent="0.3">
      <c r="A1711" t="s">
        <v>1781</v>
      </c>
      <c r="B1711">
        <v>42</v>
      </c>
      <c r="C1711" t="s">
        <v>31</v>
      </c>
      <c r="D1711" t="s">
        <v>47</v>
      </c>
      <c r="E1711" s="1">
        <v>45306</v>
      </c>
      <c r="F1711" s="3">
        <v>45316</v>
      </c>
      <c r="G1711" t="s">
        <v>71</v>
      </c>
      <c r="H1711" t="s">
        <v>72</v>
      </c>
      <c r="I1711" t="s">
        <v>81</v>
      </c>
      <c r="J1711">
        <v>4995.84</v>
      </c>
      <c r="K1711">
        <v>10</v>
      </c>
      <c r="L1711" t="s">
        <v>24</v>
      </c>
      <c r="M1711" t="s">
        <v>59</v>
      </c>
      <c r="N1711" t="s">
        <v>44</v>
      </c>
      <c r="O1711" t="s">
        <v>56</v>
      </c>
      <c r="P1711" t="s">
        <v>50</v>
      </c>
      <c r="Q1711">
        <v>12</v>
      </c>
      <c r="R1711">
        <v>1042.9000000000001</v>
      </c>
      <c r="S1711" t="s">
        <v>29</v>
      </c>
    </row>
    <row r="1712" spans="1:19" x14ac:dyDescent="0.3">
      <c r="A1712" t="s">
        <v>1782</v>
      </c>
      <c r="B1712">
        <v>37</v>
      </c>
      <c r="C1712" t="s">
        <v>31</v>
      </c>
      <c r="D1712" t="s">
        <v>89</v>
      </c>
      <c r="E1712" s="1">
        <v>45042</v>
      </c>
      <c r="F1712" s="3">
        <v>45050</v>
      </c>
      <c r="G1712" t="s">
        <v>52</v>
      </c>
      <c r="H1712" t="s">
        <v>53</v>
      </c>
      <c r="I1712" t="s">
        <v>91</v>
      </c>
      <c r="J1712">
        <v>5755.26</v>
      </c>
      <c r="K1712">
        <v>8</v>
      </c>
      <c r="L1712" t="s">
        <v>24</v>
      </c>
      <c r="M1712" t="s">
        <v>25</v>
      </c>
      <c r="N1712" t="s">
        <v>55</v>
      </c>
      <c r="O1712" t="s">
        <v>27</v>
      </c>
      <c r="P1712" t="s">
        <v>50</v>
      </c>
      <c r="Q1712">
        <v>15</v>
      </c>
      <c r="R1712">
        <v>1775.76</v>
      </c>
      <c r="S1712" t="s">
        <v>29</v>
      </c>
    </row>
    <row r="1713" spans="1:19" x14ac:dyDescent="0.3">
      <c r="A1713" t="s">
        <v>1783</v>
      </c>
      <c r="B1713">
        <v>67</v>
      </c>
      <c r="C1713" t="s">
        <v>19</v>
      </c>
      <c r="D1713" t="s">
        <v>89</v>
      </c>
      <c r="E1713" s="1">
        <v>45474</v>
      </c>
      <c r="F1713" s="3">
        <v>45491</v>
      </c>
      <c r="G1713" t="s">
        <v>71</v>
      </c>
      <c r="H1713" t="s">
        <v>72</v>
      </c>
      <c r="I1713" t="s">
        <v>81</v>
      </c>
      <c r="J1713">
        <v>10048.14</v>
      </c>
      <c r="K1713">
        <v>17</v>
      </c>
      <c r="L1713" t="s">
        <v>36</v>
      </c>
      <c r="M1713" t="s">
        <v>25</v>
      </c>
      <c r="N1713" t="s">
        <v>26</v>
      </c>
      <c r="O1713" t="s">
        <v>37</v>
      </c>
      <c r="P1713" t="s">
        <v>38</v>
      </c>
      <c r="Q1713">
        <v>4</v>
      </c>
      <c r="R1713">
        <v>3017.54</v>
      </c>
      <c r="S1713" t="s">
        <v>29</v>
      </c>
    </row>
    <row r="1714" spans="1:19" x14ac:dyDescent="0.3">
      <c r="A1714" t="s">
        <v>1784</v>
      </c>
      <c r="B1714">
        <v>25</v>
      </c>
      <c r="C1714" t="s">
        <v>31</v>
      </c>
      <c r="D1714" t="s">
        <v>70</v>
      </c>
      <c r="E1714" s="1">
        <v>45326</v>
      </c>
      <c r="F1714" s="3">
        <v>45341</v>
      </c>
      <c r="G1714" t="s">
        <v>62</v>
      </c>
      <c r="H1714" t="s">
        <v>63</v>
      </c>
      <c r="I1714" t="s">
        <v>35</v>
      </c>
      <c r="J1714">
        <v>5255.07</v>
      </c>
      <c r="K1714">
        <v>15</v>
      </c>
      <c r="L1714" t="s">
        <v>24</v>
      </c>
      <c r="M1714" t="s">
        <v>25</v>
      </c>
      <c r="N1714" t="s">
        <v>55</v>
      </c>
      <c r="O1714" t="s">
        <v>56</v>
      </c>
      <c r="P1714" t="s">
        <v>38</v>
      </c>
      <c r="Q1714">
        <v>5</v>
      </c>
      <c r="R1714">
        <v>1781.51</v>
      </c>
      <c r="S1714" t="s">
        <v>29</v>
      </c>
    </row>
    <row r="1715" spans="1:19" x14ac:dyDescent="0.3">
      <c r="A1715" t="s">
        <v>1785</v>
      </c>
      <c r="B1715">
        <v>55</v>
      </c>
      <c r="C1715" t="s">
        <v>19</v>
      </c>
      <c r="D1715" t="s">
        <v>20</v>
      </c>
      <c r="E1715" s="1">
        <v>45494</v>
      </c>
      <c r="F1715" s="3">
        <v>45509</v>
      </c>
      <c r="G1715" t="s">
        <v>67</v>
      </c>
      <c r="H1715" t="s">
        <v>42</v>
      </c>
      <c r="I1715" t="s">
        <v>23</v>
      </c>
      <c r="J1715">
        <v>7430.78</v>
      </c>
      <c r="K1715">
        <v>15</v>
      </c>
      <c r="L1715" t="s">
        <v>36</v>
      </c>
      <c r="M1715" t="s">
        <v>25</v>
      </c>
      <c r="N1715" t="s">
        <v>55</v>
      </c>
      <c r="O1715" t="s">
        <v>37</v>
      </c>
      <c r="P1715" t="s">
        <v>45</v>
      </c>
      <c r="Q1715">
        <v>14</v>
      </c>
      <c r="R1715">
        <v>1194.3499999999999</v>
      </c>
      <c r="S1715" t="s">
        <v>29</v>
      </c>
    </row>
    <row r="1716" spans="1:19" x14ac:dyDescent="0.3">
      <c r="A1716" t="s">
        <v>1786</v>
      </c>
      <c r="B1716">
        <v>30</v>
      </c>
      <c r="C1716" t="s">
        <v>31</v>
      </c>
      <c r="D1716" t="s">
        <v>47</v>
      </c>
      <c r="E1716" s="1">
        <v>45574</v>
      </c>
      <c r="F1716" s="3">
        <v>45587</v>
      </c>
      <c r="G1716" t="s">
        <v>52</v>
      </c>
      <c r="H1716" t="s">
        <v>53</v>
      </c>
      <c r="I1716" t="s">
        <v>83</v>
      </c>
      <c r="J1716">
        <v>8978.81</v>
      </c>
      <c r="K1716">
        <v>13</v>
      </c>
      <c r="L1716" t="s">
        <v>36</v>
      </c>
      <c r="M1716" t="s">
        <v>76</v>
      </c>
      <c r="N1716" t="s">
        <v>26</v>
      </c>
      <c r="O1716" t="s">
        <v>56</v>
      </c>
      <c r="P1716" t="s">
        <v>28</v>
      </c>
      <c r="Q1716">
        <v>4</v>
      </c>
      <c r="R1716">
        <v>2578.69</v>
      </c>
      <c r="S1716" t="s">
        <v>29</v>
      </c>
    </row>
    <row r="1717" spans="1:19" x14ac:dyDescent="0.3">
      <c r="A1717" t="s">
        <v>1787</v>
      </c>
      <c r="B1717">
        <v>37</v>
      </c>
      <c r="C1717" t="s">
        <v>19</v>
      </c>
      <c r="D1717" t="s">
        <v>79</v>
      </c>
      <c r="E1717" s="1">
        <v>45514</v>
      </c>
      <c r="F1717" s="3">
        <v>45531</v>
      </c>
      <c r="G1717" t="s">
        <v>41</v>
      </c>
      <c r="H1717" t="s">
        <v>42</v>
      </c>
      <c r="I1717" t="s">
        <v>23</v>
      </c>
      <c r="J1717">
        <v>17986.990000000002</v>
      </c>
      <c r="K1717">
        <v>17</v>
      </c>
      <c r="L1717" t="s">
        <v>36</v>
      </c>
      <c r="M1717" t="s">
        <v>25</v>
      </c>
      <c r="N1717" t="s">
        <v>55</v>
      </c>
      <c r="O1717" t="s">
        <v>49</v>
      </c>
      <c r="P1717" t="s">
        <v>45</v>
      </c>
      <c r="Q1717">
        <v>5</v>
      </c>
      <c r="R1717">
        <v>3669.86</v>
      </c>
      <c r="S1717" t="s">
        <v>29</v>
      </c>
    </row>
    <row r="1718" spans="1:19" x14ac:dyDescent="0.3">
      <c r="A1718" t="s">
        <v>1788</v>
      </c>
      <c r="B1718">
        <v>76</v>
      </c>
      <c r="C1718" t="s">
        <v>19</v>
      </c>
      <c r="D1718" t="s">
        <v>66</v>
      </c>
      <c r="E1718" s="1">
        <v>45266</v>
      </c>
      <c r="F1718" s="3">
        <v>45275</v>
      </c>
      <c r="G1718" t="s">
        <v>71</v>
      </c>
      <c r="H1718" t="s">
        <v>72</v>
      </c>
      <c r="I1718" t="s">
        <v>58</v>
      </c>
      <c r="J1718">
        <v>7060.51</v>
      </c>
      <c r="K1718">
        <v>9</v>
      </c>
      <c r="L1718" t="s">
        <v>36</v>
      </c>
      <c r="M1718" t="s">
        <v>59</v>
      </c>
      <c r="N1718" t="s">
        <v>44</v>
      </c>
      <c r="O1718" t="s">
        <v>27</v>
      </c>
      <c r="P1718" t="s">
        <v>28</v>
      </c>
      <c r="Q1718">
        <v>4</v>
      </c>
      <c r="R1718">
        <v>2548.09</v>
      </c>
      <c r="S1718" t="s">
        <v>29</v>
      </c>
    </row>
    <row r="1719" spans="1:19" x14ac:dyDescent="0.3">
      <c r="A1719" t="s">
        <v>1789</v>
      </c>
      <c r="B1719">
        <v>46</v>
      </c>
      <c r="C1719" t="s">
        <v>31</v>
      </c>
      <c r="D1719" t="s">
        <v>32</v>
      </c>
      <c r="E1719" s="1">
        <v>44948</v>
      </c>
      <c r="F1719" s="3">
        <v>44966</v>
      </c>
      <c r="G1719" t="s">
        <v>21</v>
      </c>
      <c r="H1719" t="s">
        <v>22</v>
      </c>
      <c r="I1719" t="s">
        <v>43</v>
      </c>
      <c r="J1719">
        <v>11903.01</v>
      </c>
      <c r="K1719">
        <v>18</v>
      </c>
      <c r="L1719" t="s">
        <v>36</v>
      </c>
      <c r="M1719" t="s">
        <v>59</v>
      </c>
      <c r="N1719" t="s">
        <v>26</v>
      </c>
      <c r="O1719" t="s">
        <v>56</v>
      </c>
      <c r="P1719" t="s">
        <v>28</v>
      </c>
      <c r="Q1719">
        <v>10</v>
      </c>
      <c r="R1719">
        <v>4707.42</v>
      </c>
      <c r="S1719" t="s">
        <v>29</v>
      </c>
    </row>
    <row r="1720" spans="1:19" x14ac:dyDescent="0.3">
      <c r="A1720" t="s">
        <v>1790</v>
      </c>
      <c r="B1720">
        <v>76</v>
      </c>
      <c r="C1720" t="s">
        <v>19</v>
      </c>
      <c r="D1720" t="s">
        <v>70</v>
      </c>
      <c r="E1720" s="1">
        <v>45011</v>
      </c>
      <c r="F1720" s="3">
        <v>45029</v>
      </c>
      <c r="G1720" t="s">
        <v>41</v>
      </c>
      <c r="H1720" t="s">
        <v>42</v>
      </c>
      <c r="I1720" t="s">
        <v>43</v>
      </c>
      <c r="J1720">
        <v>14565.88</v>
      </c>
      <c r="K1720">
        <v>18</v>
      </c>
      <c r="L1720" t="s">
        <v>24</v>
      </c>
      <c r="M1720" t="s">
        <v>25</v>
      </c>
      <c r="N1720" t="s">
        <v>55</v>
      </c>
      <c r="O1720" t="s">
        <v>49</v>
      </c>
      <c r="P1720" t="s">
        <v>38</v>
      </c>
      <c r="Q1720">
        <v>4</v>
      </c>
      <c r="R1720">
        <v>2244.81</v>
      </c>
      <c r="S1720" t="s">
        <v>29</v>
      </c>
    </row>
    <row r="1721" spans="1:19" x14ac:dyDescent="0.3">
      <c r="A1721" t="s">
        <v>1791</v>
      </c>
      <c r="B1721">
        <v>50</v>
      </c>
      <c r="C1721" t="s">
        <v>31</v>
      </c>
      <c r="D1721" t="s">
        <v>89</v>
      </c>
      <c r="E1721" s="1">
        <v>45533</v>
      </c>
      <c r="F1721" s="3">
        <v>45535</v>
      </c>
      <c r="G1721" t="s">
        <v>67</v>
      </c>
      <c r="H1721" t="s">
        <v>42</v>
      </c>
      <c r="I1721" t="s">
        <v>83</v>
      </c>
      <c r="J1721">
        <v>2977.57</v>
      </c>
      <c r="K1721">
        <v>2</v>
      </c>
      <c r="L1721" t="s">
        <v>36</v>
      </c>
      <c r="M1721" t="s">
        <v>25</v>
      </c>
      <c r="N1721" t="s">
        <v>26</v>
      </c>
      <c r="O1721" t="s">
        <v>56</v>
      </c>
      <c r="P1721" t="s">
        <v>28</v>
      </c>
      <c r="Q1721">
        <v>15</v>
      </c>
      <c r="R1721">
        <v>512.65</v>
      </c>
      <c r="S1721" t="s">
        <v>39</v>
      </c>
    </row>
    <row r="1722" spans="1:19" x14ac:dyDescent="0.3">
      <c r="A1722" t="s">
        <v>1792</v>
      </c>
      <c r="B1722">
        <v>75</v>
      </c>
      <c r="C1722" t="s">
        <v>19</v>
      </c>
      <c r="D1722" t="s">
        <v>79</v>
      </c>
      <c r="E1722" s="1">
        <v>45274</v>
      </c>
      <c r="F1722" s="3">
        <v>45293</v>
      </c>
      <c r="G1722" t="s">
        <v>67</v>
      </c>
      <c r="H1722" t="s">
        <v>42</v>
      </c>
      <c r="I1722" t="s">
        <v>58</v>
      </c>
      <c r="J1722">
        <v>4646.87</v>
      </c>
      <c r="K1722">
        <v>19</v>
      </c>
      <c r="L1722" t="s">
        <v>36</v>
      </c>
      <c r="M1722" t="s">
        <v>59</v>
      </c>
      <c r="N1722" t="s">
        <v>55</v>
      </c>
      <c r="O1722" t="s">
        <v>27</v>
      </c>
      <c r="P1722" t="s">
        <v>45</v>
      </c>
      <c r="Q1722">
        <v>9</v>
      </c>
      <c r="R1722">
        <v>1053.3900000000001</v>
      </c>
      <c r="S1722" t="s">
        <v>29</v>
      </c>
    </row>
    <row r="1723" spans="1:19" x14ac:dyDescent="0.3">
      <c r="A1723" t="s">
        <v>1793</v>
      </c>
      <c r="B1723">
        <v>87</v>
      </c>
      <c r="C1723" t="s">
        <v>31</v>
      </c>
      <c r="D1723" t="s">
        <v>32</v>
      </c>
      <c r="E1723" s="1">
        <v>45621</v>
      </c>
      <c r="F1723" s="3">
        <v>45639</v>
      </c>
      <c r="G1723" t="s">
        <v>67</v>
      </c>
      <c r="H1723" t="s">
        <v>42</v>
      </c>
      <c r="I1723" t="s">
        <v>58</v>
      </c>
      <c r="J1723">
        <v>7545.79</v>
      </c>
      <c r="K1723">
        <v>18</v>
      </c>
      <c r="L1723" t="s">
        <v>24</v>
      </c>
      <c r="M1723" t="s">
        <v>25</v>
      </c>
      <c r="N1723" t="s">
        <v>44</v>
      </c>
      <c r="O1723" t="s">
        <v>27</v>
      </c>
      <c r="P1723" t="s">
        <v>28</v>
      </c>
      <c r="Q1723">
        <v>2</v>
      </c>
      <c r="R1723">
        <v>2259.6</v>
      </c>
      <c r="S1723" t="s">
        <v>29</v>
      </c>
    </row>
    <row r="1724" spans="1:19" x14ac:dyDescent="0.3">
      <c r="A1724" t="s">
        <v>1794</v>
      </c>
      <c r="B1724">
        <v>34</v>
      </c>
      <c r="C1724" t="s">
        <v>31</v>
      </c>
      <c r="D1724" t="s">
        <v>61</v>
      </c>
      <c r="E1724" s="1">
        <v>45562</v>
      </c>
      <c r="F1724" s="3">
        <v>45575</v>
      </c>
      <c r="G1724" t="s">
        <v>62</v>
      </c>
      <c r="H1724" t="s">
        <v>63</v>
      </c>
      <c r="I1724" t="s">
        <v>83</v>
      </c>
      <c r="J1724">
        <v>12852.72</v>
      </c>
      <c r="K1724">
        <v>13</v>
      </c>
      <c r="L1724" t="s">
        <v>24</v>
      </c>
      <c r="M1724" t="s">
        <v>25</v>
      </c>
      <c r="N1724" t="s">
        <v>55</v>
      </c>
      <c r="O1724" t="s">
        <v>49</v>
      </c>
      <c r="P1724" t="s">
        <v>50</v>
      </c>
      <c r="Q1724">
        <v>12</v>
      </c>
      <c r="R1724">
        <v>3546.09</v>
      </c>
      <c r="S1724" t="s">
        <v>29</v>
      </c>
    </row>
    <row r="1725" spans="1:19" x14ac:dyDescent="0.3">
      <c r="A1725" t="s">
        <v>1795</v>
      </c>
      <c r="B1725">
        <v>62</v>
      </c>
      <c r="C1725" t="s">
        <v>31</v>
      </c>
      <c r="D1725" t="s">
        <v>66</v>
      </c>
      <c r="E1725" s="1">
        <v>45491</v>
      </c>
      <c r="F1725" s="3">
        <v>45508</v>
      </c>
      <c r="G1725" t="s">
        <v>71</v>
      </c>
      <c r="H1725" t="s">
        <v>72</v>
      </c>
      <c r="I1725" t="s">
        <v>81</v>
      </c>
      <c r="J1725">
        <v>9000.0300000000007</v>
      </c>
      <c r="K1725">
        <v>17</v>
      </c>
      <c r="L1725" t="s">
        <v>36</v>
      </c>
      <c r="M1725" t="s">
        <v>25</v>
      </c>
      <c r="N1725" t="s">
        <v>44</v>
      </c>
      <c r="O1725" t="s">
        <v>49</v>
      </c>
      <c r="P1725" t="s">
        <v>45</v>
      </c>
      <c r="Q1725">
        <v>2</v>
      </c>
      <c r="R1725">
        <v>1995.35</v>
      </c>
      <c r="S1725" t="s">
        <v>29</v>
      </c>
    </row>
    <row r="1726" spans="1:19" x14ac:dyDescent="0.3">
      <c r="A1726" t="s">
        <v>1796</v>
      </c>
      <c r="B1726">
        <v>47</v>
      </c>
      <c r="C1726" t="s">
        <v>31</v>
      </c>
      <c r="D1726" t="s">
        <v>89</v>
      </c>
      <c r="E1726" s="1">
        <v>45595</v>
      </c>
      <c r="F1726" s="3">
        <v>45611</v>
      </c>
      <c r="G1726" t="s">
        <v>52</v>
      </c>
      <c r="H1726" t="s">
        <v>53</v>
      </c>
      <c r="I1726" t="s">
        <v>58</v>
      </c>
      <c r="J1726">
        <v>11638.95</v>
      </c>
      <c r="K1726">
        <v>16</v>
      </c>
      <c r="L1726" t="s">
        <v>36</v>
      </c>
      <c r="M1726" t="s">
        <v>25</v>
      </c>
      <c r="N1726" t="s">
        <v>55</v>
      </c>
      <c r="O1726" t="s">
        <v>27</v>
      </c>
      <c r="P1726" t="s">
        <v>50</v>
      </c>
      <c r="Q1726">
        <v>6</v>
      </c>
      <c r="R1726">
        <v>2867.19</v>
      </c>
      <c r="S1726" t="s">
        <v>29</v>
      </c>
    </row>
    <row r="1727" spans="1:19" x14ac:dyDescent="0.3">
      <c r="A1727" t="s">
        <v>1797</v>
      </c>
      <c r="B1727">
        <v>18</v>
      </c>
      <c r="C1727" t="s">
        <v>19</v>
      </c>
      <c r="D1727" t="s">
        <v>20</v>
      </c>
      <c r="E1727" s="1">
        <v>45773</v>
      </c>
      <c r="F1727" s="3">
        <v>45790</v>
      </c>
      <c r="G1727" t="s">
        <v>52</v>
      </c>
      <c r="H1727" t="s">
        <v>53</v>
      </c>
      <c r="I1727" t="s">
        <v>58</v>
      </c>
      <c r="J1727">
        <v>13210.25</v>
      </c>
      <c r="K1727">
        <v>17</v>
      </c>
      <c r="L1727" t="s">
        <v>24</v>
      </c>
      <c r="M1727" t="s">
        <v>25</v>
      </c>
      <c r="N1727" t="s">
        <v>44</v>
      </c>
      <c r="O1727" t="s">
        <v>49</v>
      </c>
      <c r="P1727" t="s">
        <v>50</v>
      </c>
      <c r="Q1727">
        <v>10</v>
      </c>
      <c r="R1727">
        <v>3178.39</v>
      </c>
      <c r="S1727" t="s">
        <v>29</v>
      </c>
    </row>
    <row r="1728" spans="1:19" x14ac:dyDescent="0.3">
      <c r="A1728" t="s">
        <v>1798</v>
      </c>
      <c r="B1728">
        <v>84</v>
      </c>
      <c r="C1728" t="s">
        <v>19</v>
      </c>
      <c r="D1728" t="s">
        <v>79</v>
      </c>
      <c r="E1728" s="1">
        <v>45288</v>
      </c>
      <c r="F1728" s="3">
        <v>45308</v>
      </c>
      <c r="G1728" t="s">
        <v>93</v>
      </c>
      <c r="H1728" t="s">
        <v>72</v>
      </c>
      <c r="I1728" t="s">
        <v>54</v>
      </c>
      <c r="J1728">
        <v>11351.7</v>
      </c>
      <c r="K1728">
        <v>20</v>
      </c>
      <c r="L1728" t="s">
        <v>24</v>
      </c>
      <c r="M1728" t="s">
        <v>25</v>
      </c>
      <c r="N1728" t="s">
        <v>26</v>
      </c>
      <c r="O1728" t="s">
        <v>27</v>
      </c>
      <c r="P1728" t="s">
        <v>28</v>
      </c>
      <c r="Q1728">
        <v>2</v>
      </c>
      <c r="R1728">
        <v>4310.07</v>
      </c>
      <c r="S1728" t="s">
        <v>29</v>
      </c>
    </row>
    <row r="1729" spans="1:19" x14ac:dyDescent="0.3">
      <c r="A1729" t="s">
        <v>1799</v>
      </c>
      <c r="B1729">
        <v>28</v>
      </c>
      <c r="C1729" t="s">
        <v>19</v>
      </c>
      <c r="D1729" t="s">
        <v>79</v>
      </c>
      <c r="E1729" s="1">
        <v>45426</v>
      </c>
      <c r="F1729" s="3">
        <v>45438</v>
      </c>
      <c r="G1729" t="s">
        <v>48</v>
      </c>
      <c r="H1729" t="s">
        <v>22</v>
      </c>
      <c r="I1729" t="s">
        <v>58</v>
      </c>
      <c r="J1729">
        <v>8339.14</v>
      </c>
      <c r="K1729">
        <v>12</v>
      </c>
      <c r="L1729" t="s">
        <v>36</v>
      </c>
      <c r="M1729" t="s">
        <v>25</v>
      </c>
      <c r="N1729" t="s">
        <v>26</v>
      </c>
      <c r="O1729" t="s">
        <v>37</v>
      </c>
      <c r="P1729" t="s">
        <v>45</v>
      </c>
      <c r="Q1729">
        <v>14</v>
      </c>
      <c r="R1729">
        <v>1511.45</v>
      </c>
      <c r="S1729" t="s">
        <v>29</v>
      </c>
    </row>
    <row r="1730" spans="1:19" x14ac:dyDescent="0.3">
      <c r="A1730" t="s">
        <v>1800</v>
      </c>
      <c r="B1730">
        <v>82</v>
      </c>
      <c r="C1730" t="s">
        <v>31</v>
      </c>
      <c r="D1730" t="s">
        <v>66</v>
      </c>
      <c r="E1730" s="1">
        <v>45819</v>
      </c>
      <c r="F1730" s="3">
        <v>45832</v>
      </c>
      <c r="G1730" t="s">
        <v>67</v>
      </c>
      <c r="H1730" t="s">
        <v>42</v>
      </c>
      <c r="I1730" t="s">
        <v>58</v>
      </c>
      <c r="J1730">
        <v>9824.19</v>
      </c>
      <c r="K1730">
        <v>13</v>
      </c>
      <c r="L1730" t="s">
        <v>24</v>
      </c>
      <c r="M1730" t="s">
        <v>25</v>
      </c>
      <c r="N1730" t="s">
        <v>26</v>
      </c>
      <c r="O1730" t="s">
        <v>49</v>
      </c>
      <c r="P1730" t="s">
        <v>38</v>
      </c>
      <c r="Q1730">
        <v>8</v>
      </c>
      <c r="R1730">
        <v>1815.86</v>
      </c>
      <c r="S1730" t="s">
        <v>29</v>
      </c>
    </row>
    <row r="1731" spans="1:19" x14ac:dyDescent="0.3">
      <c r="A1731" t="s">
        <v>1801</v>
      </c>
      <c r="B1731">
        <v>89</v>
      </c>
      <c r="C1731" t="s">
        <v>19</v>
      </c>
      <c r="D1731" t="s">
        <v>47</v>
      </c>
      <c r="E1731" s="1">
        <v>45855</v>
      </c>
      <c r="F1731" s="3">
        <v>45859</v>
      </c>
      <c r="G1731" t="s">
        <v>67</v>
      </c>
      <c r="H1731" t="s">
        <v>42</v>
      </c>
      <c r="I1731" t="s">
        <v>35</v>
      </c>
      <c r="J1731">
        <v>3372.59</v>
      </c>
      <c r="K1731">
        <v>4</v>
      </c>
      <c r="L1731" t="s">
        <v>36</v>
      </c>
      <c r="M1731" t="s">
        <v>25</v>
      </c>
      <c r="N1731" t="s">
        <v>44</v>
      </c>
      <c r="O1731" t="s">
        <v>56</v>
      </c>
      <c r="P1731" t="s">
        <v>50</v>
      </c>
      <c r="Q1731">
        <v>7</v>
      </c>
      <c r="R1731">
        <v>859.36</v>
      </c>
      <c r="S1731" t="s">
        <v>29</v>
      </c>
    </row>
    <row r="1732" spans="1:19" x14ac:dyDescent="0.3">
      <c r="A1732" t="s">
        <v>1802</v>
      </c>
      <c r="B1732">
        <v>87</v>
      </c>
      <c r="C1732" t="s">
        <v>31</v>
      </c>
      <c r="D1732" t="s">
        <v>32</v>
      </c>
      <c r="E1732" s="1">
        <v>45348</v>
      </c>
      <c r="F1732" s="3">
        <v>45364</v>
      </c>
      <c r="G1732" t="s">
        <v>71</v>
      </c>
      <c r="H1732" t="s">
        <v>72</v>
      </c>
      <c r="I1732" t="s">
        <v>83</v>
      </c>
      <c r="J1732">
        <v>8716.65</v>
      </c>
      <c r="K1732">
        <v>16</v>
      </c>
      <c r="L1732" t="s">
        <v>24</v>
      </c>
      <c r="M1732" t="s">
        <v>25</v>
      </c>
      <c r="N1732" t="s">
        <v>26</v>
      </c>
      <c r="O1732" t="s">
        <v>27</v>
      </c>
      <c r="P1732" t="s">
        <v>50</v>
      </c>
      <c r="Q1732">
        <v>3</v>
      </c>
      <c r="R1732">
        <v>2161.5</v>
      </c>
      <c r="S1732" t="s">
        <v>29</v>
      </c>
    </row>
    <row r="1733" spans="1:19" x14ac:dyDescent="0.3">
      <c r="A1733" t="s">
        <v>1803</v>
      </c>
      <c r="B1733">
        <v>60</v>
      </c>
      <c r="C1733" t="s">
        <v>31</v>
      </c>
      <c r="D1733" t="s">
        <v>47</v>
      </c>
      <c r="E1733" s="1">
        <v>45886</v>
      </c>
      <c r="F1733" s="3">
        <v>45887</v>
      </c>
      <c r="G1733" t="s">
        <v>52</v>
      </c>
      <c r="H1733" t="s">
        <v>53</v>
      </c>
      <c r="I1733" t="s">
        <v>81</v>
      </c>
      <c r="J1733">
        <v>1666.55</v>
      </c>
      <c r="K1733">
        <v>1</v>
      </c>
      <c r="L1733" t="s">
        <v>36</v>
      </c>
      <c r="M1733" t="s">
        <v>25</v>
      </c>
      <c r="N1733" t="s">
        <v>55</v>
      </c>
      <c r="O1733" t="s">
        <v>37</v>
      </c>
      <c r="P1733" t="s">
        <v>50</v>
      </c>
      <c r="Q1733">
        <v>11</v>
      </c>
      <c r="R1733">
        <v>365.43</v>
      </c>
      <c r="S1733" t="s">
        <v>29</v>
      </c>
    </row>
    <row r="1734" spans="1:19" x14ac:dyDescent="0.3">
      <c r="A1734" t="s">
        <v>1804</v>
      </c>
      <c r="B1734">
        <v>85</v>
      </c>
      <c r="C1734" t="s">
        <v>31</v>
      </c>
      <c r="D1734" t="s">
        <v>32</v>
      </c>
      <c r="E1734" s="1">
        <v>45665</v>
      </c>
      <c r="F1734" s="3">
        <v>45688</v>
      </c>
      <c r="G1734" t="s">
        <v>21</v>
      </c>
      <c r="H1734" t="s">
        <v>22</v>
      </c>
      <c r="I1734" t="s">
        <v>43</v>
      </c>
      <c r="J1734">
        <v>11142.05</v>
      </c>
      <c r="K1734">
        <v>23</v>
      </c>
      <c r="L1734" t="s">
        <v>36</v>
      </c>
      <c r="M1734" t="s">
        <v>59</v>
      </c>
      <c r="N1734" t="s">
        <v>26</v>
      </c>
      <c r="O1734" t="s">
        <v>49</v>
      </c>
      <c r="P1734" t="s">
        <v>38</v>
      </c>
      <c r="Q1734">
        <v>5</v>
      </c>
      <c r="R1734">
        <v>2345.94</v>
      </c>
      <c r="S1734" t="s">
        <v>29</v>
      </c>
    </row>
    <row r="1735" spans="1:19" x14ac:dyDescent="0.3">
      <c r="A1735" t="s">
        <v>1805</v>
      </c>
      <c r="B1735">
        <v>72</v>
      </c>
      <c r="C1735" t="s">
        <v>19</v>
      </c>
      <c r="D1735" t="s">
        <v>32</v>
      </c>
      <c r="E1735" s="1">
        <v>45084</v>
      </c>
      <c r="F1735" s="3">
        <v>45105</v>
      </c>
      <c r="G1735" t="s">
        <v>52</v>
      </c>
      <c r="H1735" t="s">
        <v>53</v>
      </c>
      <c r="I1735" t="s">
        <v>23</v>
      </c>
      <c r="J1735">
        <v>19460.78</v>
      </c>
      <c r="K1735">
        <v>21</v>
      </c>
      <c r="L1735" t="s">
        <v>36</v>
      </c>
      <c r="M1735" t="s">
        <v>25</v>
      </c>
      <c r="N1735" t="s">
        <v>44</v>
      </c>
      <c r="O1735" t="s">
        <v>49</v>
      </c>
      <c r="P1735" t="s">
        <v>28</v>
      </c>
      <c r="Q1735">
        <v>6</v>
      </c>
      <c r="R1735">
        <v>7231.19</v>
      </c>
      <c r="S1735" t="s">
        <v>29</v>
      </c>
    </row>
    <row r="1736" spans="1:19" x14ac:dyDescent="0.3">
      <c r="A1736" t="s">
        <v>1806</v>
      </c>
      <c r="B1736">
        <v>22</v>
      </c>
      <c r="C1736" t="s">
        <v>19</v>
      </c>
      <c r="D1736" t="s">
        <v>79</v>
      </c>
      <c r="E1736" s="1">
        <v>45642</v>
      </c>
      <c r="F1736" s="3">
        <v>45658</v>
      </c>
      <c r="G1736" t="s">
        <v>71</v>
      </c>
      <c r="H1736" t="s">
        <v>72</v>
      </c>
      <c r="I1736" t="s">
        <v>23</v>
      </c>
      <c r="J1736">
        <v>6136</v>
      </c>
      <c r="K1736">
        <v>16</v>
      </c>
      <c r="L1736" t="s">
        <v>36</v>
      </c>
      <c r="M1736" t="s">
        <v>25</v>
      </c>
      <c r="N1736" t="s">
        <v>26</v>
      </c>
      <c r="O1736" t="s">
        <v>56</v>
      </c>
      <c r="P1736" t="s">
        <v>28</v>
      </c>
      <c r="Q1736">
        <v>8</v>
      </c>
      <c r="R1736">
        <v>2205.0700000000002</v>
      </c>
      <c r="S1736" t="s">
        <v>29</v>
      </c>
    </row>
    <row r="1737" spans="1:19" x14ac:dyDescent="0.3">
      <c r="A1737" t="s">
        <v>1807</v>
      </c>
      <c r="B1737">
        <v>87</v>
      </c>
      <c r="C1737" t="s">
        <v>31</v>
      </c>
      <c r="D1737" t="s">
        <v>66</v>
      </c>
      <c r="E1737" s="1">
        <v>45911</v>
      </c>
      <c r="F1737" s="3">
        <v>45919</v>
      </c>
      <c r="G1737" t="s">
        <v>67</v>
      </c>
      <c r="H1737" t="s">
        <v>42</v>
      </c>
      <c r="I1737" t="s">
        <v>91</v>
      </c>
      <c r="J1737">
        <v>12517.92</v>
      </c>
      <c r="K1737">
        <v>8</v>
      </c>
      <c r="L1737" t="s">
        <v>36</v>
      </c>
      <c r="M1737" t="s">
        <v>101</v>
      </c>
      <c r="N1737" t="s">
        <v>26</v>
      </c>
      <c r="O1737" t="s">
        <v>49</v>
      </c>
      <c r="P1737" t="s">
        <v>28</v>
      </c>
      <c r="Q1737">
        <v>12</v>
      </c>
      <c r="R1737">
        <v>3975.15</v>
      </c>
      <c r="S1737" t="s">
        <v>29</v>
      </c>
    </row>
    <row r="1738" spans="1:19" x14ac:dyDescent="0.3">
      <c r="A1738" t="s">
        <v>1808</v>
      </c>
      <c r="B1738">
        <v>63</v>
      </c>
      <c r="C1738" t="s">
        <v>31</v>
      </c>
      <c r="D1738" t="s">
        <v>47</v>
      </c>
      <c r="E1738" s="1">
        <v>44935</v>
      </c>
      <c r="F1738" s="3">
        <v>44943</v>
      </c>
      <c r="G1738" t="s">
        <v>71</v>
      </c>
      <c r="H1738" t="s">
        <v>72</v>
      </c>
      <c r="I1738" t="s">
        <v>54</v>
      </c>
      <c r="J1738">
        <v>4883.95</v>
      </c>
      <c r="K1738">
        <v>8</v>
      </c>
      <c r="L1738" t="s">
        <v>36</v>
      </c>
      <c r="M1738" t="s">
        <v>25</v>
      </c>
      <c r="N1738" t="s">
        <v>55</v>
      </c>
      <c r="O1738" t="s">
        <v>27</v>
      </c>
      <c r="P1738" t="s">
        <v>38</v>
      </c>
      <c r="Q1738">
        <v>7</v>
      </c>
      <c r="R1738">
        <v>1496.09</v>
      </c>
      <c r="S1738" t="s">
        <v>29</v>
      </c>
    </row>
    <row r="1739" spans="1:19" x14ac:dyDescent="0.3">
      <c r="A1739" t="s">
        <v>1809</v>
      </c>
      <c r="B1739">
        <v>87</v>
      </c>
      <c r="C1739" t="s">
        <v>31</v>
      </c>
      <c r="D1739" t="s">
        <v>79</v>
      </c>
      <c r="E1739" s="1">
        <v>45781</v>
      </c>
      <c r="F1739" s="3">
        <v>45789</v>
      </c>
      <c r="G1739" t="s">
        <v>74</v>
      </c>
      <c r="H1739" t="s">
        <v>75</v>
      </c>
      <c r="I1739" t="s">
        <v>35</v>
      </c>
      <c r="J1739">
        <v>3207.03</v>
      </c>
      <c r="K1739">
        <v>8</v>
      </c>
      <c r="L1739" t="s">
        <v>24</v>
      </c>
      <c r="M1739" t="s">
        <v>25</v>
      </c>
      <c r="N1739" t="s">
        <v>44</v>
      </c>
      <c r="O1739" t="s">
        <v>37</v>
      </c>
      <c r="P1739" t="s">
        <v>45</v>
      </c>
      <c r="Q1739">
        <v>14</v>
      </c>
      <c r="R1739">
        <v>1166.8399999999999</v>
      </c>
      <c r="S1739" t="s">
        <v>29</v>
      </c>
    </row>
    <row r="1740" spans="1:19" x14ac:dyDescent="0.3">
      <c r="A1740" t="s">
        <v>1810</v>
      </c>
      <c r="B1740">
        <v>64</v>
      </c>
      <c r="C1740" t="s">
        <v>31</v>
      </c>
      <c r="D1740" t="s">
        <v>47</v>
      </c>
      <c r="E1740" s="1">
        <v>45500</v>
      </c>
      <c r="F1740" s="3">
        <v>45516</v>
      </c>
      <c r="G1740" t="s">
        <v>52</v>
      </c>
      <c r="H1740" t="s">
        <v>53</v>
      </c>
      <c r="I1740" t="s">
        <v>91</v>
      </c>
      <c r="J1740">
        <v>4613.55</v>
      </c>
      <c r="K1740">
        <v>16</v>
      </c>
      <c r="L1740" t="s">
        <v>36</v>
      </c>
      <c r="M1740" t="s">
        <v>59</v>
      </c>
      <c r="N1740" t="s">
        <v>44</v>
      </c>
      <c r="O1740" t="s">
        <v>27</v>
      </c>
      <c r="P1740" t="s">
        <v>28</v>
      </c>
      <c r="Q1740">
        <v>12</v>
      </c>
      <c r="R1740">
        <v>1365.66</v>
      </c>
      <c r="S1740" t="s">
        <v>29</v>
      </c>
    </row>
    <row r="1741" spans="1:19" x14ac:dyDescent="0.3">
      <c r="A1741" t="s">
        <v>1811</v>
      </c>
      <c r="B1741">
        <v>26</v>
      </c>
      <c r="C1741" t="s">
        <v>19</v>
      </c>
      <c r="D1741" t="s">
        <v>20</v>
      </c>
      <c r="E1741" s="1">
        <v>44990</v>
      </c>
      <c r="F1741" s="3">
        <v>45005</v>
      </c>
      <c r="G1741" t="s">
        <v>52</v>
      </c>
      <c r="H1741" t="s">
        <v>53</v>
      </c>
      <c r="I1741" t="s">
        <v>23</v>
      </c>
      <c r="J1741">
        <v>6650.13</v>
      </c>
      <c r="K1741">
        <v>15</v>
      </c>
      <c r="L1741" t="s">
        <v>36</v>
      </c>
      <c r="M1741" t="s">
        <v>25</v>
      </c>
      <c r="N1741" t="s">
        <v>55</v>
      </c>
      <c r="O1741" t="s">
        <v>27</v>
      </c>
      <c r="P1741" t="s">
        <v>28</v>
      </c>
      <c r="Q1741">
        <v>9</v>
      </c>
      <c r="R1741">
        <v>2176.2800000000002</v>
      </c>
      <c r="S1741" t="s">
        <v>29</v>
      </c>
    </row>
    <row r="1742" spans="1:19" x14ac:dyDescent="0.3">
      <c r="A1742" t="s">
        <v>1812</v>
      </c>
      <c r="B1742">
        <v>74</v>
      </c>
      <c r="C1742" t="s">
        <v>19</v>
      </c>
      <c r="D1742" t="s">
        <v>89</v>
      </c>
      <c r="E1742" s="1">
        <v>45145</v>
      </c>
      <c r="F1742" s="3">
        <v>45157</v>
      </c>
      <c r="G1742" t="s">
        <v>62</v>
      </c>
      <c r="H1742" t="s">
        <v>63</v>
      </c>
      <c r="I1742" t="s">
        <v>43</v>
      </c>
      <c r="J1742">
        <v>2844.64</v>
      </c>
      <c r="K1742">
        <v>12</v>
      </c>
      <c r="L1742" t="s">
        <v>36</v>
      </c>
      <c r="M1742" t="s">
        <v>25</v>
      </c>
      <c r="N1742" t="s">
        <v>44</v>
      </c>
      <c r="O1742" t="s">
        <v>56</v>
      </c>
      <c r="P1742" t="s">
        <v>50</v>
      </c>
      <c r="Q1742">
        <v>5</v>
      </c>
      <c r="R1742">
        <v>860.57</v>
      </c>
      <c r="S1742" t="s">
        <v>29</v>
      </c>
    </row>
    <row r="1743" spans="1:19" x14ac:dyDescent="0.3">
      <c r="A1743" t="s">
        <v>1813</v>
      </c>
      <c r="B1743">
        <v>34</v>
      </c>
      <c r="C1743" t="s">
        <v>19</v>
      </c>
      <c r="D1743" t="s">
        <v>47</v>
      </c>
      <c r="E1743" s="1">
        <v>45641</v>
      </c>
      <c r="F1743" s="3">
        <v>45651</v>
      </c>
      <c r="G1743" t="s">
        <v>93</v>
      </c>
      <c r="H1743" t="s">
        <v>72</v>
      </c>
      <c r="I1743" t="s">
        <v>54</v>
      </c>
      <c r="J1743">
        <v>9365.7900000000009</v>
      </c>
      <c r="K1743">
        <v>10</v>
      </c>
      <c r="L1743" t="s">
        <v>36</v>
      </c>
      <c r="M1743" t="s">
        <v>25</v>
      </c>
      <c r="N1743" t="s">
        <v>55</v>
      </c>
      <c r="O1743" t="s">
        <v>49</v>
      </c>
      <c r="P1743" t="s">
        <v>45</v>
      </c>
      <c r="Q1743">
        <v>10</v>
      </c>
      <c r="R1743">
        <v>2188.0300000000002</v>
      </c>
      <c r="S1743" t="s">
        <v>29</v>
      </c>
    </row>
    <row r="1744" spans="1:19" x14ac:dyDescent="0.3">
      <c r="A1744" t="s">
        <v>1814</v>
      </c>
      <c r="B1744">
        <v>60</v>
      </c>
      <c r="C1744" t="s">
        <v>31</v>
      </c>
      <c r="D1744" t="s">
        <v>32</v>
      </c>
      <c r="E1744" s="1">
        <v>45374</v>
      </c>
      <c r="F1744" s="3">
        <v>45376</v>
      </c>
      <c r="G1744" t="s">
        <v>41</v>
      </c>
      <c r="H1744" t="s">
        <v>42</v>
      </c>
      <c r="I1744" t="s">
        <v>23</v>
      </c>
      <c r="J1744">
        <v>3121.68</v>
      </c>
      <c r="K1744">
        <v>2</v>
      </c>
      <c r="L1744" t="s">
        <v>24</v>
      </c>
      <c r="M1744" t="s">
        <v>25</v>
      </c>
      <c r="N1744" t="s">
        <v>55</v>
      </c>
      <c r="O1744" t="s">
        <v>37</v>
      </c>
      <c r="P1744" t="s">
        <v>38</v>
      </c>
      <c r="Q1744">
        <v>3</v>
      </c>
      <c r="R1744">
        <v>821.53</v>
      </c>
      <c r="S1744" t="s">
        <v>29</v>
      </c>
    </row>
    <row r="1745" spans="1:19" x14ac:dyDescent="0.3">
      <c r="A1745" t="s">
        <v>1815</v>
      </c>
      <c r="B1745">
        <v>35</v>
      </c>
      <c r="C1745" t="s">
        <v>19</v>
      </c>
      <c r="D1745" t="s">
        <v>70</v>
      </c>
      <c r="E1745" s="1">
        <v>45447</v>
      </c>
      <c r="F1745" s="3">
        <v>45461</v>
      </c>
      <c r="G1745" t="s">
        <v>62</v>
      </c>
      <c r="H1745" t="s">
        <v>63</v>
      </c>
      <c r="I1745" t="s">
        <v>83</v>
      </c>
      <c r="J1745">
        <v>7134.4</v>
      </c>
      <c r="K1745">
        <v>14</v>
      </c>
      <c r="L1745" t="s">
        <v>24</v>
      </c>
      <c r="M1745" t="s">
        <v>25</v>
      </c>
      <c r="N1745" t="s">
        <v>44</v>
      </c>
      <c r="O1745" t="s">
        <v>27</v>
      </c>
      <c r="P1745" t="s">
        <v>38</v>
      </c>
      <c r="Q1745">
        <v>7</v>
      </c>
      <c r="R1745">
        <v>2194.29</v>
      </c>
      <c r="S1745" t="s">
        <v>29</v>
      </c>
    </row>
    <row r="1746" spans="1:19" x14ac:dyDescent="0.3">
      <c r="A1746" t="s">
        <v>1816</v>
      </c>
      <c r="B1746">
        <v>89</v>
      </c>
      <c r="C1746" t="s">
        <v>31</v>
      </c>
      <c r="D1746" t="s">
        <v>61</v>
      </c>
      <c r="E1746" s="1">
        <v>45089</v>
      </c>
      <c r="F1746" s="3">
        <v>45097</v>
      </c>
      <c r="G1746" t="s">
        <v>52</v>
      </c>
      <c r="H1746" t="s">
        <v>53</v>
      </c>
      <c r="I1746" t="s">
        <v>83</v>
      </c>
      <c r="J1746">
        <v>5434.42</v>
      </c>
      <c r="K1746">
        <v>8</v>
      </c>
      <c r="L1746" t="s">
        <v>36</v>
      </c>
      <c r="M1746" t="s">
        <v>25</v>
      </c>
      <c r="N1746" t="s">
        <v>26</v>
      </c>
      <c r="O1746" t="s">
        <v>56</v>
      </c>
      <c r="P1746" t="s">
        <v>45</v>
      </c>
      <c r="Q1746">
        <v>6</v>
      </c>
      <c r="R1746">
        <v>1300.96</v>
      </c>
      <c r="S1746" t="s">
        <v>29</v>
      </c>
    </row>
    <row r="1747" spans="1:19" x14ac:dyDescent="0.3">
      <c r="A1747" t="s">
        <v>1817</v>
      </c>
      <c r="B1747">
        <v>42</v>
      </c>
      <c r="C1747" t="s">
        <v>31</v>
      </c>
      <c r="D1747" t="s">
        <v>61</v>
      </c>
      <c r="E1747" s="1">
        <v>45671</v>
      </c>
      <c r="F1747" s="3">
        <v>45698</v>
      </c>
      <c r="G1747" t="s">
        <v>71</v>
      </c>
      <c r="H1747" t="s">
        <v>72</v>
      </c>
      <c r="I1747" t="s">
        <v>35</v>
      </c>
      <c r="J1747">
        <v>19958.89</v>
      </c>
      <c r="K1747">
        <v>27</v>
      </c>
      <c r="L1747" t="s">
        <v>24</v>
      </c>
      <c r="M1747" t="s">
        <v>76</v>
      </c>
      <c r="N1747" t="s">
        <v>44</v>
      </c>
      <c r="O1747" t="s">
        <v>49</v>
      </c>
      <c r="P1747" t="s">
        <v>28</v>
      </c>
      <c r="Q1747">
        <v>6</v>
      </c>
      <c r="R1747">
        <v>5950.02</v>
      </c>
      <c r="S1747" t="s">
        <v>29</v>
      </c>
    </row>
    <row r="1748" spans="1:19" x14ac:dyDescent="0.3">
      <c r="A1748" t="s">
        <v>1818</v>
      </c>
      <c r="B1748">
        <v>89</v>
      </c>
      <c r="C1748" t="s">
        <v>31</v>
      </c>
      <c r="D1748" t="s">
        <v>79</v>
      </c>
      <c r="E1748" s="1">
        <v>45339</v>
      </c>
      <c r="F1748" s="3">
        <v>45352</v>
      </c>
      <c r="G1748" t="s">
        <v>71</v>
      </c>
      <c r="H1748" t="s">
        <v>72</v>
      </c>
      <c r="I1748" t="s">
        <v>54</v>
      </c>
      <c r="J1748">
        <v>8476.02</v>
      </c>
      <c r="K1748">
        <v>13</v>
      </c>
      <c r="L1748" t="s">
        <v>36</v>
      </c>
      <c r="M1748" t="s">
        <v>76</v>
      </c>
      <c r="N1748" t="s">
        <v>44</v>
      </c>
      <c r="O1748" t="s">
        <v>27</v>
      </c>
      <c r="P1748" t="s">
        <v>28</v>
      </c>
      <c r="Q1748">
        <v>1</v>
      </c>
      <c r="R1748">
        <v>3319.13</v>
      </c>
      <c r="S1748" t="s">
        <v>29</v>
      </c>
    </row>
    <row r="1749" spans="1:19" x14ac:dyDescent="0.3">
      <c r="A1749" t="s">
        <v>1819</v>
      </c>
      <c r="B1749">
        <v>63</v>
      </c>
      <c r="C1749" t="s">
        <v>31</v>
      </c>
      <c r="D1749" t="s">
        <v>32</v>
      </c>
      <c r="E1749" s="1">
        <v>45576</v>
      </c>
      <c r="F1749" s="3">
        <v>45594</v>
      </c>
      <c r="G1749" t="s">
        <v>71</v>
      </c>
      <c r="H1749" t="s">
        <v>72</v>
      </c>
      <c r="I1749" t="s">
        <v>23</v>
      </c>
      <c r="J1749">
        <v>11152.6</v>
      </c>
      <c r="K1749">
        <v>18</v>
      </c>
      <c r="L1749" t="s">
        <v>24</v>
      </c>
      <c r="M1749" t="s">
        <v>25</v>
      </c>
      <c r="N1749" t="s">
        <v>55</v>
      </c>
      <c r="O1749" t="s">
        <v>27</v>
      </c>
      <c r="P1749" t="s">
        <v>45</v>
      </c>
      <c r="Q1749">
        <v>4</v>
      </c>
      <c r="R1749">
        <v>3373.4</v>
      </c>
      <c r="S1749" t="s">
        <v>29</v>
      </c>
    </row>
    <row r="1750" spans="1:19" x14ac:dyDescent="0.3">
      <c r="A1750" t="s">
        <v>1820</v>
      </c>
      <c r="B1750">
        <v>20</v>
      </c>
      <c r="C1750" t="s">
        <v>31</v>
      </c>
      <c r="D1750" t="s">
        <v>70</v>
      </c>
      <c r="E1750" s="1">
        <v>45849</v>
      </c>
      <c r="F1750" s="3">
        <v>45851</v>
      </c>
      <c r="G1750" t="s">
        <v>74</v>
      </c>
      <c r="H1750" t="s">
        <v>75</v>
      </c>
      <c r="I1750" t="s">
        <v>81</v>
      </c>
      <c r="J1750">
        <v>3727.97</v>
      </c>
      <c r="K1750">
        <v>2</v>
      </c>
      <c r="L1750" t="s">
        <v>24</v>
      </c>
      <c r="M1750" t="s">
        <v>101</v>
      </c>
      <c r="N1750" t="s">
        <v>26</v>
      </c>
      <c r="O1750" t="s">
        <v>27</v>
      </c>
      <c r="P1750" t="s">
        <v>50</v>
      </c>
      <c r="Q1750">
        <v>12</v>
      </c>
      <c r="R1750">
        <v>870.85</v>
      </c>
      <c r="S1750" t="s">
        <v>29</v>
      </c>
    </row>
    <row r="1751" spans="1:19" x14ac:dyDescent="0.3">
      <c r="A1751" t="s">
        <v>1821</v>
      </c>
      <c r="B1751">
        <v>79</v>
      </c>
      <c r="C1751" t="s">
        <v>19</v>
      </c>
      <c r="D1751" t="s">
        <v>66</v>
      </c>
      <c r="E1751" s="1">
        <v>45816</v>
      </c>
      <c r="F1751" s="3">
        <v>45822</v>
      </c>
      <c r="G1751" t="s">
        <v>52</v>
      </c>
      <c r="H1751" t="s">
        <v>53</v>
      </c>
      <c r="I1751" t="s">
        <v>91</v>
      </c>
      <c r="J1751">
        <v>2388.0100000000002</v>
      </c>
      <c r="K1751">
        <v>6</v>
      </c>
      <c r="L1751" t="s">
        <v>24</v>
      </c>
      <c r="M1751" t="s">
        <v>59</v>
      </c>
      <c r="N1751" t="s">
        <v>55</v>
      </c>
      <c r="O1751" t="s">
        <v>56</v>
      </c>
      <c r="P1751" t="s">
        <v>38</v>
      </c>
      <c r="Q1751">
        <v>11</v>
      </c>
      <c r="R1751">
        <v>765.46</v>
      </c>
      <c r="S1751" t="s">
        <v>29</v>
      </c>
    </row>
    <row r="1752" spans="1:19" x14ac:dyDescent="0.3">
      <c r="A1752" t="s">
        <v>1822</v>
      </c>
      <c r="B1752">
        <v>25</v>
      </c>
      <c r="C1752" t="s">
        <v>19</v>
      </c>
      <c r="D1752" t="s">
        <v>66</v>
      </c>
      <c r="E1752" s="1">
        <v>45332</v>
      </c>
      <c r="F1752" s="3">
        <v>45341</v>
      </c>
      <c r="G1752" t="s">
        <v>74</v>
      </c>
      <c r="H1752" t="s">
        <v>75</v>
      </c>
      <c r="I1752" t="s">
        <v>81</v>
      </c>
      <c r="J1752">
        <v>3290.94</v>
      </c>
      <c r="K1752">
        <v>9</v>
      </c>
      <c r="L1752" t="s">
        <v>36</v>
      </c>
      <c r="M1752" t="s">
        <v>25</v>
      </c>
      <c r="N1752" t="s">
        <v>44</v>
      </c>
      <c r="O1752" t="s">
        <v>27</v>
      </c>
      <c r="P1752" t="s">
        <v>38</v>
      </c>
      <c r="Q1752">
        <v>12</v>
      </c>
      <c r="R1752">
        <v>864.06</v>
      </c>
      <c r="S1752" t="s">
        <v>29</v>
      </c>
    </row>
    <row r="1753" spans="1:19" x14ac:dyDescent="0.3">
      <c r="A1753" t="s">
        <v>1823</v>
      </c>
      <c r="B1753">
        <v>46</v>
      </c>
      <c r="C1753" t="s">
        <v>31</v>
      </c>
      <c r="D1753" t="s">
        <v>79</v>
      </c>
      <c r="E1753" s="1">
        <v>45383</v>
      </c>
      <c r="F1753" s="3">
        <v>45391</v>
      </c>
      <c r="G1753" t="s">
        <v>67</v>
      </c>
      <c r="H1753" t="s">
        <v>42</v>
      </c>
      <c r="I1753" t="s">
        <v>58</v>
      </c>
      <c r="J1753">
        <v>4202.68</v>
      </c>
      <c r="K1753">
        <v>8</v>
      </c>
      <c r="L1753" t="s">
        <v>36</v>
      </c>
      <c r="M1753" t="s">
        <v>25</v>
      </c>
      <c r="N1753" t="s">
        <v>44</v>
      </c>
      <c r="O1753" t="s">
        <v>37</v>
      </c>
      <c r="P1753" t="s">
        <v>38</v>
      </c>
      <c r="Q1753">
        <v>10</v>
      </c>
      <c r="R1753">
        <v>1196.8900000000001</v>
      </c>
      <c r="S1753" t="s">
        <v>29</v>
      </c>
    </row>
    <row r="1754" spans="1:19" x14ac:dyDescent="0.3">
      <c r="A1754" t="s">
        <v>1824</v>
      </c>
      <c r="B1754">
        <v>64</v>
      </c>
      <c r="C1754" t="s">
        <v>31</v>
      </c>
      <c r="D1754" t="s">
        <v>70</v>
      </c>
      <c r="E1754" s="1">
        <v>45241</v>
      </c>
      <c r="F1754" s="3">
        <v>45245</v>
      </c>
      <c r="G1754" t="s">
        <v>41</v>
      </c>
      <c r="H1754" t="s">
        <v>42</v>
      </c>
      <c r="I1754" t="s">
        <v>83</v>
      </c>
      <c r="J1754">
        <v>4856.71</v>
      </c>
      <c r="K1754">
        <v>4</v>
      </c>
      <c r="L1754" t="s">
        <v>36</v>
      </c>
      <c r="M1754" t="s">
        <v>25</v>
      </c>
      <c r="N1754" t="s">
        <v>26</v>
      </c>
      <c r="O1754" t="s">
        <v>56</v>
      </c>
      <c r="P1754" t="s">
        <v>38</v>
      </c>
      <c r="Q1754">
        <v>10</v>
      </c>
      <c r="R1754">
        <v>940.72</v>
      </c>
      <c r="S1754" t="s">
        <v>29</v>
      </c>
    </row>
    <row r="1755" spans="1:19" x14ac:dyDescent="0.3">
      <c r="A1755" t="s">
        <v>1825</v>
      </c>
      <c r="B1755">
        <v>85</v>
      </c>
      <c r="C1755" t="s">
        <v>19</v>
      </c>
      <c r="D1755" t="s">
        <v>61</v>
      </c>
      <c r="E1755" s="1">
        <v>45581</v>
      </c>
      <c r="F1755" s="3">
        <v>45601</v>
      </c>
      <c r="G1755" t="s">
        <v>52</v>
      </c>
      <c r="H1755" t="s">
        <v>53</v>
      </c>
      <c r="I1755" t="s">
        <v>43</v>
      </c>
      <c r="J1755">
        <v>10955.71</v>
      </c>
      <c r="K1755">
        <v>20</v>
      </c>
      <c r="L1755" t="s">
        <v>24</v>
      </c>
      <c r="M1755" t="s">
        <v>25</v>
      </c>
      <c r="N1755" t="s">
        <v>44</v>
      </c>
      <c r="O1755" t="s">
        <v>49</v>
      </c>
      <c r="P1755" t="s">
        <v>28</v>
      </c>
      <c r="Q1755">
        <v>12</v>
      </c>
      <c r="R1755">
        <v>2320.85</v>
      </c>
      <c r="S1755" t="s">
        <v>29</v>
      </c>
    </row>
    <row r="1756" spans="1:19" x14ac:dyDescent="0.3">
      <c r="A1756" t="s">
        <v>1826</v>
      </c>
      <c r="B1756">
        <v>73</v>
      </c>
      <c r="C1756" t="s">
        <v>19</v>
      </c>
      <c r="D1756" t="s">
        <v>47</v>
      </c>
      <c r="E1756" s="1">
        <v>45552</v>
      </c>
      <c r="F1756" s="3">
        <v>45560</v>
      </c>
      <c r="G1756" t="s">
        <v>41</v>
      </c>
      <c r="H1756" t="s">
        <v>42</v>
      </c>
      <c r="I1756" t="s">
        <v>54</v>
      </c>
      <c r="J1756">
        <v>7612.88</v>
      </c>
      <c r="K1756">
        <v>8</v>
      </c>
      <c r="L1756" t="s">
        <v>24</v>
      </c>
      <c r="M1756" t="s">
        <v>25</v>
      </c>
      <c r="N1756" t="s">
        <v>55</v>
      </c>
      <c r="O1756" t="s">
        <v>49</v>
      </c>
      <c r="P1756" t="s">
        <v>28</v>
      </c>
      <c r="Q1756">
        <v>8</v>
      </c>
      <c r="R1756">
        <v>1567.06</v>
      </c>
      <c r="S1756" t="s">
        <v>29</v>
      </c>
    </row>
    <row r="1757" spans="1:19" x14ac:dyDescent="0.3">
      <c r="A1757" t="s">
        <v>1827</v>
      </c>
      <c r="B1757">
        <v>33</v>
      </c>
      <c r="C1757" t="s">
        <v>19</v>
      </c>
      <c r="D1757" t="s">
        <v>32</v>
      </c>
      <c r="E1757" s="1">
        <v>45312</v>
      </c>
      <c r="F1757" s="3">
        <v>45319</v>
      </c>
      <c r="G1757" t="s">
        <v>41</v>
      </c>
      <c r="H1757" t="s">
        <v>42</v>
      </c>
      <c r="I1757" t="s">
        <v>35</v>
      </c>
      <c r="J1757">
        <v>4874.38</v>
      </c>
      <c r="K1757">
        <v>7</v>
      </c>
      <c r="L1757" t="s">
        <v>24</v>
      </c>
      <c r="M1757" t="s">
        <v>25</v>
      </c>
      <c r="N1757" t="s">
        <v>26</v>
      </c>
      <c r="O1757" t="s">
        <v>56</v>
      </c>
      <c r="P1757" t="s">
        <v>38</v>
      </c>
      <c r="Q1757">
        <v>1</v>
      </c>
      <c r="R1757">
        <v>1292.6099999999999</v>
      </c>
      <c r="S1757" t="s">
        <v>29</v>
      </c>
    </row>
    <row r="1758" spans="1:19" x14ac:dyDescent="0.3">
      <c r="A1758" t="s">
        <v>1828</v>
      </c>
      <c r="B1758">
        <v>27</v>
      </c>
      <c r="C1758" t="s">
        <v>19</v>
      </c>
      <c r="D1758" t="s">
        <v>66</v>
      </c>
      <c r="E1758" s="1">
        <v>45396</v>
      </c>
      <c r="F1758" s="3">
        <v>45398</v>
      </c>
      <c r="G1758" t="s">
        <v>67</v>
      </c>
      <c r="H1758" t="s">
        <v>42</v>
      </c>
      <c r="I1758" t="s">
        <v>58</v>
      </c>
      <c r="J1758">
        <v>1582.15</v>
      </c>
      <c r="K1758">
        <v>2</v>
      </c>
      <c r="L1758" t="s">
        <v>24</v>
      </c>
      <c r="M1758" t="s">
        <v>25</v>
      </c>
      <c r="N1758" t="s">
        <v>26</v>
      </c>
      <c r="O1758" t="s">
        <v>56</v>
      </c>
      <c r="P1758" t="s">
        <v>50</v>
      </c>
      <c r="Q1758">
        <v>14</v>
      </c>
      <c r="R1758">
        <v>509.43</v>
      </c>
      <c r="S1758" t="s">
        <v>29</v>
      </c>
    </row>
    <row r="1759" spans="1:19" x14ac:dyDescent="0.3">
      <c r="A1759" t="s">
        <v>1829</v>
      </c>
      <c r="B1759">
        <v>27</v>
      </c>
      <c r="C1759" t="s">
        <v>31</v>
      </c>
      <c r="D1759" t="s">
        <v>61</v>
      </c>
      <c r="E1759" s="1">
        <v>44935</v>
      </c>
      <c r="F1759" s="3">
        <v>44942</v>
      </c>
      <c r="G1759" t="s">
        <v>71</v>
      </c>
      <c r="H1759" t="s">
        <v>72</v>
      </c>
      <c r="I1759" t="s">
        <v>35</v>
      </c>
      <c r="J1759">
        <v>4623.63</v>
      </c>
      <c r="K1759">
        <v>7</v>
      </c>
      <c r="L1759" t="s">
        <v>36</v>
      </c>
      <c r="M1759" t="s">
        <v>25</v>
      </c>
      <c r="N1759" t="s">
        <v>55</v>
      </c>
      <c r="O1759" t="s">
        <v>37</v>
      </c>
      <c r="P1759" t="s">
        <v>50</v>
      </c>
      <c r="Q1759">
        <v>10</v>
      </c>
      <c r="R1759">
        <v>1646.46</v>
      </c>
      <c r="S1759" t="s">
        <v>29</v>
      </c>
    </row>
    <row r="1760" spans="1:19" x14ac:dyDescent="0.3">
      <c r="A1760" t="s">
        <v>1830</v>
      </c>
      <c r="B1760">
        <v>18</v>
      </c>
      <c r="C1760" t="s">
        <v>31</v>
      </c>
      <c r="D1760" t="s">
        <v>20</v>
      </c>
      <c r="E1760" s="1">
        <v>45822</v>
      </c>
      <c r="F1760" s="3">
        <v>45836</v>
      </c>
      <c r="G1760" t="s">
        <v>52</v>
      </c>
      <c r="H1760" t="s">
        <v>53</v>
      </c>
      <c r="I1760" t="s">
        <v>23</v>
      </c>
      <c r="J1760">
        <v>13275.06</v>
      </c>
      <c r="K1760">
        <v>14</v>
      </c>
      <c r="L1760" t="s">
        <v>36</v>
      </c>
      <c r="M1760" t="s">
        <v>25</v>
      </c>
      <c r="N1760" t="s">
        <v>26</v>
      </c>
      <c r="O1760" t="s">
        <v>49</v>
      </c>
      <c r="P1760" t="s">
        <v>45</v>
      </c>
      <c r="Q1760">
        <v>9</v>
      </c>
      <c r="R1760">
        <v>3872.85</v>
      </c>
      <c r="S1760" t="s">
        <v>29</v>
      </c>
    </row>
    <row r="1761" spans="1:19" x14ac:dyDescent="0.3">
      <c r="A1761" t="s">
        <v>1831</v>
      </c>
      <c r="B1761">
        <v>65</v>
      </c>
      <c r="C1761" t="s">
        <v>31</v>
      </c>
      <c r="D1761" t="s">
        <v>89</v>
      </c>
      <c r="E1761" s="1">
        <v>44979</v>
      </c>
      <c r="F1761" s="3">
        <v>44995</v>
      </c>
      <c r="G1761" t="s">
        <v>33</v>
      </c>
      <c r="H1761" t="s">
        <v>34</v>
      </c>
      <c r="I1761" t="s">
        <v>23</v>
      </c>
      <c r="J1761">
        <v>13412.79</v>
      </c>
      <c r="K1761">
        <v>16</v>
      </c>
      <c r="L1761" t="s">
        <v>24</v>
      </c>
      <c r="M1761" t="s">
        <v>101</v>
      </c>
      <c r="N1761" t="s">
        <v>55</v>
      </c>
      <c r="O1761" t="s">
        <v>49</v>
      </c>
      <c r="P1761" t="s">
        <v>45</v>
      </c>
      <c r="Q1761">
        <v>11</v>
      </c>
      <c r="R1761">
        <v>2571.29</v>
      </c>
      <c r="S1761" t="s">
        <v>29</v>
      </c>
    </row>
    <row r="1762" spans="1:19" x14ac:dyDescent="0.3">
      <c r="A1762" t="s">
        <v>1832</v>
      </c>
      <c r="B1762">
        <v>37</v>
      </c>
      <c r="C1762" t="s">
        <v>19</v>
      </c>
      <c r="D1762" t="s">
        <v>89</v>
      </c>
      <c r="E1762" s="1">
        <v>45022</v>
      </c>
      <c r="F1762" s="3">
        <v>45035</v>
      </c>
      <c r="G1762" t="s">
        <v>33</v>
      </c>
      <c r="H1762" t="s">
        <v>34</v>
      </c>
      <c r="I1762" t="s">
        <v>54</v>
      </c>
      <c r="J1762">
        <v>7275.42</v>
      </c>
      <c r="K1762">
        <v>13</v>
      </c>
      <c r="L1762" t="s">
        <v>36</v>
      </c>
      <c r="M1762" t="s">
        <v>25</v>
      </c>
      <c r="N1762" t="s">
        <v>26</v>
      </c>
      <c r="O1762" t="s">
        <v>37</v>
      </c>
      <c r="P1762" t="s">
        <v>28</v>
      </c>
      <c r="Q1762">
        <v>10</v>
      </c>
      <c r="R1762">
        <v>1871.46</v>
      </c>
      <c r="S1762" t="s">
        <v>29</v>
      </c>
    </row>
    <row r="1763" spans="1:19" x14ac:dyDescent="0.3">
      <c r="A1763" t="s">
        <v>1833</v>
      </c>
      <c r="B1763">
        <v>62</v>
      </c>
      <c r="C1763" t="s">
        <v>19</v>
      </c>
      <c r="D1763" t="s">
        <v>61</v>
      </c>
      <c r="E1763" s="1">
        <v>45840</v>
      </c>
      <c r="F1763" s="3">
        <v>45842</v>
      </c>
      <c r="G1763" t="s">
        <v>74</v>
      </c>
      <c r="H1763" t="s">
        <v>75</v>
      </c>
      <c r="I1763" t="s">
        <v>83</v>
      </c>
      <c r="J1763">
        <v>1692.45</v>
      </c>
      <c r="K1763">
        <v>2</v>
      </c>
      <c r="L1763" t="s">
        <v>24</v>
      </c>
      <c r="M1763" t="s">
        <v>59</v>
      </c>
      <c r="N1763" t="s">
        <v>26</v>
      </c>
      <c r="O1763" t="s">
        <v>56</v>
      </c>
      <c r="P1763" t="s">
        <v>50</v>
      </c>
      <c r="Q1763">
        <v>9</v>
      </c>
      <c r="R1763">
        <v>469.95</v>
      </c>
      <c r="S1763" t="s">
        <v>29</v>
      </c>
    </row>
    <row r="1764" spans="1:19" x14ac:dyDescent="0.3">
      <c r="A1764" t="s">
        <v>1834</v>
      </c>
      <c r="B1764">
        <v>70</v>
      </c>
      <c r="C1764" t="s">
        <v>31</v>
      </c>
      <c r="D1764" t="s">
        <v>70</v>
      </c>
      <c r="E1764" s="1">
        <v>44972</v>
      </c>
      <c r="F1764" s="3">
        <v>44996</v>
      </c>
      <c r="G1764" t="s">
        <v>74</v>
      </c>
      <c r="H1764" t="s">
        <v>75</v>
      </c>
      <c r="I1764" t="s">
        <v>91</v>
      </c>
      <c r="J1764">
        <v>23631.58</v>
      </c>
      <c r="K1764">
        <v>24</v>
      </c>
      <c r="L1764" t="s">
        <v>24</v>
      </c>
      <c r="M1764" t="s">
        <v>25</v>
      </c>
      <c r="N1764" t="s">
        <v>44</v>
      </c>
      <c r="O1764" t="s">
        <v>49</v>
      </c>
      <c r="P1764" t="s">
        <v>28</v>
      </c>
      <c r="Q1764">
        <v>7</v>
      </c>
      <c r="R1764">
        <v>7598.85</v>
      </c>
      <c r="S1764" t="s">
        <v>39</v>
      </c>
    </row>
    <row r="1765" spans="1:19" x14ac:dyDescent="0.3">
      <c r="A1765" t="s">
        <v>1835</v>
      </c>
      <c r="B1765">
        <v>49</v>
      </c>
      <c r="C1765" t="s">
        <v>31</v>
      </c>
      <c r="D1765" t="s">
        <v>32</v>
      </c>
      <c r="E1765" s="1">
        <v>45372</v>
      </c>
      <c r="F1765" s="3">
        <v>45373</v>
      </c>
      <c r="G1765" t="s">
        <v>21</v>
      </c>
      <c r="H1765" t="s">
        <v>22</v>
      </c>
      <c r="I1765" t="s">
        <v>43</v>
      </c>
      <c r="J1765">
        <v>2396.8000000000002</v>
      </c>
      <c r="K1765">
        <v>1</v>
      </c>
      <c r="L1765" t="s">
        <v>36</v>
      </c>
      <c r="M1765" t="s">
        <v>25</v>
      </c>
      <c r="N1765" t="s">
        <v>26</v>
      </c>
      <c r="O1765" t="s">
        <v>56</v>
      </c>
      <c r="P1765" t="s">
        <v>38</v>
      </c>
      <c r="Q1765">
        <v>1</v>
      </c>
      <c r="R1765">
        <v>922.8</v>
      </c>
      <c r="S1765" t="s">
        <v>29</v>
      </c>
    </row>
    <row r="1766" spans="1:19" x14ac:dyDescent="0.3">
      <c r="A1766" t="s">
        <v>1836</v>
      </c>
      <c r="B1766">
        <v>71</v>
      </c>
      <c r="C1766" t="s">
        <v>31</v>
      </c>
      <c r="D1766" t="s">
        <v>61</v>
      </c>
      <c r="E1766" s="1">
        <v>45857</v>
      </c>
      <c r="F1766" s="3">
        <v>45872</v>
      </c>
      <c r="G1766" t="s">
        <v>67</v>
      </c>
      <c r="H1766" t="s">
        <v>42</v>
      </c>
      <c r="I1766" t="s">
        <v>81</v>
      </c>
      <c r="J1766">
        <v>11601.62</v>
      </c>
      <c r="K1766">
        <v>15</v>
      </c>
      <c r="L1766" t="s">
        <v>24</v>
      </c>
      <c r="M1766" t="s">
        <v>25</v>
      </c>
      <c r="N1766" t="s">
        <v>44</v>
      </c>
      <c r="O1766" t="s">
        <v>56</v>
      </c>
      <c r="P1766" t="s">
        <v>50</v>
      </c>
      <c r="Q1766">
        <v>5</v>
      </c>
      <c r="R1766">
        <v>2200.58</v>
      </c>
      <c r="S1766" t="s">
        <v>29</v>
      </c>
    </row>
    <row r="1767" spans="1:19" x14ac:dyDescent="0.3">
      <c r="A1767" t="s">
        <v>1837</v>
      </c>
      <c r="B1767">
        <v>48</v>
      </c>
      <c r="C1767" t="s">
        <v>31</v>
      </c>
      <c r="D1767" t="s">
        <v>66</v>
      </c>
      <c r="E1767" s="1">
        <v>45429</v>
      </c>
      <c r="F1767" s="3">
        <v>45432</v>
      </c>
      <c r="G1767" t="s">
        <v>74</v>
      </c>
      <c r="H1767" t="s">
        <v>75</v>
      </c>
      <c r="I1767" t="s">
        <v>91</v>
      </c>
      <c r="J1767">
        <v>2807.51</v>
      </c>
      <c r="K1767">
        <v>3</v>
      </c>
      <c r="L1767" t="s">
        <v>36</v>
      </c>
      <c r="M1767" t="s">
        <v>25</v>
      </c>
      <c r="N1767" t="s">
        <v>26</v>
      </c>
      <c r="O1767" t="s">
        <v>37</v>
      </c>
      <c r="P1767" t="s">
        <v>38</v>
      </c>
      <c r="Q1767">
        <v>12</v>
      </c>
      <c r="R1767">
        <v>790.08</v>
      </c>
      <c r="S1767" t="s">
        <v>29</v>
      </c>
    </row>
    <row r="1768" spans="1:19" x14ac:dyDescent="0.3">
      <c r="A1768" t="s">
        <v>1838</v>
      </c>
      <c r="B1768">
        <v>67</v>
      </c>
      <c r="C1768" t="s">
        <v>31</v>
      </c>
      <c r="D1768" t="s">
        <v>61</v>
      </c>
      <c r="E1768" s="1">
        <v>45043</v>
      </c>
      <c r="F1768" s="3">
        <v>45050</v>
      </c>
      <c r="G1768" t="s">
        <v>52</v>
      </c>
      <c r="H1768" t="s">
        <v>53</v>
      </c>
      <c r="I1768" t="s">
        <v>23</v>
      </c>
      <c r="J1768">
        <v>5213.93</v>
      </c>
      <c r="K1768">
        <v>7</v>
      </c>
      <c r="L1768" t="s">
        <v>24</v>
      </c>
      <c r="M1768" t="s">
        <v>25</v>
      </c>
      <c r="N1768" t="s">
        <v>44</v>
      </c>
      <c r="O1768" t="s">
        <v>37</v>
      </c>
      <c r="P1768" t="s">
        <v>28</v>
      </c>
      <c r="Q1768">
        <v>14</v>
      </c>
      <c r="R1768">
        <v>1516.45</v>
      </c>
      <c r="S1768" t="s">
        <v>39</v>
      </c>
    </row>
    <row r="1769" spans="1:19" x14ac:dyDescent="0.3">
      <c r="A1769" t="s">
        <v>1839</v>
      </c>
      <c r="B1769">
        <v>85</v>
      </c>
      <c r="C1769" t="s">
        <v>31</v>
      </c>
      <c r="D1769" t="s">
        <v>89</v>
      </c>
      <c r="E1769" s="1">
        <v>45775</v>
      </c>
      <c r="F1769" s="3">
        <v>45780</v>
      </c>
      <c r="G1769" t="s">
        <v>33</v>
      </c>
      <c r="H1769" t="s">
        <v>34</v>
      </c>
      <c r="I1769" t="s">
        <v>91</v>
      </c>
      <c r="J1769">
        <v>5447.14</v>
      </c>
      <c r="K1769">
        <v>5</v>
      </c>
      <c r="L1769" t="s">
        <v>36</v>
      </c>
      <c r="M1769" t="s">
        <v>59</v>
      </c>
      <c r="N1769" t="s">
        <v>44</v>
      </c>
      <c r="O1769" t="s">
        <v>56</v>
      </c>
      <c r="P1769" t="s">
        <v>28</v>
      </c>
      <c r="Q1769">
        <v>4</v>
      </c>
      <c r="R1769">
        <v>1494.4</v>
      </c>
      <c r="S1769" t="s">
        <v>29</v>
      </c>
    </row>
    <row r="1770" spans="1:19" x14ac:dyDescent="0.3">
      <c r="A1770" t="s">
        <v>1840</v>
      </c>
      <c r="B1770">
        <v>39</v>
      </c>
      <c r="C1770" t="s">
        <v>31</v>
      </c>
      <c r="D1770" t="s">
        <v>70</v>
      </c>
      <c r="E1770" s="1">
        <v>45873</v>
      </c>
      <c r="F1770" s="3">
        <v>45890</v>
      </c>
      <c r="G1770" t="s">
        <v>93</v>
      </c>
      <c r="H1770" t="s">
        <v>72</v>
      </c>
      <c r="I1770" t="s">
        <v>91</v>
      </c>
      <c r="J1770">
        <v>5366.56</v>
      </c>
      <c r="K1770">
        <v>17</v>
      </c>
      <c r="L1770" t="s">
        <v>36</v>
      </c>
      <c r="M1770" t="s">
        <v>25</v>
      </c>
      <c r="N1770" t="s">
        <v>44</v>
      </c>
      <c r="O1770" t="s">
        <v>56</v>
      </c>
      <c r="P1770" t="s">
        <v>28</v>
      </c>
      <c r="Q1770">
        <v>10</v>
      </c>
      <c r="R1770">
        <v>1212.57</v>
      </c>
      <c r="S1770" t="s">
        <v>29</v>
      </c>
    </row>
    <row r="1771" spans="1:19" x14ac:dyDescent="0.3">
      <c r="A1771" t="s">
        <v>1841</v>
      </c>
      <c r="B1771">
        <v>36</v>
      </c>
      <c r="C1771" t="s">
        <v>19</v>
      </c>
      <c r="D1771" t="s">
        <v>20</v>
      </c>
      <c r="E1771" s="1">
        <v>45010</v>
      </c>
      <c r="F1771" s="3">
        <v>45023</v>
      </c>
      <c r="G1771" t="s">
        <v>67</v>
      </c>
      <c r="H1771" t="s">
        <v>42</v>
      </c>
      <c r="I1771" t="s">
        <v>54</v>
      </c>
      <c r="J1771">
        <v>3319.57</v>
      </c>
      <c r="K1771">
        <v>13</v>
      </c>
      <c r="L1771" t="s">
        <v>36</v>
      </c>
      <c r="M1771" t="s">
        <v>25</v>
      </c>
      <c r="N1771" t="s">
        <v>26</v>
      </c>
      <c r="O1771" t="s">
        <v>56</v>
      </c>
      <c r="P1771" t="s">
        <v>38</v>
      </c>
      <c r="Q1771">
        <v>2</v>
      </c>
      <c r="R1771">
        <v>844.24</v>
      </c>
      <c r="S1771" t="s">
        <v>39</v>
      </c>
    </row>
    <row r="1772" spans="1:19" x14ac:dyDescent="0.3">
      <c r="A1772" t="s">
        <v>1842</v>
      </c>
      <c r="B1772">
        <v>39</v>
      </c>
      <c r="C1772" t="s">
        <v>19</v>
      </c>
      <c r="D1772" t="s">
        <v>79</v>
      </c>
      <c r="E1772" s="1">
        <v>45249</v>
      </c>
      <c r="F1772" s="3">
        <v>45263</v>
      </c>
      <c r="G1772" t="s">
        <v>52</v>
      </c>
      <c r="H1772" t="s">
        <v>53</v>
      </c>
      <c r="I1772" t="s">
        <v>83</v>
      </c>
      <c r="J1772">
        <v>12779.51</v>
      </c>
      <c r="K1772">
        <v>14</v>
      </c>
      <c r="L1772" t="s">
        <v>24</v>
      </c>
      <c r="M1772" t="s">
        <v>25</v>
      </c>
      <c r="N1772" t="s">
        <v>55</v>
      </c>
      <c r="O1772" t="s">
        <v>49</v>
      </c>
      <c r="P1772" t="s">
        <v>28</v>
      </c>
      <c r="Q1772">
        <v>2</v>
      </c>
      <c r="R1772">
        <v>3532.24</v>
      </c>
      <c r="S1772" t="s">
        <v>29</v>
      </c>
    </row>
    <row r="1773" spans="1:19" x14ac:dyDescent="0.3">
      <c r="A1773" t="s">
        <v>1843</v>
      </c>
      <c r="B1773">
        <v>28</v>
      </c>
      <c r="C1773" t="s">
        <v>31</v>
      </c>
      <c r="D1773" t="s">
        <v>32</v>
      </c>
      <c r="E1773" s="1">
        <v>45212</v>
      </c>
      <c r="F1773" s="3">
        <v>45230</v>
      </c>
      <c r="G1773" t="s">
        <v>21</v>
      </c>
      <c r="H1773" t="s">
        <v>22</v>
      </c>
      <c r="I1773" t="s">
        <v>83</v>
      </c>
      <c r="J1773">
        <v>6404.56</v>
      </c>
      <c r="K1773">
        <v>18</v>
      </c>
      <c r="L1773" t="s">
        <v>24</v>
      </c>
      <c r="M1773" t="s">
        <v>25</v>
      </c>
      <c r="N1773" t="s">
        <v>55</v>
      </c>
      <c r="O1773" t="s">
        <v>37</v>
      </c>
      <c r="P1773" t="s">
        <v>45</v>
      </c>
      <c r="Q1773">
        <v>5</v>
      </c>
      <c r="R1773">
        <v>1765.29</v>
      </c>
      <c r="S1773" t="s">
        <v>29</v>
      </c>
    </row>
    <row r="1774" spans="1:19" x14ac:dyDescent="0.3">
      <c r="A1774" t="s">
        <v>1844</v>
      </c>
      <c r="B1774">
        <v>73</v>
      </c>
      <c r="C1774" t="s">
        <v>31</v>
      </c>
      <c r="D1774" t="s">
        <v>89</v>
      </c>
      <c r="E1774" s="1">
        <v>44973</v>
      </c>
      <c r="F1774" s="3">
        <v>44981</v>
      </c>
      <c r="G1774" t="s">
        <v>21</v>
      </c>
      <c r="H1774" t="s">
        <v>22</v>
      </c>
      <c r="I1774" t="s">
        <v>91</v>
      </c>
      <c r="J1774">
        <v>3246.9</v>
      </c>
      <c r="K1774">
        <v>8</v>
      </c>
      <c r="L1774" t="s">
        <v>24</v>
      </c>
      <c r="M1774" t="s">
        <v>25</v>
      </c>
      <c r="N1774" t="s">
        <v>26</v>
      </c>
      <c r="O1774" t="s">
        <v>37</v>
      </c>
      <c r="P1774" t="s">
        <v>50</v>
      </c>
      <c r="Q1774">
        <v>11</v>
      </c>
      <c r="R1774">
        <v>623.6</v>
      </c>
      <c r="S1774" t="s">
        <v>29</v>
      </c>
    </row>
    <row r="1775" spans="1:19" x14ac:dyDescent="0.3">
      <c r="A1775" t="s">
        <v>1845</v>
      </c>
      <c r="B1775">
        <v>38</v>
      </c>
      <c r="C1775" t="s">
        <v>19</v>
      </c>
      <c r="D1775" t="s">
        <v>70</v>
      </c>
      <c r="E1775" s="1">
        <v>45051</v>
      </c>
      <c r="F1775" s="3">
        <v>45056</v>
      </c>
      <c r="G1775" t="s">
        <v>62</v>
      </c>
      <c r="H1775" t="s">
        <v>63</v>
      </c>
      <c r="I1775" t="s">
        <v>43</v>
      </c>
      <c r="J1775">
        <v>1547.82</v>
      </c>
      <c r="K1775">
        <v>5</v>
      </c>
      <c r="L1775" t="s">
        <v>24</v>
      </c>
      <c r="M1775" t="s">
        <v>25</v>
      </c>
      <c r="N1775" t="s">
        <v>44</v>
      </c>
      <c r="O1775" t="s">
        <v>37</v>
      </c>
      <c r="P1775" t="s">
        <v>28</v>
      </c>
      <c r="Q1775">
        <v>4</v>
      </c>
      <c r="R1775">
        <v>396.76</v>
      </c>
      <c r="S1775" t="s">
        <v>29</v>
      </c>
    </row>
    <row r="1776" spans="1:19" x14ac:dyDescent="0.3">
      <c r="A1776" t="s">
        <v>1846</v>
      </c>
      <c r="B1776">
        <v>20</v>
      </c>
      <c r="C1776" t="s">
        <v>31</v>
      </c>
      <c r="D1776" t="s">
        <v>79</v>
      </c>
      <c r="E1776" s="1">
        <v>45333</v>
      </c>
      <c r="F1776" s="3">
        <v>45336</v>
      </c>
      <c r="G1776" t="s">
        <v>33</v>
      </c>
      <c r="H1776" t="s">
        <v>34</v>
      </c>
      <c r="I1776" t="s">
        <v>58</v>
      </c>
      <c r="J1776">
        <v>1693.62</v>
      </c>
      <c r="K1776">
        <v>3</v>
      </c>
      <c r="L1776" t="s">
        <v>36</v>
      </c>
      <c r="M1776" t="s">
        <v>59</v>
      </c>
      <c r="N1776" t="s">
        <v>44</v>
      </c>
      <c r="O1776" t="s">
        <v>37</v>
      </c>
      <c r="P1776" t="s">
        <v>45</v>
      </c>
      <c r="Q1776">
        <v>3</v>
      </c>
      <c r="R1776">
        <v>327.23</v>
      </c>
      <c r="S1776" t="s">
        <v>29</v>
      </c>
    </row>
    <row r="1777" spans="1:19" x14ac:dyDescent="0.3">
      <c r="A1777" t="s">
        <v>1847</v>
      </c>
      <c r="B1777">
        <v>88</v>
      </c>
      <c r="C1777" t="s">
        <v>19</v>
      </c>
      <c r="D1777" t="s">
        <v>66</v>
      </c>
      <c r="E1777" s="1">
        <v>45480</v>
      </c>
      <c r="F1777" s="3">
        <v>45494</v>
      </c>
      <c r="G1777" t="s">
        <v>67</v>
      </c>
      <c r="H1777" t="s">
        <v>42</v>
      </c>
      <c r="I1777" t="s">
        <v>81</v>
      </c>
      <c r="J1777">
        <v>10287.58</v>
      </c>
      <c r="K1777">
        <v>14</v>
      </c>
      <c r="L1777" t="s">
        <v>24</v>
      </c>
      <c r="M1777" t="s">
        <v>25</v>
      </c>
      <c r="N1777" t="s">
        <v>26</v>
      </c>
      <c r="O1777" t="s">
        <v>27</v>
      </c>
      <c r="P1777" t="s">
        <v>45</v>
      </c>
      <c r="Q1777">
        <v>1</v>
      </c>
      <c r="R1777">
        <v>3998.57</v>
      </c>
      <c r="S1777" t="s">
        <v>29</v>
      </c>
    </row>
    <row r="1778" spans="1:19" x14ac:dyDescent="0.3">
      <c r="A1778" t="s">
        <v>1848</v>
      </c>
      <c r="B1778">
        <v>66</v>
      </c>
      <c r="C1778" t="s">
        <v>31</v>
      </c>
      <c r="D1778" t="s">
        <v>66</v>
      </c>
      <c r="E1778" s="1">
        <v>45671</v>
      </c>
      <c r="F1778" s="3">
        <v>45684</v>
      </c>
      <c r="G1778" t="s">
        <v>67</v>
      </c>
      <c r="H1778" t="s">
        <v>42</v>
      </c>
      <c r="I1778" t="s">
        <v>43</v>
      </c>
      <c r="J1778">
        <v>13704.11</v>
      </c>
      <c r="K1778">
        <v>13</v>
      </c>
      <c r="L1778" t="s">
        <v>24</v>
      </c>
      <c r="M1778" t="s">
        <v>25</v>
      </c>
      <c r="N1778" t="s">
        <v>26</v>
      </c>
      <c r="O1778" t="s">
        <v>49</v>
      </c>
      <c r="P1778" t="s">
        <v>50</v>
      </c>
      <c r="Q1778">
        <v>6</v>
      </c>
      <c r="R1778">
        <v>3949.94</v>
      </c>
      <c r="S1778" t="s">
        <v>29</v>
      </c>
    </row>
    <row r="1779" spans="1:19" x14ac:dyDescent="0.3">
      <c r="A1779" t="s">
        <v>1849</v>
      </c>
      <c r="B1779">
        <v>50</v>
      </c>
      <c r="C1779" t="s">
        <v>19</v>
      </c>
      <c r="D1779" t="s">
        <v>61</v>
      </c>
      <c r="E1779" s="1">
        <v>45329</v>
      </c>
      <c r="F1779" s="3">
        <v>45342</v>
      </c>
      <c r="G1779" t="s">
        <v>48</v>
      </c>
      <c r="H1779" t="s">
        <v>22</v>
      </c>
      <c r="I1779" t="s">
        <v>91</v>
      </c>
      <c r="J1779">
        <v>7044.12</v>
      </c>
      <c r="K1779">
        <v>13</v>
      </c>
      <c r="L1779" t="s">
        <v>24</v>
      </c>
      <c r="M1779" t="s">
        <v>59</v>
      </c>
      <c r="N1779" t="s">
        <v>44</v>
      </c>
      <c r="O1779" t="s">
        <v>37</v>
      </c>
      <c r="P1779" t="s">
        <v>38</v>
      </c>
      <c r="Q1779">
        <v>12</v>
      </c>
      <c r="R1779">
        <v>2630.45</v>
      </c>
      <c r="S1779" t="s">
        <v>29</v>
      </c>
    </row>
    <row r="1780" spans="1:19" x14ac:dyDescent="0.3">
      <c r="A1780" t="s">
        <v>1850</v>
      </c>
      <c r="B1780">
        <v>69</v>
      </c>
      <c r="C1780" t="s">
        <v>31</v>
      </c>
      <c r="D1780" t="s">
        <v>47</v>
      </c>
      <c r="E1780" s="1">
        <v>45824</v>
      </c>
      <c r="F1780" s="3">
        <v>45835</v>
      </c>
      <c r="G1780" t="s">
        <v>71</v>
      </c>
      <c r="H1780" t="s">
        <v>72</v>
      </c>
      <c r="I1780" t="s">
        <v>91</v>
      </c>
      <c r="J1780">
        <v>6172.19</v>
      </c>
      <c r="K1780">
        <v>11</v>
      </c>
      <c r="L1780" t="s">
        <v>36</v>
      </c>
      <c r="M1780" t="s">
        <v>25</v>
      </c>
      <c r="N1780" t="s">
        <v>55</v>
      </c>
      <c r="O1780" t="s">
        <v>27</v>
      </c>
      <c r="P1780" t="s">
        <v>38</v>
      </c>
      <c r="Q1780">
        <v>7</v>
      </c>
      <c r="R1780">
        <v>2381.69</v>
      </c>
      <c r="S1780" t="s">
        <v>29</v>
      </c>
    </row>
    <row r="1781" spans="1:19" x14ac:dyDescent="0.3">
      <c r="A1781" t="s">
        <v>1851</v>
      </c>
      <c r="B1781">
        <v>64</v>
      </c>
      <c r="C1781" t="s">
        <v>31</v>
      </c>
      <c r="D1781" t="s">
        <v>61</v>
      </c>
      <c r="E1781" s="1">
        <v>45451</v>
      </c>
      <c r="F1781" s="3">
        <v>45467</v>
      </c>
      <c r="G1781" t="s">
        <v>33</v>
      </c>
      <c r="H1781" t="s">
        <v>34</v>
      </c>
      <c r="I1781" t="s">
        <v>23</v>
      </c>
      <c r="J1781">
        <v>6568.63</v>
      </c>
      <c r="K1781">
        <v>16</v>
      </c>
      <c r="L1781" t="s">
        <v>36</v>
      </c>
      <c r="M1781" t="s">
        <v>25</v>
      </c>
      <c r="N1781" t="s">
        <v>26</v>
      </c>
      <c r="O1781" t="s">
        <v>37</v>
      </c>
      <c r="P1781" t="s">
        <v>38</v>
      </c>
      <c r="Q1781">
        <v>14</v>
      </c>
      <c r="R1781">
        <v>1853.29</v>
      </c>
      <c r="S1781" t="s">
        <v>29</v>
      </c>
    </row>
    <row r="1782" spans="1:19" x14ac:dyDescent="0.3">
      <c r="A1782" t="s">
        <v>1852</v>
      </c>
      <c r="B1782">
        <v>72</v>
      </c>
      <c r="C1782" t="s">
        <v>31</v>
      </c>
      <c r="D1782" t="s">
        <v>61</v>
      </c>
      <c r="E1782" s="1">
        <v>45035</v>
      </c>
      <c r="F1782" s="3">
        <v>45045</v>
      </c>
      <c r="G1782" t="s">
        <v>41</v>
      </c>
      <c r="H1782" t="s">
        <v>42</v>
      </c>
      <c r="I1782" t="s">
        <v>43</v>
      </c>
      <c r="J1782">
        <v>3225.65</v>
      </c>
      <c r="K1782">
        <v>10</v>
      </c>
      <c r="L1782" t="s">
        <v>36</v>
      </c>
      <c r="M1782" t="s">
        <v>25</v>
      </c>
      <c r="N1782" t="s">
        <v>26</v>
      </c>
      <c r="O1782" t="s">
        <v>27</v>
      </c>
      <c r="P1782" t="s">
        <v>45</v>
      </c>
      <c r="Q1782">
        <v>12</v>
      </c>
      <c r="R1782">
        <v>860.41</v>
      </c>
      <c r="S1782" t="s">
        <v>29</v>
      </c>
    </row>
    <row r="1783" spans="1:19" x14ac:dyDescent="0.3">
      <c r="A1783" t="s">
        <v>1853</v>
      </c>
      <c r="B1783">
        <v>32</v>
      </c>
      <c r="C1783" t="s">
        <v>19</v>
      </c>
      <c r="D1783" t="s">
        <v>61</v>
      </c>
      <c r="E1783" s="1">
        <v>45398</v>
      </c>
      <c r="F1783" s="3">
        <v>45417</v>
      </c>
      <c r="G1783" t="s">
        <v>71</v>
      </c>
      <c r="H1783" t="s">
        <v>72</v>
      </c>
      <c r="I1783" t="s">
        <v>54</v>
      </c>
      <c r="J1783">
        <v>14832.16</v>
      </c>
      <c r="K1783">
        <v>19</v>
      </c>
      <c r="L1783" t="s">
        <v>36</v>
      </c>
      <c r="M1783" t="s">
        <v>25</v>
      </c>
      <c r="N1783" t="s">
        <v>44</v>
      </c>
      <c r="O1783" t="s">
        <v>37</v>
      </c>
      <c r="P1783" t="s">
        <v>50</v>
      </c>
      <c r="Q1783">
        <v>5</v>
      </c>
      <c r="R1783">
        <v>2836.88</v>
      </c>
      <c r="S1783" t="s">
        <v>29</v>
      </c>
    </row>
    <row r="1784" spans="1:19" x14ac:dyDescent="0.3">
      <c r="A1784" t="s">
        <v>1854</v>
      </c>
      <c r="B1784">
        <v>53</v>
      </c>
      <c r="C1784" t="s">
        <v>31</v>
      </c>
      <c r="D1784" t="s">
        <v>47</v>
      </c>
      <c r="E1784" s="1">
        <v>45275</v>
      </c>
      <c r="F1784" s="3">
        <v>45283</v>
      </c>
      <c r="G1784" t="s">
        <v>33</v>
      </c>
      <c r="H1784" t="s">
        <v>34</v>
      </c>
      <c r="I1784" t="s">
        <v>83</v>
      </c>
      <c r="J1784">
        <v>6627.24</v>
      </c>
      <c r="K1784">
        <v>8</v>
      </c>
      <c r="L1784" t="s">
        <v>24</v>
      </c>
      <c r="M1784" t="s">
        <v>25</v>
      </c>
      <c r="N1784" t="s">
        <v>26</v>
      </c>
      <c r="O1784" t="s">
        <v>56</v>
      </c>
      <c r="P1784" t="s">
        <v>28</v>
      </c>
      <c r="Q1784">
        <v>10</v>
      </c>
      <c r="R1784">
        <v>1921.48</v>
      </c>
      <c r="S1784" t="s">
        <v>29</v>
      </c>
    </row>
    <row r="1785" spans="1:19" x14ac:dyDescent="0.3">
      <c r="A1785" t="s">
        <v>1855</v>
      </c>
      <c r="B1785">
        <v>70</v>
      </c>
      <c r="C1785" t="s">
        <v>31</v>
      </c>
      <c r="D1785" t="s">
        <v>32</v>
      </c>
      <c r="E1785" s="1">
        <v>45474</v>
      </c>
      <c r="F1785" s="3">
        <v>45489</v>
      </c>
      <c r="G1785" t="s">
        <v>67</v>
      </c>
      <c r="H1785" t="s">
        <v>42</v>
      </c>
      <c r="I1785" t="s">
        <v>43</v>
      </c>
      <c r="J1785">
        <v>16011.93</v>
      </c>
      <c r="K1785">
        <v>15</v>
      </c>
      <c r="L1785" t="s">
        <v>36</v>
      </c>
      <c r="M1785" t="s">
        <v>101</v>
      </c>
      <c r="N1785" t="s">
        <v>55</v>
      </c>
      <c r="O1785" t="s">
        <v>49</v>
      </c>
      <c r="P1785" t="s">
        <v>38</v>
      </c>
      <c r="Q1785">
        <v>2</v>
      </c>
      <c r="R1785">
        <v>3582.93</v>
      </c>
      <c r="S1785" t="s">
        <v>29</v>
      </c>
    </row>
    <row r="1786" spans="1:19" x14ac:dyDescent="0.3">
      <c r="A1786" t="s">
        <v>1856</v>
      </c>
      <c r="B1786">
        <v>20</v>
      </c>
      <c r="C1786" t="s">
        <v>31</v>
      </c>
      <c r="D1786" t="s">
        <v>61</v>
      </c>
      <c r="E1786" s="1">
        <v>45040</v>
      </c>
      <c r="F1786" s="3">
        <v>45056</v>
      </c>
      <c r="G1786" t="s">
        <v>74</v>
      </c>
      <c r="H1786" t="s">
        <v>75</v>
      </c>
      <c r="I1786" t="s">
        <v>43</v>
      </c>
      <c r="J1786">
        <v>11376.02</v>
      </c>
      <c r="K1786">
        <v>16</v>
      </c>
      <c r="L1786" t="s">
        <v>36</v>
      </c>
      <c r="M1786" t="s">
        <v>101</v>
      </c>
      <c r="N1786" t="s">
        <v>55</v>
      </c>
      <c r="O1786" t="s">
        <v>37</v>
      </c>
      <c r="P1786" t="s">
        <v>38</v>
      </c>
      <c r="Q1786">
        <v>8</v>
      </c>
      <c r="R1786">
        <v>3237.8</v>
      </c>
      <c r="S1786" t="s">
        <v>39</v>
      </c>
    </row>
    <row r="1787" spans="1:19" x14ac:dyDescent="0.3">
      <c r="A1787" t="s">
        <v>1857</v>
      </c>
      <c r="B1787">
        <v>78</v>
      </c>
      <c r="C1787" t="s">
        <v>19</v>
      </c>
      <c r="D1787" t="s">
        <v>70</v>
      </c>
      <c r="E1787" s="1">
        <v>45241</v>
      </c>
      <c r="F1787" s="3">
        <v>45242</v>
      </c>
      <c r="G1787" t="s">
        <v>33</v>
      </c>
      <c r="H1787" t="s">
        <v>34</v>
      </c>
      <c r="I1787" t="s">
        <v>91</v>
      </c>
      <c r="J1787">
        <v>1111.6199999999999</v>
      </c>
      <c r="K1787">
        <v>1</v>
      </c>
      <c r="L1787" t="s">
        <v>24</v>
      </c>
      <c r="M1787" t="s">
        <v>25</v>
      </c>
      <c r="N1787" t="s">
        <v>44</v>
      </c>
      <c r="O1787" t="s">
        <v>56</v>
      </c>
      <c r="P1787" t="s">
        <v>45</v>
      </c>
      <c r="Q1787">
        <v>13</v>
      </c>
      <c r="R1787">
        <v>316.38</v>
      </c>
      <c r="S1787" t="s">
        <v>29</v>
      </c>
    </row>
    <row r="1788" spans="1:19" x14ac:dyDescent="0.3">
      <c r="A1788" t="s">
        <v>1858</v>
      </c>
      <c r="B1788">
        <v>38</v>
      </c>
      <c r="C1788" t="s">
        <v>31</v>
      </c>
      <c r="D1788" t="s">
        <v>89</v>
      </c>
      <c r="E1788" s="1">
        <v>45348</v>
      </c>
      <c r="F1788" s="3">
        <v>45351</v>
      </c>
      <c r="G1788" t="s">
        <v>71</v>
      </c>
      <c r="H1788" t="s">
        <v>72</v>
      </c>
      <c r="I1788" t="s">
        <v>54</v>
      </c>
      <c r="J1788">
        <v>3716.1</v>
      </c>
      <c r="K1788">
        <v>3</v>
      </c>
      <c r="L1788" t="s">
        <v>24</v>
      </c>
      <c r="M1788" t="s">
        <v>59</v>
      </c>
      <c r="N1788" t="s">
        <v>44</v>
      </c>
      <c r="O1788" t="s">
        <v>37</v>
      </c>
      <c r="P1788" t="s">
        <v>28</v>
      </c>
      <c r="Q1788">
        <v>8</v>
      </c>
      <c r="R1788">
        <v>1081.44</v>
      </c>
      <c r="S1788" t="s">
        <v>29</v>
      </c>
    </row>
    <row r="1789" spans="1:19" x14ac:dyDescent="0.3">
      <c r="A1789" t="s">
        <v>1859</v>
      </c>
      <c r="B1789">
        <v>23</v>
      </c>
      <c r="C1789" t="s">
        <v>19</v>
      </c>
      <c r="D1789" t="s">
        <v>32</v>
      </c>
      <c r="E1789" s="1">
        <v>45908</v>
      </c>
      <c r="F1789" s="3">
        <v>45917</v>
      </c>
      <c r="G1789" t="s">
        <v>52</v>
      </c>
      <c r="H1789" t="s">
        <v>53</v>
      </c>
      <c r="I1789" t="s">
        <v>43</v>
      </c>
      <c r="J1789">
        <v>3662.61</v>
      </c>
      <c r="K1789">
        <v>9</v>
      </c>
      <c r="L1789" t="s">
        <v>24</v>
      </c>
      <c r="M1789" t="s">
        <v>59</v>
      </c>
      <c r="N1789" t="s">
        <v>55</v>
      </c>
      <c r="O1789" t="s">
        <v>27</v>
      </c>
      <c r="P1789" t="s">
        <v>28</v>
      </c>
      <c r="Q1789">
        <v>1</v>
      </c>
      <c r="R1789">
        <v>853.69</v>
      </c>
      <c r="S1789" t="s">
        <v>39</v>
      </c>
    </row>
    <row r="1790" spans="1:19" x14ac:dyDescent="0.3">
      <c r="A1790" t="s">
        <v>1860</v>
      </c>
      <c r="B1790">
        <v>78</v>
      </c>
      <c r="C1790" t="s">
        <v>31</v>
      </c>
      <c r="D1790" t="s">
        <v>89</v>
      </c>
      <c r="E1790" s="1">
        <v>45581</v>
      </c>
      <c r="F1790" s="3">
        <v>45587</v>
      </c>
      <c r="G1790" t="s">
        <v>71</v>
      </c>
      <c r="H1790" t="s">
        <v>72</v>
      </c>
      <c r="I1790" t="s">
        <v>35</v>
      </c>
      <c r="J1790">
        <v>2101.5300000000002</v>
      </c>
      <c r="K1790">
        <v>6</v>
      </c>
      <c r="L1790" t="s">
        <v>24</v>
      </c>
      <c r="M1790" t="s">
        <v>25</v>
      </c>
      <c r="N1790" t="s">
        <v>26</v>
      </c>
      <c r="O1790" t="s">
        <v>37</v>
      </c>
      <c r="P1790" t="s">
        <v>45</v>
      </c>
      <c r="Q1790">
        <v>2</v>
      </c>
      <c r="R1790">
        <v>549.71</v>
      </c>
      <c r="S1790" t="s">
        <v>39</v>
      </c>
    </row>
    <row r="1791" spans="1:19" x14ac:dyDescent="0.3">
      <c r="A1791" t="s">
        <v>1861</v>
      </c>
      <c r="B1791">
        <v>50</v>
      </c>
      <c r="C1791" t="s">
        <v>19</v>
      </c>
      <c r="D1791" t="s">
        <v>66</v>
      </c>
      <c r="E1791" s="1">
        <v>45657</v>
      </c>
      <c r="F1791" s="3">
        <v>45680</v>
      </c>
      <c r="G1791" t="s">
        <v>74</v>
      </c>
      <c r="H1791" t="s">
        <v>75</v>
      </c>
      <c r="I1791" t="s">
        <v>43</v>
      </c>
      <c r="J1791">
        <v>12393.96</v>
      </c>
      <c r="K1791">
        <v>23</v>
      </c>
      <c r="L1791" t="s">
        <v>36</v>
      </c>
      <c r="M1791" t="s">
        <v>25</v>
      </c>
      <c r="N1791" t="s">
        <v>26</v>
      </c>
      <c r="O1791" t="s">
        <v>49</v>
      </c>
      <c r="P1791" t="s">
        <v>50</v>
      </c>
      <c r="Q1791">
        <v>10</v>
      </c>
      <c r="R1791">
        <v>3989.98</v>
      </c>
      <c r="S1791" t="s">
        <v>29</v>
      </c>
    </row>
    <row r="1792" spans="1:19" x14ac:dyDescent="0.3">
      <c r="A1792" t="s">
        <v>1862</v>
      </c>
      <c r="B1792">
        <v>61</v>
      </c>
      <c r="C1792" t="s">
        <v>31</v>
      </c>
      <c r="D1792" t="s">
        <v>79</v>
      </c>
      <c r="E1792" s="1">
        <v>45363</v>
      </c>
      <c r="F1792" s="3">
        <v>45374</v>
      </c>
      <c r="G1792" t="s">
        <v>62</v>
      </c>
      <c r="H1792" t="s">
        <v>63</v>
      </c>
      <c r="I1792" t="s">
        <v>81</v>
      </c>
      <c r="J1792">
        <v>5915.69</v>
      </c>
      <c r="K1792">
        <v>11</v>
      </c>
      <c r="L1792" t="s">
        <v>36</v>
      </c>
      <c r="M1792" t="s">
        <v>25</v>
      </c>
      <c r="N1792" t="s">
        <v>44</v>
      </c>
      <c r="O1792" t="s">
        <v>27</v>
      </c>
      <c r="P1792" t="s">
        <v>45</v>
      </c>
      <c r="Q1792">
        <v>9</v>
      </c>
      <c r="R1792">
        <v>1535.79</v>
      </c>
      <c r="S1792" t="s">
        <v>29</v>
      </c>
    </row>
    <row r="1793" spans="1:19" x14ac:dyDescent="0.3">
      <c r="A1793" t="s">
        <v>1863</v>
      </c>
      <c r="B1793">
        <v>79</v>
      </c>
      <c r="C1793" t="s">
        <v>19</v>
      </c>
      <c r="D1793" t="s">
        <v>66</v>
      </c>
      <c r="E1793" s="1">
        <v>45630</v>
      </c>
      <c r="F1793" s="3">
        <v>45639</v>
      </c>
      <c r="G1793" t="s">
        <v>52</v>
      </c>
      <c r="H1793" t="s">
        <v>53</v>
      </c>
      <c r="I1793" t="s">
        <v>58</v>
      </c>
      <c r="J1793">
        <v>7769.4</v>
      </c>
      <c r="K1793">
        <v>9</v>
      </c>
      <c r="L1793" t="s">
        <v>36</v>
      </c>
      <c r="M1793" t="s">
        <v>25</v>
      </c>
      <c r="N1793" t="s">
        <v>44</v>
      </c>
      <c r="O1793" t="s">
        <v>27</v>
      </c>
      <c r="P1793" t="s">
        <v>45</v>
      </c>
      <c r="Q1793">
        <v>11</v>
      </c>
      <c r="R1793">
        <v>2635.1</v>
      </c>
      <c r="S1793" t="s">
        <v>29</v>
      </c>
    </row>
    <row r="1794" spans="1:19" x14ac:dyDescent="0.3">
      <c r="A1794" t="s">
        <v>1864</v>
      </c>
      <c r="B1794">
        <v>71</v>
      </c>
      <c r="C1794" t="s">
        <v>31</v>
      </c>
      <c r="D1794" t="s">
        <v>89</v>
      </c>
      <c r="E1794" s="1">
        <v>45520</v>
      </c>
      <c r="F1794" s="3">
        <v>45532</v>
      </c>
      <c r="G1794" t="s">
        <v>62</v>
      </c>
      <c r="H1794" t="s">
        <v>63</v>
      </c>
      <c r="I1794" t="s">
        <v>91</v>
      </c>
      <c r="J1794">
        <v>10134.040000000001</v>
      </c>
      <c r="K1794">
        <v>12</v>
      </c>
      <c r="L1794" t="s">
        <v>36</v>
      </c>
      <c r="M1794" t="s">
        <v>25</v>
      </c>
      <c r="N1794" t="s">
        <v>55</v>
      </c>
      <c r="O1794" t="s">
        <v>27</v>
      </c>
      <c r="P1794" t="s">
        <v>50</v>
      </c>
      <c r="Q1794">
        <v>15</v>
      </c>
      <c r="R1794">
        <v>3176.13</v>
      </c>
      <c r="S1794" t="s">
        <v>29</v>
      </c>
    </row>
    <row r="1795" spans="1:19" x14ac:dyDescent="0.3">
      <c r="A1795" t="s">
        <v>1865</v>
      </c>
      <c r="B1795">
        <v>58</v>
      </c>
      <c r="C1795" t="s">
        <v>19</v>
      </c>
      <c r="D1795" t="s">
        <v>70</v>
      </c>
      <c r="E1795" s="1">
        <v>45440</v>
      </c>
      <c r="F1795" s="3">
        <v>45445</v>
      </c>
      <c r="G1795" t="s">
        <v>62</v>
      </c>
      <c r="H1795" t="s">
        <v>63</v>
      </c>
      <c r="I1795" t="s">
        <v>54</v>
      </c>
      <c r="J1795">
        <v>7638.72</v>
      </c>
      <c r="K1795">
        <v>5</v>
      </c>
      <c r="L1795" t="s">
        <v>36</v>
      </c>
      <c r="M1795" t="s">
        <v>25</v>
      </c>
      <c r="N1795" t="s">
        <v>55</v>
      </c>
      <c r="O1795" t="s">
        <v>49</v>
      </c>
      <c r="P1795" t="s">
        <v>38</v>
      </c>
      <c r="Q1795">
        <v>13</v>
      </c>
      <c r="R1795">
        <v>3003.21</v>
      </c>
      <c r="S1795" t="s">
        <v>29</v>
      </c>
    </row>
    <row r="1796" spans="1:19" x14ac:dyDescent="0.3">
      <c r="A1796" t="s">
        <v>1866</v>
      </c>
      <c r="B1796">
        <v>90</v>
      </c>
      <c r="C1796" t="s">
        <v>19</v>
      </c>
      <c r="D1796" t="s">
        <v>66</v>
      </c>
      <c r="E1796" s="1">
        <v>45344</v>
      </c>
      <c r="F1796" s="3">
        <v>45351</v>
      </c>
      <c r="G1796" t="s">
        <v>67</v>
      </c>
      <c r="H1796" t="s">
        <v>42</v>
      </c>
      <c r="I1796" t="s">
        <v>35</v>
      </c>
      <c r="J1796">
        <v>5605.22</v>
      </c>
      <c r="K1796">
        <v>7</v>
      </c>
      <c r="L1796" t="s">
        <v>36</v>
      </c>
      <c r="M1796" t="s">
        <v>25</v>
      </c>
      <c r="N1796" t="s">
        <v>55</v>
      </c>
      <c r="O1796" t="s">
        <v>37</v>
      </c>
      <c r="P1796" t="s">
        <v>45</v>
      </c>
      <c r="Q1796">
        <v>3</v>
      </c>
      <c r="R1796">
        <v>1594.09</v>
      </c>
      <c r="S1796" t="s">
        <v>29</v>
      </c>
    </row>
    <row r="1797" spans="1:19" x14ac:dyDescent="0.3">
      <c r="A1797" t="s">
        <v>1867</v>
      </c>
      <c r="B1797">
        <v>82</v>
      </c>
      <c r="C1797" t="s">
        <v>31</v>
      </c>
      <c r="D1797" t="s">
        <v>79</v>
      </c>
      <c r="E1797" s="1">
        <v>45226</v>
      </c>
      <c r="F1797" s="3">
        <v>45235</v>
      </c>
      <c r="G1797" t="s">
        <v>62</v>
      </c>
      <c r="H1797" t="s">
        <v>63</v>
      </c>
      <c r="I1797" t="s">
        <v>91</v>
      </c>
      <c r="J1797">
        <v>10595.08</v>
      </c>
      <c r="K1797">
        <v>9</v>
      </c>
      <c r="L1797" t="s">
        <v>36</v>
      </c>
      <c r="M1797" t="s">
        <v>59</v>
      </c>
      <c r="N1797" t="s">
        <v>55</v>
      </c>
      <c r="O1797" t="s">
        <v>49</v>
      </c>
      <c r="P1797" t="s">
        <v>45</v>
      </c>
      <c r="Q1797">
        <v>3</v>
      </c>
      <c r="R1797">
        <v>2084.63</v>
      </c>
      <c r="S1797" t="s">
        <v>29</v>
      </c>
    </row>
    <row r="1798" spans="1:19" x14ac:dyDescent="0.3">
      <c r="A1798" t="s">
        <v>1868</v>
      </c>
      <c r="B1798">
        <v>63</v>
      </c>
      <c r="C1798" t="s">
        <v>31</v>
      </c>
      <c r="D1798" t="s">
        <v>70</v>
      </c>
      <c r="E1798" s="1">
        <v>45480</v>
      </c>
      <c r="F1798" s="3">
        <v>45483</v>
      </c>
      <c r="G1798" t="s">
        <v>67</v>
      </c>
      <c r="H1798" t="s">
        <v>42</v>
      </c>
      <c r="I1798" t="s">
        <v>23</v>
      </c>
      <c r="J1798">
        <v>4754.76</v>
      </c>
      <c r="K1798">
        <v>3</v>
      </c>
      <c r="L1798" t="s">
        <v>36</v>
      </c>
      <c r="M1798" t="s">
        <v>76</v>
      </c>
      <c r="N1798" t="s">
        <v>44</v>
      </c>
      <c r="O1798" t="s">
        <v>37</v>
      </c>
      <c r="P1798" t="s">
        <v>38</v>
      </c>
      <c r="Q1798">
        <v>3</v>
      </c>
      <c r="R1798">
        <v>1336.06</v>
      </c>
      <c r="S1798" t="s">
        <v>29</v>
      </c>
    </row>
    <row r="1799" spans="1:19" x14ac:dyDescent="0.3">
      <c r="A1799" t="s">
        <v>1869</v>
      </c>
      <c r="B1799">
        <v>18</v>
      </c>
      <c r="C1799" t="s">
        <v>19</v>
      </c>
      <c r="D1799" t="s">
        <v>32</v>
      </c>
      <c r="E1799" s="1">
        <v>45475</v>
      </c>
      <c r="F1799" s="3">
        <v>45479</v>
      </c>
      <c r="G1799" t="s">
        <v>93</v>
      </c>
      <c r="H1799" t="s">
        <v>72</v>
      </c>
      <c r="I1799" t="s">
        <v>83</v>
      </c>
      <c r="J1799">
        <v>9566.24</v>
      </c>
      <c r="K1799">
        <v>4</v>
      </c>
      <c r="L1799" t="s">
        <v>36</v>
      </c>
      <c r="M1799" t="s">
        <v>59</v>
      </c>
      <c r="N1799" t="s">
        <v>55</v>
      </c>
      <c r="O1799" t="s">
        <v>49</v>
      </c>
      <c r="P1799" t="s">
        <v>38</v>
      </c>
      <c r="Q1799">
        <v>15</v>
      </c>
      <c r="R1799">
        <v>3738.2</v>
      </c>
      <c r="S1799" t="s">
        <v>29</v>
      </c>
    </row>
    <row r="1800" spans="1:19" x14ac:dyDescent="0.3">
      <c r="A1800" t="s">
        <v>1870</v>
      </c>
      <c r="B1800">
        <v>18</v>
      </c>
      <c r="C1800" t="s">
        <v>19</v>
      </c>
      <c r="D1800" t="s">
        <v>32</v>
      </c>
      <c r="E1800" s="1">
        <v>45167</v>
      </c>
      <c r="F1800" s="3">
        <v>45173</v>
      </c>
      <c r="G1800" t="s">
        <v>74</v>
      </c>
      <c r="H1800" t="s">
        <v>75</v>
      </c>
      <c r="I1800" t="s">
        <v>54</v>
      </c>
      <c r="J1800">
        <v>4129.7299999999996</v>
      </c>
      <c r="K1800">
        <v>6</v>
      </c>
      <c r="L1800" t="s">
        <v>24</v>
      </c>
      <c r="M1800" t="s">
        <v>25</v>
      </c>
      <c r="N1800" t="s">
        <v>26</v>
      </c>
      <c r="O1800" t="s">
        <v>56</v>
      </c>
      <c r="P1800" t="s">
        <v>38</v>
      </c>
      <c r="Q1800">
        <v>8</v>
      </c>
      <c r="R1800">
        <v>744.97</v>
      </c>
      <c r="S1800" t="s">
        <v>39</v>
      </c>
    </row>
    <row r="1801" spans="1:19" x14ac:dyDescent="0.3">
      <c r="A1801" t="s">
        <v>1871</v>
      </c>
      <c r="B1801">
        <v>25</v>
      </c>
      <c r="C1801" t="s">
        <v>19</v>
      </c>
      <c r="D1801" t="s">
        <v>47</v>
      </c>
      <c r="E1801" s="1">
        <v>45338</v>
      </c>
      <c r="F1801" s="3">
        <v>45344</v>
      </c>
      <c r="G1801" t="s">
        <v>52</v>
      </c>
      <c r="H1801" t="s">
        <v>53</v>
      </c>
      <c r="I1801" t="s">
        <v>23</v>
      </c>
      <c r="J1801">
        <v>5022.97</v>
      </c>
      <c r="K1801">
        <v>6</v>
      </c>
      <c r="L1801" t="s">
        <v>24</v>
      </c>
      <c r="M1801" t="s">
        <v>101</v>
      </c>
      <c r="N1801" t="s">
        <v>26</v>
      </c>
      <c r="O1801" t="s">
        <v>56</v>
      </c>
      <c r="P1801" t="s">
        <v>45</v>
      </c>
      <c r="Q1801">
        <v>9</v>
      </c>
      <c r="R1801">
        <v>1909.13</v>
      </c>
      <c r="S1801" t="s">
        <v>29</v>
      </c>
    </row>
    <row r="1802" spans="1:19" x14ac:dyDescent="0.3">
      <c r="A1802" t="s">
        <v>1872</v>
      </c>
      <c r="B1802">
        <v>84</v>
      </c>
      <c r="C1802" t="s">
        <v>31</v>
      </c>
      <c r="D1802" t="s">
        <v>32</v>
      </c>
      <c r="E1802" s="1">
        <v>45380</v>
      </c>
      <c r="F1802" s="3">
        <v>45396</v>
      </c>
      <c r="G1802" t="s">
        <v>67</v>
      </c>
      <c r="H1802" t="s">
        <v>42</v>
      </c>
      <c r="I1802" t="s">
        <v>83</v>
      </c>
      <c r="J1802">
        <v>6499.09</v>
      </c>
      <c r="K1802">
        <v>16</v>
      </c>
      <c r="L1802" t="s">
        <v>36</v>
      </c>
      <c r="M1802" t="s">
        <v>25</v>
      </c>
      <c r="N1802" t="s">
        <v>26</v>
      </c>
      <c r="O1802" t="s">
        <v>56</v>
      </c>
      <c r="P1802" t="s">
        <v>45</v>
      </c>
      <c r="Q1802">
        <v>13</v>
      </c>
      <c r="R1802">
        <v>1494.75</v>
      </c>
      <c r="S1802" t="s">
        <v>29</v>
      </c>
    </row>
    <row r="1803" spans="1:19" x14ac:dyDescent="0.3">
      <c r="A1803" t="s">
        <v>1873</v>
      </c>
      <c r="B1803">
        <v>48</v>
      </c>
      <c r="C1803" t="s">
        <v>19</v>
      </c>
      <c r="D1803" t="s">
        <v>79</v>
      </c>
      <c r="E1803" s="1">
        <v>45082</v>
      </c>
      <c r="F1803" s="3">
        <v>45101</v>
      </c>
      <c r="G1803" t="s">
        <v>71</v>
      </c>
      <c r="H1803" t="s">
        <v>72</v>
      </c>
      <c r="I1803" t="s">
        <v>81</v>
      </c>
      <c r="J1803">
        <v>11315.84</v>
      </c>
      <c r="K1803">
        <v>19</v>
      </c>
      <c r="L1803" t="s">
        <v>36</v>
      </c>
      <c r="M1803" t="s">
        <v>25</v>
      </c>
      <c r="N1803" t="s">
        <v>26</v>
      </c>
      <c r="O1803" t="s">
        <v>27</v>
      </c>
      <c r="P1803" t="s">
        <v>45</v>
      </c>
      <c r="Q1803">
        <v>8</v>
      </c>
      <c r="R1803">
        <v>4315.45</v>
      </c>
      <c r="S1803" t="s">
        <v>29</v>
      </c>
    </row>
    <row r="1804" spans="1:19" x14ac:dyDescent="0.3">
      <c r="A1804" t="s">
        <v>1874</v>
      </c>
      <c r="B1804">
        <v>72</v>
      </c>
      <c r="C1804" t="s">
        <v>19</v>
      </c>
      <c r="D1804" t="s">
        <v>89</v>
      </c>
      <c r="E1804" s="1">
        <v>45376</v>
      </c>
      <c r="F1804" s="3">
        <v>45381</v>
      </c>
      <c r="G1804" t="s">
        <v>67</v>
      </c>
      <c r="H1804" t="s">
        <v>42</v>
      </c>
      <c r="I1804" t="s">
        <v>58</v>
      </c>
      <c r="J1804">
        <v>3182.48</v>
      </c>
      <c r="K1804">
        <v>5</v>
      </c>
      <c r="L1804" t="s">
        <v>24</v>
      </c>
      <c r="M1804" t="s">
        <v>25</v>
      </c>
      <c r="N1804" t="s">
        <v>55</v>
      </c>
      <c r="O1804" t="s">
        <v>27</v>
      </c>
      <c r="P1804" t="s">
        <v>50</v>
      </c>
      <c r="Q1804">
        <v>3</v>
      </c>
      <c r="R1804">
        <v>1102.1099999999999</v>
      </c>
      <c r="S1804" t="s">
        <v>29</v>
      </c>
    </row>
    <row r="1805" spans="1:19" x14ac:dyDescent="0.3">
      <c r="A1805" t="s">
        <v>1875</v>
      </c>
      <c r="B1805">
        <v>41</v>
      </c>
      <c r="C1805" t="s">
        <v>19</v>
      </c>
      <c r="D1805" t="s">
        <v>70</v>
      </c>
      <c r="E1805" s="1">
        <v>45533</v>
      </c>
      <c r="F1805" s="3">
        <v>45542</v>
      </c>
      <c r="G1805" t="s">
        <v>52</v>
      </c>
      <c r="H1805" t="s">
        <v>53</v>
      </c>
      <c r="I1805" t="s">
        <v>91</v>
      </c>
      <c r="J1805">
        <v>3887.36</v>
      </c>
      <c r="K1805">
        <v>9</v>
      </c>
      <c r="L1805" t="s">
        <v>36</v>
      </c>
      <c r="M1805" t="s">
        <v>25</v>
      </c>
      <c r="N1805" t="s">
        <v>44</v>
      </c>
      <c r="O1805" t="s">
        <v>27</v>
      </c>
      <c r="P1805" t="s">
        <v>50</v>
      </c>
      <c r="Q1805">
        <v>4</v>
      </c>
      <c r="R1805">
        <v>850.19</v>
      </c>
      <c r="S1805" t="s">
        <v>39</v>
      </c>
    </row>
    <row r="1806" spans="1:19" x14ac:dyDescent="0.3">
      <c r="A1806" t="s">
        <v>1876</v>
      </c>
      <c r="B1806">
        <v>87</v>
      </c>
      <c r="C1806" t="s">
        <v>19</v>
      </c>
      <c r="D1806" t="s">
        <v>20</v>
      </c>
      <c r="E1806" s="1">
        <v>45099</v>
      </c>
      <c r="F1806" s="3">
        <v>45102</v>
      </c>
      <c r="G1806" t="s">
        <v>67</v>
      </c>
      <c r="H1806" t="s">
        <v>42</v>
      </c>
      <c r="I1806" t="s">
        <v>58</v>
      </c>
      <c r="J1806">
        <v>1746.95</v>
      </c>
      <c r="K1806">
        <v>3</v>
      </c>
      <c r="L1806" t="s">
        <v>24</v>
      </c>
      <c r="M1806" t="s">
        <v>25</v>
      </c>
      <c r="N1806" t="s">
        <v>44</v>
      </c>
      <c r="O1806" t="s">
        <v>56</v>
      </c>
      <c r="P1806" t="s">
        <v>28</v>
      </c>
      <c r="Q1806">
        <v>10</v>
      </c>
      <c r="R1806">
        <v>677.99</v>
      </c>
      <c r="S1806" t="s">
        <v>29</v>
      </c>
    </row>
    <row r="1807" spans="1:19" x14ac:dyDescent="0.3">
      <c r="A1807" t="s">
        <v>1877</v>
      </c>
      <c r="B1807">
        <v>49</v>
      </c>
      <c r="C1807" t="s">
        <v>31</v>
      </c>
      <c r="D1807" t="s">
        <v>89</v>
      </c>
      <c r="E1807" s="1">
        <v>45525</v>
      </c>
      <c r="F1807" s="3">
        <v>45531</v>
      </c>
      <c r="G1807" t="s">
        <v>33</v>
      </c>
      <c r="H1807" t="s">
        <v>34</v>
      </c>
      <c r="I1807" t="s">
        <v>83</v>
      </c>
      <c r="J1807">
        <v>4145.3500000000004</v>
      </c>
      <c r="K1807">
        <v>6</v>
      </c>
      <c r="L1807" t="s">
        <v>36</v>
      </c>
      <c r="M1807" t="s">
        <v>25</v>
      </c>
      <c r="N1807" t="s">
        <v>44</v>
      </c>
      <c r="O1807" t="s">
        <v>56</v>
      </c>
      <c r="P1807" t="s">
        <v>38</v>
      </c>
      <c r="Q1807">
        <v>8</v>
      </c>
      <c r="R1807">
        <v>876.25</v>
      </c>
      <c r="S1807" t="s">
        <v>39</v>
      </c>
    </row>
    <row r="1808" spans="1:19" x14ac:dyDescent="0.3">
      <c r="A1808" t="s">
        <v>1878</v>
      </c>
      <c r="B1808">
        <v>42</v>
      </c>
      <c r="C1808" t="s">
        <v>19</v>
      </c>
      <c r="D1808" t="s">
        <v>89</v>
      </c>
      <c r="E1808" s="1">
        <v>45698</v>
      </c>
      <c r="F1808" s="3">
        <v>45707</v>
      </c>
      <c r="G1808" t="s">
        <v>48</v>
      </c>
      <c r="H1808" t="s">
        <v>22</v>
      </c>
      <c r="I1808" t="s">
        <v>23</v>
      </c>
      <c r="J1808">
        <v>4188.9799999999996</v>
      </c>
      <c r="K1808">
        <v>9</v>
      </c>
      <c r="L1808" t="s">
        <v>24</v>
      </c>
      <c r="M1808" t="s">
        <v>25</v>
      </c>
      <c r="N1808" t="s">
        <v>55</v>
      </c>
      <c r="O1808" t="s">
        <v>27</v>
      </c>
      <c r="P1808" t="s">
        <v>38</v>
      </c>
      <c r="Q1808">
        <v>9</v>
      </c>
      <c r="R1808">
        <v>1607.38</v>
      </c>
      <c r="S1808" t="s">
        <v>29</v>
      </c>
    </row>
    <row r="1809" spans="1:19" x14ac:dyDescent="0.3">
      <c r="A1809" t="s">
        <v>1879</v>
      </c>
      <c r="B1809">
        <v>70</v>
      </c>
      <c r="C1809" t="s">
        <v>19</v>
      </c>
      <c r="D1809" t="s">
        <v>32</v>
      </c>
      <c r="E1809" s="1">
        <v>45379</v>
      </c>
      <c r="F1809" s="3">
        <v>45392</v>
      </c>
      <c r="G1809" t="s">
        <v>52</v>
      </c>
      <c r="H1809" t="s">
        <v>53</v>
      </c>
      <c r="I1809" t="s">
        <v>23</v>
      </c>
      <c r="J1809">
        <v>12412.99</v>
      </c>
      <c r="K1809">
        <v>13</v>
      </c>
      <c r="L1809" t="s">
        <v>36</v>
      </c>
      <c r="M1809" t="s">
        <v>25</v>
      </c>
      <c r="N1809" t="s">
        <v>26</v>
      </c>
      <c r="O1809" t="s">
        <v>49</v>
      </c>
      <c r="P1809" t="s">
        <v>38</v>
      </c>
      <c r="Q1809">
        <v>10</v>
      </c>
      <c r="R1809">
        <v>3174.72</v>
      </c>
      <c r="S1809" t="s">
        <v>29</v>
      </c>
    </row>
    <row r="1810" spans="1:19" x14ac:dyDescent="0.3">
      <c r="A1810" t="s">
        <v>1880</v>
      </c>
      <c r="B1810">
        <v>41</v>
      </c>
      <c r="C1810" t="s">
        <v>19</v>
      </c>
      <c r="D1810" t="s">
        <v>70</v>
      </c>
      <c r="E1810" s="1">
        <v>45322</v>
      </c>
      <c r="F1810" s="3">
        <v>45327</v>
      </c>
      <c r="G1810" t="s">
        <v>62</v>
      </c>
      <c r="H1810" t="s">
        <v>63</v>
      </c>
      <c r="I1810" t="s">
        <v>83</v>
      </c>
      <c r="J1810">
        <v>9166.52</v>
      </c>
      <c r="K1810">
        <v>5</v>
      </c>
      <c r="L1810" t="s">
        <v>24</v>
      </c>
      <c r="M1810" t="s">
        <v>59</v>
      </c>
      <c r="N1810" t="s">
        <v>44</v>
      </c>
      <c r="O1810" t="s">
        <v>49</v>
      </c>
      <c r="P1810" t="s">
        <v>45</v>
      </c>
      <c r="Q1810">
        <v>4</v>
      </c>
      <c r="R1810">
        <v>3601.33</v>
      </c>
      <c r="S1810" t="s">
        <v>29</v>
      </c>
    </row>
    <row r="1811" spans="1:19" x14ac:dyDescent="0.3">
      <c r="A1811" t="s">
        <v>1881</v>
      </c>
      <c r="B1811">
        <v>54</v>
      </c>
      <c r="C1811" t="s">
        <v>19</v>
      </c>
      <c r="D1811" t="s">
        <v>89</v>
      </c>
      <c r="E1811" s="1">
        <v>45868</v>
      </c>
      <c r="F1811" s="3">
        <v>45885</v>
      </c>
      <c r="G1811" t="s">
        <v>21</v>
      </c>
      <c r="H1811" t="s">
        <v>22</v>
      </c>
      <c r="I1811" t="s">
        <v>58</v>
      </c>
      <c r="J1811">
        <v>14771.94</v>
      </c>
      <c r="K1811">
        <v>17</v>
      </c>
      <c r="L1811" t="s">
        <v>36</v>
      </c>
      <c r="M1811" t="s">
        <v>25</v>
      </c>
      <c r="N1811" t="s">
        <v>55</v>
      </c>
      <c r="O1811" t="s">
        <v>49</v>
      </c>
      <c r="P1811" t="s">
        <v>38</v>
      </c>
      <c r="Q1811">
        <v>15</v>
      </c>
      <c r="R1811">
        <v>5054.51</v>
      </c>
      <c r="S1811" t="s">
        <v>39</v>
      </c>
    </row>
    <row r="1812" spans="1:19" x14ac:dyDescent="0.3">
      <c r="A1812" t="s">
        <v>1882</v>
      </c>
      <c r="B1812">
        <v>82</v>
      </c>
      <c r="C1812" t="s">
        <v>31</v>
      </c>
      <c r="D1812" t="s">
        <v>66</v>
      </c>
      <c r="E1812" s="1">
        <v>45614</v>
      </c>
      <c r="F1812" s="3">
        <v>45628</v>
      </c>
      <c r="G1812" t="s">
        <v>52</v>
      </c>
      <c r="H1812" t="s">
        <v>53</v>
      </c>
      <c r="I1812" t="s">
        <v>35</v>
      </c>
      <c r="J1812">
        <v>9574.77</v>
      </c>
      <c r="K1812">
        <v>14</v>
      </c>
      <c r="L1812" t="s">
        <v>36</v>
      </c>
      <c r="M1812" t="s">
        <v>101</v>
      </c>
      <c r="N1812" t="s">
        <v>26</v>
      </c>
      <c r="O1812" t="s">
        <v>56</v>
      </c>
      <c r="P1812" t="s">
        <v>50</v>
      </c>
      <c r="Q1812">
        <v>1</v>
      </c>
      <c r="R1812">
        <v>2816.83</v>
      </c>
      <c r="S1812" t="s">
        <v>29</v>
      </c>
    </row>
    <row r="1813" spans="1:19" x14ac:dyDescent="0.3">
      <c r="A1813" t="s">
        <v>1883</v>
      </c>
      <c r="B1813">
        <v>49</v>
      </c>
      <c r="C1813" t="s">
        <v>31</v>
      </c>
      <c r="D1813" t="s">
        <v>79</v>
      </c>
      <c r="E1813" s="1">
        <v>45541</v>
      </c>
      <c r="F1813" s="3">
        <v>45559</v>
      </c>
      <c r="G1813" t="s">
        <v>52</v>
      </c>
      <c r="H1813" t="s">
        <v>53</v>
      </c>
      <c r="I1813" t="s">
        <v>54</v>
      </c>
      <c r="J1813">
        <v>15166.07</v>
      </c>
      <c r="K1813">
        <v>18</v>
      </c>
      <c r="L1813" t="s">
        <v>24</v>
      </c>
      <c r="M1813" t="s">
        <v>25</v>
      </c>
      <c r="N1813" t="s">
        <v>26</v>
      </c>
      <c r="O1813" t="s">
        <v>49</v>
      </c>
      <c r="P1813" t="s">
        <v>28</v>
      </c>
      <c r="Q1813">
        <v>3</v>
      </c>
      <c r="R1813">
        <v>3959.68</v>
      </c>
      <c r="S1813" t="s">
        <v>29</v>
      </c>
    </row>
    <row r="1814" spans="1:19" x14ac:dyDescent="0.3">
      <c r="A1814" t="s">
        <v>1884</v>
      </c>
      <c r="B1814">
        <v>85</v>
      </c>
      <c r="C1814" t="s">
        <v>31</v>
      </c>
      <c r="D1814" t="s">
        <v>20</v>
      </c>
      <c r="E1814" s="1">
        <v>45847</v>
      </c>
      <c r="F1814" s="3">
        <v>45865</v>
      </c>
      <c r="G1814" t="s">
        <v>48</v>
      </c>
      <c r="H1814" t="s">
        <v>22</v>
      </c>
      <c r="I1814" t="s">
        <v>43</v>
      </c>
      <c r="J1814">
        <v>10661.05</v>
      </c>
      <c r="K1814">
        <v>18</v>
      </c>
      <c r="L1814" t="s">
        <v>36</v>
      </c>
      <c r="M1814" t="s">
        <v>25</v>
      </c>
      <c r="N1814" t="s">
        <v>26</v>
      </c>
      <c r="O1814" t="s">
        <v>37</v>
      </c>
      <c r="P1814" t="s">
        <v>28</v>
      </c>
      <c r="Q1814">
        <v>1</v>
      </c>
      <c r="R1814">
        <v>1768.33</v>
      </c>
      <c r="S1814" t="s">
        <v>29</v>
      </c>
    </row>
    <row r="1815" spans="1:19" x14ac:dyDescent="0.3">
      <c r="A1815" t="s">
        <v>1885</v>
      </c>
      <c r="B1815">
        <v>56</v>
      </c>
      <c r="C1815" t="s">
        <v>31</v>
      </c>
      <c r="D1815" t="s">
        <v>89</v>
      </c>
      <c r="E1815" s="1">
        <v>45021</v>
      </c>
      <c r="F1815" s="3">
        <v>45025</v>
      </c>
      <c r="G1815" t="s">
        <v>48</v>
      </c>
      <c r="H1815" t="s">
        <v>22</v>
      </c>
      <c r="I1815" t="s">
        <v>43</v>
      </c>
      <c r="J1815">
        <v>3393.82</v>
      </c>
      <c r="K1815">
        <v>4</v>
      </c>
      <c r="L1815" t="s">
        <v>24</v>
      </c>
      <c r="M1815" t="s">
        <v>25</v>
      </c>
      <c r="N1815" t="s">
        <v>44</v>
      </c>
      <c r="O1815" t="s">
        <v>56</v>
      </c>
      <c r="P1815" t="s">
        <v>28</v>
      </c>
      <c r="Q1815">
        <v>15</v>
      </c>
      <c r="R1815">
        <v>896.53</v>
      </c>
      <c r="S1815" t="s">
        <v>29</v>
      </c>
    </row>
    <row r="1816" spans="1:19" x14ac:dyDescent="0.3">
      <c r="A1816" t="s">
        <v>1886</v>
      </c>
      <c r="B1816">
        <v>39</v>
      </c>
      <c r="C1816" t="s">
        <v>19</v>
      </c>
      <c r="D1816" t="s">
        <v>20</v>
      </c>
      <c r="E1816" s="1">
        <v>45720</v>
      </c>
      <c r="F1816" s="3">
        <v>45722</v>
      </c>
      <c r="G1816" t="s">
        <v>93</v>
      </c>
      <c r="H1816" t="s">
        <v>72</v>
      </c>
      <c r="I1816" t="s">
        <v>35</v>
      </c>
      <c r="J1816">
        <v>3697.56</v>
      </c>
      <c r="K1816">
        <v>2</v>
      </c>
      <c r="L1816" t="s">
        <v>36</v>
      </c>
      <c r="M1816" t="s">
        <v>25</v>
      </c>
      <c r="N1816" t="s">
        <v>26</v>
      </c>
      <c r="O1816" t="s">
        <v>56</v>
      </c>
      <c r="P1816" t="s">
        <v>28</v>
      </c>
      <c r="Q1816">
        <v>10</v>
      </c>
      <c r="R1816">
        <v>1396.68</v>
      </c>
      <c r="S1816" t="s">
        <v>29</v>
      </c>
    </row>
    <row r="1817" spans="1:19" x14ac:dyDescent="0.3">
      <c r="A1817" t="s">
        <v>1887</v>
      </c>
      <c r="B1817">
        <v>30</v>
      </c>
      <c r="C1817" t="s">
        <v>19</v>
      </c>
      <c r="D1817" t="s">
        <v>47</v>
      </c>
      <c r="E1817" s="1">
        <v>45881</v>
      </c>
      <c r="F1817" s="3">
        <v>45911</v>
      </c>
      <c r="G1817" t="s">
        <v>48</v>
      </c>
      <c r="H1817" t="s">
        <v>22</v>
      </c>
      <c r="I1817" t="s">
        <v>83</v>
      </c>
      <c r="J1817">
        <v>13530.81</v>
      </c>
      <c r="K1817">
        <v>30</v>
      </c>
      <c r="L1817" t="s">
        <v>24</v>
      </c>
      <c r="M1817" t="s">
        <v>25</v>
      </c>
      <c r="N1817" t="s">
        <v>26</v>
      </c>
      <c r="O1817" t="s">
        <v>49</v>
      </c>
      <c r="P1817" t="s">
        <v>50</v>
      </c>
      <c r="Q1817">
        <v>13</v>
      </c>
      <c r="R1817">
        <v>2892.48</v>
      </c>
      <c r="S1817" t="s">
        <v>39</v>
      </c>
    </row>
    <row r="1818" spans="1:19" x14ac:dyDescent="0.3">
      <c r="A1818" t="s">
        <v>1888</v>
      </c>
      <c r="B1818">
        <v>79</v>
      </c>
      <c r="C1818" t="s">
        <v>19</v>
      </c>
      <c r="D1818" t="s">
        <v>66</v>
      </c>
      <c r="E1818" s="1">
        <v>45864</v>
      </c>
      <c r="F1818" s="3">
        <v>45876</v>
      </c>
      <c r="G1818" t="s">
        <v>71</v>
      </c>
      <c r="H1818" t="s">
        <v>72</v>
      </c>
      <c r="I1818" t="s">
        <v>54</v>
      </c>
      <c r="J1818">
        <v>6612.9</v>
      </c>
      <c r="K1818">
        <v>12</v>
      </c>
      <c r="L1818" t="s">
        <v>24</v>
      </c>
      <c r="M1818" t="s">
        <v>25</v>
      </c>
      <c r="N1818" t="s">
        <v>26</v>
      </c>
      <c r="O1818" t="s">
        <v>27</v>
      </c>
      <c r="P1818" t="s">
        <v>28</v>
      </c>
      <c r="Q1818">
        <v>2</v>
      </c>
      <c r="R1818">
        <v>1553.83</v>
      </c>
      <c r="S1818" t="s">
        <v>29</v>
      </c>
    </row>
    <row r="1819" spans="1:19" x14ac:dyDescent="0.3">
      <c r="A1819" t="s">
        <v>1889</v>
      </c>
      <c r="B1819">
        <v>80</v>
      </c>
      <c r="C1819" t="s">
        <v>31</v>
      </c>
      <c r="D1819" t="s">
        <v>47</v>
      </c>
      <c r="E1819" s="1">
        <v>44954</v>
      </c>
      <c r="F1819" s="3">
        <v>44967</v>
      </c>
      <c r="G1819" t="s">
        <v>62</v>
      </c>
      <c r="H1819" t="s">
        <v>63</v>
      </c>
      <c r="I1819" t="s">
        <v>58</v>
      </c>
      <c r="J1819">
        <v>4071.97</v>
      </c>
      <c r="K1819">
        <v>13</v>
      </c>
      <c r="L1819" t="s">
        <v>36</v>
      </c>
      <c r="M1819" t="s">
        <v>25</v>
      </c>
      <c r="N1819" t="s">
        <v>44</v>
      </c>
      <c r="O1819" t="s">
        <v>27</v>
      </c>
      <c r="P1819" t="s">
        <v>28</v>
      </c>
      <c r="Q1819">
        <v>1</v>
      </c>
      <c r="R1819">
        <v>754.15</v>
      </c>
      <c r="S1819" t="s">
        <v>39</v>
      </c>
    </row>
    <row r="1820" spans="1:19" x14ac:dyDescent="0.3">
      <c r="A1820" t="s">
        <v>1890</v>
      </c>
      <c r="B1820">
        <v>28</v>
      </c>
      <c r="C1820" t="s">
        <v>19</v>
      </c>
      <c r="D1820" t="s">
        <v>79</v>
      </c>
      <c r="E1820" s="1">
        <v>45530</v>
      </c>
      <c r="F1820" s="3">
        <v>45534</v>
      </c>
      <c r="G1820" t="s">
        <v>41</v>
      </c>
      <c r="H1820" t="s">
        <v>42</v>
      </c>
      <c r="I1820" t="s">
        <v>91</v>
      </c>
      <c r="J1820">
        <v>7414.7</v>
      </c>
      <c r="K1820">
        <v>4</v>
      </c>
      <c r="L1820" t="s">
        <v>36</v>
      </c>
      <c r="M1820" t="s">
        <v>25</v>
      </c>
      <c r="N1820" t="s">
        <v>26</v>
      </c>
      <c r="O1820" t="s">
        <v>49</v>
      </c>
      <c r="P1820" t="s">
        <v>38</v>
      </c>
      <c r="Q1820">
        <v>8</v>
      </c>
      <c r="R1820">
        <v>2562.36</v>
      </c>
      <c r="S1820" t="s">
        <v>39</v>
      </c>
    </row>
    <row r="1821" spans="1:19" x14ac:dyDescent="0.3">
      <c r="A1821" t="s">
        <v>1891</v>
      </c>
      <c r="B1821">
        <v>27</v>
      </c>
      <c r="C1821" t="s">
        <v>31</v>
      </c>
      <c r="D1821" t="s">
        <v>32</v>
      </c>
      <c r="E1821" s="1">
        <v>45074</v>
      </c>
      <c r="F1821" s="3">
        <v>45091</v>
      </c>
      <c r="G1821" t="s">
        <v>48</v>
      </c>
      <c r="H1821" t="s">
        <v>22</v>
      </c>
      <c r="I1821" t="s">
        <v>81</v>
      </c>
      <c r="J1821">
        <v>9368.76</v>
      </c>
      <c r="K1821">
        <v>17</v>
      </c>
      <c r="L1821" t="s">
        <v>36</v>
      </c>
      <c r="M1821" t="s">
        <v>25</v>
      </c>
      <c r="N1821" t="s">
        <v>26</v>
      </c>
      <c r="O1821" t="s">
        <v>27</v>
      </c>
      <c r="P1821" t="s">
        <v>50</v>
      </c>
      <c r="Q1821">
        <v>3</v>
      </c>
      <c r="R1821">
        <v>2333.4899999999998</v>
      </c>
      <c r="S1821" t="s">
        <v>29</v>
      </c>
    </row>
    <row r="1822" spans="1:19" x14ac:dyDescent="0.3">
      <c r="A1822" t="s">
        <v>1892</v>
      </c>
      <c r="B1822">
        <v>53</v>
      </c>
      <c r="C1822" t="s">
        <v>31</v>
      </c>
      <c r="D1822" t="s">
        <v>79</v>
      </c>
      <c r="E1822" s="1">
        <v>45202</v>
      </c>
      <c r="F1822" s="3">
        <v>45214</v>
      </c>
      <c r="G1822" t="s">
        <v>21</v>
      </c>
      <c r="H1822" t="s">
        <v>22</v>
      </c>
      <c r="I1822" t="s">
        <v>58</v>
      </c>
      <c r="J1822">
        <v>9530.5400000000009</v>
      </c>
      <c r="K1822">
        <v>12</v>
      </c>
      <c r="L1822" t="s">
        <v>24</v>
      </c>
      <c r="M1822" t="s">
        <v>25</v>
      </c>
      <c r="N1822" t="s">
        <v>26</v>
      </c>
      <c r="O1822" t="s">
        <v>27</v>
      </c>
      <c r="P1822" t="s">
        <v>45</v>
      </c>
      <c r="Q1822">
        <v>15</v>
      </c>
      <c r="R1822">
        <v>3176.08</v>
      </c>
      <c r="S1822" t="s">
        <v>29</v>
      </c>
    </row>
    <row r="1823" spans="1:19" x14ac:dyDescent="0.3">
      <c r="A1823" t="s">
        <v>1893</v>
      </c>
      <c r="B1823">
        <v>34</v>
      </c>
      <c r="C1823" t="s">
        <v>31</v>
      </c>
      <c r="D1823" t="s">
        <v>89</v>
      </c>
      <c r="E1823" s="1">
        <v>45083</v>
      </c>
      <c r="F1823" s="3">
        <v>45096</v>
      </c>
      <c r="G1823" t="s">
        <v>93</v>
      </c>
      <c r="H1823" t="s">
        <v>72</v>
      </c>
      <c r="I1823" t="s">
        <v>43</v>
      </c>
      <c r="J1823">
        <v>11173.17</v>
      </c>
      <c r="K1823">
        <v>13</v>
      </c>
      <c r="L1823" t="s">
        <v>36</v>
      </c>
      <c r="M1823" t="s">
        <v>25</v>
      </c>
      <c r="N1823" t="s">
        <v>55</v>
      </c>
      <c r="O1823" t="s">
        <v>37</v>
      </c>
      <c r="P1823" t="s">
        <v>28</v>
      </c>
      <c r="Q1823">
        <v>13</v>
      </c>
      <c r="R1823">
        <v>2134</v>
      </c>
      <c r="S1823" t="s">
        <v>29</v>
      </c>
    </row>
    <row r="1824" spans="1:19" x14ac:dyDescent="0.3">
      <c r="A1824" t="s">
        <v>1894</v>
      </c>
      <c r="B1824">
        <v>79</v>
      </c>
      <c r="C1824" t="s">
        <v>19</v>
      </c>
      <c r="D1824" t="s">
        <v>20</v>
      </c>
      <c r="E1824" s="1">
        <v>45505</v>
      </c>
      <c r="F1824" s="3">
        <v>45524</v>
      </c>
      <c r="G1824" t="s">
        <v>67</v>
      </c>
      <c r="H1824" t="s">
        <v>42</v>
      </c>
      <c r="I1824" t="s">
        <v>35</v>
      </c>
      <c r="J1824">
        <v>14908.53</v>
      </c>
      <c r="K1824">
        <v>19</v>
      </c>
      <c r="L1824" t="s">
        <v>36</v>
      </c>
      <c r="M1824" t="s">
        <v>25</v>
      </c>
      <c r="N1824" t="s">
        <v>44</v>
      </c>
      <c r="O1824" t="s">
        <v>49</v>
      </c>
      <c r="P1824" t="s">
        <v>38</v>
      </c>
      <c r="Q1824">
        <v>11</v>
      </c>
      <c r="R1824">
        <v>2393.54</v>
      </c>
      <c r="S1824" t="s">
        <v>39</v>
      </c>
    </row>
    <row r="1825" spans="1:19" x14ac:dyDescent="0.3">
      <c r="A1825" t="s">
        <v>1895</v>
      </c>
      <c r="B1825">
        <v>81</v>
      </c>
      <c r="C1825" t="s">
        <v>31</v>
      </c>
      <c r="D1825" t="s">
        <v>66</v>
      </c>
      <c r="E1825" s="1">
        <v>45158</v>
      </c>
      <c r="F1825" s="3">
        <v>45187</v>
      </c>
      <c r="G1825" t="s">
        <v>93</v>
      </c>
      <c r="H1825" t="s">
        <v>72</v>
      </c>
      <c r="I1825" t="s">
        <v>58</v>
      </c>
      <c r="J1825">
        <v>15879.87</v>
      </c>
      <c r="K1825">
        <v>29</v>
      </c>
      <c r="L1825" t="s">
        <v>36</v>
      </c>
      <c r="M1825" t="s">
        <v>25</v>
      </c>
      <c r="N1825" t="s">
        <v>26</v>
      </c>
      <c r="O1825" t="s">
        <v>49</v>
      </c>
      <c r="P1825" t="s">
        <v>50</v>
      </c>
      <c r="Q1825">
        <v>8</v>
      </c>
      <c r="R1825">
        <v>6165.66</v>
      </c>
      <c r="S1825" t="s">
        <v>29</v>
      </c>
    </row>
    <row r="1826" spans="1:19" x14ac:dyDescent="0.3">
      <c r="A1826" t="s">
        <v>1896</v>
      </c>
      <c r="B1826">
        <v>73</v>
      </c>
      <c r="C1826" t="s">
        <v>19</v>
      </c>
      <c r="D1826" t="s">
        <v>20</v>
      </c>
      <c r="E1826" s="1">
        <v>45392</v>
      </c>
      <c r="F1826" s="3">
        <v>45400</v>
      </c>
      <c r="G1826" t="s">
        <v>21</v>
      </c>
      <c r="H1826" t="s">
        <v>22</v>
      </c>
      <c r="I1826" t="s">
        <v>58</v>
      </c>
      <c r="J1826">
        <v>10138.700000000001</v>
      </c>
      <c r="K1826">
        <v>8</v>
      </c>
      <c r="L1826" t="s">
        <v>24</v>
      </c>
      <c r="M1826" t="s">
        <v>25</v>
      </c>
      <c r="N1826" t="s">
        <v>44</v>
      </c>
      <c r="O1826" t="s">
        <v>49</v>
      </c>
      <c r="P1826" t="s">
        <v>45</v>
      </c>
      <c r="Q1826">
        <v>13</v>
      </c>
      <c r="R1826">
        <v>3345.1</v>
      </c>
      <c r="S1826" t="s">
        <v>29</v>
      </c>
    </row>
    <row r="1827" spans="1:19" x14ac:dyDescent="0.3">
      <c r="A1827" t="s">
        <v>1897</v>
      </c>
      <c r="B1827">
        <v>28</v>
      </c>
      <c r="C1827" t="s">
        <v>31</v>
      </c>
      <c r="D1827" t="s">
        <v>47</v>
      </c>
      <c r="E1827" s="1">
        <v>45274</v>
      </c>
      <c r="F1827" s="3">
        <v>45283</v>
      </c>
      <c r="G1827" t="s">
        <v>62</v>
      </c>
      <c r="H1827" t="s">
        <v>63</v>
      </c>
      <c r="I1827" t="s">
        <v>58</v>
      </c>
      <c r="J1827">
        <v>3098.98</v>
      </c>
      <c r="K1827">
        <v>9</v>
      </c>
      <c r="L1827" t="s">
        <v>24</v>
      </c>
      <c r="M1827" t="s">
        <v>25</v>
      </c>
      <c r="N1827" t="s">
        <v>44</v>
      </c>
      <c r="O1827" t="s">
        <v>37</v>
      </c>
      <c r="P1827" t="s">
        <v>38</v>
      </c>
      <c r="Q1827">
        <v>4</v>
      </c>
      <c r="R1827">
        <v>514.04999999999995</v>
      </c>
      <c r="S1827" t="s">
        <v>29</v>
      </c>
    </row>
    <row r="1828" spans="1:19" x14ac:dyDescent="0.3">
      <c r="A1828" t="s">
        <v>1898</v>
      </c>
      <c r="B1828">
        <v>45</v>
      </c>
      <c r="C1828" t="s">
        <v>19</v>
      </c>
      <c r="D1828" t="s">
        <v>89</v>
      </c>
      <c r="E1828" s="1">
        <v>45800</v>
      </c>
      <c r="F1828" s="3">
        <v>45812</v>
      </c>
      <c r="G1828" t="s">
        <v>41</v>
      </c>
      <c r="H1828" t="s">
        <v>42</v>
      </c>
      <c r="I1828" t="s">
        <v>54</v>
      </c>
      <c r="J1828">
        <v>9987.68</v>
      </c>
      <c r="K1828">
        <v>12</v>
      </c>
      <c r="L1828" t="s">
        <v>24</v>
      </c>
      <c r="M1828" t="s">
        <v>101</v>
      </c>
      <c r="N1828" t="s">
        <v>55</v>
      </c>
      <c r="O1828" t="s">
        <v>56</v>
      </c>
      <c r="P1828" t="s">
        <v>28</v>
      </c>
      <c r="Q1828">
        <v>10</v>
      </c>
      <c r="R1828">
        <v>2895.79</v>
      </c>
      <c r="S1828" t="s">
        <v>29</v>
      </c>
    </row>
    <row r="1829" spans="1:19" x14ac:dyDescent="0.3">
      <c r="A1829" t="s">
        <v>1899</v>
      </c>
      <c r="B1829">
        <v>86</v>
      </c>
      <c r="C1829" t="s">
        <v>31</v>
      </c>
      <c r="D1829" t="s">
        <v>32</v>
      </c>
      <c r="E1829" s="1">
        <v>45874</v>
      </c>
      <c r="F1829" s="3">
        <v>45889</v>
      </c>
      <c r="G1829" t="s">
        <v>71</v>
      </c>
      <c r="H1829" t="s">
        <v>72</v>
      </c>
      <c r="I1829" t="s">
        <v>91</v>
      </c>
      <c r="J1829">
        <v>9169.15</v>
      </c>
      <c r="K1829">
        <v>15</v>
      </c>
      <c r="L1829" t="s">
        <v>36</v>
      </c>
      <c r="M1829" t="s">
        <v>25</v>
      </c>
      <c r="N1829" t="s">
        <v>44</v>
      </c>
      <c r="O1829" t="s">
        <v>37</v>
      </c>
      <c r="P1829" t="s">
        <v>45</v>
      </c>
      <c r="Q1829">
        <v>7</v>
      </c>
      <c r="R1829">
        <v>2090.4</v>
      </c>
      <c r="S1829" t="s">
        <v>29</v>
      </c>
    </row>
    <row r="1830" spans="1:19" x14ac:dyDescent="0.3">
      <c r="A1830" t="s">
        <v>1900</v>
      </c>
      <c r="B1830">
        <v>55</v>
      </c>
      <c r="C1830" t="s">
        <v>31</v>
      </c>
      <c r="D1830" t="s">
        <v>61</v>
      </c>
      <c r="E1830" s="1">
        <v>45147</v>
      </c>
      <c r="F1830" s="3">
        <v>45158</v>
      </c>
      <c r="G1830" t="s">
        <v>71</v>
      </c>
      <c r="H1830" t="s">
        <v>72</v>
      </c>
      <c r="I1830" t="s">
        <v>83</v>
      </c>
      <c r="J1830">
        <v>9034</v>
      </c>
      <c r="K1830">
        <v>11</v>
      </c>
      <c r="L1830" t="s">
        <v>24</v>
      </c>
      <c r="M1830" t="s">
        <v>25</v>
      </c>
      <c r="N1830" t="s">
        <v>44</v>
      </c>
      <c r="O1830" t="s">
        <v>49</v>
      </c>
      <c r="P1830" t="s">
        <v>50</v>
      </c>
      <c r="Q1830">
        <v>4</v>
      </c>
      <c r="R1830">
        <v>1531.92</v>
      </c>
      <c r="S1830" t="s">
        <v>29</v>
      </c>
    </row>
    <row r="1831" spans="1:19" x14ac:dyDescent="0.3">
      <c r="A1831" t="s">
        <v>1901</v>
      </c>
      <c r="B1831">
        <v>86</v>
      </c>
      <c r="C1831" t="s">
        <v>19</v>
      </c>
      <c r="D1831" t="s">
        <v>89</v>
      </c>
      <c r="E1831" s="1">
        <v>45862</v>
      </c>
      <c r="F1831" s="3">
        <v>45865</v>
      </c>
      <c r="G1831" t="s">
        <v>41</v>
      </c>
      <c r="H1831" t="s">
        <v>42</v>
      </c>
      <c r="I1831" t="s">
        <v>54</v>
      </c>
      <c r="J1831">
        <v>3208.1</v>
      </c>
      <c r="K1831">
        <v>3</v>
      </c>
      <c r="L1831" t="s">
        <v>36</v>
      </c>
      <c r="M1831" t="s">
        <v>25</v>
      </c>
      <c r="N1831" t="s">
        <v>26</v>
      </c>
      <c r="O1831" t="s">
        <v>56</v>
      </c>
      <c r="P1831" t="s">
        <v>50</v>
      </c>
      <c r="Q1831">
        <v>11</v>
      </c>
      <c r="R1831">
        <v>1186.73</v>
      </c>
      <c r="S1831" t="s">
        <v>29</v>
      </c>
    </row>
    <row r="1832" spans="1:19" x14ac:dyDescent="0.3">
      <c r="A1832" t="s">
        <v>1902</v>
      </c>
      <c r="B1832">
        <v>42</v>
      </c>
      <c r="C1832" t="s">
        <v>31</v>
      </c>
      <c r="D1832" t="s">
        <v>66</v>
      </c>
      <c r="E1832" s="1">
        <v>45859</v>
      </c>
      <c r="F1832" s="3">
        <v>45860</v>
      </c>
      <c r="G1832" t="s">
        <v>41</v>
      </c>
      <c r="H1832" t="s">
        <v>42</v>
      </c>
      <c r="I1832" t="s">
        <v>54</v>
      </c>
      <c r="J1832">
        <v>915.98</v>
      </c>
      <c r="K1832">
        <v>1</v>
      </c>
      <c r="L1832" t="s">
        <v>36</v>
      </c>
      <c r="M1832" t="s">
        <v>25</v>
      </c>
      <c r="N1832" t="s">
        <v>44</v>
      </c>
      <c r="O1832" t="s">
        <v>56</v>
      </c>
      <c r="P1832" t="s">
        <v>38</v>
      </c>
      <c r="Q1832">
        <v>1</v>
      </c>
      <c r="R1832">
        <v>188.93</v>
      </c>
      <c r="S1832" t="s">
        <v>29</v>
      </c>
    </row>
    <row r="1833" spans="1:19" x14ac:dyDescent="0.3">
      <c r="A1833" t="s">
        <v>1903</v>
      </c>
      <c r="B1833">
        <v>89</v>
      </c>
      <c r="C1833" t="s">
        <v>31</v>
      </c>
      <c r="D1833" t="s">
        <v>79</v>
      </c>
      <c r="E1833" s="1">
        <v>45910</v>
      </c>
      <c r="F1833" s="3">
        <v>45916</v>
      </c>
      <c r="G1833" t="s">
        <v>93</v>
      </c>
      <c r="H1833" t="s">
        <v>72</v>
      </c>
      <c r="I1833" t="s">
        <v>83</v>
      </c>
      <c r="J1833">
        <v>4082.59</v>
      </c>
      <c r="K1833">
        <v>6</v>
      </c>
      <c r="L1833" t="s">
        <v>36</v>
      </c>
      <c r="M1833" t="s">
        <v>101</v>
      </c>
      <c r="N1833" t="s">
        <v>26</v>
      </c>
      <c r="O1833" t="s">
        <v>27</v>
      </c>
      <c r="P1833" t="s">
        <v>38</v>
      </c>
      <c r="Q1833">
        <v>5</v>
      </c>
      <c r="R1833">
        <v>956.8</v>
      </c>
      <c r="S1833" t="s">
        <v>29</v>
      </c>
    </row>
    <row r="1834" spans="1:19" x14ac:dyDescent="0.3">
      <c r="A1834" t="s">
        <v>1904</v>
      </c>
      <c r="B1834">
        <v>48</v>
      </c>
      <c r="C1834" t="s">
        <v>19</v>
      </c>
      <c r="D1834" t="s">
        <v>66</v>
      </c>
      <c r="E1834" s="1">
        <v>45081</v>
      </c>
      <c r="F1834" s="3">
        <v>45090</v>
      </c>
      <c r="G1834" t="s">
        <v>48</v>
      </c>
      <c r="H1834" t="s">
        <v>22</v>
      </c>
      <c r="I1834" t="s">
        <v>43</v>
      </c>
      <c r="J1834">
        <v>4997.88</v>
      </c>
      <c r="K1834">
        <v>9</v>
      </c>
      <c r="L1834" t="s">
        <v>24</v>
      </c>
      <c r="M1834" t="s">
        <v>25</v>
      </c>
      <c r="N1834" t="s">
        <v>44</v>
      </c>
      <c r="O1834" t="s">
        <v>37</v>
      </c>
      <c r="P1834" t="s">
        <v>28</v>
      </c>
      <c r="Q1834">
        <v>14</v>
      </c>
      <c r="R1834">
        <v>942.74</v>
      </c>
      <c r="S1834" t="s">
        <v>29</v>
      </c>
    </row>
    <row r="1835" spans="1:19" x14ac:dyDescent="0.3">
      <c r="A1835" t="s">
        <v>1905</v>
      </c>
      <c r="B1835">
        <v>47</v>
      </c>
      <c r="C1835" t="s">
        <v>31</v>
      </c>
      <c r="D1835" t="s">
        <v>79</v>
      </c>
      <c r="E1835" s="1">
        <v>44962</v>
      </c>
      <c r="F1835" s="3">
        <v>44965</v>
      </c>
      <c r="G1835" t="s">
        <v>67</v>
      </c>
      <c r="H1835" t="s">
        <v>42</v>
      </c>
      <c r="I1835" t="s">
        <v>43</v>
      </c>
      <c r="J1835">
        <v>8255.33</v>
      </c>
      <c r="K1835">
        <v>3</v>
      </c>
      <c r="L1835" t="s">
        <v>24</v>
      </c>
      <c r="M1835" t="s">
        <v>25</v>
      </c>
      <c r="N1835" t="s">
        <v>44</v>
      </c>
      <c r="O1835" t="s">
        <v>49</v>
      </c>
      <c r="P1835" t="s">
        <v>45</v>
      </c>
      <c r="Q1835">
        <v>6</v>
      </c>
      <c r="R1835">
        <v>1845.01</v>
      </c>
      <c r="S1835" t="s">
        <v>29</v>
      </c>
    </row>
    <row r="1836" spans="1:19" x14ac:dyDescent="0.3">
      <c r="A1836" t="s">
        <v>1906</v>
      </c>
      <c r="B1836">
        <v>46</v>
      </c>
      <c r="C1836" t="s">
        <v>31</v>
      </c>
      <c r="D1836" t="s">
        <v>61</v>
      </c>
      <c r="E1836" s="1">
        <v>45301</v>
      </c>
      <c r="F1836" s="3">
        <v>45316</v>
      </c>
      <c r="G1836" t="s">
        <v>33</v>
      </c>
      <c r="H1836" t="s">
        <v>34</v>
      </c>
      <c r="I1836" t="s">
        <v>81</v>
      </c>
      <c r="J1836">
        <v>10729.91</v>
      </c>
      <c r="K1836">
        <v>15</v>
      </c>
      <c r="L1836" t="s">
        <v>36</v>
      </c>
      <c r="M1836" t="s">
        <v>25</v>
      </c>
      <c r="N1836" t="s">
        <v>26</v>
      </c>
      <c r="O1836" t="s">
        <v>27</v>
      </c>
      <c r="P1836" t="s">
        <v>45</v>
      </c>
      <c r="Q1836">
        <v>5</v>
      </c>
      <c r="R1836">
        <v>2596.35</v>
      </c>
      <c r="S1836" t="s">
        <v>29</v>
      </c>
    </row>
    <row r="1837" spans="1:19" x14ac:dyDescent="0.3">
      <c r="A1837" t="s">
        <v>1907</v>
      </c>
      <c r="B1837">
        <v>45</v>
      </c>
      <c r="C1837" t="s">
        <v>19</v>
      </c>
      <c r="D1837" t="s">
        <v>66</v>
      </c>
      <c r="E1837" s="1">
        <v>45301</v>
      </c>
      <c r="F1837" s="3">
        <v>45308</v>
      </c>
      <c r="G1837" t="s">
        <v>74</v>
      </c>
      <c r="H1837" t="s">
        <v>75</v>
      </c>
      <c r="I1837" t="s">
        <v>58</v>
      </c>
      <c r="J1837">
        <v>4029.51</v>
      </c>
      <c r="K1837">
        <v>7</v>
      </c>
      <c r="L1837" t="s">
        <v>36</v>
      </c>
      <c r="M1837" t="s">
        <v>25</v>
      </c>
      <c r="N1837" t="s">
        <v>55</v>
      </c>
      <c r="O1837" t="s">
        <v>27</v>
      </c>
      <c r="P1837" t="s">
        <v>45</v>
      </c>
      <c r="Q1837">
        <v>8</v>
      </c>
      <c r="R1837">
        <v>1284.8</v>
      </c>
      <c r="S1837" t="s">
        <v>29</v>
      </c>
    </row>
    <row r="1838" spans="1:19" x14ac:dyDescent="0.3">
      <c r="A1838" t="s">
        <v>1908</v>
      </c>
      <c r="B1838">
        <v>26</v>
      </c>
      <c r="C1838" t="s">
        <v>19</v>
      </c>
      <c r="D1838" t="s">
        <v>66</v>
      </c>
      <c r="E1838" s="1">
        <v>45124</v>
      </c>
      <c r="F1838" s="3">
        <v>45144</v>
      </c>
      <c r="G1838" t="s">
        <v>52</v>
      </c>
      <c r="H1838" t="s">
        <v>53</v>
      </c>
      <c r="I1838" t="s">
        <v>81</v>
      </c>
      <c r="J1838">
        <v>9240.92</v>
      </c>
      <c r="K1838">
        <v>20</v>
      </c>
      <c r="L1838" t="s">
        <v>24</v>
      </c>
      <c r="M1838" t="s">
        <v>25</v>
      </c>
      <c r="N1838" t="s">
        <v>55</v>
      </c>
      <c r="O1838" t="s">
        <v>37</v>
      </c>
      <c r="P1838" t="s">
        <v>28</v>
      </c>
      <c r="Q1838">
        <v>2</v>
      </c>
      <c r="R1838">
        <v>3360.84</v>
      </c>
      <c r="S1838" t="s">
        <v>29</v>
      </c>
    </row>
    <row r="1839" spans="1:19" x14ac:dyDescent="0.3">
      <c r="A1839" t="s">
        <v>1909</v>
      </c>
      <c r="B1839">
        <v>51</v>
      </c>
      <c r="C1839" t="s">
        <v>19</v>
      </c>
      <c r="D1839" t="s">
        <v>20</v>
      </c>
      <c r="E1839" s="1">
        <v>45322</v>
      </c>
      <c r="F1839" s="3">
        <v>45350</v>
      </c>
      <c r="G1839" t="s">
        <v>21</v>
      </c>
      <c r="H1839" t="s">
        <v>22</v>
      </c>
      <c r="I1839" t="s">
        <v>81</v>
      </c>
      <c r="J1839">
        <v>22815.759999999998</v>
      </c>
      <c r="K1839">
        <v>28</v>
      </c>
      <c r="L1839" t="s">
        <v>24</v>
      </c>
      <c r="M1839" t="s">
        <v>25</v>
      </c>
      <c r="N1839" t="s">
        <v>26</v>
      </c>
      <c r="O1839" t="s">
        <v>49</v>
      </c>
      <c r="P1839" t="s">
        <v>45</v>
      </c>
      <c r="Q1839">
        <v>7</v>
      </c>
      <c r="R1839">
        <v>6003.65</v>
      </c>
      <c r="S1839" t="s">
        <v>39</v>
      </c>
    </row>
    <row r="1840" spans="1:19" x14ac:dyDescent="0.3">
      <c r="A1840" t="s">
        <v>1910</v>
      </c>
      <c r="B1840">
        <v>29</v>
      </c>
      <c r="C1840" t="s">
        <v>19</v>
      </c>
      <c r="D1840" t="s">
        <v>20</v>
      </c>
      <c r="E1840" s="1">
        <v>45431</v>
      </c>
      <c r="F1840" s="3">
        <v>45449</v>
      </c>
      <c r="G1840" t="s">
        <v>33</v>
      </c>
      <c r="H1840" t="s">
        <v>34</v>
      </c>
      <c r="I1840" t="s">
        <v>83</v>
      </c>
      <c r="J1840">
        <v>7887.82</v>
      </c>
      <c r="K1840">
        <v>18</v>
      </c>
      <c r="L1840" t="s">
        <v>24</v>
      </c>
      <c r="M1840" t="s">
        <v>101</v>
      </c>
      <c r="N1840" t="s">
        <v>26</v>
      </c>
      <c r="O1840" t="s">
        <v>37</v>
      </c>
      <c r="P1840" t="s">
        <v>50</v>
      </c>
      <c r="Q1840">
        <v>6</v>
      </c>
      <c r="R1840">
        <v>1971.09</v>
      </c>
      <c r="S1840" t="s">
        <v>29</v>
      </c>
    </row>
    <row r="1841" spans="1:19" x14ac:dyDescent="0.3">
      <c r="A1841" t="s">
        <v>1911</v>
      </c>
      <c r="B1841">
        <v>33</v>
      </c>
      <c r="C1841" t="s">
        <v>19</v>
      </c>
      <c r="D1841" t="s">
        <v>47</v>
      </c>
      <c r="E1841" s="1">
        <v>45299</v>
      </c>
      <c r="F1841" s="3">
        <v>45302</v>
      </c>
      <c r="G1841" t="s">
        <v>62</v>
      </c>
      <c r="H1841" t="s">
        <v>63</v>
      </c>
      <c r="I1841" t="s">
        <v>54</v>
      </c>
      <c r="J1841">
        <v>2505.7800000000002</v>
      </c>
      <c r="K1841">
        <v>3</v>
      </c>
      <c r="L1841" t="s">
        <v>24</v>
      </c>
      <c r="M1841" t="s">
        <v>25</v>
      </c>
      <c r="N1841" t="s">
        <v>55</v>
      </c>
      <c r="O1841" t="s">
        <v>56</v>
      </c>
      <c r="P1841" t="s">
        <v>38</v>
      </c>
      <c r="Q1841">
        <v>2</v>
      </c>
      <c r="R1841">
        <v>923.93</v>
      </c>
      <c r="S1841" t="s">
        <v>29</v>
      </c>
    </row>
    <row r="1842" spans="1:19" x14ac:dyDescent="0.3">
      <c r="A1842" t="s">
        <v>1912</v>
      </c>
      <c r="B1842">
        <v>87</v>
      </c>
      <c r="C1842" t="s">
        <v>31</v>
      </c>
      <c r="D1842" t="s">
        <v>70</v>
      </c>
      <c r="E1842" s="1">
        <v>45318</v>
      </c>
      <c r="F1842" s="3">
        <v>45333</v>
      </c>
      <c r="G1842" t="s">
        <v>41</v>
      </c>
      <c r="H1842" t="s">
        <v>42</v>
      </c>
      <c r="I1842" t="s">
        <v>23</v>
      </c>
      <c r="J1842">
        <v>15274.15</v>
      </c>
      <c r="K1842">
        <v>15</v>
      </c>
      <c r="L1842" t="s">
        <v>24</v>
      </c>
      <c r="M1842" t="s">
        <v>25</v>
      </c>
      <c r="N1842" t="s">
        <v>26</v>
      </c>
      <c r="O1842" t="s">
        <v>49</v>
      </c>
      <c r="P1842" t="s">
        <v>50</v>
      </c>
      <c r="Q1842">
        <v>1</v>
      </c>
      <c r="R1842">
        <v>2604.5</v>
      </c>
      <c r="S1842" t="s">
        <v>29</v>
      </c>
    </row>
    <row r="1843" spans="1:19" x14ac:dyDescent="0.3">
      <c r="A1843" t="s">
        <v>1913</v>
      </c>
      <c r="B1843">
        <v>82</v>
      </c>
      <c r="C1843" t="s">
        <v>31</v>
      </c>
      <c r="D1843" t="s">
        <v>79</v>
      </c>
      <c r="E1843" s="1">
        <v>44933</v>
      </c>
      <c r="F1843" s="3">
        <v>44936</v>
      </c>
      <c r="G1843" t="s">
        <v>48</v>
      </c>
      <c r="H1843" t="s">
        <v>22</v>
      </c>
      <c r="I1843" t="s">
        <v>83</v>
      </c>
      <c r="J1843">
        <v>1890.61</v>
      </c>
      <c r="K1843">
        <v>3</v>
      </c>
      <c r="L1843" t="s">
        <v>24</v>
      </c>
      <c r="M1843" t="s">
        <v>25</v>
      </c>
      <c r="N1843" t="s">
        <v>26</v>
      </c>
      <c r="O1843" t="s">
        <v>56</v>
      </c>
      <c r="P1843" t="s">
        <v>45</v>
      </c>
      <c r="Q1843">
        <v>6</v>
      </c>
      <c r="R1843">
        <v>612.73</v>
      </c>
      <c r="S1843" t="s">
        <v>29</v>
      </c>
    </row>
    <row r="1844" spans="1:19" x14ac:dyDescent="0.3">
      <c r="A1844" t="s">
        <v>1914</v>
      </c>
      <c r="B1844">
        <v>37</v>
      </c>
      <c r="C1844" t="s">
        <v>31</v>
      </c>
      <c r="D1844" t="s">
        <v>20</v>
      </c>
      <c r="E1844" s="1">
        <v>45448</v>
      </c>
      <c r="F1844" s="3">
        <v>45461</v>
      </c>
      <c r="G1844" t="s">
        <v>62</v>
      </c>
      <c r="H1844" t="s">
        <v>63</v>
      </c>
      <c r="I1844" t="s">
        <v>81</v>
      </c>
      <c r="J1844">
        <v>13465.06</v>
      </c>
      <c r="K1844">
        <v>13</v>
      </c>
      <c r="L1844" t="s">
        <v>24</v>
      </c>
      <c r="M1844" t="s">
        <v>59</v>
      </c>
      <c r="N1844" t="s">
        <v>26</v>
      </c>
      <c r="O1844" t="s">
        <v>49</v>
      </c>
      <c r="P1844" t="s">
        <v>50</v>
      </c>
      <c r="Q1844">
        <v>13</v>
      </c>
      <c r="R1844">
        <v>3997.77</v>
      </c>
      <c r="S1844" t="s">
        <v>29</v>
      </c>
    </row>
    <row r="1845" spans="1:19" x14ac:dyDescent="0.3">
      <c r="A1845" t="s">
        <v>1915</v>
      </c>
      <c r="B1845">
        <v>73</v>
      </c>
      <c r="C1845" t="s">
        <v>19</v>
      </c>
      <c r="D1845" t="s">
        <v>89</v>
      </c>
      <c r="E1845" s="1">
        <v>45891</v>
      </c>
      <c r="F1845" s="3">
        <v>45892</v>
      </c>
      <c r="G1845" t="s">
        <v>21</v>
      </c>
      <c r="H1845" t="s">
        <v>22</v>
      </c>
      <c r="I1845" t="s">
        <v>81</v>
      </c>
      <c r="J1845">
        <v>2338.66</v>
      </c>
      <c r="K1845">
        <v>1</v>
      </c>
      <c r="L1845" t="s">
        <v>24</v>
      </c>
      <c r="M1845" t="s">
        <v>25</v>
      </c>
      <c r="N1845" t="s">
        <v>55</v>
      </c>
      <c r="O1845" t="s">
        <v>37</v>
      </c>
      <c r="P1845" t="s">
        <v>38</v>
      </c>
      <c r="Q1845">
        <v>1</v>
      </c>
      <c r="R1845">
        <v>451.36</v>
      </c>
      <c r="S1845" t="s">
        <v>39</v>
      </c>
    </row>
    <row r="1846" spans="1:19" x14ac:dyDescent="0.3">
      <c r="A1846" t="s">
        <v>1916</v>
      </c>
      <c r="B1846">
        <v>53</v>
      </c>
      <c r="C1846" t="s">
        <v>19</v>
      </c>
      <c r="D1846" t="s">
        <v>20</v>
      </c>
      <c r="E1846" s="1">
        <v>45927</v>
      </c>
      <c r="F1846" s="3">
        <v>45935</v>
      </c>
      <c r="G1846" t="s">
        <v>48</v>
      </c>
      <c r="H1846" t="s">
        <v>22</v>
      </c>
      <c r="I1846" t="s">
        <v>91</v>
      </c>
      <c r="J1846">
        <v>5097.18</v>
      </c>
      <c r="K1846">
        <v>8</v>
      </c>
      <c r="L1846" t="s">
        <v>24</v>
      </c>
      <c r="M1846" t="s">
        <v>101</v>
      </c>
      <c r="N1846" t="s">
        <v>55</v>
      </c>
      <c r="O1846" t="s">
        <v>27</v>
      </c>
      <c r="P1846" t="s">
        <v>50</v>
      </c>
      <c r="Q1846">
        <v>9</v>
      </c>
      <c r="R1846">
        <v>1428.21</v>
      </c>
      <c r="S1846" t="s">
        <v>29</v>
      </c>
    </row>
    <row r="1847" spans="1:19" x14ac:dyDescent="0.3">
      <c r="A1847" t="s">
        <v>1917</v>
      </c>
      <c r="B1847">
        <v>39</v>
      </c>
      <c r="C1847" t="s">
        <v>19</v>
      </c>
      <c r="D1847" t="s">
        <v>66</v>
      </c>
      <c r="E1847" s="1">
        <v>45153</v>
      </c>
      <c r="F1847" s="3">
        <v>45160</v>
      </c>
      <c r="G1847" t="s">
        <v>93</v>
      </c>
      <c r="H1847" t="s">
        <v>72</v>
      </c>
      <c r="I1847" t="s">
        <v>91</v>
      </c>
      <c r="J1847">
        <v>3272.15</v>
      </c>
      <c r="K1847">
        <v>7</v>
      </c>
      <c r="L1847" t="s">
        <v>24</v>
      </c>
      <c r="M1847" t="s">
        <v>59</v>
      </c>
      <c r="N1847" t="s">
        <v>44</v>
      </c>
      <c r="O1847" t="s">
        <v>56</v>
      </c>
      <c r="P1847" t="s">
        <v>50</v>
      </c>
      <c r="Q1847">
        <v>2</v>
      </c>
      <c r="R1847">
        <v>997.03</v>
      </c>
      <c r="S1847" t="s">
        <v>39</v>
      </c>
    </row>
    <row r="1848" spans="1:19" x14ac:dyDescent="0.3">
      <c r="A1848" t="s">
        <v>1918</v>
      </c>
      <c r="B1848">
        <v>88</v>
      </c>
      <c r="C1848" t="s">
        <v>19</v>
      </c>
      <c r="D1848" t="s">
        <v>66</v>
      </c>
      <c r="E1848" s="1">
        <v>45045</v>
      </c>
      <c r="F1848" s="3">
        <v>45053</v>
      </c>
      <c r="G1848" t="s">
        <v>52</v>
      </c>
      <c r="H1848" t="s">
        <v>53</v>
      </c>
      <c r="I1848" t="s">
        <v>35</v>
      </c>
      <c r="J1848">
        <v>7999.1</v>
      </c>
      <c r="K1848">
        <v>8</v>
      </c>
      <c r="L1848" t="s">
        <v>24</v>
      </c>
      <c r="M1848" t="s">
        <v>25</v>
      </c>
      <c r="N1848" t="s">
        <v>55</v>
      </c>
      <c r="O1848" t="s">
        <v>37</v>
      </c>
      <c r="P1848" t="s">
        <v>45</v>
      </c>
      <c r="Q1848">
        <v>10</v>
      </c>
      <c r="R1848">
        <v>1289.29</v>
      </c>
      <c r="S1848" t="s">
        <v>29</v>
      </c>
    </row>
    <row r="1849" spans="1:19" x14ac:dyDescent="0.3">
      <c r="A1849" t="s">
        <v>1919</v>
      </c>
      <c r="B1849">
        <v>19</v>
      </c>
      <c r="C1849" t="s">
        <v>19</v>
      </c>
      <c r="D1849" t="s">
        <v>79</v>
      </c>
      <c r="E1849" s="1">
        <v>45361</v>
      </c>
      <c r="F1849" s="3">
        <v>45367</v>
      </c>
      <c r="G1849" t="s">
        <v>67</v>
      </c>
      <c r="H1849" t="s">
        <v>42</v>
      </c>
      <c r="I1849" t="s">
        <v>43</v>
      </c>
      <c r="J1849">
        <v>2137.38</v>
      </c>
      <c r="K1849">
        <v>6</v>
      </c>
      <c r="L1849" t="s">
        <v>36</v>
      </c>
      <c r="M1849" t="s">
        <v>25</v>
      </c>
      <c r="N1849" t="s">
        <v>26</v>
      </c>
      <c r="O1849" t="s">
        <v>56</v>
      </c>
      <c r="P1849" t="s">
        <v>28</v>
      </c>
      <c r="Q1849">
        <v>1</v>
      </c>
      <c r="R1849">
        <v>820.46</v>
      </c>
      <c r="S1849" t="s">
        <v>29</v>
      </c>
    </row>
    <row r="1850" spans="1:19" x14ac:dyDescent="0.3">
      <c r="A1850" t="s">
        <v>1920</v>
      </c>
      <c r="B1850">
        <v>73</v>
      </c>
      <c r="C1850" t="s">
        <v>19</v>
      </c>
      <c r="D1850" t="s">
        <v>20</v>
      </c>
      <c r="E1850" s="1">
        <v>45141</v>
      </c>
      <c r="F1850" s="3">
        <v>45170</v>
      </c>
      <c r="G1850" t="s">
        <v>62</v>
      </c>
      <c r="H1850" t="s">
        <v>63</v>
      </c>
      <c r="I1850" t="s">
        <v>81</v>
      </c>
      <c r="J1850">
        <v>18703</v>
      </c>
      <c r="K1850">
        <v>29</v>
      </c>
      <c r="L1850" t="s">
        <v>24</v>
      </c>
      <c r="M1850" t="s">
        <v>25</v>
      </c>
      <c r="N1850" t="s">
        <v>26</v>
      </c>
      <c r="O1850" t="s">
        <v>49</v>
      </c>
      <c r="P1850" t="s">
        <v>28</v>
      </c>
      <c r="Q1850">
        <v>15</v>
      </c>
      <c r="R1850">
        <v>4876.38</v>
      </c>
      <c r="S1850" t="s">
        <v>29</v>
      </c>
    </row>
    <row r="1851" spans="1:19" x14ac:dyDescent="0.3">
      <c r="A1851" t="s">
        <v>1921</v>
      </c>
      <c r="B1851">
        <v>56</v>
      </c>
      <c r="C1851" t="s">
        <v>19</v>
      </c>
      <c r="D1851" t="s">
        <v>70</v>
      </c>
      <c r="E1851" s="1">
        <v>45004</v>
      </c>
      <c r="F1851" s="3">
        <v>45017</v>
      </c>
      <c r="G1851" t="s">
        <v>74</v>
      </c>
      <c r="H1851" t="s">
        <v>75</v>
      </c>
      <c r="I1851" t="s">
        <v>81</v>
      </c>
      <c r="J1851">
        <v>4862.16</v>
      </c>
      <c r="K1851">
        <v>13</v>
      </c>
      <c r="L1851" t="s">
        <v>36</v>
      </c>
      <c r="M1851" t="s">
        <v>25</v>
      </c>
      <c r="N1851" t="s">
        <v>26</v>
      </c>
      <c r="O1851" t="s">
        <v>37</v>
      </c>
      <c r="P1851" t="s">
        <v>28</v>
      </c>
      <c r="Q1851">
        <v>10</v>
      </c>
      <c r="R1851">
        <v>1042.01</v>
      </c>
      <c r="S1851" t="s">
        <v>29</v>
      </c>
    </row>
    <row r="1852" spans="1:19" x14ac:dyDescent="0.3">
      <c r="A1852" t="s">
        <v>1922</v>
      </c>
      <c r="B1852">
        <v>86</v>
      </c>
      <c r="C1852" t="s">
        <v>31</v>
      </c>
      <c r="D1852" t="s">
        <v>20</v>
      </c>
      <c r="E1852" s="1">
        <v>45582</v>
      </c>
      <c r="F1852" s="3">
        <v>45596</v>
      </c>
      <c r="G1852" t="s">
        <v>33</v>
      </c>
      <c r="H1852" t="s">
        <v>34</v>
      </c>
      <c r="I1852" t="s">
        <v>23</v>
      </c>
      <c r="J1852">
        <v>9772.3700000000008</v>
      </c>
      <c r="K1852">
        <v>14</v>
      </c>
      <c r="L1852" t="s">
        <v>36</v>
      </c>
      <c r="M1852" t="s">
        <v>25</v>
      </c>
      <c r="N1852" t="s">
        <v>55</v>
      </c>
      <c r="O1852" t="s">
        <v>56</v>
      </c>
      <c r="P1852" t="s">
        <v>38</v>
      </c>
      <c r="Q1852">
        <v>6</v>
      </c>
      <c r="R1852">
        <v>3678.2</v>
      </c>
      <c r="S1852" t="s">
        <v>29</v>
      </c>
    </row>
    <row r="1853" spans="1:19" x14ac:dyDescent="0.3">
      <c r="A1853" t="s">
        <v>1923</v>
      </c>
      <c r="B1853">
        <v>60</v>
      </c>
      <c r="C1853" t="s">
        <v>31</v>
      </c>
      <c r="D1853" t="s">
        <v>70</v>
      </c>
      <c r="E1853" s="1">
        <v>45889</v>
      </c>
      <c r="F1853" s="3">
        <v>45890</v>
      </c>
      <c r="G1853" t="s">
        <v>93</v>
      </c>
      <c r="H1853" t="s">
        <v>72</v>
      </c>
      <c r="I1853" t="s">
        <v>91</v>
      </c>
      <c r="J1853">
        <v>2857.36</v>
      </c>
      <c r="K1853">
        <v>1</v>
      </c>
      <c r="L1853" t="s">
        <v>24</v>
      </c>
      <c r="M1853" t="s">
        <v>59</v>
      </c>
      <c r="N1853" t="s">
        <v>55</v>
      </c>
      <c r="O1853" t="s">
        <v>27</v>
      </c>
      <c r="P1853" t="s">
        <v>45</v>
      </c>
      <c r="Q1853">
        <v>13</v>
      </c>
      <c r="R1853">
        <v>577.41</v>
      </c>
      <c r="S1853" t="s">
        <v>29</v>
      </c>
    </row>
    <row r="1854" spans="1:19" x14ac:dyDescent="0.3">
      <c r="A1854" t="s">
        <v>1924</v>
      </c>
      <c r="B1854">
        <v>47</v>
      </c>
      <c r="C1854" t="s">
        <v>31</v>
      </c>
      <c r="D1854" t="s">
        <v>79</v>
      </c>
      <c r="E1854" s="1">
        <v>45330</v>
      </c>
      <c r="F1854" s="3">
        <v>45331</v>
      </c>
      <c r="G1854" t="s">
        <v>21</v>
      </c>
      <c r="H1854" t="s">
        <v>22</v>
      </c>
      <c r="I1854" t="s">
        <v>43</v>
      </c>
      <c r="J1854">
        <v>1391.88</v>
      </c>
      <c r="K1854">
        <v>1</v>
      </c>
      <c r="L1854" t="s">
        <v>36</v>
      </c>
      <c r="M1854" t="s">
        <v>25</v>
      </c>
      <c r="N1854" t="s">
        <v>44</v>
      </c>
      <c r="O1854" t="s">
        <v>37</v>
      </c>
      <c r="P1854" t="s">
        <v>45</v>
      </c>
      <c r="Q1854">
        <v>8</v>
      </c>
      <c r="R1854">
        <v>234.54</v>
      </c>
      <c r="S1854" t="s">
        <v>29</v>
      </c>
    </row>
    <row r="1855" spans="1:19" x14ac:dyDescent="0.3">
      <c r="A1855" t="s">
        <v>1925</v>
      </c>
      <c r="B1855">
        <v>21</v>
      </c>
      <c r="C1855" t="s">
        <v>19</v>
      </c>
      <c r="D1855" t="s">
        <v>47</v>
      </c>
      <c r="E1855" s="1">
        <v>45611</v>
      </c>
      <c r="F1855" s="3">
        <v>45617</v>
      </c>
      <c r="G1855" t="s">
        <v>52</v>
      </c>
      <c r="H1855" t="s">
        <v>53</v>
      </c>
      <c r="I1855" t="s">
        <v>83</v>
      </c>
      <c r="J1855">
        <v>6051.36</v>
      </c>
      <c r="K1855">
        <v>6</v>
      </c>
      <c r="L1855" t="s">
        <v>36</v>
      </c>
      <c r="M1855" t="s">
        <v>76</v>
      </c>
      <c r="N1855" t="s">
        <v>55</v>
      </c>
      <c r="O1855" t="s">
        <v>37</v>
      </c>
      <c r="P1855" t="s">
        <v>45</v>
      </c>
      <c r="Q1855">
        <v>10</v>
      </c>
      <c r="R1855">
        <v>1407.01</v>
      </c>
      <c r="S1855" t="s">
        <v>29</v>
      </c>
    </row>
    <row r="1856" spans="1:19" x14ac:dyDescent="0.3">
      <c r="A1856" t="s">
        <v>1926</v>
      </c>
      <c r="B1856">
        <v>60</v>
      </c>
      <c r="C1856" t="s">
        <v>19</v>
      </c>
      <c r="D1856" t="s">
        <v>61</v>
      </c>
      <c r="E1856" s="1">
        <v>45224</v>
      </c>
      <c r="F1856" s="3">
        <v>45231</v>
      </c>
      <c r="G1856" t="s">
        <v>48</v>
      </c>
      <c r="H1856" t="s">
        <v>22</v>
      </c>
      <c r="I1856" t="s">
        <v>81</v>
      </c>
      <c r="J1856">
        <v>10336.030000000001</v>
      </c>
      <c r="K1856">
        <v>7</v>
      </c>
      <c r="L1856" t="s">
        <v>36</v>
      </c>
      <c r="M1856" t="s">
        <v>25</v>
      </c>
      <c r="N1856" t="s">
        <v>26</v>
      </c>
      <c r="O1856" t="s">
        <v>49</v>
      </c>
      <c r="P1856" t="s">
        <v>50</v>
      </c>
      <c r="Q1856">
        <v>4</v>
      </c>
      <c r="R1856">
        <v>3358.22</v>
      </c>
      <c r="S1856" t="s">
        <v>29</v>
      </c>
    </row>
    <row r="1857" spans="1:19" x14ac:dyDescent="0.3">
      <c r="A1857" t="s">
        <v>1927</v>
      </c>
      <c r="B1857">
        <v>43</v>
      </c>
      <c r="C1857" t="s">
        <v>19</v>
      </c>
      <c r="D1857" t="s">
        <v>66</v>
      </c>
      <c r="E1857" s="1">
        <v>45210</v>
      </c>
      <c r="F1857" s="3">
        <v>45223</v>
      </c>
      <c r="G1857" t="s">
        <v>93</v>
      </c>
      <c r="H1857" t="s">
        <v>72</v>
      </c>
      <c r="I1857" t="s">
        <v>54</v>
      </c>
      <c r="J1857">
        <v>9200.5</v>
      </c>
      <c r="K1857">
        <v>13</v>
      </c>
      <c r="L1857" t="s">
        <v>36</v>
      </c>
      <c r="M1857" t="s">
        <v>25</v>
      </c>
      <c r="N1857" t="s">
        <v>26</v>
      </c>
      <c r="O1857" t="s">
        <v>56</v>
      </c>
      <c r="P1857" t="s">
        <v>50</v>
      </c>
      <c r="Q1857">
        <v>13</v>
      </c>
      <c r="R1857">
        <v>1429.99</v>
      </c>
      <c r="S1857" t="s">
        <v>29</v>
      </c>
    </row>
    <row r="1858" spans="1:19" x14ac:dyDescent="0.3">
      <c r="A1858" t="s">
        <v>1928</v>
      </c>
      <c r="B1858">
        <v>22</v>
      </c>
      <c r="C1858" t="s">
        <v>19</v>
      </c>
      <c r="D1858" t="s">
        <v>79</v>
      </c>
      <c r="E1858" s="1">
        <v>45117</v>
      </c>
      <c r="F1858" s="3">
        <v>45125</v>
      </c>
      <c r="G1858" t="s">
        <v>93</v>
      </c>
      <c r="H1858" t="s">
        <v>72</v>
      </c>
      <c r="I1858" t="s">
        <v>35</v>
      </c>
      <c r="J1858">
        <v>4279.2299999999996</v>
      </c>
      <c r="K1858">
        <v>8</v>
      </c>
      <c r="L1858" t="s">
        <v>36</v>
      </c>
      <c r="M1858" t="s">
        <v>25</v>
      </c>
      <c r="N1858" t="s">
        <v>55</v>
      </c>
      <c r="O1858" t="s">
        <v>27</v>
      </c>
      <c r="P1858" t="s">
        <v>50</v>
      </c>
      <c r="Q1858">
        <v>12</v>
      </c>
      <c r="R1858">
        <v>1523.25</v>
      </c>
      <c r="S1858" t="s">
        <v>29</v>
      </c>
    </row>
    <row r="1859" spans="1:19" x14ac:dyDescent="0.3">
      <c r="A1859" t="s">
        <v>1929</v>
      </c>
      <c r="B1859">
        <v>87</v>
      </c>
      <c r="C1859" t="s">
        <v>19</v>
      </c>
      <c r="D1859" t="s">
        <v>47</v>
      </c>
      <c r="E1859" s="1">
        <v>45667</v>
      </c>
      <c r="F1859" s="3">
        <v>45680</v>
      </c>
      <c r="G1859" t="s">
        <v>62</v>
      </c>
      <c r="H1859" t="s">
        <v>63</v>
      </c>
      <c r="I1859" t="s">
        <v>54</v>
      </c>
      <c r="J1859">
        <v>3794.3</v>
      </c>
      <c r="K1859">
        <v>13</v>
      </c>
      <c r="L1859" t="s">
        <v>36</v>
      </c>
      <c r="M1859" t="s">
        <v>25</v>
      </c>
      <c r="N1859" t="s">
        <v>44</v>
      </c>
      <c r="O1859" t="s">
        <v>37</v>
      </c>
      <c r="P1859" t="s">
        <v>50</v>
      </c>
      <c r="Q1859">
        <v>9</v>
      </c>
      <c r="R1859">
        <v>696.1</v>
      </c>
      <c r="S1859" t="s">
        <v>29</v>
      </c>
    </row>
    <row r="1860" spans="1:19" x14ac:dyDescent="0.3">
      <c r="A1860" t="s">
        <v>1930</v>
      </c>
      <c r="B1860">
        <v>76</v>
      </c>
      <c r="C1860" t="s">
        <v>31</v>
      </c>
      <c r="D1860" t="s">
        <v>66</v>
      </c>
      <c r="E1860" s="1">
        <v>45430</v>
      </c>
      <c r="F1860" s="3">
        <v>45442</v>
      </c>
      <c r="G1860" t="s">
        <v>41</v>
      </c>
      <c r="H1860" t="s">
        <v>42</v>
      </c>
      <c r="I1860" t="s">
        <v>58</v>
      </c>
      <c r="J1860">
        <v>3988.85</v>
      </c>
      <c r="K1860">
        <v>12</v>
      </c>
      <c r="L1860" t="s">
        <v>24</v>
      </c>
      <c r="M1860" t="s">
        <v>25</v>
      </c>
      <c r="N1860" t="s">
        <v>55</v>
      </c>
      <c r="O1860" t="s">
        <v>27</v>
      </c>
      <c r="P1860" t="s">
        <v>38</v>
      </c>
      <c r="Q1860">
        <v>4</v>
      </c>
      <c r="R1860">
        <v>1181.9000000000001</v>
      </c>
      <c r="S1860" t="s">
        <v>29</v>
      </c>
    </row>
    <row r="1861" spans="1:19" x14ac:dyDescent="0.3">
      <c r="A1861" t="s">
        <v>1931</v>
      </c>
      <c r="B1861">
        <v>58</v>
      </c>
      <c r="C1861" t="s">
        <v>31</v>
      </c>
      <c r="D1861" t="s">
        <v>66</v>
      </c>
      <c r="E1861" s="1">
        <v>45553</v>
      </c>
      <c r="F1861" s="3">
        <v>45575</v>
      </c>
      <c r="G1861" t="s">
        <v>48</v>
      </c>
      <c r="H1861" t="s">
        <v>22</v>
      </c>
      <c r="I1861" t="s">
        <v>43</v>
      </c>
      <c r="J1861">
        <v>21511.34</v>
      </c>
      <c r="K1861">
        <v>22</v>
      </c>
      <c r="L1861" t="s">
        <v>24</v>
      </c>
      <c r="M1861" t="s">
        <v>59</v>
      </c>
      <c r="N1861" t="s">
        <v>44</v>
      </c>
      <c r="O1861" t="s">
        <v>49</v>
      </c>
      <c r="P1861" t="s">
        <v>45</v>
      </c>
      <c r="Q1861">
        <v>11</v>
      </c>
      <c r="R1861">
        <v>6893.54</v>
      </c>
      <c r="S1861" t="s">
        <v>29</v>
      </c>
    </row>
    <row r="1862" spans="1:19" x14ac:dyDescent="0.3">
      <c r="A1862" t="s">
        <v>1932</v>
      </c>
      <c r="B1862">
        <v>28</v>
      </c>
      <c r="C1862" t="s">
        <v>31</v>
      </c>
      <c r="D1862" t="s">
        <v>32</v>
      </c>
      <c r="E1862" s="1">
        <v>45640</v>
      </c>
      <c r="F1862" s="3">
        <v>45648</v>
      </c>
      <c r="G1862" t="s">
        <v>48</v>
      </c>
      <c r="H1862" t="s">
        <v>22</v>
      </c>
      <c r="I1862" t="s">
        <v>91</v>
      </c>
      <c r="J1862">
        <v>3192.3</v>
      </c>
      <c r="K1862">
        <v>8</v>
      </c>
      <c r="L1862" t="s">
        <v>24</v>
      </c>
      <c r="M1862" t="s">
        <v>59</v>
      </c>
      <c r="N1862" t="s">
        <v>55</v>
      </c>
      <c r="O1862" t="s">
        <v>56</v>
      </c>
      <c r="P1862" t="s">
        <v>45</v>
      </c>
      <c r="Q1862">
        <v>8</v>
      </c>
      <c r="R1862">
        <v>782.06</v>
      </c>
      <c r="S1862" t="s">
        <v>29</v>
      </c>
    </row>
    <row r="1863" spans="1:19" x14ac:dyDescent="0.3">
      <c r="A1863" t="s">
        <v>1933</v>
      </c>
      <c r="B1863">
        <v>51</v>
      </c>
      <c r="C1863" t="s">
        <v>31</v>
      </c>
      <c r="D1863" t="s">
        <v>79</v>
      </c>
      <c r="E1863" s="1">
        <v>45287</v>
      </c>
      <c r="F1863" s="3">
        <v>45314</v>
      </c>
      <c r="G1863" t="s">
        <v>52</v>
      </c>
      <c r="H1863" t="s">
        <v>53</v>
      </c>
      <c r="I1863" t="s">
        <v>43</v>
      </c>
      <c r="J1863">
        <v>19951.57</v>
      </c>
      <c r="K1863">
        <v>27</v>
      </c>
      <c r="L1863" t="s">
        <v>36</v>
      </c>
      <c r="M1863" t="s">
        <v>101</v>
      </c>
      <c r="N1863" t="s">
        <v>26</v>
      </c>
      <c r="O1863" t="s">
        <v>49</v>
      </c>
      <c r="P1863" t="s">
        <v>38</v>
      </c>
      <c r="Q1863">
        <v>2</v>
      </c>
      <c r="R1863">
        <v>7749.42</v>
      </c>
      <c r="S1863" t="s">
        <v>29</v>
      </c>
    </row>
    <row r="1864" spans="1:19" x14ac:dyDescent="0.3">
      <c r="A1864" t="s">
        <v>1934</v>
      </c>
      <c r="B1864">
        <v>71</v>
      </c>
      <c r="C1864" t="s">
        <v>19</v>
      </c>
      <c r="D1864" t="s">
        <v>32</v>
      </c>
      <c r="E1864" s="1">
        <v>45136</v>
      </c>
      <c r="F1864" s="3">
        <v>45139</v>
      </c>
      <c r="G1864" t="s">
        <v>41</v>
      </c>
      <c r="H1864" t="s">
        <v>42</v>
      </c>
      <c r="I1864" t="s">
        <v>54</v>
      </c>
      <c r="J1864">
        <v>9573.31</v>
      </c>
      <c r="K1864">
        <v>3</v>
      </c>
      <c r="L1864" t="s">
        <v>24</v>
      </c>
      <c r="M1864" t="s">
        <v>101</v>
      </c>
      <c r="N1864" t="s">
        <v>26</v>
      </c>
      <c r="O1864" t="s">
        <v>49</v>
      </c>
      <c r="P1864" t="s">
        <v>50</v>
      </c>
      <c r="Q1864">
        <v>2</v>
      </c>
      <c r="R1864">
        <v>1652.12</v>
      </c>
      <c r="S1864" t="s">
        <v>29</v>
      </c>
    </row>
    <row r="1865" spans="1:19" x14ac:dyDescent="0.3">
      <c r="A1865" t="s">
        <v>1935</v>
      </c>
      <c r="B1865">
        <v>34</v>
      </c>
      <c r="C1865" t="s">
        <v>31</v>
      </c>
      <c r="D1865" t="s">
        <v>89</v>
      </c>
      <c r="E1865" s="1">
        <v>45779</v>
      </c>
      <c r="F1865" s="3">
        <v>45791</v>
      </c>
      <c r="G1865" t="s">
        <v>21</v>
      </c>
      <c r="H1865" t="s">
        <v>22</v>
      </c>
      <c r="I1865" t="s">
        <v>91</v>
      </c>
      <c r="J1865">
        <v>8541.18</v>
      </c>
      <c r="K1865">
        <v>12</v>
      </c>
      <c r="L1865" t="s">
        <v>24</v>
      </c>
      <c r="M1865" t="s">
        <v>25</v>
      </c>
      <c r="N1865" t="s">
        <v>55</v>
      </c>
      <c r="O1865" t="s">
        <v>37</v>
      </c>
      <c r="P1865" t="s">
        <v>28</v>
      </c>
      <c r="Q1865">
        <v>9</v>
      </c>
      <c r="R1865">
        <v>2862.46</v>
      </c>
      <c r="S1865" t="s">
        <v>29</v>
      </c>
    </row>
    <row r="1866" spans="1:19" x14ac:dyDescent="0.3">
      <c r="A1866" t="s">
        <v>1936</v>
      </c>
      <c r="B1866">
        <v>23</v>
      </c>
      <c r="C1866" t="s">
        <v>31</v>
      </c>
      <c r="D1866" t="s">
        <v>79</v>
      </c>
      <c r="E1866" s="1">
        <v>45688</v>
      </c>
      <c r="F1866" s="3">
        <v>45709</v>
      </c>
      <c r="G1866" t="s">
        <v>41</v>
      </c>
      <c r="H1866" t="s">
        <v>42</v>
      </c>
      <c r="I1866" t="s">
        <v>91</v>
      </c>
      <c r="J1866">
        <v>22000.39</v>
      </c>
      <c r="K1866">
        <v>21</v>
      </c>
      <c r="L1866" t="s">
        <v>36</v>
      </c>
      <c r="M1866" t="s">
        <v>101</v>
      </c>
      <c r="N1866" t="s">
        <v>44</v>
      </c>
      <c r="O1866" t="s">
        <v>49</v>
      </c>
      <c r="P1866" t="s">
        <v>28</v>
      </c>
      <c r="Q1866">
        <v>2</v>
      </c>
      <c r="R1866">
        <v>4274.53</v>
      </c>
      <c r="S1866" t="s">
        <v>39</v>
      </c>
    </row>
    <row r="1867" spans="1:19" x14ac:dyDescent="0.3">
      <c r="A1867" t="s">
        <v>1937</v>
      </c>
      <c r="B1867">
        <v>25</v>
      </c>
      <c r="C1867" t="s">
        <v>31</v>
      </c>
      <c r="D1867" t="s">
        <v>20</v>
      </c>
      <c r="E1867" s="1">
        <v>44988</v>
      </c>
      <c r="F1867" s="3">
        <v>45008</v>
      </c>
      <c r="G1867" t="s">
        <v>21</v>
      </c>
      <c r="H1867" t="s">
        <v>22</v>
      </c>
      <c r="I1867" t="s">
        <v>81</v>
      </c>
      <c r="J1867">
        <v>11303.1</v>
      </c>
      <c r="K1867">
        <v>20</v>
      </c>
      <c r="L1867" t="s">
        <v>36</v>
      </c>
      <c r="M1867" t="s">
        <v>25</v>
      </c>
      <c r="N1867" t="s">
        <v>44</v>
      </c>
      <c r="O1867" t="s">
        <v>37</v>
      </c>
      <c r="P1867" t="s">
        <v>38</v>
      </c>
      <c r="Q1867">
        <v>10</v>
      </c>
      <c r="R1867">
        <v>3901.05</v>
      </c>
      <c r="S1867" t="s">
        <v>29</v>
      </c>
    </row>
    <row r="1868" spans="1:19" x14ac:dyDescent="0.3">
      <c r="A1868" t="s">
        <v>1938</v>
      </c>
      <c r="B1868">
        <v>65</v>
      </c>
      <c r="C1868" t="s">
        <v>31</v>
      </c>
      <c r="D1868" t="s">
        <v>47</v>
      </c>
      <c r="E1868" s="1">
        <v>45575</v>
      </c>
      <c r="F1868" s="3">
        <v>45588</v>
      </c>
      <c r="G1868" t="s">
        <v>33</v>
      </c>
      <c r="H1868" t="s">
        <v>34</v>
      </c>
      <c r="I1868" t="s">
        <v>58</v>
      </c>
      <c r="J1868">
        <v>7093.08</v>
      </c>
      <c r="K1868">
        <v>13</v>
      </c>
      <c r="L1868" t="s">
        <v>36</v>
      </c>
      <c r="M1868" t="s">
        <v>101</v>
      </c>
      <c r="N1868" t="s">
        <v>44</v>
      </c>
      <c r="O1868" t="s">
        <v>56</v>
      </c>
      <c r="P1868" t="s">
        <v>38</v>
      </c>
      <c r="Q1868">
        <v>13</v>
      </c>
      <c r="R1868">
        <v>2191.37</v>
      </c>
      <c r="S1868" t="s">
        <v>29</v>
      </c>
    </row>
    <row r="1869" spans="1:19" x14ac:dyDescent="0.3">
      <c r="A1869" t="s">
        <v>1939</v>
      </c>
      <c r="B1869">
        <v>60</v>
      </c>
      <c r="C1869" t="s">
        <v>31</v>
      </c>
      <c r="D1869" t="s">
        <v>70</v>
      </c>
      <c r="E1869" s="1">
        <v>45731</v>
      </c>
      <c r="F1869" s="3">
        <v>45750</v>
      </c>
      <c r="G1869" t="s">
        <v>62</v>
      </c>
      <c r="H1869" t="s">
        <v>63</v>
      </c>
      <c r="I1869" t="s">
        <v>54</v>
      </c>
      <c r="J1869">
        <v>8019.63</v>
      </c>
      <c r="K1869">
        <v>19</v>
      </c>
      <c r="L1869" t="s">
        <v>24</v>
      </c>
      <c r="M1869" t="s">
        <v>25</v>
      </c>
      <c r="N1869" t="s">
        <v>55</v>
      </c>
      <c r="O1869" t="s">
        <v>27</v>
      </c>
      <c r="P1869" t="s">
        <v>28</v>
      </c>
      <c r="Q1869">
        <v>4</v>
      </c>
      <c r="R1869">
        <v>1545.4</v>
      </c>
      <c r="S1869" t="s">
        <v>29</v>
      </c>
    </row>
    <row r="1870" spans="1:19" x14ac:dyDescent="0.3">
      <c r="A1870" t="s">
        <v>1940</v>
      </c>
      <c r="B1870">
        <v>60</v>
      </c>
      <c r="C1870" t="s">
        <v>31</v>
      </c>
      <c r="D1870" t="s">
        <v>79</v>
      </c>
      <c r="E1870" s="1">
        <v>45442</v>
      </c>
      <c r="F1870" s="3">
        <v>45444</v>
      </c>
      <c r="G1870" t="s">
        <v>33</v>
      </c>
      <c r="H1870" t="s">
        <v>34</v>
      </c>
      <c r="I1870" t="s">
        <v>83</v>
      </c>
      <c r="J1870">
        <v>2122.8000000000002</v>
      </c>
      <c r="K1870">
        <v>2</v>
      </c>
      <c r="L1870" t="s">
        <v>36</v>
      </c>
      <c r="M1870" t="s">
        <v>25</v>
      </c>
      <c r="N1870" t="s">
        <v>44</v>
      </c>
      <c r="O1870" t="s">
        <v>56</v>
      </c>
      <c r="P1870" t="s">
        <v>38</v>
      </c>
      <c r="Q1870">
        <v>5</v>
      </c>
      <c r="R1870">
        <v>738.09</v>
      </c>
      <c r="S1870" t="s">
        <v>39</v>
      </c>
    </row>
    <row r="1871" spans="1:19" x14ac:dyDescent="0.3">
      <c r="A1871" t="s">
        <v>1941</v>
      </c>
      <c r="B1871">
        <v>46</v>
      </c>
      <c r="C1871" t="s">
        <v>31</v>
      </c>
      <c r="D1871" t="s">
        <v>89</v>
      </c>
      <c r="E1871" s="1">
        <v>45894</v>
      </c>
      <c r="F1871" s="3">
        <v>45913</v>
      </c>
      <c r="G1871" t="s">
        <v>52</v>
      </c>
      <c r="H1871" t="s">
        <v>53</v>
      </c>
      <c r="I1871" t="s">
        <v>43</v>
      </c>
      <c r="J1871">
        <v>10301.69</v>
      </c>
      <c r="K1871">
        <v>19</v>
      </c>
      <c r="L1871" t="s">
        <v>36</v>
      </c>
      <c r="M1871" t="s">
        <v>25</v>
      </c>
      <c r="N1871" t="s">
        <v>44</v>
      </c>
      <c r="O1871" t="s">
        <v>37</v>
      </c>
      <c r="P1871" t="s">
        <v>28</v>
      </c>
      <c r="Q1871">
        <v>4</v>
      </c>
      <c r="R1871">
        <v>3955.91</v>
      </c>
      <c r="S1871" t="s">
        <v>29</v>
      </c>
    </row>
    <row r="1872" spans="1:19" x14ac:dyDescent="0.3">
      <c r="A1872" t="s">
        <v>1942</v>
      </c>
      <c r="B1872">
        <v>81</v>
      </c>
      <c r="C1872" t="s">
        <v>19</v>
      </c>
      <c r="D1872" t="s">
        <v>70</v>
      </c>
      <c r="E1872" s="1">
        <v>45397</v>
      </c>
      <c r="F1872" s="3">
        <v>45413</v>
      </c>
      <c r="G1872" t="s">
        <v>21</v>
      </c>
      <c r="H1872" t="s">
        <v>22</v>
      </c>
      <c r="I1872" t="s">
        <v>43</v>
      </c>
      <c r="J1872">
        <v>9904.7099999999991</v>
      </c>
      <c r="K1872">
        <v>16</v>
      </c>
      <c r="L1872" t="s">
        <v>24</v>
      </c>
      <c r="M1872" t="s">
        <v>25</v>
      </c>
      <c r="N1872" t="s">
        <v>55</v>
      </c>
      <c r="O1872" t="s">
        <v>27</v>
      </c>
      <c r="P1872" t="s">
        <v>38</v>
      </c>
      <c r="Q1872">
        <v>9</v>
      </c>
      <c r="R1872">
        <v>1498.59</v>
      </c>
      <c r="S1872" t="s">
        <v>39</v>
      </c>
    </row>
    <row r="1873" spans="1:19" x14ac:dyDescent="0.3">
      <c r="A1873" t="s">
        <v>1943</v>
      </c>
      <c r="B1873">
        <v>43</v>
      </c>
      <c r="C1873" t="s">
        <v>19</v>
      </c>
      <c r="D1873" t="s">
        <v>32</v>
      </c>
      <c r="E1873" s="1">
        <v>44927</v>
      </c>
      <c r="F1873" s="3">
        <v>44936</v>
      </c>
      <c r="G1873" t="s">
        <v>41</v>
      </c>
      <c r="H1873" t="s">
        <v>42</v>
      </c>
      <c r="I1873" t="s">
        <v>83</v>
      </c>
      <c r="J1873">
        <v>4994.6899999999996</v>
      </c>
      <c r="K1873">
        <v>9</v>
      </c>
      <c r="L1873" t="s">
        <v>24</v>
      </c>
      <c r="M1873" t="s">
        <v>25</v>
      </c>
      <c r="N1873" t="s">
        <v>26</v>
      </c>
      <c r="O1873" t="s">
        <v>27</v>
      </c>
      <c r="P1873" t="s">
        <v>50</v>
      </c>
      <c r="Q1873">
        <v>6</v>
      </c>
      <c r="R1873">
        <v>1660.53</v>
      </c>
      <c r="S1873" t="s">
        <v>29</v>
      </c>
    </row>
    <row r="1874" spans="1:19" x14ac:dyDescent="0.3">
      <c r="A1874" t="s">
        <v>1944</v>
      </c>
      <c r="B1874">
        <v>36</v>
      </c>
      <c r="C1874" t="s">
        <v>31</v>
      </c>
      <c r="D1874" t="s">
        <v>89</v>
      </c>
      <c r="E1874" s="1">
        <v>45554</v>
      </c>
      <c r="F1874" s="3">
        <v>45560</v>
      </c>
      <c r="G1874" t="s">
        <v>71</v>
      </c>
      <c r="H1874" t="s">
        <v>72</v>
      </c>
      <c r="I1874" t="s">
        <v>91</v>
      </c>
      <c r="J1874">
        <v>8470.35</v>
      </c>
      <c r="K1874">
        <v>6</v>
      </c>
      <c r="L1874" t="s">
        <v>36</v>
      </c>
      <c r="M1874" t="s">
        <v>25</v>
      </c>
      <c r="N1874" t="s">
        <v>44</v>
      </c>
      <c r="O1874" t="s">
        <v>49</v>
      </c>
      <c r="P1874" t="s">
        <v>28</v>
      </c>
      <c r="Q1874">
        <v>14</v>
      </c>
      <c r="R1874">
        <v>2254.0100000000002</v>
      </c>
      <c r="S1874" t="s">
        <v>29</v>
      </c>
    </row>
    <row r="1875" spans="1:19" x14ac:dyDescent="0.3">
      <c r="A1875" t="s">
        <v>1945</v>
      </c>
      <c r="B1875">
        <v>55</v>
      </c>
      <c r="C1875" t="s">
        <v>19</v>
      </c>
      <c r="D1875" t="s">
        <v>79</v>
      </c>
      <c r="E1875" s="1">
        <v>45333</v>
      </c>
      <c r="F1875" s="3">
        <v>45343</v>
      </c>
      <c r="G1875" t="s">
        <v>48</v>
      </c>
      <c r="H1875" t="s">
        <v>22</v>
      </c>
      <c r="I1875" t="s">
        <v>58</v>
      </c>
      <c r="J1875">
        <v>4497.6499999999996</v>
      </c>
      <c r="K1875">
        <v>10</v>
      </c>
      <c r="L1875" t="s">
        <v>24</v>
      </c>
      <c r="M1875" t="s">
        <v>25</v>
      </c>
      <c r="N1875" t="s">
        <v>55</v>
      </c>
      <c r="O1875" t="s">
        <v>27</v>
      </c>
      <c r="P1875" t="s">
        <v>28</v>
      </c>
      <c r="Q1875">
        <v>15</v>
      </c>
      <c r="R1875">
        <v>1251.3</v>
      </c>
      <c r="S1875" t="s">
        <v>29</v>
      </c>
    </row>
    <row r="1876" spans="1:19" x14ac:dyDescent="0.3">
      <c r="A1876" t="s">
        <v>1946</v>
      </c>
      <c r="B1876">
        <v>46</v>
      </c>
      <c r="C1876" t="s">
        <v>19</v>
      </c>
      <c r="D1876" t="s">
        <v>32</v>
      </c>
      <c r="E1876" s="1">
        <v>45878</v>
      </c>
      <c r="F1876" s="3">
        <v>45893</v>
      </c>
      <c r="G1876" t="s">
        <v>41</v>
      </c>
      <c r="H1876" t="s">
        <v>42</v>
      </c>
      <c r="I1876" t="s">
        <v>43</v>
      </c>
      <c r="J1876">
        <v>11421.46</v>
      </c>
      <c r="K1876">
        <v>15</v>
      </c>
      <c r="L1876" t="s">
        <v>36</v>
      </c>
      <c r="M1876" t="s">
        <v>25</v>
      </c>
      <c r="N1876" t="s">
        <v>55</v>
      </c>
      <c r="O1876" t="s">
        <v>56</v>
      </c>
      <c r="P1876" t="s">
        <v>38</v>
      </c>
      <c r="Q1876">
        <v>10</v>
      </c>
      <c r="R1876">
        <v>4214.6099999999997</v>
      </c>
      <c r="S1876" t="s">
        <v>29</v>
      </c>
    </row>
    <row r="1877" spans="1:19" x14ac:dyDescent="0.3">
      <c r="A1877" t="s">
        <v>1947</v>
      </c>
      <c r="B1877">
        <v>82</v>
      </c>
      <c r="C1877" t="s">
        <v>19</v>
      </c>
      <c r="D1877" t="s">
        <v>66</v>
      </c>
      <c r="E1877" s="1">
        <v>44969</v>
      </c>
      <c r="F1877" s="3">
        <v>44977</v>
      </c>
      <c r="G1877" t="s">
        <v>71</v>
      </c>
      <c r="H1877" t="s">
        <v>72</v>
      </c>
      <c r="I1877" t="s">
        <v>58</v>
      </c>
      <c r="J1877">
        <v>11382.63</v>
      </c>
      <c r="K1877">
        <v>8</v>
      </c>
      <c r="L1877" t="s">
        <v>24</v>
      </c>
      <c r="M1877" t="s">
        <v>25</v>
      </c>
      <c r="N1877" t="s">
        <v>26</v>
      </c>
      <c r="O1877" t="s">
        <v>49</v>
      </c>
      <c r="P1877" t="s">
        <v>50</v>
      </c>
      <c r="Q1877">
        <v>11</v>
      </c>
      <c r="R1877">
        <v>2981.62</v>
      </c>
      <c r="S1877" t="s">
        <v>29</v>
      </c>
    </row>
    <row r="1878" spans="1:19" x14ac:dyDescent="0.3">
      <c r="A1878" t="s">
        <v>1948</v>
      </c>
      <c r="B1878">
        <v>78</v>
      </c>
      <c r="C1878" t="s">
        <v>19</v>
      </c>
      <c r="D1878" t="s">
        <v>89</v>
      </c>
      <c r="E1878" s="1">
        <v>45350</v>
      </c>
      <c r="F1878" s="3">
        <v>45362</v>
      </c>
      <c r="G1878" t="s">
        <v>74</v>
      </c>
      <c r="H1878" t="s">
        <v>75</v>
      </c>
      <c r="I1878" t="s">
        <v>23</v>
      </c>
      <c r="J1878">
        <v>10836.47</v>
      </c>
      <c r="K1878">
        <v>12</v>
      </c>
      <c r="L1878" t="s">
        <v>24</v>
      </c>
      <c r="M1878" t="s">
        <v>25</v>
      </c>
      <c r="N1878" t="s">
        <v>44</v>
      </c>
      <c r="O1878" t="s">
        <v>49</v>
      </c>
      <c r="P1878" t="s">
        <v>50</v>
      </c>
      <c r="Q1878">
        <v>3</v>
      </c>
      <c r="R1878">
        <v>3237.26</v>
      </c>
      <c r="S1878" t="s">
        <v>29</v>
      </c>
    </row>
    <row r="1879" spans="1:19" x14ac:dyDescent="0.3">
      <c r="A1879" t="s">
        <v>1949</v>
      </c>
      <c r="B1879">
        <v>35</v>
      </c>
      <c r="C1879" t="s">
        <v>31</v>
      </c>
      <c r="D1879" t="s">
        <v>32</v>
      </c>
      <c r="E1879" s="1">
        <v>45900</v>
      </c>
      <c r="F1879" s="3">
        <v>45914</v>
      </c>
      <c r="G1879" t="s">
        <v>62</v>
      </c>
      <c r="H1879" t="s">
        <v>63</v>
      </c>
      <c r="I1879" t="s">
        <v>81</v>
      </c>
      <c r="J1879">
        <v>8732.57</v>
      </c>
      <c r="K1879">
        <v>14</v>
      </c>
      <c r="L1879" t="s">
        <v>36</v>
      </c>
      <c r="M1879" t="s">
        <v>25</v>
      </c>
      <c r="N1879" t="s">
        <v>44</v>
      </c>
      <c r="O1879" t="s">
        <v>27</v>
      </c>
      <c r="P1879" t="s">
        <v>50</v>
      </c>
      <c r="Q1879">
        <v>15</v>
      </c>
      <c r="R1879">
        <v>2394.35</v>
      </c>
      <c r="S1879" t="s">
        <v>29</v>
      </c>
    </row>
    <row r="1880" spans="1:19" x14ac:dyDescent="0.3">
      <c r="A1880" t="s">
        <v>1950</v>
      </c>
      <c r="B1880">
        <v>50</v>
      </c>
      <c r="C1880" t="s">
        <v>31</v>
      </c>
      <c r="D1880" t="s">
        <v>47</v>
      </c>
      <c r="E1880" s="1">
        <v>45379</v>
      </c>
      <c r="F1880" s="3">
        <v>45381</v>
      </c>
      <c r="G1880" t="s">
        <v>33</v>
      </c>
      <c r="H1880" t="s">
        <v>34</v>
      </c>
      <c r="I1880" t="s">
        <v>83</v>
      </c>
      <c r="J1880">
        <v>3630.93</v>
      </c>
      <c r="K1880">
        <v>2</v>
      </c>
      <c r="L1880" t="s">
        <v>36</v>
      </c>
      <c r="M1880" t="s">
        <v>25</v>
      </c>
      <c r="N1880" t="s">
        <v>55</v>
      </c>
      <c r="O1880" t="s">
        <v>37</v>
      </c>
      <c r="P1880" t="s">
        <v>45</v>
      </c>
      <c r="Q1880">
        <v>9</v>
      </c>
      <c r="R1880">
        <v>1426.83</v>
      </c>
      <c r="S1880" t="s">
        <v>29</v>
      </c>
    </row>
    <row r="1881" spans="1:19" x14ac:dyDescent="0.3">
      <c r="A1881" t="s">
        <v>1951</v>
      </c>
      <c r="B1881">
        <v>41</v>
      </c>
      <c r="C1881" t="s">
        <v>19</v>
      </c>
      <c r="D1881" t="s">
        <v>32</v>
      </c>
      <c r="E1881" s="1">
        <v>45582</v>
      </c>
      <c r="F1881" s="3">
        <v>45597</v>
      </c>
      <c r="G1881" t="s">
        <v>67</v>
      </c>
      <c r="H1881" t="s">
        <v>42</v>
      </c>
      <c r="I1881" t="s">
        <v>83</v>
      </c>
      <c r="J1881">
        <v>7556.13</v>
      </c>
      <c r="K1881">
        <v>15</v>
      </c>
      <c r="L1881" t="s">
        <v>36</v>
      </c>
      <c r="M1881" t="s">
        <v>25</v>
      </c>
      <c r="N1881" t="s">
        <v>26</v>
      </c>
      <c r="O1881" t="s">
        <v>56</v>
      </c>
      <c r="P1881" t="s">
        <v>45</v>
      </c>
      <c r="Q1881">
        <v>6</v>
      </c>
      <c r="R1881">
        <v>1295.3699999999999</v>
      </c>
      <c r="S1881" t="s">
        <v>29</v>
      </c>
    </row>
    <row r="1882" spans="1:19" x14ac:dyDescent="0.3">
      <c r="A1882" t="s">
        <v>1952</v>
      </c>
      <c r="B1882">
        <v>77</v>
      </c>
      <c r="C1882" t="s">
        <v>19</v>
      </c>
      <c r="D1882" t="s">
        <v>61</v>
      </c>
      <c r="E1882" s="1">
        <v>45843</v>
      </c>
      <c r="F1882" s="3">
        <v>45862</v>
      </c>
      <c r="G1882" t="s">
        <v>33</v>
      </c>
      <c r="H1882" t="s">
        <v>34</v>
      </c>
      <c r="I1882" t="s">
        <v>91</v>
      </c>
      <c r="J1882">
        <v>12904.29</v>
      </c>
      <c r="K1882">
        <v>19</v>
      </c>
      <c r="L1882" t="s">
        <v>24</v>
      </c>
      <c r="M1882" t="s">
        <v>25</v>
      </c>
      <c r="N1882" t="s">
        <v>44</v>
      </c>
      <c r="O1882" t="s">
        <v>37</v>
      </c>
      <c r="P1882" t="s">
        <v>28</v>
      </c>
      <c r="Q1882">
        <v>10</v>
      </c>
      <c r="R1882">
        <v>4295.0600000000004</v>
      </c>
      <c r="S1882" t="s">
        <v>29</v>
      </c>
    </row>
    <row r="1883" spans="1:19" x14ac:dyDescent="0.3">
      <c r="A1883" t="s">
        <v>1953</v>
      </c>
      <c r="B1883">
        <v>81</v>
      </c>
      <c r="C1883" t="s">
        <v>31</v>
      </c>
      <c r="D1883" t="s">
        <v>32</v>
      </c>
      <c r="E1883" s="1">
        <v>45417</v>
      </c>
      <c r="F1883" s="3">
        <v>45436</v>
      </c>
      <c r="G1883" t="s">
        <v>48</v>
      </c>
      <c r="H1883" t="s">
        <v>22</v>
      </c>
      <c r="I1883" t="s">
        <v>54</v>
      </c>
      <c r="J1883">
        <v>14259.54</v>
      </c>
      <c r="K1883">
        <v>19</v>
      </c>
      <c r="L1883" t="s">
        <v>36</v>
      </c>
      <c r="M1883" t="s">
        <v>25</v>
      </c>
      <c r="N1883" t="s">
        <v>26</v>
      </c>
      <c r="O1883" t="s">
        <v>27</v>
      </c>
      <c r="P1883" t="s">
        <v>45</v>
      </c>
      <c r="Q1883">
        <v>2</v>
      </c>
      <c r="R1883">
        <v>3039.36</v>
      </c>
      <c r="S1883" t="s">
        <v>29</v>
      </c>
    </row>
    <row r="1884" spans="1:19" x14ac:dyDescent="0.3">
      <c r="A1884" t="s">
        <v>1954</v>
      </c>
      <c r="B1884">
        <v>57</v>
      </c>
      <c r="C1884" t="s">
        <v>31</v>
      </c>
      <c r="D1884" t="s">
        <v>20</v>
      </c>
      <c r="E1884" s="1">
        <v>44930</v>
      </c>
      <c r="F1884" s="3">
        <v>44945</v>
      </c>
      <c r="G1884" t="s">
        <v>21</v>
      </c>
      <c r="H1884" t="s">
        <v>22</v>
      </c>
      <c r="I1884" t="s">
        <v>58</v>
      </c>
      <c r="J1884">
        <v>8613.9699999999993</v>
      </c>
      <c r="K1884">
        <v>15</v>
      </c>
      <c r="L1884" t="s">
        <v>36</v>
      </c>
      <c r="M1884" t="s">
        <v>25</v>
      </c>
      <c r="N1884" t="s">
        <v>55</v>
      </c>
      <c r="O1884" t="s">
        <v>37</v>
      </c>
      <c r="P1884" t="s">
        <v>38</v>
      </c>
      <c r="Q1884">
        <v>9</v>
      </c>
      <c r="R1884">
        <v>2405.0300000000002</v>
      </c>
      <c r="S1884" t="s">
        <v>39</v>
      </c>
    </row>
    <row r="1885" spans="1:19" x14ac:dyDescent="0.3">
      <c r="A1885" t="s">
        <v>1955</v>
      </c>
      <c r="B1885">
        <v>55</v>
      </c>
      <c r="C1885" t="s">
        <v>19</v>
      </c>
      <c r="D1885" t="s">
        <v>70</v>
      </c>
      <c r="E1885" s="1">
        <v>45457</v>
      </c>
      <c r="F1885" s="3">
        <v>45474</v>
      </c>
      <c r="G1885" t="s">
        <v>52</v>
      </c>
      <c r="H1885" t="s">
        <v>53</v>
      </c>
      <c r="I1885" t="s">
        <v>54</v>
      </c>
      <c r="J1885">
        <v>7082.65</v>
      </c>
      <c r="K1885">
        <v>17</v>
      </c>
      <c r="L1885" t="s">
        <v>24</v>
      </c>
      <c r="M1885" t="s">
        <v>25</v>
      </c>
      <c r="N1885" t="s">
        <v>26</v>
      </c>
      <c r="O1885" t="s">
        <v>37</v>
      </c>
      <c r="P1885" t="s">
        <v>50</v>
      </c>
      <c r="Q1885">
        <v>6</v>
      </c>
      <c r="R1885">
        <v>2043.56</v>
      </c>
      <c r="S1885" t="s">
        <v>29</v>
      </c>
    </row>
    <row r="1886" spans="1:19" x14ac:dyDescent="0.3">
      <c r="A1886" t="s">
        <v>1956</v>
      </c>
      <c r="B1886">
        <v>24</v>
      </c>
      <c r="C1886" t="s">
        <v>31</v>
      </c>
      <c r="D1886" t="s">
        <v>32</v>
      </c>
      <c r="E1886" s="1">
        <v>45210</v>
      </c>
      <c r="F1886" s="3">
        <v>45218</v>
      </c>
      <c r="G1886" t="s">
        <v>21</v>
      </c>
      <c r="H1886" t="s">
        <v>22</v>
      </c>
      <c r="I1886" t="s">
        <v>81</v>
      </c>
      <c r="J1886">
        <v>5854.03</v>
      </c>
      <c r="K1886">
        <v>8</v>
      </c>
      <c r="L1886" t="s">
        <v>24</v>
      </c>
      <c r="M1886" t="s">
        <v>25</v>
      </c>
      <c r="N1886" t="s">
        <v>26</v>
      </c>
      <c r="O1886" t="s">
        <v>56</v>
      </c>
      <c r="P1886" t="s">
        <v>50</v>
      </c>
      <c r="Q1886">
        <v>5</v>
      </c>
      <c r="R1886">
        <v>1398.41</v>
      </c>
      <c r="S1886" t="s">
        <v>29</v>
      </c>
    </row>
    <row r="1887" spans="1:19" x14ac:dyDescent="0.3">
      <c r="A1887" t="s">
        <v>1957</v>
      </c>
      <c r="B1887">
        <v>75</v>
      </c>
      <c r="C1887" t="s">
        <v>19</v>
      </c>
      <c r="D1887" t="s">
        <v>32</v>
      </c>
      <c r="E1887" s="1">
        <v>45779</v>
      </c>
      <c r="F1887" s="3">
        <v>45789</v>
      </c>
      <c r="G1887" t="s">
        <v>41</v>
      </c>
      <c r="H1887" t="s">
        <v>42</v>
      </c>
      <c r="I1887" t="s">
        <v>91</v>
      </c>
      <c r="J1887">
        <v>5251.15</v>
      </c>
      <c r="K1887">
        <v>10</v>
      </c>
      <c r="L1887" t="s">
        <v>36</v>
      </c>
      <c r="M1887" t="s">
        <v>25</v>
      </c>
      <c r="N1887" t="s">
        <v>55</v>
      </c>
      <c r="O1887" t="s">
        <v>56</v>
      </c>
      <c r="P1887" t="s">
        <v>50</v>
      </c>
      <c r="Q1887">
        <v>7</v>
      </c>
      <c r="R1887">
        <v>1068.25</v>
      </c>
      <c r="S1887" t="s">
        <v>29</v>
      </c>
    </row>
    <row r="1888" spans="1:19" x14ac:dyDescent="0.3">
      <c r="A1888" t="s">
        <v>1958</v>
      </c>
      <c r="B1888">
        <v>32</v>
      </c>
      <c r="C1888" t="s">
        <v>19</v>
      </c>
      <c r="D1888" t="s">
        <v>61</v>
      </c>
      <c r="E1888" s="1">
        <v>45334</v>
      </c>
      <c r="F1888" s="3">
        <v>45348</v>
      </c>
      <c r="G1888" t="s">
        <v>48</v>
      </c>
      <c r="H1888" t="s">
        <v>22</v>
      </c>
      <c r="I1888" t="s">
        <v>58</v>
      </c>
      <c r="J1888">
        <v>8001.76</v>
      </c>
      <c r="K1888">
        <v>14</v>
      </c>
      <c r="L1888" t="s">
        <v>24</v>
      </c>
      <c r="M1888" t="s">
        <v>25</v>
      </c>
      <c r="N1888" t="s">
        <v>26</v>
      </c>
      <c r="O1888" t="s">
        <v>56</v>
      </c>
      <c r="P1888" t="s">
        <v>45</v>
      </c>
      <c r="Q1888">
        <v>12</v>
      </c>
      <c r="R1888">
        <v>2006.73</v>
      </c>
      <c r="S1888" t="s">
        <v>29</v>
      </c>
    </row>
    <row r="1889" spans="1:19" x14ac:dyDescent="0.3">
      <c r="A1889" t="s">
        <v>1959</v>
      </c>
      <c r="B1889">
        <v>36</v>
      </c>
      <c r="C1889" t="s">
        <v>19</v>
      </c>
      <c r="D1889" t="s">
        <v>47</v>
      </c>
      <c r="E1889" s="1">
        <v>45525</v>
      </c>
      <c r="F1889" s="3">
        <v>45544</v>
      </c>
      <c r="G1889" t="s">
        <v>33</v>
      </c>
      <c r="H1889" t="s">
        <v>34</v>
      </c>
      <c r="I1889" t="s">
        <v>58</v>
      </c>
      <c r="J1889">
        <v>6023.85</v>
      </c>
      <c r="K1889">
        <v>19</v>
      </c>
      <c r="L1889" t="s">
        <v>24</v>
      </c>
      <c r="M1889" t="s">
        <v>25</v>
      </c>
      <c r="N1889" t="s">
        <v>44</v>
      </c>
      <c r="O1889" t="s">
        <v>27</v>
      </c>
      <c r="P1889" t="s">
        <v>45</v>
      </c>
      <c r="Q1889">
        <v>13</v>
      </c>
      <c r="R1889">
        <v>2268.41</v>
      </c>
      <c r="S1889" t="s">
        <v>29</v>
      </c>
    </row>
    <row r="1890" spans="1:19" x14ac:dyDescent="0.3">
      <c r="A1890" t="s">
        <v>1960</v>
      </c>
      <c r="B1890">
        <v>75</v>
      </c>
      <c r="C1890" t="s">
        <v>19</v>
      </c>
      <c r="D1890" t="s">
        <v>70</v>
      </c>
      <c r="E1890" s="1">
        <v>44963</v>
      </c>
      <c r="F1890" s="3">
        <v>44981</v>
      </c>
      <c r="G1890" t="s">
        <v>21</v>
      </c>
      <c r="H1890" t="s">
        <v>22</v>
      </c>
      <c r="I1890" t="s">
        <v>81</v>
      </c>
      <c r="J1890">
        <v>14505.56</v>
      </c>
      <c r="K1890">
        <v>18</v>
      </c>
      <c r="L1890" t="s">
        <v>24</v>
      </c>
      <c r="M1890" t="s">
        <v>25</v>
      </c>
      <c r="N1890" t="s">
        <v>26</v>
      </c>
      <c r="O1890" t="s">
        <v>37</v>
      </c>
      <c r="P1890" t="s">
        <v>45</v>
      </c>
      <c r="Q1890">
        <v>14</v>
      </c>
      <c r="R1890">
        <v>3667.85</v>
      </c>
      <c r="S1890" t="s">
        <v>29</v>
      </c>
    </row>
    <row r="1891" spans="1:19" x14ac:dyDescent="0.3">
      <c r="A1891" t="s">
        <v>1961</v>
      </c>
      <c r="B1891">
        <v>61</v>
      </c>
      <c r="C1891" t="s">
        <v>31</v>
      </c>
      <c r="D1891" t="s">
        <v>66</v>
      </c>
      <c r="E1891" s="1">
        <v>45871</v>
      </c>
      <c r="F1891" s="3">
        <v>45875</v>
      </c>
      <c r="G1891" t="s">
        <v>52</v>
      </c>
      <c r="H1891" t="s">
        <v>53</v>
      </c>
      <c r="I1891" t="s">
        <v>43</v>
      </c>
      <c r="J1891">
        <v>3258.26</v>
      </c>
      <c r="K1891">
        <v>4</v>
      </c>
      <c r="L1891" t="s">
        <v>36</v>
      </c>
      <c r="M1891" t="s">
        <v>101</v>
      </c>
      <c r="N1891" t="s">
        <v>55</v>
      </c>
      <c r="O1891" t="s">
        <v>37</v>
      </c>
      <c r="P1891" t="s">
        <v>28</v>
      </c>
      <c r="Q1891">
        <v>14</v>
      </c>
      <c r="R1891">
        <v>1115.6600000000001</v>
      </c>
      <c r="S1891" t="s">
        <v>29</v>
      </c>
    </row>
    <row r="1892" spans="1:19" x14ac:dyDescent="0.3">
      <c r="A1892" t="s">
        <v>1962</v>
      </c>
      <c r="B1892">
        <v>80</v>
      </c>
      <c r="C1892" t="s">
        <v>31</v>
      </c>
      <c r="D1892" t="s">
        <v>89</v>
      </c>
      <c r="E1892" s="1">
        <v>45591</v>
      </c>
      <c r="F1892" s="3">
        <v>45593</v>
      </c>
      <c r="G1892" t="s">
        <v>41</v>
      </c>
      <c r="H1892" t="s">
        <v>42</v>
      </c>
      <c r="I1892" t="s">
        <v>83</v>
      </c>
      <c r="J1892">
        <v>3664.32</v>
      </c>
      <c r="K1892">
        <v>2</v>
      </c>
      <c r="L1892" t="s">
        <v>24</v>
      </c>
      <c r="M1892" t="s">
        <v>25</v>
      </c>
      <c r="N1892" t="s">
        <v>26</v>
      </c>
      <c r="O1892" t="s">
        <v>27</v>
      </c>
      <c r="P1892" t="s">
        <v>38</v>
      </c>
      <c r="Q1892">
        <v>12</v>
      </c>
      <c r="R1892">
        <v>1446.02</v>
      </c>
      <c r="S1892" t="s">
        <v>29</v>
      </c>
    </row>
    <row r="1893" spans="1:19" x14ac:dyDescent="0.3">
      <c r="A1893" t="s">
        <v>1963</v>
      </c>
      <c r="B1893">
        <v>82</v>
      </c>
      <c r="C1893" t="s">
        <v>19</v>
      </c>
      <c r="D1893" t="s">
        <v>70</v>
      </c>
      <c r="E1893" s="1">
        <v>45677</v>
      </c>
      <c r="F1893" s="3">
        <v>45696</v>
      </c>
      <c r="G1893" t="s">
        <v>74</v>
      </c>
      <c r="H1893" t="s">
        <v>75</v>
      </c>
      <c r="I1893" t="s">
        <v>58</v>
      </c>
      <c r="J1893">
        <v>9558.94</v>
      </c>
      <c r="K1893">
        <v>19</v>
      </c>
      <c r="L1893" t="s">
        <v>24</v>
      </c>
      <c r="M1893" t="s">
        <v>25</v>
      </c>
      <c r="N1893" t="s">
        <v>44</v>
      </c>
      <c r="O1893" t="s">
        <v>56</v>
      </c>
      <c r="P1893" t="s">
        <v>50</v>
      </c>
      <c r="Q1893">
        <v>4</v>
      </c>
      <c r="R1893">
        <v>3594.91</v>
      </c>
      <c r="S1893" t="s">
        <v>29</v>
      </c>
    </row>
    <row r="1894" spans="1:19" x14ac:dyDescent="0.3">
      <c r="A1894" t="s">
        <v>1964</v>
      </c>
      <c r="B1894">
        <v>41</v>
      </c>
      <c r="C1894" t="s">
        <v>31</v>
      </c>
      <c r="D1894" t="s">
        <v>47</v>
      </c>
      <c r="E1894" s="1">
        <v>45474</v>
      </c>
      <c r="F1894" s="3">
        <v>45481</v>
      </c>
      <c r="G1894" t="s">
        <v>74</v>
      </c>
      <c r="H1894" t="s">
        <v>75</v>
      </c>
      <c r="I1894" t="s">
        <v>91</v>
      </c>
      <c r="J1894">
        <v>11673.47</v>
      </c>
      <c r="K1894">
        <v>7</v>
      </c>
      <c r="L1894" t="s">
        <v>24</v>
      </c>
      <c r="M1894" t="s">
        <v>25</v>
      </c>
      <c r="N1894" t="s">
        <v>44</v>
      </c>
      <c r="O1894" t="s">
        <v>49</v>
      </c>
      <c r="P1894" t="s">
        <v>28</v>
      </c>
      <c r="Q1894">
        <v>4</v>
      </c>
      <c r="R1894">
        <v>3221.14</v>
      </c>
      <c r="S1894" t="s">
        <v>29</v>
      </c>
    </row>
    <row r="1895" spans="1:19" x14ac:dyDescent="0.3">
      <c r="A1895" t="s">
        <v>1965</v>
      </c>
      <c r="B1895">
        <v>82</v>
      </c>
      <c r="C1895" t="s">
        <v>31</v>
      </c>
      <c r="D1895" t="s">
        <v>89</v>
      </c>
      <c r="E1895" s="1">
        <v>45054</v>
      </c>
      <c r="F1895" s="3">
        <v>45058</v>
      </c>
      <c r="G1895" t="s">
        <v>71</v>
      </c>
      <c r="H1895" t="s">
        <v>72</v>
      </c>
      <c r="I1895" t="s">
        <v>35</v>
      </c>
      <c r="J1895">
        <v>1787.63</v>
      </c>
      <c r="K1895">
        <v>4</v>
      </c>
      <c r="L1895" t="s">
        <v>36</v>
      </c>
      <c r="M1895" t="s">
        <v>25</v>
      </c>
      <c r="N1895" t="s">
        <v>44</v>
      </c>
      <c r="O1895" t="s">
        <v>27</v>
      </c>
      <c r="P1895" t="s">
        <v>38</v>
      </c>
      <c r="Q1895">
        <v>1</v>
      </c>
      <c r="R1895">
        <v>395.88</v>
      </c>
      <c r="S1895" t="s">
        <v>29</v>
      </c>
    </row>
    <row r="1896" spans="1:19" x14ac:dyDescent="0.3">
      <c r="A1896" t="s">
        <v>1966</v>
      </c>
      <c r="B1896">
        <v>29</v>
      </c>
      <c r="C1896" t="s">
        <v>19</v>
      </c>
      <c r="D1896" t="s">
        <v>66</v>
      </c>
      <c r="E1896" s="1">
        <v>45683</v>
      </c>
      <c r="F1896" s="3">
        <v>45687</v>
      </c>
      <c r="G1896" t="s">
        <v>71</v>
      </c>
      <c r="H1896" t="s">
        <v>72</v>
      </c>
      <c r="I1896" t="s">
        <v>35</v>
      </c>
      <c r="J1896">
        <v>8653.09</v>
      </c>
      <c r="K1896">
        <v>4</v>
      </c>
      <c r="L1896" t="s">
        <v>36</v>
      </c>
      <c r="M1896" t="s">
        <v>25</v>
      </c>
      <c r="N1896" t="s">
        <v>44</v>
      </c>
      <c r="O1896" t="s">
        <v>49</v>
      </c>
      <c r="P1896" t="s">
        <v>50</v>
      </c>
      <c r="Q1896">
        <v>4</v>
      </c>
      <c r="R1896">
        <v>2529.42</v>
      </c>
      <c r="S1896" t="s">
        <v>29</v>
      </c>
    </row>
    <row r="1897" spans="1:19" x14ac:dyDescent="0.3">
      <c r="A1897" t="s">
        <v>1967</v>
      </c>
      <c r="B1897">
        <v>69</v>
      </c>
      <c r="C1897" t="s">
        <v>31</v>
      </c>
      <c r="D1897" t="s">
        <v>47</v>
      </c>
      <c r="E1897" s="1">
        <v>45118</v>
      </c>
      <c r="F1897" s="3">
        <v>45147</v>
      </c>
      <c r="G1897" t="s">
        <v>41</v>
      </c>
      <c r="H1897" t="s">
        <v>42</v>
      </c>
      <c r="I1897" t="s">
        <v>54</v>
      </c>
      <c r="J1897">
        <v>24212.66</v>
      </c>
      <c r="K1897">
        <v>29</v>
      </c>
      <c r="L1897" t="s">
        <v>24</v>
      </c>
      <c r="M1897" t="s">
        <v>25</v>
      </c>
      <c r="N1897" t="s">
        <v>26</v>
      </c>
      <c r="O1897" t="s">
        <v>49</v>
      </c>
      <c r="P1897" t="s">
        <v>28</v>
      </c>
      <c r="Q1897">
        <v>10</v>
      </c>
      <c r="R1897">
        <v>6442.94</v>
      </c>
      <c r="S1897" t="s">
        <v>29</v>
      </c>
    </row>
    <row r="1898" spans="1:19" x14ac:dyDescent="0.3">
      <c r="A1898" t="s">
        <v>1968</v>
      </c>
      <c r="B1898">
        <v>36</v>
      </c>
      <c r="C1898" t="s">
        <v>31</v>
      </c>
      <c r="D1898" t="s">
        <v>79</v>
      </c>
      <c r="E1898" s="1">
        <v>45717</v>
      </c>
      <c r="F1898" s="3">
        <v>45731</v>
      </c>
      <c r="G1898" t="s">
        <v>21</v>
      </c>
      <c r="H1898" t="s">
        <v>22</v>
      </c>
      <c r="I1898" t="s">
        <v>23</v>
      </c>
      <c r="J1898">
        <v>4465.1899999999996</v>
      </c>
      <c r="K1898">
        <v>14</v>
      </c>
      <c r="L1898" t="s">
        <v>24</v>
      </c>
      <c r="M1898" t="s">
        <v>25</v>
      </c>
      <c r="N1898" t="s">
        <v>55</v>
      </c>
      <c r="O1898" t="s">
        <v>56</v>
      </c>
      <c r="P1898" t="s">
        <v>45</v>
      </c>
      <c r="Q1898">
        <v>12</v>
      </c>
      <c r="R1898">
        <v>909.18</v>
      </c>
      <c r="S1898" t="s">
        <v>29</v>
      </c>
    </row>
    <row r="1899" spans="1:19" x14ac:dyDescent="0.3">
      <c r="A1899" t="s">
        <v>1969</v>
      </c>
      <c r="B1899">
        <v>39</v>
      </c>
      <c r="C1899" t="s">
        <v>19</v>
      </c>
      <c r="D1899" t="s">
        <v>79</v>
      </c>
      <c r="E1899" s="1">
        <v>45373</v>
      </c>
      <c r="F1899" s="3">
        <v>45378</v>
      </c>
      <c r="G1899" t="s">
        <v>62</v>
      </c>
      <c r="H1899" t="s">
        <v>63</v>
      </c>
      <c r="I1899" t="s">
        <v>35</v>
      </c>
      <c r="J1899">
        <v>10764.18</v>
      </c>
      <c r="K1899">
        <v>5</v>
      </c>
      <c r="L1899" t="s">
        <v>24</v>
      </c>
      <c r="M1899" t="s">
        <v>25</v>
      </c>
      <c r="N1899" t="s">
        <v>55</v>
      </c>
      <c r="O1899" t="s">
        <v>49</v>
      </c>
      <c r="P1899" t="s">
        <v>45</v>
      </c>
      <c r="Q1899">
        <v>14</v>
      </c>
      <c r="R1899">
        <v>3065.02</v>
      </c>
      <c r="S1899" t="s">
        <v>29</v>
      </c>
    </row>
    <row r="1900" spans="1:19" x14ac:dyDescent="0.3">
      <c r="A1900" t="s">
        <v>1970</v>
      </c>
      <c r="B1900">
        <v>43</v>
      </c>
      <c r="C1900" t="s">
        <v>19</v>
      </c>
      <c r="D1900" t="s">
        <v>20</v>
      </c>
      <c r="E1900" s="1">
        <v>45894</v>
      </c>
      <c r="F1900" s="3">
        <v>45909</v>
      </c>
      <c r="G1900" t="s">
        <v>67</v>
      </c>
      <c r="H1900" t="s">
        <v>42</v>
      </c>
      <c r="I1900" t="s">
        <v>54</v>
      </c>
      <c r="J1900">
        <v>6979.54</v>
      </c>
      <c r="K1900">
        <v>15</v>
      </c>
      <c r="L1900" t="s">
        <v>24</v>
      </c>
      <c r="M1900" t="s">
        <v>25</v>
      </c>
      <c r="N1900" t="s">
        <v>55</v>
      </c>
      <c r="O1900" t="s">
        <v>56</v>
      </c>
      <c r="P1900" t="s">
        <v>38</v>
      </c>
      <c r="Q1900">
        <v>4</v>
      </c>
      <c r="R1900">
        <v>1824.59</v>
      </c>
      <c r="S1900" t="s">
        <v>29</v>
      </c>
    </row>
    <row r="1901" spans="1:19" x14ac:dyDescent="0.3">
      <c r="A1901" t="s">
        <v>1971</v>
      </c>
      <c r="B1901">
        <v>31</v>
      </c>
      <c r="C1901" t="s">
        <v>19</v>
      </c>
      <c r="D1901" t="s">
        <v>47</v>
      </c>
      <c r="E1901" s="1">
        <v>45184</v>
      </c>
      <c r="F1901" s="3">
        <v>45198</v>
      </c>
      <c r="G1901" t="s">
        <v>21</v>
      </c>
      <c r="H1901" t="s">
        <v>22</v>
      </c>
      <c r="I1901" t="s">
        <v>43</v>
      </c>
      <c r="J1901">
        <v>3472.64</v>
      </c>
      <c r="K1901">
        <v>14</v>
      </c>
      <c r="L1901" t="s">
        <v>36</v>
      </c>
      <c r="M1901" t="s">
        <v>25</v>
      </c>
      <c r="N1901" t="s">
        <v>55</v>
      </c>
      <c r="O1901" t="s">
        <v>56</v>
      </c>
      <c r="P1901" t="s">
        <v>38</v>
      </c>
      <c r="Q1901">
        <v>9</v>
      </c>
      <c r="R1901">
        <v>889.41</v>
      </c>
      <c r="S1901" t="s">
        <v>29</v>
      </c>
    </row>
    <row r="1902" spans="1:19" x14ac:dyDescent="0.3">
      <c r="A1902" t="s">
        <v>1972</v>
      </c>
      <c r="B1902">
        <v>38</v>
      </c>
      <c r="C1902" t="s">
        <v>19</v>
      </c>
      <c r="D1902" t="s">
        <v>79</v>
      </c>
      <c r="E1902" s="1">
        <v>45317</v>
      </c>
      <c r="F1902" s="3">
        <v>45329</v>
      </c>
      <c r="G1902" t="s">
        <v>21</v>
      </c>
      <c r="H1902" t="s">
        <v>22</v>
      </c>
      <c r="I1902" t="s">
        <v>83</v>
      </c>
      <c r="J1902">
        <v>9313.4699999999993</v>
      </c>
      <c r="K1902">
        <v>12</v>
      </c>
      <c r="L1902" t="s">
        <v>24</v>
      </c>
      <c r="M1902" t="s">
        <v>59</v>
      </c>
      <c r="N1902" t="s">
        <v>44</v>
      </c>
      <c r="O1902" t="s">
        <v>37</v>
      </c>
      <c r="P1902" t="s">
        <v>45</v>
      </c>
      <c r="Q1902">
        <v>9</v>
      </c>
      <c r="R1902">
        <v>3390.85</v>
      </c>
      <c r="S1902" t="s">
        <v>29</v>
      </c>
    </row>
    <row r="1903" spans="1:19" x14ac:dyDescent="0.3">
      <c r="A1903" t="s">
        <v>1973</v>
      </c>
      <c r="B1903">
        <v>30</v>
      </c>
      <c r="C1903" t="s">
        <v>19</v>
      </c>
      <c r="D1903" t="s">
        <v>61</v>
      </c>
      <c r="E1903" s="1">
        <v>45135</v>
      </c>
      <c r="F1903" s="3">
        <v>45152</v>
      </c>
      <c r="G1903" t="s">
        <v>74</v>
      </c>
      <c r="H1903" t="s">
        <v>75</v>
      </c>
      <c r="I1903" t="s">
        <v>23</v>
      </c>
      <c r="J1903">
        <v>9189.0499999999993</v>
      </c>
      <c r="K1903">
        <v>17</v>
      </c>
      <c r="L1903" t="s">
        <v>24</v>
      </c>
      <c r="M1903" t="s">
        <v>59</v>
      </c>
      <c r="N1903" t="s">
        <v>44</v>
      </c>
      <c r="O1903" t="s">
        <v>56</v>
      </c>
      <c r="P1903" t="s">
        <v>45</v>
      </c>
      <c r="Q1903">
        <v>5</v>
      </c>
      <c r="R1903">
        <v>1868.56</v>
      </c>
      <c r="S1903" t="s">
        <v>29</v>
      </c>
    </row>
    <row r="1904" spans="1:19" x14ac:dyDescent="0.3">
      <c r="A1904" t="s">
        <v>1974</v>
      </c>
      <c r="B1904">
        <v>39</v>
      </c>
      <c r="C1904" t="s">
        <v>31</v>
      </c>
      <c r="D1904" t="s">
        <v>20</v>
      </c>
      <c r="E1904" s="1">
        <v>45577</v>
      </c>
      <c r="F1904" s="3">
        <v>45580</v>
      </c>
      <c r="G1904" t="s">
        <v>52</v>
      </c>
      <c r="H1904" t="s">
        <v>53</v>
      </c>
      <c r="I1904" t="s">
        <v>81</v>
      </c>
      <c r="J1904">
        <v>3561.67</v>
      </c>
      <c r="K1904">
        <v>3</v>
      </c>
      <c r="L1904" t="s">
        <v>36</v>
      </c>
      <c r="M1904" t="s">
        <v>25</v>
      </c>
      <c r="N1904" t="s">
        <v>44</v>
      </c>
      <c r="O1904" t="s">
        <v>27</v>
      </c>
      <c r="P1904" t="s">
        <v>28</v>
      </c>
      <c r="Q1904">
        <v>11</v>
      </c>
      <c r="R1904">
        <v>599.08000000000004</v>
      </c>
      <c r="S1904" t="s">
        <v>29</v>
      </c>
    </row>
    <row r="1905" spans="1:19" x14ac:dyDescent="0.3">
      <c r="A1905" t="s">
        <v>1975</v>
      </c>
      <c r="B1905">
        <v>27</v>
      </c>
      <c r="C1905" t="s">
        <v>19</v>
      </c>
      <c r="D1905" t="s">
        <v>47</v>
      </c>
      <c r="E1905" s="1">
        <v>45017</v>
      </c>
      <c r="F1905" s="3">
        <v>45031</v>
      </c>
      <c r="G1905" t="s">
        <v>93</v>
      </c>
      <c r="H1905" t="s">
        <v>72</v>
      </c>
      <c r="I1905" t="s">
        <v>23</v>
      </c>
      <c r="J1905">
        <v>7774.13</v>
      </c>
      <c r="K1905">
        <v>14</v>
      </c>
      <c r="L1905" t="s">
        <v>36</v>
      </c>
      <c r="M1905" t="s">
        <v>25</v>
      </c>
      <c r="N1905" t="s">
        <v>26</v>
      </c>
      <c r="O1905" t="s">
        <v>27</v>
      </c>
      <c r="P1905" t="s">
        <v>28</v>
      </c>
      <c r="Q1905">
        <v>8</v>
      </c>
      <c r="R1905">
        <v>1996.22</v>
      </c>
      <c r="S1905" t="s">
        <v>39</v>
      </c>
    </row>
    <row r="1906" spans="1:19" x14ac:dyDescent="0.3">
      <c r="A1906" t="s">
        <v>1976</v>
      </c>
      <c r="B1906">
        <v>86</v>
      </c>
      <c r="C1906" t="s">
        <v>31</v>
      </c>
      <c r="D1906" t="s">
        <v>70</v>
      </c>
      <c r="E1906" s="1">
        <v>45209</v>
      </c>
      <c r="F1906" s="3">
        <v>45218</v>
      </c>
      <c r="G1906" t="s">
        <v>21</v>
      </c>
      <c r="H1906" t="s">
        <v>22</v>
      </c>
      <c r="I1906" t="s">
        <v>83</v>
      </c>
      <c r="J1906">
        <v>5427.88</v>
      </c>
      <c r="K1906">
        <v>9</v>
      </c>
      <c r="L1906" t="s">
        <v>36</v>
      </c>
      <c r="M1906" t="s">
        <v>25</v>
      </c>
      <c r="N1906" t="s">
        <v>26</v>
      </c>
      <c r="O1906" t="s">
        <v>56</v>
      </c>
      <c r="P1906" t="s">
        <v>50</v>
      </c>
      <c r="Q1906">
        <v>11</v>
      </c>
      <c r="R1906">
        <v>1524.63</v>
      </c>
      <c r="S1906" t="s">
        <v>29</v>
      </c>
    </row>
    <row r="1907" spans="1:19" x14ac:dyDescent="0.3">
      <c r="A1907" t="s">
        <v>1977</v>
      </c>
      <c r="B1907">
        <v>75</v>
      </c>
      <c r="C1907" t="s">
        <v>19</v>
      </c>
      <c r="D1907" t="s">
        <v>79</v>
      </c>
      <c r="E1907" s="1">
        <v>45921</v>
      </c>
      <c r="F1907" s="3">
        <v>45924</v>
      </c>
      <c r="G1907" t="s">
        <v>67</v>
      </c>
      <c r="H1907" t="s">
        <v>42</v>
      </c>
      <c r="I1907" t="s">
        <v>54</v>
      </c>
      <c r="J1907">
        <v>1978.55</v>
      </c>
      <c r="K1907">
        <v>3</v>
      </c>
      <c r="L1907" t="s">
        <v>36</v>
      </c>
      <c r="M1907" t="s">
        <v>25</v>
      </c>
      <c r="N1907" t="s">
        <v>55</v>
      </c>
      <c r="O1907" t="s">
        <v>27</v>
      </c>
      <c r="P1907" t="s">
        <v>45</v>
      </c>
      <c r="Q1907">
        <v>8</v>
      </c>
      <c r="R1907">
        <v>742.26</v>
      </c>
      <c r="S1907" t="s">
        <v>39</v>
      </c>
    </row>
    <row r="1908" spans="1:19" x14ac:dyDescent="0.3">
      <c r="A1908" t="s">
        <v>1978</v>
      </c>
      <c r="B1908">
        <v>78</v>
      </c>
      <c r="C1908" t="s">
        <v>19</v>
      </c>
      <c r="D1908" t="s">
        <v>70</v>
      </c>
      <c r="E1908" s="1">
        <v>45021</v>
      </c>
      <c r="F1908" s="3">
        <v>45044</v>
      </c>
      <c r="G1908" t="s">
        <v>74</v>
      </c>
      <c r="H1908" t="s">
        <v>75</v>
      </c>
      <c r="I1908" t="s">
        <v>54</v>
      </c>
      <c r="J1908">
        <v>12964.46</v>
      </c>
      <c r="K1908">
        <v>23</v>
      </c>
      <c r="L1908" t="s">
        <v>36</v>
      </c>
      <c r="M1908" t="s">
        <v>25</v>
      </c>
      <c r="N1908" t="s">
        <v>26</v>
      </c>
      <c r="O1908" t="s">
        <v>49</v>
      </c>
      <c r="P1908" t="s">
        <v>38</v>
      </c>
      <c r="Q1908">
        <v>8</v>
      </c>
      <c r="R1908">
        <v>3062.66</v>
      </c>
      <c r="S1908" t="s">
        <v>39</v>
      </c>
    </row>
    <row r="1909" spans="1:19" x14ac:dyDescent="0.3">
      <c r="A1909" t="s">
        <v>1979</v>
      </c>
      <c r="B1909">
        <v>87</v>
      </c>
      <c r="C1909" t="s">
        <v>19</v>
      </c>
      <c r="D1909" t="s">
        <v>47</v>
      </c>
      <c r="E1909" s="1">
        <v>45523</v>
      </c>
      <c r="F1909" s="3">
        <v>45533</v>
      </c>
      <c r="G1909" t="s">
        <v>67</v>
      </c>
      <c r="H1909" t="s">
        <v>42</v>
      </c>
      <c r="I1909" t="s">
        <v>23</v>
      </c>
      <c r="J1909">
        <v>5584.72</v>
      </c>
      <c r="K1909">
        <v>10</v>
      </c>
      <c r="L1909" t="s">
        <v>36</v>
      </c>
      <c r="M1909" t="s">
        <v>59</v>
      </c>
      <c r="N1909" t="s">
        <v>26</v>
      </c>
      <c r="O1909" t="s">
        <v>37</v>
      </c>
      <c r="P1909" t="s">
        <v>38</v>
      </c>
      <c r="Q1909">
        <v>3</v>
      </c>
      <c r="R1909">
        <v>1954.19</v>
      </c>
      <c r="S1909" t="s">
        <v>29</v>
      </c>
    </row>
    <row r="1910" spans="1:19" x14ac:dyDescent="0.3">
      <c r="A1910" t="s">
        <v>1980</v>
      </c>
      <c r="B1910">
        <v>90</v>
      </c>
      <c r="C1910" t="s">
        <v>19</v>
      </c>
      <c r="D1910" t="s">
        <v>89</v>
      </c>
      <c r="E1910" s="1">
        <v>45564</v>
      </c>
      <c r="F1910" s="3">
        <v>45568</v>
      </c>
      <c r="G1910" t="s">
        <v>93</v>
      </c>
      <c r="H1910" t="s">
        <v>72</v>
      </c>
      <c r="I1910" t="s">
        <v>58</v>
      </c>
      <c r="J1910">
        <v>3420.28</v>
      </c>
      <c r="K1910">
        <v>4</v>
      </c>
      <c r="L1910" t="s">
        <v>36</v>
      </c>
      <c r="M1910" t="s">
        <v>25</v>
      </c>
      <c r="N1910" t="s">
        <v>26</v>
      </c>
      <c r="O1910" t="s">
        <v>37</v>
      </c>
      <c r="P1910" t="s">
        <v>50</v>
      </c>
      <c r="Q1910">
        <v>8</v>
      </c>
      <c r="R1910">
        <v>851.7</v>
      </c>
      <c r="S1910" t="s">
        <v>29</v>
      </c>
    </row>
    <row r="1911" spans="1:19" x14ac:dyDescent="0.3">
      <c r="A1911" t="s">
        <v>1981</v>
      </c>
      <c r="B1911">
        <v>61</v>
      </c>
      <c r="C1911" t="s">
        <v>19</v>
      </c>
      <c r="D1911" t="s">
        <v>61</v>
      </c>
      <c r="E1911" s="1">
        <v>45632</v>
      </c>
      <c r="F1911" s="3">
        <v>45650</v>
      </c>
      <c r="G1911" t="s">
        <v>48</v>
      </c>
      <c r="H1911" t="s">
        <v>22</v>
      </c>
      <c r="I1911" t="s">
        <v>83</v>
      </c>
      <c r="J1911">
        <v>12261.79</v>
      </c>
      <c r="K1911">
        <v>18</v>
      </c>
      <c r="L1911" t="s">
        <v>36</v>
      </c>
      <c r="M1911" t="s">
        <v>25</v>
      </c>
      <c r="N1911" t="s">
        <v>26</v>
      </c>
      <c r="O1911" t="s">
        <v>49</v>
      </c>
      <c r="P1911" t="s">
        <v>38</v>
      </c>
      <c r="Q1911">
        <v>11</v>
      </c>
      <c r="R1911">
        <v>3292.43</v>
      </c>
      <c r="S1911" t="s">
        <v>29</v>
      </c>
    </row>
    <row r="1912" spans="1:19" x14ac:dyDescent="0.3">
      <c r="A1912" t="s">
        <v>1982</v>
      </c>
      <c r="B1912">
        <v>27</v>
      </c>
      <c r="C1912" t="s">
        <v>31</v>
      </c>
      <c r="D1912" t="s">
        <v>47</v>
      </c>
      <c r="E1912" s="1">
        <v>45539</v>
      </c>
      <c r="F1912" s="3">
        <v>45550</v>
      </c>
      <c r="G1912" t="s">
        <v>21</v>
      </c>
      <c r="H1912" t="s">
        <v>22</v>
      </c>
      <c r="I1912" t="s">
        <v>58</v>
      </c>
      <c r="J1912">
        <v>7595.98</v>
      </c>
      <c r="K1912">
        <v>11</v>
      </c>
      <c r="L1912" t="s">
        <v>24</v>
      </c>
      <c r="M1912" t="s">
        <v>25</v>
      </c>
      <c r="N1912" t="s">
        <v>44</v>
      </c>
      <c r="O1912" t="s">
        <v>56</v>
      </c>
      <c r="P1912" t="s">
        <v>45</v>
      </c>
      <c r="Q1912">
        <v>10</v>
      </c>
      <c r="R1912">
        <v>2820.96</v>
      </c>
      <c r="S1912" t="s">
        <v>29</v>
      </c>
    </row>
    <row r="1913" spans="1:19" x14ac:dyDescent="0.3">
      <c r="A1913" t="s">
        <v>1983</v>
      </c>
      <c r="B1913">
        <v>28</v>
      </c>
      <c r="C1913" t="s">
        <v>19</v>
      </c>
      <c r="D1913" t="s">
        <v>61</v>
      </c>
      <c r="E1913" s="1">
        <v>44986</v>
      </c>
      <c r="F1913" s="3">
        <v>44989</v>
      </c>
      <c r="G1913" t="s">
        <v>21</v>
      </c>
      <c r="H1913" t="s">
        <v>22</v>
      </c>
      <c r="I1913" t="s">
        <v>58</v>
      </c>
      <c r="J1913">
        <v>1899.62</v>
      </c>
      <c r="K1913">
        <v>3</v>
      </c>
      <c r="L1913" t="s">
        <v>24</v>
      </c>
      <c r="M1913" t="s">
        <v>59</v>
      </c>
      <c r="N1913" t="s">
        <v>44</v>
      </c>
      <c r="O1913" t="s">
        <v>27</v>
      </c>
      <c r="P1913" t="s">
        <v>38</v>
      </c>
      <c r="Q1913">
        <v>13</v>
      </c>
      <c r="R1913">
        <v>304.55</v>
      </c>
      <c r="S1913" t="s">
        <v>29</v>
      </c>
    </row>
    <row r="1914" spans="1:19" x14ac:dyDescent="0.3">
      <c r="A1914" t="s">
        <v>1984</v>
      </c>
      <c r="B1914">
        <v>86</v>
      </c>
      <c r="C1914" t="s">
        <v>31</v>
      </c>
      <c r="D1914" t="s">
        <v>66</v>
      </c>
      <c r="E1914" s="1">
        <v>45670</v>
      </c>
      <c r="F1914" s="3">
        <v>45682</v>
      </c>
      <c r="G1914" t="s">
        <v>93</v>
      </c>
      <c r="H1914" t="s">
        <v>72</v>
      </c>
      <c r="I1914" t="s">
        <v>58</v>
      </c>
      <c r="J1914">
        <v>5395.27</v>
      </c>
      <c r="K1914">
        <v>12</v>
      </c>
      <c r="L1914" t="s">
        <v>36</v>
      </c>
      <c r="M1914" t="s">
        <v>25</v>
      </c>
      <c r="N1914" t="s">
        <v>55</v>
      </c>
      <c r="O1914" t="s">
        <v>56</v>
      </c>
      <c r="P1914" t="s">
        <v>45</v>
      </c>
      <c r="Q1914">
        <v>6</v>
      </c>
      <c r="R1914">
        <v>1597.34</v>
      </c>
      <c r="S1914" t="s">
        <v>29</v>
      </c>
    </row>
    <row r="1915" spans="1:19" x14ac:dyDescent="0.3">
      <c r="A1915" t="s">
        <v>1985</v>
      </c>
      <c r="B1915">
        <v>80</v>
      </c>
      <c r="C1915" t="s">
        <v>31</v>
      </c>
      <c r="D1915" t="s">
        <v>32</v>
      </c>
      <c r="E1915" s="1">
        <v>45724</v>
      </c>
      <c r="F1915" s="3">
        <v>45741</v>
      </c>
      <c r="G1915" t="s">
        <v>93</v>
      </c>
      <c r="H1915" t="s">
        <v>72</v>
      </c>
      <c r="I1915" t="s">
        <v>23</v>
      </c>
      <c r="J1915">
        <v>7310.98</v>
      </c>
      <c r="K1915">
        <v>17</v>
      </c>
      <c r="L1915" t="s">
        <v>24</v>
      </c>
      <c r="M1915" t="s">
        <v>76</v>
      </c>
      <c r="N1915" t="s">
        <v>26</v>
      </c>
      <c r="O1915" t="s">
        <v>27</v>
      </c>
      <c r="P1915" t="s">
        <v>45</v>
      </c>
      <c r="Q1915">
        <v>4</v>
      </c>
      <c r="R1915">
        <v>1369.35</v>
      </c>
      <c r="S1915" t="s">
        <v>39</v>
      </c>
    </row>
    <row r="1916" spans="1:19" x14ac:dyDescent="0.3">
      <c r="A1916" t="s">
        <v>1986</v>
      </c>
      <c r="B1916">
        <v>69</v>
      </c>
      <c r="C1916" t="s">
        <v>31</v>
      </c>
      <c r="D1916" t="s">
        <v>20</v>
      </c>
      <c r="E1916" s="1">
        <v>44986</v>
      </c>
      <c r="F1916" s="3">
        <v>44994</v>
      </c>
      <c r="G1916" t="s">
        <v>21</v>
      </c>
      <c r="H1916" t="s">
        <v>22</v>
      </c>
      <c r="I1916" t="s">
        <v>23</v>
      </c>
      <c r="J1916">
        <v>3739.86</v>
      </c>
      <c r="K1916">
        <v>8</v>
      </c>
      <c r="L1916" t="s">
        <v>36</v>
      </c>
      <c r="M1916" t="s">
        <v>25</v>
      </c>
      <c r="N1916" t="s">
        <v>26</v>
      </c>
      <c r="O1916" t="s">
        <v>27</v>
      </c>
      <c r="P1916" t="s">
        <v>50</v>
      </c>
      <c r="Q1916">
        <v>2</v>
      </c>
      <c r="R1916">
        <v>1446.94</v>
      </c>
      <c r="S1916" t="s">
        <v>29</v>
      </c>
    </row>
    <row r="1917" spans="1:19" x14ac:dyDescent="0.3">
      <c r="A1917" t="s">
        <v>1987</v>
      </c>
      <c r="B1917">
        <v>23</v>
      </c>
      <c r="C1917" t="s">
        <v>31</v>
      </c>
      <c r="D1917" t="s">
        <v>79</v>
      </c>
      <c r="E1917" s="1">
        <v>45475</v>
      </c>
      <c r="F1917" s="3">
        <v>45482</v>
      </c>
      <c r="G1917" t="s">
        <v>21</v>
      </c>
      <c r="H1917" t="s">
        <v>22</v>
      </c>
      <c r="I1917" t="s">
        <v>35</v>
      </c>
      <c r="J1917">
        <v>7752.48</v>
      </c>
      <c r="K1917">
        <v>7</v>
      </c>
      <c r="L1917" t="s">
        <v>24</v>
      </c>
      <c r="M1917" t="s">
        <v>25</v>
      </c>
      <c r="N1917" t="s">
        <v>55</v>
      </c>
      <c r="O1917" t="s">
        <v>49</v>
      </c>
      <c r="P1917" t="s">
        <v>28</v>
      </c>
      <c r="Q1917">
        <v>11</v>
      </c>
      <c r="R1917">
        <v>1612.78</v>
      </c>
      <c r="S1917" t="s">
        <v>29</v>
      </c>
    </row>
    <row r="1918" spans="1:19" x14ac:dyDescent="0.3">
      <c r="A1918" t="s">
        <v>1988</v>
      </c>
      <c r="B1918">
        <v>85</v>
      </c>
      <c r="C1918" t="s">
        <v>31</v>
      </c>
      <c r="D1918" t="s">
        <v>66</v>
      </c>
      <c r="E1918" s="1">
        <v>45307</v>
      </c>
      <c r="F1918" s="3">
        <v>45324</v>
      </c>
      <c r="G1918" t="s">
        <v>67</v>
      </c>
      <c r="H1918" t="s">
        <v>42</v>
      </c>
      <c r="I1918" t="s">
        <v>43</v>
      </c>
      <c r="J1918">
        <v>12442.14</v>
      </c>
      <c r="K1918">
        <v>17</v>
      </c>
      <c r="L1918" t="s">
        <v>36</v>
      </c>
      <c r="M1918" t="s">
        <v>25</v>
      </c>
      <c r="N1918" t="s">
        <v>26</v>
      </c>
      <c r="O1918" t="s">
        <v>49</v>
      </c>
      <c r="P1918" t="s">
        <v>45</v>
      </c>
      <c r="Q1918">
        <v>1</v>
      </c>
      <c r="R1918">
        <v>3307.87</v>
      </c>
      <c r="S1918" t="s">
        <v>29</v>
      </c>
    </row>
    <row r="1919" spans="1:19" x14ac:dyDescent="0.3">
      <c r="A1919" t="s">
        <v>1989</v>
      </c>
      <c r="B1919">
        <v>52</v>
      </c>
      <c r="C1919" t="s">
        <v>19</v>
      </c>
      <c r="D1919" t="s">
        <v>66</v>
      </c>
      <c r="E1919" s="1">
        <v>45040</v>
      </c>
      <c r="F1919" s="3">
        <v>45047</v>
      </c>
      <c r="G1919" t="s">
        <v>71</v>
      </c>
      <c r="H1919" t="s">
        <v>72</v>
      </c>
      <c r="I1919" t="s">
        <v>81</v>
      </c>
      <c r="J1919">
        <v>8857.7000000000007</v>
      </c>
      <c r="K1919">
        <v>7</v>
      </c>
      <c r="L1919" t="s">
        <v>36</v>
      </c>
      <c r="M1919" t="s">
        <v>59</v>
      </c>
      <c r="N1919" t="s">
        <v>26</v>
      </c>
      <c r="O1919" t="s">
        <v>49</v>
      </c>
      <c r="P1919" t="s">
        <v>38</v>
      </c>
      <c r="Q1919">
        <v>12</v>
      </c>
      <c r="R1919">
        <v>1495.55</v>
      </c>
      <c r="S1919" t="s">
        <v>29</v>
      </c>
    </row>
    <row r="1920" spans="1:19" x14ac:dyDescent="0.3">
      <c r="A1920" t="s">
        <v>1990</v>
      </c>
      <c r="B1920">
        <v>65</v>
      </c>
      <c r="C1920" t="s">
        <v>19</v>
      </c>
      <c r="D1920" t="s">
        <v>47</v>
      </c>
      <c r="E1920" s="1">
        <v>45332</v>
      </c>
      <c r="F1920" s="3">
        <v>45341</v>
      </c>
      <c r="G1920" t="s">
        <v>74</v>
      </c>
      <c r="H1920" t="s">
        <v>75</v>
      </c>
      <c r="I1920" t="s">
        <v>54</v>
      </c>
      <c r="J1920">
        <v>8159.6</v>
      </c>
      <c r="K1920">
        <v>9</v>
      </c>
      <c r="L1920" t="s">
        <v>36</v>
      </c>
      <c r="M1920" t="s">
        <v>25</v>
      </c>
      <c r="N1920" t="s">
        <v>44</v>
      </c>
      <c r="O1920" t="s">
        <v>56</v>
      </c>
      <c r="P1920" t="s">
        <v>38</v>
      </c>
      <c r="Q1920">
        <v>9</v>
      </c>
      <c r="R1920">
        <v>2697.12</v>
      </c>
      <c r="S1920" t="s">
        <v>39</v>
      </c>
    </row>
    <row r="1921" spans="1:19" x14ac:dyDescent="0.3">
      <c r="A1921" t="s">
        <v>1991</v>
      </c>
      <c r="B1921">
        <v>24</v>
      </c>
      <c r="C1921" t="s">
        <v>19</v>
      </c>
      <c r="D1921" t="s">
        <v>32</v>
      </c>
      <c r="E1921" s="1">
        <v>45746</v>
      </c>
      <c r="F1921" s="3">
        <v>45760</v>
      </c>
      <c r="G1921" t="s">
        <v>62</v>
      </c>
      <c r="H1921" t="s">
        <v>63</v>
      </c>
      <c r="I1921" t="s">
        <v>35</v>
      </c>
      <c r="J1921">
        <v>4118.3900000000003</v>
      </c>
      <c r="K1921">
        <v>14</v>
      </c>
      <c r="L1921" t="s">
        <v>24</v>
      </c>
      <c r="M1921" t="s">
        <v>25</v>
      </c>
      <c r="N1921" t="s">
        <v>26</v>
      </c>
      <c r="O1921" t="s">
        <v>27</v>
      </c>
      <c r="P1921" t="s">
        <v>45</v>
      </c>
      <c r="Q1921">
        <v>9</v>
      </c>
      <c r="R1921">
        <v>1435.51</v>
      </c>
      <c r="S1921" t="s">
        <v>39</v>
      </c>
    </row>
    <row r="1922" spans="1:19" x14ac:dyDescent="0.3">
      <c r="A1922" t="s">
        <v>1992</v>
      </c>
      <c r="B1922">
        <v>53</v>
      </c>
      <c r="C1922" t="s">
        <v>31</v>
      </c>
      <c r="D1922" t="s">
        <v>20</v>
      </c>
      <c r="E1922" s="1">
        <v>45264</v>
      </c>
      <c r="F1922" s="3">
        <v>45268</v>
      </c>
      <c r="G1922" t="s">
        <v>21</v>
      </c>
      <c r="H1922" t="s">
        <v>22</v>
      </c>
      <c r="I1922" t="s">
        <v>35</v>
      </c>
      <c r="J1922">
        <v>9180.84</v>
      </c>
      <c r="K1922">
        <v>4</v>
      </c>
      <c r="L1922" t="s">
        <v>24</v>
      </c>
      <c r="M1922" t="s">
        <v>25</v>
      </c>
      <c r="N1922" t="s">
        <v>55</v>
      </c>
      <c r="O1922" t="s">
        <v>49</v>
      </c>
      <c r="P1922" t="s">
        <v>28</v>
      </c>
      <c r="Q1922">
        <v>14</v>
      </c>
      <c r="R1922">
        <v>2154.6799999999998</v>
      </c>
      <c r="S1922" t="s">
        <v>29</v>
      </c>
    </row>
    <row r="1923" spans="1:19" x14ac:dyDescent="0.3">
      <c r="A1923" t="s">
        <v>1993</v>
      </c>
      <c r="B1923">
        <v>50</v>
      </c>
      <c r="C1923" t="s">
        <v>31</v>
      </c>
      <c r="D1923" t="s">
        <v>20</v>
      </c>
      <c r="E1923" s="1">
        <v>45304</v>
      </c>
      <c r="F1923" s="3">
        <v>45329</v>
      </c>
      <c r="G1923" t="s">
        <v>74</v>
      </c>
      <c r="H1923" t="s">
        <v>75</v>
      </c>
      <c r="I1923" t="s">
        <v>91</v>
      </c>
      <c r="J1923">
        <v>23378.38</v>
      </c>
      <c r="K1923">
        <v>25</v>
      </c>
      <c r="L1923" t="s">
        <v>36</v>
      </c>
      <c r="M1923" t="s">
        <v>25</v>
      </c>
      <c r="N1923" t="s">
        <v>55</v>
      </c>
      <c r="O1923" t="s">
        <v>49</v>
      </c>
      <c r="P1923" t="s">
        <v>38</v>
      </c>
      <c r="Q1923">
        <v>7</v>
      </c>
      <c r="R1923">
        <v>4431.6000000000004</v>
      </c>
      <c r="S1923" t="s">
        <v>29</v>
      </c>
    </row>
    <row r="1924" spans="1:19" x14ac:dyDescent="0.3">
      <c r="A1924" t="s">
        <v>1994</v>
      </c>
      <c r="B1924">
        <v>46</v>
      </c>
      <c r="C1924" t="s">
        <v>19</v>
      </c>
      <c r="D1924" t="s">
        <v>70</v>
      </c>
      <c r="E1924" s="1">
        <v>45251</v>
      </c>
      <c r="F1924" s="3">
        <v>45271</v>
      </c>
      <c r="G1924" t="s">
        <v>67</v>
      </c>
      <c r="H1924" t="s">
        <v>42</v>
      </c>
      <c r="I1924" t="s">
        <v>35</v>
      </c>
      <c r="J1924">
        <v>11904.17</v>
      </c>
      <c r="K1924">
        <v>20</v>
      </c>
      <c r="L1924" t="s">
        <v>24</v>
      </c>
      <c r="M1924" t="s">
        <v>25</v>
      </c>
      <c r="N1924" t="s">
        <v>55</v>
      </c>
      <c r="O1924" t="s">
        <v>37</v>
      </c>
      <c r="P1924" t="s">
        <v>28</v>
      </c>
      <c r="Q1924">
        <v>5</v>
      </c>
      <c r="R1924">
        <v>2427.69</v>
      </c>
      <c r="S1924" t="s">
        <v>29</v>
      </c>
    </row>
    <row r="1925" spans="1:19" x14ac:dyDescent="0.3">
      <c r="A1925" t="s">
        <v>1995</v>
      </c>
      <c r="B1925">
        <v>26</v>
      </c>
      <c r="C1925" t="s">
        <v>31</v>
      </c>
      <c r="D1925" t="s">
        <v>20</v>
      </c>
      <c r="E1925" s="1">
        <v>45308</v>
      </c>
      <c r="F1925" s="3">
        <v>45316</v>
      </c>
      <c r="G1925" t="s">
        <v>71</v>
      </c>
      <c r="H1925" t="s">
        <v>72</v>
      </c>
      <c r="I1925" t="s">
        <v>58</v>
      </c>
      <c r="J1925">
        <v>5824.27</v>
      </c>
      <c r="K1925">
        <v>8</v>
      </c>
      <c r="L1925" t="s">
        <v>24</v>
      </c>
      <c r="M1925" t="s">
        <v>25</v>
      </c>
      <c r="N1925" t="s">
        <v>44</v>
      </c>
      <c r="O1925" t="s">
        <v>27</v>
      </c>
      <c r="P1925" t="s">
        <v>38</v>
      </c>
      <c r="Q1925">
        <v>9</v>
      </c>
      <c r="R1925">
        <v>1724.36</v>
      </c>
      <c r="S1925" t="s">
        <v>29</v>
      </c>
    </row>
    <row r="1926" spans="1:19" x14ac:dyDescent="0.3">
      <c r="A1926" t="s">
        <v>1996</v>
      </c>
      <c r="B1926">
        <v>28</v>
      </c>
      <c r="C1926" t="s">
        <v>31</v>
      </c>
      <c r="D1926" t="s">
        <v>20</v>
      </c>
      <c r="E1926" s="1">
        <v>45923</v>
      </c>
      <c r="F1926" s="3">
        <v>45937</v>
      </c>
      <c r="G1926" t="s">
        <v>67</v>
      </c>
      <c r="H1926" t="s">
        <v>42</v>
      </c>
      <c r="I1926" t="s">
        <v>91</v>
      </c>
      <c r="J1926">
        <v>7381.71</v>
      </c>
      <c r="K1926">
        <v>14</v>
      </c>
      <c r="L1926" t="s">
        <v>24</v>
      </c>
      <c r="M1926" t="s">
        <v>25</v>
      </c>
      <c r="N1926" t="s">
        <v>44</v>
      </c>
      <c r="O1926" t="s">
        <v>37</v>
      </c>
      <c r="P1926" t="s">
        <v>45</v>
      </c>
      <c r="Q1926">
        <v>11</v>
      </c>
      <c r="R1926">
        <v>1229.8</v>
      </c>
      <c r="S1926" t="s">
        <v>29</v>
      </c>
    </row>
    <row r="1927" spans="1:19" x14ac:dyDescent="0.3">
      <c r="A1927" t="s">
        <v>1997</v>
      </c>
      <c r="B1927">
        <v>45</v>
      </c>
      <c r="C1927" t="s">
        <v>19</v>
      </c>
      <c r="D1927" t="s">
        <v>47</v>
      </c>
      <c r="E1927" s="1">
        <v>44935</v>
      </c>
      <c r="F1927" s="3">
        <v>44952</v>
      </c>
      <c r="G1927" t="s">
        <v>48</v>
      </c>
      <c r="H1927" t="s">
        <v>22</v>
      </c>
      <c r="I1927" t="s">
        <v>91</v>
      </c>
      <c r="J1927">
        <v>11703.03</v>
      </c>
      <c r="K1927">
        <v>17</v>
      </c>
      <c r="L1927" t="s">
        <v>24</v>
      </c>
      <c r="M1927" t="s">
        <v>59</v>
      </c>
      <c r="N1927" t="s">
        <v>26</v>
      </c>
      <c r="O1927" t="s">
        <v>37</v>
      </c>
      <c r="P1927" t="s">
        <v>45</v>
      </c>
      <c r="Q1927">
        <v>1</v>
      </c>
      <c r="R1927">
        <v>4314.54</v>
      </c>
      <c r="S1927" t="s">
        <v>29</v>
      </c>
    </row>
    <row r="1928" spans="1:19" x14ac:dyDescent="0.3">
      <c r="A1928" t="s">
        <v>1998</v>
      </c>
      <c r="B1928">
        <v>46</v>
      </c>
      <c r="C1928" t="s">
        <v>31</v>
      </c>
      <c r="D1928" t="s">
        <v>89</v>
      </c>
      <c r="E1928" s="1">
        <v>45170</v>
      </c>
      <c r="F1928" s="3">
        <v>45171</v>
      </c>
      <c r="G1928" t="s">
        <v>62</v>
      </c>
      <c r="H1928" t="s">
        <v>63</v>
      </c>
      <c r="I1928" t="s">
        <v>43</v>
      </c>
      <c r="J1928">
        <v>2046.47</v>
      </c>
      <c r="K1928">
        <v>1</v>
      </c>
      <c r="L1928" t="s">
        <v>36</v>
      </c>
      <c r="M1928" t="s">
        <v>25</v>
      </c>
      <c r="N1928" t="s">
        <v>44</v>
      </c>
      <c r="O1928" t="s">
        <v>56</v>
      </c>
      <c r="P1928" t="s">
        <v>45</v>
      </c>
      <c r="Q1928">
        <v>6</v>
      </c>
      <c r="R1928">
        <v>605.66999999999996</v>
      </c>
      <c r="S1928" t="s">
        <v>29</v>
      </c>
    </row>
    <row r="1929" spans="1:19" x14ac:dyDescent="0.3">
      <c r="A1929" t="s">
        <v>1999</v>
      </c>
      <c r="B1929">
        <v>18</v>
      </c>
      <c r="C1929" t="s">
        <v>19</v>
      </c>
      <c r="D1929" t="s">
        <v>61</v>
      </c>
      <c r="E1929" s="1">
        <v>45823</v>
      </c>
      <c r="F1929" s="3">
        <v>45838</v>
      </c>
      <c r="G1929" t="s">
        <v>74</v>
      </c>
      <c r="H1929" t="s">
        <v>75</v>
      </c>
      <c r="I1929" t="s">
        <v>91</v>
      </c>
      <c r="J1929">
        <v>9508.69</v>
      </c>
      <c r="K1929">
        <v>15</v>
      </c>
      <c r="L1929" t="s">
        <v>36</v>
      </c>
      <c r="M1929" t="s">
        <v>25</v>
      </c>
      <c r="N1929" t="s">
        <v>26</v>
      </c>
      <c r="O1929" t="s">
        <v>56</v>
      </c>
      <c r="P1929" t="s">
        <v>38</v>
      </c>
      <c r="Q1929">
        <v>8</v>
      </c>
      <c r="R1929">
        <v>1638.6</v>
      </c>
      <c r="S1929" t="s">
        <v>39</v>
      </c>
    </row>
    <row r="1930" spans="1:19" x14ac:dyDescent="0.3">
      <c r="A1930" t="s">
        <v>2000</v>
      </c>
      <c r="B1930">
        <v>38</v>
      </c>
      <c r="C1930" t="s">
        <v>19</v>
      </c>
      <c r="D1930" t="s">
        <v>61</v>
      </c>
      <c r="E1930" s="1">
        <v>44983</v>
      </c>
      <c r="F1930" s="3">
        <v>44985</v>
      </c>
      <c r="G1930" t="s">
        <v>33</v>
      </c>
      <c r="H1930" t="s">
        <v>34</v>
      </c>
      <c r="I1930" t="s">
        <v>23</v>
      </c>
      <c r="J1930">
        <v>3000.23</v>
      </c>
      <c r="K1930">
        <v>2</v>
      </c>
      <c r="L1930" t="s">
        <v>36</v>
      </c>
      <c r="M1930" t="s">
        <v>25</v>
      </c>
      <c r="N1930" t="s">
        <v>55</v>
      </c>
      <c r="O1930" t="s">
        <v>56</v>
      </c>
      <c r="P1930" t="s">
        <v>50</v>
      </c>
      <c r="Q1930">
        <v>9</v>
      </c>
      <c r="R1930">
        <v>586.79</v>
      </c>
      <c r="S1930" t="s">
        <v>29</v>
      </c>
    </row>
    <row r="1931" spans="1:19" x14ac:dyDescent="0.3">
      <c r="A1931" t="s">
        <v>2001</v>
      </c>
      <c r="B1931">
        <v>86</v>
      </c>
      <c r="C1931" t="s">
        <v>31</v>
      </c>
      <c r="D1931" t="s">
        <v>61</v>
      </c>
      <c r="E1931" s="1">
        <v>45839</v>
      </c>
      <c r="F1931" s="3">
        <v>45840</v>
      </c>
      <c r="G1931" t="s">
        <v>71</v>
      </c>
      <c r="H1931" t="s">
        <v>72</v>
      </c>
      <c r="I1931" t="s">
        <v>54</v>
      </c>
      <c r="J1931">
        <v>3588.02</v>
      </c>
      <c r="K1931">
        <v>1</v>
      </c>
      <c r="L1931" t="s">
        <v>24</v>
      </c>
      <c r="M1931" t="s">
        <v>101</v>
      </c>
      <c r="N1931" t="s">
        <v>44</v>
      </c>
      <c r="O1931" t="s">
        <v>37</v>
      </c>
      <c r="P1931" t="s">
        <v>38</v>
      </c>
      <c r="Q1931">
        <v>6</v>
      </c>
      <c r="R1931">
        <v>1356.75</v>
      </c>
      <c r="S1931" t="s">
        <v>29</v>
      </c>
    </row>
    <row r="1932" spans="1:19" x14ac:dyDescent="0.3">
      <c r="A1932" t="s">
        <v>2002</v>
      </c>
      <c r="B1932">
        <v>68</v>
      </c>
      <c r="C1932" t="s">
        <v>31</v>
      </c>
      <c r="D1932" t="s">
        <v>66</v>
      </c>
      <c r="E1932" s="1">
        <v>45114</v>
      </c>
      <c r="F1932" s="3">
        <v>45124</v>
      </c>
      <c r="G1932" t="s">
        <v>21</v>
      </c>
      <c r="H1932" t="s">
        <v>22</v>
      </c>
      <c r="I1932" t="s">
        <v>81</v>
      </c>
      <c r="J1932">
        <v>7765.13</v>
      </c>
      <c r="K1932">
        <v>10</v>
      </c>
      <c r="L1932" t="s">
        <v>36</v>
      </c>
      <c r="M1932" t="s">
        <v>25</v>
      </c>
      <c r="N1932" t="s">
        <v>44</v>
      </c>
      <c r="O1932" t="s">
        <v>37</v>
      </c>
      <c r="P1932" t="s">
        <v>28</v>
      </c>
      <c r="Q1932">
        <v>5</v>
      </c>
      <c r="R1932">
        <v>3055.6</v>
      </c>
      <c r="S1932" t="s">
        <v>29</v>
      </c>
    </row>
    <row r="1933" spans="1:19" x14ac:dyDescent="0.3">
      <c r="A1933" t="s">
        <v>2003</v>
      </c>
      <c r="B1933">
        <v>52</v>
      </c>
      <c r="C1933" t="s">
        <v>31</v>
      </c>
      <c r="D1933" t="s">
        <v>66</v>
      </c>
      <c r="E1933" s="1">
        <v>45462</v>
      </c>
      <c r="F1933" s="3">
        <v>45475</v>
      </c>
      <c r="G1933" t="s">
        <v>33</v>
      </c>
      <c r="H1933" t="s">
        <v>34</v>
      </c>
      <c r="I1933" t="s">
        <v>58</v>
      </c>
      <c r="J1933">
        <v>4143.3</v>
      </c>
      <c r="K1933">
        <v>13</v>
      </c>
      <c r="L1933" t="s">
        <v>24</v>
      </c>
      <c r="M1933" t="s">
        <v>25</v>
      </c>
      <c r="N1933" t="s">
        <v>44</v>
      </c>
      <c r="O1933" t="s">
        <v>27</v>
      </c>
      <c r="P1933" t="s">
        <v>28</v>
      </c>
      <c r="Q1933">
        <v>2</v>
      </c>
      <c r="R1933">
        <v>1049.72</v>
      </c>
      <c r="S1933" t="s">
        <v>29</v>
      </c>
    </row>
    <row r="1934" spans="1:19" x14ac:dyDescent="0.3">
      <c r="A1934" t="s">
        <v>2004</v>
      </c>
      <c r="B1934">
        <v>73</v>
      </c>
      <c r="C1934" t="s">
        <v>31</v>
      </c>
      <c r="D1934" t="s">
        <v>89</v>
      </c>
      <c r="E1934" s="1">
        <v>44944</v>
      </c>
      <c r="F1934" s="3">
        <v>44958</v>
      </c>
      <c r="G1934" t="s">
        <v>62</v>
      </c>
      <c r="H1934" t="s">
        <v>63</v>
      </c>
      <c r="I1934" t="s">
        <v>81</v>
      </c>
      <c r="J1934">
        <v>7074.54</v>
      </c>
      <c r="K1934">
        <v>14</v>
      </c>
      <c r="L1934" t="s">
        <v>36</v>
      </c>
      <c r="M1934" t="s">
        <v>59</v>
      </c>
      <c r="N1934" t="s">
        <v>26</v>
      </c>
      <c r="O1934" t="s">
        <v>37</v>
      </c>
      <c r="P1934" t="s">
        <v>38</v>
      </c>
      <c r="Q1934">
        <v>15</v>
      </c>
      <c r="R1934">
        <v>2000.45</v>
      </c>
      <c r="S1934" t="s">
        <v>29</v>
      </c>
    </row>
    <row r="1935" spans="1:19" x14ac:dyDescent="0.3">
      <c r="A1935" t="s">
        <v>2005</v>
      </c>
      <c r="B1935">
        <v>66</v>
      </c>
      <c r="C1935" t="s">
        <v>31</v>
      </c>
      <c r="D1935" t="s">
        <v>66</v>
      </c>
      <c r="E1935" s="1">
        <v>45568</v>
      </c>
      <c r="F1935" s="3">
        <v>45587</v>
      </c>
      <c r="G1935" t="s">
        <v>62</v>
      </c>
      <c r="H1935" t="s">
        <v>63</v>
      </c>
      <c r="I1935" t="s">
        <v>81</v>
      </c>
      <c r="J1935">
        <v>7882.77</v>
      </c>
      <c r="K1935">
        <v>19</v>
      </c>
      <c r="L1935" t="s">
        <v>36</v>
      </c>
      <c r="M1935" t="s">
        <v>25</v>
      </c>
      <c r="N1935" t="s">
        <v>44</v>
      </c>
      <c r="O1935" t="s">
        <v>37</v>
      </c>
      <c r="P1935" t="s">
        <v>28</v>
      </c>
      <c r="Q1935">
        <v>3</v>
      </c>
      <c r="R1935">
        <v>2341.4899999999998</v>
      </c>
      <c r="S1935" t="s">
        <v>29</v>
      </c>
    </row>
    <row r="1936" spans="1:19" x14ac:dyDescent="0.3">
      <c r="A1936" t="s">
        <v>2006</v>
      </c>
      <c r="B1936">
        <v>73</v>
      </c>
      <c r="C1936" t="s">
        <v>19</v>
      </c>
      <c r="D1936" t="s">
        <v>89</v>
      </c>
      <c r="E1936" s="1">
        <v>45551</v>
      </c>
      <c r="F1936" s="3">
        <v>45558</v>
      </c>
      <c r="G1936" t="s">
        <v>74</v>
      </c>
      <c r="H1936" t="s">
        <v>75</v>
      </c>
      <c r="I1936" t="s">
        <v>43</v>
      </c>
      <c r="J1936">
        <v>3977.17</v>
      </c>
      <c r="K1936">
        <v>7</v>
      </c>
      <c r="L1936" t="s">
        <v>24</v>
      </c>
      <c r="M1936" t="s">
        <v>25</v>
      </c>
      <c r="N1936" t="s">
        <v>44</v>
      </c>
      <c r="O1936" t="s">
        <v>27</v>
      </c>
      <c r="P1936" t="s">
        <v>45</v>
      </c>
      <c r="Q1936">
        <v>14</v>
      </c>
      <c r="R1936">
        <v>1154.94</v>
      </c>
      <c r="S1936" t="s">
        <v>29</v>
      </c>
    </row>
    <row r="1937" spans="1:19" x14ac:dyDescent="0.3">
      <c r="A1937" t="s">
        <v>2007</v>
      </c>
      <c r="B1937">
        <v>30</v>
      </c>
      <c r="C1937" t="s">
        <v>19</v>
      </c>
      <c r="D1937" t="s">
        <v>61</v>
      </c>
      <c r="E1937" s="1">
        <v>45793</v>
      </c>
      <c r="F1937" s="3">
        <v>45811</v>
      </c>
      <c r="G1937" t="s">
        <v>33</v>
      </c>
      <c r="H1937" t="s">
        <v>34</v>
      </c>
      <c r="I1937" t="s">
        <v>91</v>
      </c>
      <c r="J1937">
        <v>12071.84</v>
      </c>
      <c r="K1937">
        <v>18</v>
      </c>
      <c r="L1937" t="s">
        <v>36</v>
      </c>
      <c r="M1937" t="s">
        <v>59</v>
      </c>
      <c r="N1937" t="s">
        <v>26</v>
      </c>
      <c r="O1937" t="s">
        <v>27</v>
      </c>
      <c r="P1937" t="s">
        <v>50</v>
      </c>
      <c r="Q1937">
        <v>2</v>
      </c>
      <c r="R1937">
        <v>2651</v>
      </c>
      <c r="S1937" t="s">
        <v>29</v>
      </c>
    </row>
    <row r="1938" spans="1:19" x14ac:dyDescent="0.3">
      <c r="A1938" t="s">
        <v>2008</v>
      </c>
      <c r="B1938">
        <v>82</v>
      </c>
      <c r="C1938" t="s">
        <v>19</v>
      </c>
      <c r="D1938" t="s">
        <v>66</v>
      </c>
      <c r="E1938" s="1">
        <v>45330</v>
      </c>
      <c r="F1938" s="3">
        <v>45347</v>
      </c>
      <c r="G1938" t="s">
        <v>21</v>
      </c>
      <c r="H1938" t="s">
        <v>22</v>
      </c>
      <c r="I1938" t="s">
        <v>81</v>
      </c>
      <c r="J1938">
        <v>10565.04</v>
      </c>
      <c r="K1938">
        <v>17</v>
      </c>
      <c r="L1938" t="s">
        <v>36</v>
      </c>
      <c r="M1938" t="s">
        <v>25</v>
      </c>
      <c r="N1938" t="s">
        <v>26</v>
      </c>
      <c r="O1938" t="s">
        <v>27</v>
      </c>
      <c r="P1938" t="s">
        <v>45</v>
      </c>
      <c r="Q1938">
        <v>11</v>
      </c>
      <c r="R1938">
        <v>3792.38</v>
      </c>
      <c r="S1938" t="s">
        <v>29</v>
      </c>
    </row>
    <row r="1939" spans="1:19" x14ac:dyDescent="0.3">
      <c r="A1939" t="s">
        <v>2009</v>
      </c>
      <c r="B1939">
        <v>85</v>
      </c>
      <c r="C1939" t="s">
        <v>31</v>
      </c>
      <c r="D1939" t="s">
        <v>20</v>
      </c>
      <c r="E1939" s="1">
        <v>45792</v>
      </c>
      <c r="F1939" s="3">
        <v>45803</v>
      </c>
      <c r="G1939" t="s">
        <v>52</v>
      </c>
      <c r="H1939" t="s">
        <v>53</v>
      </c>
      <c r="I1939" t="s">
        <v>81</v>
      </c>
      <c r="J1939">
        <v>12049.69</v>
      </c>
      <c r="K1939">
        <v>11</v>
      </c>
      <c r="L1939" t="s">
        <v>36</v>
      </c>
      <c r="M1939" t="s">
        <v>25</v>
      </c>
      <c r="N1939" t="s">
        <v>44</v>
      </c>
      <c r="O1939" t="s">
        <v>49</v>
      </c>
      <c r="P1939" t="s">
        <v>50</v>
      </c>
      <c r="Q1939">
        <v>2</v>
      </c>
      <c r="R1939">
        <v>3209.77</v>
      </c>
      <c r="S1939" t="s">
        <v>29</v>
      </c>
    </row>
    <row r="1940" spans="1:19" x14ac:dyDescent="0.3">
      <c r="A1940" t="s">
        <v>2010</v>
      </c>
      <c r="B1940">
        <v>50</v>
      </c>
      <c r="C1940" t="s">
        <v>19</v>
      </c>
      <c r="D1940" t="s">
        <v>20</v>
      </c>
      <c r="E1940" s="1">
        <v>45004</v>
      </c>
      <c r="F1940" s="3">
        <v>45010</v>
      </c>
      <c r="G1940" t="s">
        <v>62</v>
      </c>
      <c r="H1940" t="s">
        <v>63</v>
      </c>
      <c r="I1940" t="s">
        <v>91</v>
      </c>
      <c r="J1940">
        <v>2673.43</v>
      </c>
      <c r="K1940">
        <v>6</v>
      </c>
      <c r="L1940" t="s">
        <v>24</v>
      </c>
      <c r="M1940" t="s">
        <v>25</v>
      </c>
      <c r="N1940" t="s">
        <v>55</v>
      </c>
      <c r="O1940" t="s">
        <v>27</v>
      </c>
      <c r="P1940" t="s">
        <v>50</v>
      </c>
      <c r="Q1940">
        <v>13</v>
      </c>
      <c r="R1940">
        <v>911.93</v>
      </c>
      <c r="S1940" t="s">
        <v>29</v>
      </c>
    </row>
    <row r="1941" spans="1:19" x14ac:dyDescent="0.3">
      <c r="A1941" t="s">
        <v>2011</v>
      </c>
      <c r="B1941">
        <v>86</v>
      </c>
      <c r="C1941" t="s">
        <v>19</v>
      </c>
      <c r="D1941" t="s">
        <v>20</v>
      </c>
      <c r="E1941" s="1">
        <v>45347</v>
      </c>
      <c r="F1941" s="3">
        <v>45361</v>
      </c>
      <c r="G1941" t="s">
        <v>41</v>
      </c>
      <c r="H1941" t="s">
        <v>42</v>
      </c>
      <c r="I1941" t="s">
        <v>54</v>
      </c>
      <c r="J1941">
        <v>9771.7999999999993</v>
      </c>
      <c r="K1941">
        <v>14</v>
      </c>
      <c r="L1941" t="s">
        <v>36</v>
      </c>
      <c r="M1941" t="s">
        <v>25</v>
      </c>
      <c r="N1941" t="s">
        <v>55</v>
      </c>
      <c r="O1941" t="s">
        <v>27</v>
      </c>
      <c r="P1941" t="s">
        <v>38</v>
      </c>
      <c r="Q1941">
        <v>9</v>
      </c>
      <c r="R1941">
        <v>2444.66</v>
      </c>
      <c r="S1941" t="s">
        <v>29</v>
      </c>
    </row>
    <row r="1942" spans="1:19" x14ac:dyDescent="0.3">
      <c r="A1942" t="s">
        <v>2012</v>
      </c>
      <c r="B1942">
        <v>47</v>
      </c>
      <c r="C1942" t="s">
        <v>31</v>
      </c>
      <c r="D1942" t="s">
        <v>61</v>
      </c>
      <c r="E1942" s="1">
        <v>45475</v>
      </c>
      <c r="F1942" s="3">
        <v>45491</v>
      </c>
      <c r="G1942" t="s">
        <v>41</v>
      </c>
      <c r="H1942" t="s">
        <v>42</v>
      </c>
      <c r="I1942" t="s">
        <v>91</v>
      </c>
      <c r="J1942">
        <v>5930.66</v>
      </c>
      <c r="K1942">
        <v>16</v>
      </c>
      <c r="L1942" t="s">
        <v>24</v>
      </c>
      <c r="M1942" t="s">
        <v>25</v>
      </c>
      <c r="N1942" t="s">
        <v>26</v>
      </c>
      <c r="O1942" t="s">
        <v>37</v>
      </c>
      <c r="P1942" t="s">
        <v>28</v>
      </c>
      <c r="Q1942">
        <v>1</v>
      </c>
      <c r="R1942">
        <v>1902.28</v>
      </c>
      <c r="S1942" t="s">
        <v>29</v>
      </c>
    </row>
    <row r="1943" spans="1:19" x14ac:dyDescent="0.3">
      <c r="A1943" t="s">
        <v>2013</v>
      </c>
      <c r="B1943">
        <v>23</v>
      </c>
      <c r="C1943" t="s">
        <v>31</v>
      </c>
      <c r="D1943" t="s">
        <v>61</v>
      </c>
      <c r="E1943" s="1">
        <v>45725</v>
      </c>
      <c r="F1943" s="3">
        <v>45752</v>
      </c>
      <c r="G1943" t="s">
        <v>52</v>
      </c>
      <c r="H1943" t="s">
        <v>53</v>
      </c>
      <c r="I1943" t="s">
        <v>35</v>
      </c>
      <c r="J1943">
        <v>12917.59</v>
      </c>
      <c r="K1943">
        <v>27</v>
      </c>
      <c r="L1943" t="s">
        <v>36</v>
      </c>
      <c r="M1943" t="s">
        <v>25</v>
      </c>
      <c r="N1943" t="s">
        <v>44</v>
      </c>
      <c r="O1943" t="s">
        <v>49</v>
      </c>
      <c r="P1943" t="s">
        <v>28</v>
      </c>
      <c r="Q1943">
        <v>9</v>
      </c>
      <c r="R1943">
        <v>4898.45</v>
      </c>
      <c r="S1943" t="s">
        <v>29</v>
      </c>
    </row>
    <row r="1944" spans="1:19" x14ac:dyDescent="0.3">
      <c r="A1944" t="s">
        <v>2014</v>
      </c>
      <c r="B1944">
        <v>53</v>
      </c>
      <c r="C1944" t="s">
        <v>31</v>
      </c>
      <c r="D1944" t="s">
        <v>66</v>
      </c>
      <c r="E1944" s="1">
        <v>45236</v>
      </c>
      <c r="F1944" s="3">
        <v>45251</v>
      </c>
      <c r="G1944" t="s">
        <v>62</v>
      </c>
      <c r="H1944" t="s">
        <v>63</v>
      </c>
      <c r="I1944" t="s">
        <v>54</v>
      </c>
      <c r="J1944">
        <v>14580.95</v>
      </c>
      <c r="K1944">
        <v>15</v>
      </c>
      <c r="L1944" t="s">
        <v>24</v>
      </c>
      <c r="M1944" t="s">
        <v>25</v>
      </c>
      <c r="N1944" t="s">
        <v>55</v>
      </c>
      <c r="O1944" t="s">
        <v>49</v>
      </c>
      <c r="P1944" t="s">
        <v>38</v>
      </c>
      <c r="Q1944">
        <v>3</v>
      </c>
      <c r="R1944">
        <v>4851.71</v>
      </c>
      <c r="S1944" t="s">
        <v>29</v>
      </c>
    </row>
    <row r="1945" spans="1:19" x14ac:dyDescent="0.3">
      <c r="A1945" t="s">
        <v>2015</v>
      </c>
      <c r="B1945">
        <v>46</v>
      </c>
      <c r="C1945" t="s">
        <v>31</v>
      </c>
      <c r="D1945" t="s">
        <v>47</v>
      </c>
      <c r="E1945" s="1">
        <v>45338</v>
      </c>
      <c r="F1945" s="3">
        <v>45350</v>
      </c>
      <c r="G1945" t="s">
        <v>67</v>
      </c>
      <c r="H1945" t="s">
        <v>42</v>
      </c>
      <c r="I1945" t="s">
        <v>91</v>
      </c>
      <c r="J1945">
        <v>3860.58</v>
      </c>
      <c r="K1945">
        <v>12</v>
      </c>
      <c r="L1945" t="s">
        <v>36</v>
      </c>
      <c r="M1945" t="s">
        <v>59</v>
      </c>
      <c r="N1945" t="s">
        <v>44</v>
      </c>
      <c r="O1945" t="s">
        <v>56</v>
      </c>
      <c r="P1945" t="s">
        <v>50</v>
      </c>
      <c r="Q1945">
        <v>2</v>
      </c>
      <c r="R1945">
        <v>738.41</v>
      </c>
      <c r="S1945" t="s">
        <v>29</v>
      </c>
    </row>
    <row r="1946" spans="1:19" x14ac:dyDescent="0.3">
      <c r="A1946" t="s">
        <v>2016</v>
      </c>
      <c r="B1946">
        <v>24</v>
      </c>
      <c r="C1946" t="s">
        <v>31</v>
      </c>
      <c r="D1946" t="s">
        <v>47</v>
      </c>
      <c r="E1946" s="1">
        <v>45313</v>
      </c>
      <c r="F1946" s="3">
        <v>45315</v>
      </c>
      <c r="G1946" t="s">
        <v>52</v>
      </c>
      <c r="H1946" t="s">
        <v>53</v>
      </c>
      <c r="I1946" t="s">
        <v>58</v>
      </c>
      <c r="J1946">
        <v>1389.97</v>
      </c>
      <c r="K1946">
        <v>2</v>
      </c>
      <c r="L1946" t="s">
        <v>36</v>
      </c>
      <c r="M1946" t="s">
        <v>25</v>
      </c>
      <c r="N1946" t="s">
        <v>26</v>
      </c>
      <c r="O1946" t="s">
        <v>56</v>
      </c>
      <c r="P1946" t="s">
        <v>50</v>
      </c>
      <c r="Q1946">
        <v>1</v>
      </c>
      <c r="R1946">
        <v>343.19</v>
      </c>
      <c r="S1946" t="s">
        <v>39</v>
      </c>
    </row>
    <row r="1947" spans="1:19" x14ac:dyDescent="0.3">
      <c r="A1947" t="s">
        <v>2017</v>
      </c>
      <c r="B1947">
        <v>88</v>
      </c>
      <c r="C1947" t="s">
        <v>19</v>
      </c>
      <c r="D1947" t="s">
        <v>20</v>
      </c>
      <c r="E1947" s="1">
        <v>45085</v>
      </c>
      <c r="F1947" s="3">
        <v>45102</v>
      </c>
      <c r="G1947" t="s">
        <v>33</v>
      </c>
      <c r="H1947" t="s">
        <v>34</v>
      </c>
      <c r="I1947" t="s">
        <v>43</v>
      </c>
      <c r="J1947">
        <v>9494.17</v>
      </c>
      <c r="K1947">
        <v>17</v>
      </c>
      <c r="L1947" t="s">
        <v>24</v>
      </c>
      <c r="M1947" t="s">
        <v>76</v>
      </c>
      <c r="N1947" t="s">
        <v>26</v>
      </c>
      <c r="O1947" t="s">
        <v>27</v>
      </c>
      <c r="P1947" t="s">
        <v>50</v>
      </c>
      <c r="Q1947">
        <v>11</v>
      </c>
      <c r="R1947">
        <v>2611.14</v>
      </c>
      <c r="S1947" t="s">
        <v>39</v>
      </c>
    </row>
    <row r="1948" spans="1:19" x14ac:dyDescent="0.3">
      <c r="A1948" t="s">
        <v>2018</v>
      </c>
      <c r="B1948">
        <v>76</v>
      </c>
      <c r="C1948" t="s">
        <v>31</v>
      </c>
      <c r="D1948" t="s">
        <v>79</v>
      </c>
      <c r="E1948" s="1">
        <v>45112</v>
      </c>
      <c r="F1948" s="3">
        <v>45124</v>
      </c>
      <c r="G1948" t="s">
        <v>67</v>
      </c>
      <c r="H1948" t="s">
        <v>42</v>
      </c>
      <c r="I1948" t="s">
        <v>91</v>
      </c>
      <c r="J1948">
        <v>7140.16</v>
      </c>
      <c r="K1948">
        <v>12</v>
      </c>
      <c r="L1948" t="s">
        <v>24</v>
      </c>
      <c r="M1948" t="s">
        <v>101</v>
      </c>
      <c r="N1948" t="s">
        <v>26</v>
      </c>
      <c r="O1948" t="s">
        <v>37</v>
      </c>
      <c r="P1948" t="s">
        <v>45</v>
      </c>
      <c r="Q1948">
        <v>6</v>
      </c>
      <c r="R1948">
        <v>2057.39</v>
      </c>
      <c r="S1948" t="s">
        <v>29</v>
      </c>
    </row>
    <row r="1949" spans="1:19" x14ac:dyDescent="0.3">
      <c r="A1949" t="s">
        <v>2019</v>
      </c>
      <c r="B1949">
        <v>45</v>
      </c>
      <c r="C1949" t="s">
        <v>31</v>
      </c>
      <c r="D1949" t="s">
        <v>32</v>
      </c>
      <c r="E1949" s="1">
        <v>45910</v>
      </c>
      <c r="F1949" s="3">
        <v>45929</v>
      </c>
      <c r="G1949" t="s">
        <v>52</v>
      </c>
      <c r="H1949" t="s">
        <v>53</v>
      </c>
      <c r="I1949" t="s">
        <v>35</v>
      </c>
      <c r="J1949">
        <v>16081.41</v>
      </c>
      <c r="K1949">
        <v>19</v>
      </c>
      <c r="L1949" t="s">
        <v>24</v>
      </c>
      <c r="M1949" t="s">
        <v>59</v>
      </c>
      <c r="N1949" t="s">
        <v>44</v>
      </c>
      <c r="O1949" t="s">
        <v>49</v>
      </c>
      <c r="P1949" t="s">
        <v>45</v>
      </c>
      <c r="Q1949">
        <v>4</v>
      </c>
      <c r="R1949">
        <v>5385.47</v>
      </c>
      <c r="S1949" t="s">
        <v>39</v>
      </c>
    </row>
    <row r="1950" spans="1:19" x14ac:dyDescent="0.3">
      <c r="A1950" t="s">
        <v>2020</v>
      </c>
      <c r="B1950">
        <v>59</v>
      </c>
      <c r="C1950" t="s">
        <v>19</v>
      </c>
      <c r="D1950" t="s">
        <v>20</v>
      </c>
      <c r="E1950" s="1">
        <v>45258</v>
      </c>
      <c r="F1950" s="3">
        <v>45259</v>
      </c>
      <c r="G1950" t="s">
        <v>71</v>
      </c>
      <c r="H1950" t="s">
        <v>72</v>
      </c>
      <c r="I1950" t="s">
        <v>58</v>
      </c>
      <c r="J1950">
        <v>1006.01</v>
      </c>
      <c r="K1950">
        <v>1</v>
      </c>
      <c r="L1950" t="s">
        <v>24</v>
      </c>
      <c r="M1950" t="s">
        <v>25</v>
      </c>
      <c r="N1950" t="s">
        <v>44</v>
      </c>
      <c r="O1950" t="s">
        <v>27</v>
      </c>
      <c r="P1950" t="s">
        <v>38</v>
      </c>
      <c r="Q1950">
        <v>8</v>
      </c>
      <c r="R1950">
        <v>245.21</v>
      </c>
      <c r="S1950" t="s">
        <v>29</v>
      </c>
    </row>
    <row r="1951" spans="1:19" x14ac:dyDescent="0.3">
      <c r="A1951" t="s">
        <v>2021</v>
      </c>
      <c r="B1951">
        <v>49</v>
      </c>
      <c r="C1951" t="s">
        <v>19</v>
      </c>
      <c r="D1951" t="s">
        <v>61</v>
      </c>
      <c r="E1951" s="1">
        <v>45306</v>
      </c>
      <c r="F1951" s="3">
        <v>45321</v>
      </c>
      <c r="G1951" t="s">
        <v>74</v>
      </c>
      <c r="H1951" t="s">
        <v>75</v>
      </c>
      <c r="I1951" t="s">
        <v>58</v>
      </c>
      <c r="J1951">
        <v>4479.2</v>
      </c>
      <c r="K1951">
        <v>15</v>
      </c>
      <c r="L1951" t="s">
        <v>24</v>
      </c>
      <c r="M1951" t="s">
        <v>25</v>
      </c>
      <c r="N1951" t="s">
        <v>26</v>
      </c>
      <c r="O1951" t="s">
        <v>56</v>
      </c>
      <c r="P1951" t="s">
        <v>38</v>
      </c>
      <c r="Q1951">
        <v>5</v>
      </c>
      <c r="R1951">
        <v>1032.8800000000001</v>
      </c>
      <c r="S1951" t="s">
        <v>29</v>
      </c>
    </row>
    <row r="1952" spans="1:19" x14ac:dyDescent="0.3">
      <c r="A1952" t="s">
        <v>2022</v>
      </c>
      <c r="B1952">
        <v>49</v>
      </c>
      <c r="C1952" t="s">
        <v>31</v>
      </c>
      <c r="D1952" t="s">
        <v>79</v>
      </c>
      <c r="E1952" s="1">
        <v>45903</v>
      </c>
      <c r="F1952" s="3">
        <v>45919</v>
      </c>
      <c r="G1952" t="s">
        <v>74</v>
      </c>
      <c r="H1952" t="s">
        <v>75</v>
      </c>
      <c r="I1952" t="s">
        <v>43</v>
      </c>
      <c r="J1952">
        <v>9732.01</v>
      </c>
      <c r="K1952">
        <v>16</v>
      </c>
      <c r="L1952" t="s">
        <v>24</v>
      </c>
      <c r="M1952" t="s">
        <v>25</v>
      </c>
      <c r="N1952" t="s">
        <v>44</v>
      </c>
      <c r="O1952" t="s">
        <v>27</v>
      </c>
      <c r="P1952" t="s">
        <v>45</v>
      </c>
      <c r="Q1952">
        <v>12</v>
      </c>
      <c r="R1952">
        <v>3206.92</v>
      </c>
      <c r="S1952" t="s">
        <v>29</v>
      </c>
    </row>
    <row r="1953" spans="1:19" x14ac:dyDescent="0.3">
      <c r="A1953" t="s">
        <v>2023</v>
      </c>
      <c r="B1953">
        <v>31</v>
      </c>
      <c r="C1953" t="s">
        <v>31</v>
      </c>
      <c r="D1953" t="s">
        <v>47</v>
      </c>
      <c r="E1953" s="1">
        <v>45006</v>
      </c>
      <c r="F1953" s="3">
        <v>45024</v>
      </c>
      <c r="G1953" t="s">
        <v>21</v>
      </c>
      <c r="H1953" t="s">
        <v>22</v>
      </c>
      <c r="I1953" t="s">
        <v>58</v>
      </c>
      <c r="J1953">
        <v>14386.31</v>
      </c>
      <c r="K1953">
        <v>18</v>
      </c>
      <c r="L1953" t="s">
        <v>24</v>
      </c>
      <c r="M1953" t="s">
        <v>25</v>
      </c>
      <c r="N1953" t="s">
        <v>55</v>
      </c>
      <c r="O1953" t="s">
        <v>27</v>
      </c>
      <c r="P1953" t="s">
        <v>45</v>
      </c>
      <c r="Q1953">
        <v>9</v>
      </c>
      <c r="R1953">
        <v>4662.1899999999996</v>
      </c>
      <c r="S1953" t="s">
        <v>29</v>
      </c>
    </row>
    <row r="1954" spans="1:19" x14ac:dyDescent="0.3">
      <c r="A1954" t="s">
        <v>2024</v>
      </c>
      <c r="B1954">
        <v>27</v>
      </c>
      <c r="C1954" t="s">
        <v>19</v>
      </c>
      <c r="D1954" t="s">
        <v>47</v>
      </c>
      <c r="E1954" s="1">
        <v>45789</v>
      </c>
      <c r="F1954" s="3">
        <v>45804</v>
      </c>
      <c r="G1954" t="s">
        <v>62</v>
      </c>
      <c r="H1954" t="s">
        <v>63</v>
      </c>
      <c r="I1954" t="s">
        <v>83</v>
      </c>
      <c r="J1954">
        <v>13241.65</v>
      </c>
      <c r="K1954">
        <v>15</v>
      </c>
      <c r="L1954" t="s">
        <v>24</v>
      </c>
      <c r="M1954" t="s">
        <v>25</v>
      </c>
      <c r="N1954" t="s">
        <v>26</v>
      </c>
      <c r="O1954" t="s">
        <v>49</v>
      </c>
      <c r="P1954" t="s">
        <v>45</v>
      </c>
      <c r="Q1954">
        <v>5</v>
      </c>
      <c r="R1954">
        <v>2752.92</v>
      </c>
      <c r="S1954" t="s">
        <v>29</v>
      </c>
    </row>
    <row r="1955" spans="1:19" x14ac:dyDescent="0.3">
      <c r="A1955" t="s">
        <v>2025</v>
      </c>
      <c r="B1955">
        <v>64</v>
      </c>
      <c r="C1955" t="s">
        <v>31</v>
      </c>
      <c r="D1955" t="s">
        <v>66</v>
      </c>
      <c r="E1955" s="1">
        <v>45675</v>
      </c>
      <c r="F1955" s="3">
        <v>45693</v>
      </c>
      <c r="G1955" t="s">
        <v>67</v>
      </c>
      <c r="H1955" t="s">
        <v>42</v>
      </c>
      <c r="I1955" t="s">
        <v>43</v>
      </c>
      <c r="J1955">
        <v>6532.7</v>
      </c>
      <c r="K1955">
        <v>18</v>
      </c>
      <c r="L1955" t="s">
        <v>36</v>
      </c>
      <c r="M1955" t="s">
        <v>25</v>
      </c>
      <c r="N1955" t="s">
        <v>55</v>
      </c>
      <c r="O1955" t="s">
        <v>27</v>
      </c>
      <c r="P1955" t="s">
        <v>28</v>
      </c>
      <c r="Q1955">
        <v>12</v>
      </c>
      <c r="R1955">
        <v>1480.59</v>
      </c>
      <c r="S1955" t="s">
        <v>29</v>
      </c>
    </row>
    <row r="1956" spans="1:19" x14ac:dyDescent="0.3">
      <c r="A1956" t="s">
        <v>2026</v>
      </c>
      <c r="B1956">
        <v>65</v>
      </c>
      <c r="C1956" t="s">
        <v>31</v>
      </c>
      <c r="D1956" t="s">
        <v>20</v>
      </c>
      <c r="E1956" s="1">
        <v>45117</v>
      </c>
      <c r="F1956" s="3">
        <v>45135</v>
      </c>
      <c r="G1956" t="s">
        <v>62</v>
      </c>
      <c r="H1956" t="s">
        <v>63</v>
      </c>
      <c r="I1956" t="s">
        <v>91</v>
      </c>
      <c r="J1956">
        <v>10824.46</v>
      </c>
      <c r="K1956">
        <v>18</v>
      </c>
      <c r="L1956" t="s">
        <v>36</v>
      </c>
      <c r="M1956" t="s">
        <v>59</v>
      </c>
      <c r="N1956" t="s">
        <v>55</v>
      </c>
      <c r="O1956" t="s">
        <v>37</v>
      </c>
      <c r="P1956" t="s">
        <v>28</v>
      </c>
      <c r="Q1956">
        <v>8</v>
      </c>
      <c r="R1956">
        <v>2830.85</v>
      </c>
      <c r="S1956" t="s">
        <v>29</v>
      </c>
    </row>
    <row r="1957" spans="1:19" x14ac:dyDescent="0.3">
      <c r="A1957" t="s">
        <v>2027</v>
      </c>
      <c r="B1957">
        <v>31</v>
      </c>
      <c r="C1957" t="s">
        <v>19</v>
      </c>
      <c r="D1957" t="s">
        <v>66</v>
      </c>
      <c r="E1957" s="1">
        <v>45269</v>
      </c>
      <c r="F1957" s="3">
        <v>45270</v>
      </c>
      <c r="G1957" t="s">
        <v>71</v>
      </c>
      <c r="H1957" t="s">
        <v>72</v>
      </c>
      <c r="I1957" t="s">
        <v>81</v>
      </c>
      <c r="J1957">
        <v>2150.4</v>
      </c>
      <c r="K1957">
        <v>1</v>
      </c>
      <c r="L1957" t="s">
        <v>24</v>
      </c>
      <c r="M1957" t="s">
        <v>25</v>
      </c>
      <c r="N1957" t="s">
        <v>44</v>
      </c>
      <c r="O1957" t="s">
        <v>56</v>
      </c>
      <c r="P1957" t="s">
        <v>28</v>
      </c>
      <c r="Q1957">
        <v>11</v>
      </c>
      <c r="R1957">
        <v>797.21</v>
      </c>
      <c r="S1957" t="s">
        <v>29</v>
      </c>
    </row>
    <row r="1958" spans="1:19" x14ac:dyDescent="0.3">
      <c r="A1958" t="s">
        <v>2028</v>
      </c>
      <c r="B1958">
        <v>90</v>
      </c>
      <c r="C1958" t="s">
        <v>19</v>
      </c>
      <c r="D1958" t="s">
        <v>20</v>
      </c>
      <c r="E1958" s="1">
        <v>45435</v>
      </c>
      <c r="F1958" s="3">
        <v>45439</v>
      </c>
      <c r="G1958" t="s">
        <v>41</v>
      </c>
      <c r="H1958" t="s">
        <v>42</v>
      </c>
      <c r="I1958" t="s">
        <v>91</v>
      </c>
      <c r="J1958">
        <v>10173.25</v>
      </c>
      <c r="K1958">
        <v>4</v>
      </c>
      <c r="L1958" t="s">
        <v>24</v>
      </c>
      <c r="M1958" t="s">
        <v>25</v>
      </c>
      <c r="N1958" t="s">
        <v>26</v>
      </c>
      <c r="O1958" t="s">
        <v>49</v>
      </c>
      <c r="P1958" t="s">
        <v>28</v>
      </c>
      <c r="Q1958">
        <v>1</v>
      </c>
      <c r="R1958">
        <v>2989.17</v>
      </c>
      <c r="S1958" t="s">
        <v>29</v>
      </c>
    </row>
    <row r="1959" spans="1:19" x14ac:dyDescent="0.3">
      <c r="A1959" t="s">
        <v>2029</v>
      </c>
      <c r="B1959">
        <v>47</v>
      </c>
      <c r="C1959" t="s">
        <v>31</v>
      </c>
      <c r="D1959" t="s">
        <v>70</v>
      </c>
      <c r="E1959" s="1">
        <v>45861</v>
      </c>
      <c r="F1959" s="3">
        <v>45881</v>
      </c>
      <c r="G1959" t="s">
        <v>52</v>
      </c>
      <c r="H1959" t="s">
        <v>53</v>
      </c>
      <c r="I1959" t="s">
        <v>81</v>
      </c>
      <c r="J1959">
        <v>9853.07</v>
      </c>
      <c r="K1959">
        <v>20</v>
      </c>
      <c r="L1959" t="s">
        <v>36</v>
      </c>
      <c r="M1959" t="s">
        <v>25</v>
      </c>
      <c r="N1959" t="s">
        <v>44</v>
      </c>
      <c r="O1959" t="s">
        <v>37</v>
      </c>
      <c r="P1959" t="s">
        <v>45</v>
      </c>
      <c r="Q1959">
        <v>7</v>
      </c>
      <c r="R1959">
        <v>1805.27</v>
      </c>
      <c r="S1959" t="s">
        <v>29</v>
      </c>
    </row>
    <row r="1960" spans="1:19" x14ac:dyDescent="0.3">
      <c r="A1960" t="s">
        <v>2030</v>
      </c>
      <c r="B1960">
        <v>69</v>
      </c>
      <c r="C1960" t="s">
        <v>19</v>
      </c>
      <c r="D1960" t="s">
        <v>79</v>
      </c>
      <c r="E1960" s="1">
        <v>45493</v>
      </c>
      <c r="F1960" s="3">
        <v>45503</v>
      </c>
      <c r="G1960" t="s">
        <v>52</v>
      </c>
      <c r="H1960" t="s">
        <v>53</v>
      </c>
      <c r="I1960" t="s">
        <v>43</v>
      </c>
      <c r="J1960">
        <v>7809.3</v>
      </c>
      <c r="K1960">
        <v>10</v>
      </c>
      <c r="L1960" t="s">
        <v>24</v>
      </c>
      <c r="M1960" t="s">
        <v>25</v>
      </c>
      <c r="N1960" t="s">
        <v>55</v>
      </c>
      <c r="O1960" t="s">
        <v>49</v>
      </c>
      <c r="P1960" t="s">
        <v>28</v>
      </c>
      <c r="Q1960">
        <v>7</v>
      </c>
      <c r="R1960">
        <v>2733.31</v>
      </c>
      <c r="S1960" t="s">
        <v>29</v>
      </c>
    </row>
    <row r="1961" spans="1:19" x14ac:dyDescent="0.3">
      <c r="A1961" t="s">
        <v>2031</v>
      </c>
      <c r="B1961">
        <v>32</v>
      </c>
      <c r="C1961" t="s">
        <v>19</v>
      </c>
      <c r="D1961" t="s">
        <v>61</v>
      </c>
      <c r="E1961" s="1">
        <v>45484</v>
      </c>
      <c r="F1961" s="3">
        <v>45496</v>
      </c>
      <c r="G1961" t="s">
        <v>41</v>
      </c>
      <c r="H1961" t="s">
        <v>42</v>
      </c>
      <c r="I1961" t="s">
        <v>58</v>
      </c>
      <c r="J1961">
        <v>10327.82</v>
      </c>
      <c r="K1961">
        <v>12</v>
      </c>
      <c r="L1961" t="s">
        <v>24</v>
      </c>
      <c r="M1961" t="s">
        <v>25</v>
      </c>
      <c r="N1961" t="s">
        <v>55</v>
      </c>
      <c r="O1961" t="s">
        <v>49</v>
      </c>
      <c r="P1961" t="s">
        <v>50</v>
      </c>
      <c r="Q1961">
        <v>12</v>
      </c>
      <c r="R1961">
        <v>3121.92</v>
      </c>
      <c r="S1961" t="s">
        <v>29</v>
      </c>
    </row>
    <row r="1962" spans="1:19" x14ac:dyDescent="0.3">
      <c r="A1962" t="s">
        <v>2032</v>
      </c>
      <c r="B1962">
        <v>30</v>
      </c>
      <c r="C1962" t="s">
        <v>19</v>
      </c>
      <c r="D1962" t="s">
        <v>66</v>
      </c>
      <c r="E1962" s="1">
        <v>45432</v>
      </c>
      <c r="F1962" s="3">
        <v>45462</v>
      </c>
      <c r="G1962" t="s">
        <v>21</v>
      </c>
      <c r="H1962" t="s">
        <v>22</v>
      </c>
      <c r="I1962" t="s">
        <v>58</v>
      </c>
      <c r="J1962">
        <v>12937.29</v>
      </c>
      <c r="K1962">
        <v>30</v>
      </c>
      <c r="L1962" t="s">
        <v>24</v>
      </c>
      <c r="M1962" t="s">
        <v>25</v>
      </c>
      <c r="N1962" t="s">
        <v>44</v>
      </c>
      <c r="O1962" t="s">
        <v>49</v>
      </c>
      <c r="P1962" t="s">
        <v>38</v>
      </c>
      <c r="Q1962">
        <v>2</v>
      </c>
      <c r="R1962">
        <v>2259.17</v>
      </c>
      <c r="S1962" t="s">
        <v>29</v>
      </c>
    </row>
    <row r="1963" spans="1:19" x14ac:dyDescent="0.3">
      <c r="A1963" t="s">
        <v>2033</v>
      </c>
      <c r="B1963">
        <v>81</v>
      </c>
      <c r="C1963" t="s">
        <v>19</v>
      </c>
      <c r="D1963" t="s">
        <v>70</v>
      </c>
      <c r="E1963" s="1">
        <v>45860</v>
      </c>
      <c r="F1963" s="3">
        <v>45870</v>
      </c>
      <c r="G1963" t="s">
        <v>33</v>
      </c>
      <c r="H1963" t="s">
        <v>34</v>
      </c>
      <c r="I1963" t="s">
        <v>35</v>
      </c>
      <c r="J1963">
        <v>7943.52</v>
      </c>
      <c r="K1963">
        <v>10</v>
      </c>
      <c r="L1963" t="s">
        <v>36</v>
      </c>
      <c r="M1963" t="s">
        <v>25</v>
      </c>
      <c r="N1963" t="s">
        <v>55</v>
      </c>
      <c r="O1963" t="s">
        <v>56</v>
      </c>
      <c r="P1963" t="s">
        <v>50</v>
      </c>
      <c r="Q1963">
        <v>13</v>
      </c>
      <c r="R1963">
        <v>2108.5100000000002</v>
      </c>
      <c r="S1963" t="s">
        <v>29</v>
      </c>
    </row>
    <row r="1964" spans="1:19" x14ac:dyDescent="0.3">
      <c r="A1964" t="s">
        <v>2034</v>
      </c>
      <c r="B1964">
        <v>25</v>
      </c>
      <c r="C1964" t="s">
        <v>19</v>
      </c>
      <c r="D1964" t="s">
        <v>47</v>
      </c>
      <c r="E1964" s="1">
        <v>45642</v>
      </c>
      <c r="F1964" s="3">
        <v>45662</v>
      </c>
      <c r="G1964" t="s">
        <v>71</v>
      </c>
      <c r="H1964" t="s">
        <v>72</v>
      </c>
      <c r="I1964" t="s">
        <v>35</v>
      </c>
      <c r="J1964">
        <v>7719.02</v>
      </c>
      <c r="K1964">
        <v>20</v>
      </c>
      <c r="L1964" t="s">
        <v>24</v>
      </c>
      <c r="M1964" t="s">
        <v>25</v>
      </c>
      <c r="N1964" t="s">
        <v>26</v>
      </c>
      <c r="O1964" t="s">
        <v>56</v>
      </c>
      <c r="P1964" t="s">
        <v>45</v>
      </c>
      <c r="Q1964">
        <v>3</v>
      </c>
      <c r="R1964">
        <v>2672.23</v>
      </c>
      <c r="S1964" t="s">
        <v>29</v>
      </c>
    </row>
    <row r="1965" spans="1:19" x14ac:dyDescent="0.3">
      <c r="A1965" t="s">
        <v>2035</v>
      </c>
      <c r="B1965">
        <v>87</v>
      </c>
      <c r="C1965" t="s">
        <v>19</v>
      </c>
      <c r="D1965" t="s">
        <v>61</v>
      </c>
      <c r="E1965" s="1">
        <v>45830</v>
      </c>
      <c r="F1965" s="3">
        <v>45842</v>
      </c>
      <c r="G1965" t="s">
        <v>41</v>
      </c>
      <c r="H1965" t="s">
        <v>42</v>
      </c>
      <c r="I1965" t="s">
        <v>81</v>
      </c>
      <c r="J1965">
        <v>9724.2099999999991</v>
      </c>
      <c r="K1965">
        <v>12</v>
      </c>
      <c r="L1965" t="s">
        <v>36</v>
      </c>
      <c r="M1965" t="s">
        <v>25</v>
      </c>
      <c r="N1965" t="s">
        <v>55</v>
      </c>
      <c r="O1965" t="s">
        <v>56</v>
      </c>
      <c r="P1965" t="s">
        <v>28</v>
      </c>
      <c r="Q1965">
        <v>2</v>
      </c>
      <c r="R1965">
        <v>2047.78</v>
      </c>
      <c r="S1965" t="s">
        <v>29</v>
      </c>
    </row>
    <row r="1966" spans="1:19" x14ac:dyDescent="0.3">
      <c r="A1966" t="s">
        <v>2036</v>
      </c>
      <c r="B1966">
        <v>20</v>
      </c>
      <c r="C1966" t="s">
        <v>19</v>
      </c>
      <c r="D1966" t="s">
        <v>20</v>
      </c>
      <c r="E1966" s="1">
        <v>45644</v>
      </c>
      <c r="F1966" s="3">
        <v>45664</v>
      </c>
      <c r="G1966" t="s">
        <v>52</v>
      </c>
      <c r="H1966" t="s">
        <v>53</v>
      </c>
      <c r="I1966" t="s">
        <v>35</v>
      </c>
      <c r="J1966">
        <v>6644.64</v>
      </c>
      <c r="K1966">
        <v>20</v>
      </c>
      <c r="L1966" t="s">
        <v>24</v>
      </c>
      <c r="M1966" t="s">
        <v>25</v>
      </c>
      <c r="N1966" t="s">
        <v>44</v>
      </c>
      <c r="O1966" t="s">
        <v>27</v>
      </c>
      <c r="P1966" t="s">
        <v>28</v>
      </c>
      <c r="Q1966">
        <v>14</v>
      </c>
      <c r="R1966">
        <v>2598.6799999999998</v>
      </c>
      <c r="S1966" t="s">
        <v>29</v>
      </c>
    </row>
    <row r="1967" spans="1:19" x14ac:dyDescent="0.3">
      <c r="A1967" t="s">
        <v>2037</v>
      </c>
      <c r="B1967">
        <v>19</v>
      </c>
      <c r="C1967" t="s">
        <v>31</v>
      </c>
      <c r="D1967" t="s">
        <v>70</v>
      </c>
      <c r="E1967" s="1">
        <v>45647</v>
      </c>
      <c r="F1967" s="3">
        <v>45657</v>
      </c>
      <c r="G1967" t="s">
        <v>41</v>
      </c>
      <c r="H1967" t="s">
        <v>42</v>
      </c>
      <c r="I1967" t="s">
        <v>91</v>
      </c>
      <c r="J1967">
        <v>4507.95</v>
      </c>
      <c r="K1967">
        <v>10</v>
      </c>
      <c r="L1967" t="s">
        <v>36</v>
      </c>
      <c r="M1967" t="s">
        <v>25</v>
      </c>
      <c r="N1967" t="s">
        <v>26</v>
      </c>
      <c r="O1967" t="s">
        <v>37</v>
      </c>
      <c r="P1967" t="s">
        <v>50</v>
      </c>
      <c r="Q1967">
        <v>13</v>
      </c>
      <c r="R1967">
        <v>715.7</v>
      </c>
      <c r="S1967" t="s">
        <v>29</v>
      </c>
    </row>
    <row r="1968" spans="1:19" x14ac:dyDescent="0.3">
      <c r="A1968" t="s">
        <v>2038</v>
      </c>
      <c r="B1968">
        <v>77</v>
      </c>
      <c r="C1968" t="s">
        <v>19</v>
      </c>
      <c r="D1968" t="s">
        <v>66</v>
      </c>
      <c r="E1968" s="1">
        <v>45089</v>
      </c>
      <c r="F1968" s="3">
        <v>45100</v>
      </c>
      <c r="G1968" t="s">
        <v>74</v>
      </c>
      <c r="H1968" t="s">
        <v>75</v>
      </c>
      <c r="I1968" t="s">
        <v>35</v>
      </c>
      <c r="J1968">
        <v>3673.18</v>
      </c>
      <c r="K1968">
        <v>11</v>
      </c>
      <c r="L1968" t="s">
        <v>36</v>
      </c>
      <c r="M1968" t="s">
        <v>25</v>
      </c>
      <c r="N1968" t="s">
        <v>26</v>
      </c>
      <c r="O1968" t="s">
        <v>56</v>
      </c>
      <c r="P1968" t="s">
        <v>28</v>
      </c>
      <c r="Q1968">
        <v>12</v>
      </c>
      <c r="R1968">
        <v>1011.76</v>
      </c>
      <c r="S1968" t="s">
        <v>39</v>
      </c>
    </row>
    <row r="1969" spans="1:19" x14ac:dyDescent="0.3">
      <c r="A1969" t="s">
        <v>2039</v>
      </c>
      <c r="B1969">
        <v>48</v>
      </c>
      <c r="C1969" t="s">
        <v>31</v>
      </c>
      <c r="D1969" t="s">
        <v>89</v>
      </c>
      <c r="E1969" s="1">
        <v>45261</v>
      </c>
      <c r="F1969" s="3">
        <v>45276</v>
      </c>
      <c r="G1969" t="s">
        <v>62</v>
      </c>
      <c r="H1969" t="s">
        <v>63</v>
      </c>
      <c r="I1969" t="s">
        <v>35</v>
      </c>
      <c r="J1969">
        <v>16382.93</v>
      </c>
      <c r="K1969">
        <v>15</v>
      </c>
      <c r="L1969" t="s">
        <v>24</v>
      </c>
      <c r="M1969" t="s">
        <v>25</v>
      </c>
      <c r="N1969" t="s">
        <v>26</v>
      </c>
      <c r="O1969" t="s">
        <v>49</v>
      </c>
      <c r="P1969" t="s">
        <v>38</v>
      </c>
      <c r="Q1969">
        <v>15</v>
      </c>
      <c r="R1969">
        <v>5209.91</v>
      </c>
      <c r="S1969" t="s">
        <v>29</v>
      </c>
    </row>
    <row r="1970" spans="1:19" x14ac:dyDescent="0.3">
      <c r="A1970" t="s">
        <v>2040</v>
      </c>
      <c r="B1970">
        <v>54</v>
      </c>
      <c r="C1970" t="s">
        <v>19</v>
      </c>
      <c r="D1970" t="s">
        <v>32</v>
      </c>
      <c r="E1970" s="1">
        <v>45811</v>
      </c>
      <c r="F1970" s="3">
        <v>45819</v>
      </c>
      <c r="G1970" t="s">
        <v>48</v>
      </c>
      <c r="H1970" t="s">
        <v>22</v>
      </c>
      <c r="I1970" t="s">
        <v>58</v>
      </c>
      <c r="J1970">
        <v>4633.9799999999996</v>
      </c>
      <c r="K1970">
        <v>8</v>
      </c>
      <c r="L1970" t="s">
        <v>24</v>
      </c>
      <c r="M1970" t="s">
        <v>25</v>
      </c>
      <c r="N1970" t="s">
        <v>55</v>
      </c>
      <c r="O1970" t="s">
        <v>56</v>
      </c>
      <c r="P1970" t="s">
        <v>38</v>
      </c>
      <c r="Q1970">
        <v>10</v>
      </c>
      <c r="R1970">
        <v>884.72</v>
      </c>
      <c r="S1970" t="s">
        <v>29</v>
      </c>
    </row>
    <row r="1971" spans="1:19" x14ac:dyDescent="0.3">
      <c r="A1971" t="s">
        <v>2041</v>
      </c>
      <c r="B1971">
        <v>52</v>
      </c>
      <c r="C1971" t="s">
        <v>19</v>
      </c>
      <c r="D1971" t="s">
        <v>47</v>
      </c>
      <c r="E1971" s="1">
        <v>45253</v>
      </c>
      <c r="F1971" s="3">
        <v>45268</v>
      </c>
      <c r="G1971" t="s">
        <v>67</v>
      </c>
      <c r="H1971" t="s">
        <v>42</v>
      </c>
      <c r="I1971" t="s">
        <v>81</v>
      </c>
      <c r="J1971">
        <v>9283.7000000000007</v>
      </c>
      <c r="K1971">
        <v>15</v>
      </c>
      <c r="L1971" t="s">
        <v>24</v>
      </c>
      <c r="M1971" t="s">
        <v>25</v>
      </c>
      <c r="N1971" t="s">
        <v>55</v>
      </c>
      <c r="O1971" t="s">
        <v>56</v>
      </c>
      <c r="P1971" t="s">
        <v>50</v>
      </c>
      <c r="Q1971">
        <v>12</v>
      </c>
      <c r="R1971">
        <v>3207.26</v>
      </c>
      <c r="S1971" t="s">
        <v>29</v>
      </c>
    </row>
    <row r="1972" spans="1:19" x14ac:dyDescent="0.3">
      <c r="A1972" t="s">
        <v>2042</v>
      </c>
      <c r="B1972">
        <v>20</v>
      </c>
      <c r="C1972" t="s">
        <v>19</v>
      </c>
      <c r="D1972" t="s">
        <v>32</v>
      </c>
      <c r="E1972" s="1">
        <v>45488</v>
      </c>
      <c r="F1972" s="3">
        <v>45496</v>
      </c>
      <c r="G1972" t="s">
        <v>33</v>
      </c>
      <c r="H1972" t="s">
        <v>34</v>
      </c>
      <c r="I1972" t="s">
        <v>54</v>
      </c>
      <c r="J1972">
        <v>7340.68</v>
      </c>
      <c r="K1972">
        <v>8</v>
      </c>
      <c r="L1972" t="s">
        <v>36</v>
      </c>
      <c r="M1972" t="s">
        <v>25</v>
      </c>
      <c r="N1972" t="s">
        <v>55</v>
      </c>
      <c r="O1972" t="s">
        <v>37</v>
      </c>
      <c r="P1972" t="s">
        <v>28</v>
      </c>
      <c r="Q1972">
        <v>3</v>
      </c>
      <c r="R1972">
        <v>1131.8800000000001</v>
      </c>
      <c r="S1972" t="s">
        <v>29</v>
      </c>
    </row>
    <row r="1973" spans="1:19" x14ac:dyDescent="0.3">
      <c r="A1973" t="s">
        <v>2043</v>
      </c>
      <c r="B1973">
        <v>31</v>
      </c>
      <c r="C1973" t="s">
        <v>19</v>
      </c>
      <c r="D1973" t="s">
        <v>89</v>
      </c>
      <c r="E1973" s="1">
        <v>44953</v>
      </c>
      <c r="F1973" s="3">
        <v>44968</v>
      </c>
      <c r="G1973" t="s">
        <v>93</v>
      </c>
      <c r="H1973" t="s">
        <v>72</v>
      </c>
      <c r="I1973" t="s">
        <v>91</v>
      </c>
      <c r="J1973">
        <v>9797.42</v>
      </c>
      <c r="K1973">
        <v>15</v>
      </c>
      <c r="L1973" t="s">
        <v>24</v>
      </c>
      <c r="M1973" t="s">
        <v>25</v>
      </c>
      <c r="N1973" t="s">
        <v>55</v>
      </c>
      <c r="O1973" t="s">
        <v>27</v>
      </c>
      <c r="P1973" t="s">
        <v>45</v>
      </c>
      <c r="Q1973">
        <v>4</v>
      </c>
      <c r="R1973">
        <v>1937.58</v>
      </c>
      <c r="S1973" t="s">
        <v>29</v>
      </c>
    </row>
    <row r="1974" spans="1:19" x14ac:dyDescent="0.3">
      <c r="A1974" t="s">
        <v>2044</v>
      </c>
      <c r="B1974">
        <v>56</v>
      </c>
      <c r="C1974" t="s">
        <v>19</v>
      </c>
      <c r="D1974" t="s">
        <v>47</v>
      </c>
      <c r="E1974" s="1">
        <v>45054</v>
      </c>
      <c r="F1974" s="3">
        <v>45061</v>
      </c>
      <c r="G1974" t="s">
        <v>41</v>
      </c>
      <c r="H1974" t="s">
        <v>42</v>
      </c>
      <c r="I1974" t="s">
        <v>35</v>
      </c>
      <c r="J1974">
        <v>6085.05</v>
      </c>
      <c r="K1974">
        <v>7</v>
      </c>
      <c r="L1974" t="s">
        <v>36</v>
      </c>
      <c r="M1974" t="s">
        <v>25</v>
      </c>
      <c r="N1974" t="s">
        <v>26</v>
      </c>
      <c r="O1974" t="s">
        <v>37</v>
      </c>
      <c r="P1974" t="s">
        <v>28</v>
      </c>
      <c r="Q1974">
        <v>4</v>
      </c>
      <c r="R1974">
        <v>2298.27</v>
      </c>
      <c r="S1974" t="s">
        <v>29</v>
      </c>
    </row>
    <row r="1975" spans="1:19" x14ac:dyDescent="0.3">
      <c r="A1975" t="s">
        <v>2045</v>
      </c>
      <c r="B1975">
        <v>89</v>
      </c>
      <c r="C1975" t="s">
        <v>19</v>
      </c>
      <c r="D1975" t="s">
        <v>20</v>
      </c>
      <c r="E1975" s="1">
        <v>45481</v>
      </c>
      <c r="F1975" s="3">
        <v>45487</v>
      </c>
      <c r="G1975" t="s">
        <v>71</v>
      </c>
      <c r="H1975" t="s">
        <v>72</v>
      </c>
      <c r="I1975" t="s">
        <v>23</v>
      </c>
      <c r="J1975">
        <v>8460.1</v>
      </c>
      <c r="K1975">
        <v>6</v>
      </c>
      <c r="L1975" t="s">
        <v>24</v>
      </c>
      <c r="M1975" t="s">
        <v>25</v>
      </c>
      <c r="N1975" t="s">
        <v>55</v>
      </c>
      <c r="O1975" t="s">
        <v>49</v>
      </c>
      <c r="P1975" t="s">
        <v>45</v>
      </c>
      <c r="Q1975">
        <v>1</v>
      </c>
      <c r="R1975">
        <v>1955.53</v>
      </c>
      <c r="S1975" t="s">
        <v>29</v>
      </c>
    </row>
    <row r="1976" spans="1:19" x14ac:dyDescent="0.3">
      <c r="A1976" t="s">
        <v>2046</v>
      </c>
      <c r="B1976">
        <v>76</v>
      </c>
      <c r="C1976" t="s">
        <v>19</v>
      </c>
      <c r="D1976" t="s">
        <v>61</v>
      </c>
      <c r="E1976" s="1">
        <v>45800</v>
      </c>
      <c r="F1976" s="3">
        <v>45803</v>
      </c>
      <c r="G1976" t="s">
        <v>33</v>
      </c>
      <c r="H1976" t="s">
        <v>34</v>
      </c>
      <c r="I1976" t="s">
        <v>83</v>
      </c>
      <c r="J1976">
        <v>9531.3799999999992</v>
      </c>
      <c r="K1976">
        <v>3</v>
      </c>
      <c r="L1976" t="s">
        <v>36</v>
      </c>
      <c r="M1976" t="s">
        <v>25</v>
      </c>
      <c r="N1976" t="s">
        <v>55</v>
      </c>
      <c r="O1976" t="s">
        <v>49</v>
      </c>
      <c r="P1976" t="s">
        <v>28</v>
      </c>
      <c r="Q1976">
        <v>1</v>
      </c>
      <c r="R1976">
        <v>2367.46</v>
      </c>
      <c r="S1976" t="s">
        <v>39</v>
      </c>
    </row>
    <row r="1977" spans="1:19" x14ac:dyDescent="0.3">
      <c r="A1977" t="s">
        <v>2047</v>
      </c>
      <c r="B1977">
        <v>32</v>
      </c>
      <c r="C1977" t="s">
        <v>19</v>
      </c>
      <c r="D1977" t="s">
        <v>70</v>
      </c>
      <c r="E1977" s="1">
        <v>45314</v>
      </c>
      <c r="F1977" s="3">
        <v>45323</v>
      </c>
      <c r="G1977" t="s">
        <v>48</v>
      </c>
      <c r="H1977" t="s">
        <v>22</v>
      </c>
      <c r="I1977" t="s">
        <v>83</v>
      </c>
      <c r="J1977">
        <v>6587.16</v>
      </c>
      <c r="K1977">
        <v>9</v>
      </c>
      <c r="L1977" t="s">
        <v>24</v>
      </c>
      <c r="M1977" t="s">
        <v>25</v>
      </c>
      <c r="N1977" t="s">
        <v>26</v>
      </c>
      <c r="O1977" t="s">
        <v>27</v>
      </c>
      <c r="P1977" t="s">
        <v>38</v>
      </c>
      <c r="Q1977">
        <v>6</v>
      </c>
      <c r="R1977">
        <v>2025.03</v>
      </c>
      <c r="S1977" t="s">
        <v>29</v>
      </c>
    </row>
    <row r="1978" spans="1:19" x14ac:dyDescent="0.3">
      <c r="A1978" t="s">
        <v>2048</v>
      </c>
      <c r="B1978">
        <v>80</v>
      </c>
      <c r="C1978" t="s">
        <v>31</v>
      </c>
      <c r="D1978" t="s">
        <v>70</v>
      </c>
      <c r="E1978" s="1">
        <v>45294</v>
      </c>
      <c r="F1978" s="3">
        <v>45311</v>
      </c>
      <c r="G1978" t="s">
        <v>93</v>
      </c>
      <c r="H1978" t="s">
        <v>72</v>
      </c>
      <c r="I1978" t="s">
        <v>58</v>
      </c>
      <c r="J1978">
        <v>13235.7</v>
      </c>
      <c r="K1978">
        <v>17</v>
      </c>
      <c r="L1978" t="s">
        <v>24</v>
      </c>
      <c r="M1978" t="s">
        <v>25</v>
      </c>
      <c r="N1978" t="s">
        <v>55</v>
      </c>
      <c r="O1978" t="s">
        <v>49</v>
      </c>
      <c r="P1978" t="s">
        <v>38</v>
      </c>
      <c r="Q1978">
        <v>8</v>
      </c>
      <c r="R1978">
        <v>5194.0600000000004</v>
      </c>
      <c r="S1978" t="s">
        <v>29</v>
      </c>
    </row>
    <row r="1979" spans="1:19" x14ac:dyDescent="0.3">
      <c r="A1979" t="s">
        <v>2049</v>
      </c>
      <c r="B1979">
        <v>70</v>
      </c>
      <c r="C1979" t="s">
        <v>31</v>
      </c>
      <c r="D1979" t="s">
        <v>61</v>
      </c>
      <c r="E1979" s="1">
        <v>45677</v>
      </c>
      <c r="F1979" s="3">
        <v>45697</v>
      </c>
      <c r="G1979" t="s">
        <v>41</v>
      </c>
      <c r="H1979" t="s">
        <v>42</v>
      </c>
      <c r="I1979" t="s">
        <v>83</v>
      </c>
      <c r="J1979">
        <v>12385.56</v>
      </c>
      <c r="K1979">
        <v>20</v>
      </c>
      <c r="L1979" t="s">
        <v>24</v>
      </c>
      <c r="M1979" t="s">
        <v>25</v>
      </c>
      <c r="N1979" t="s">
        <v>26</v>
      </c>
      <c r="O1979" t="s">
        <v>49</v>
      </c>
      <c r="P1979" t="s">
        <v>28</v>
      </c>
      <c r="Q1979">
        <v>14</v>
      </c>
      <c r="R1979">
        <v>3630.04</v>
      </c>
      <c r="S1979" t="s">
        <v>29</v>
      </c>
    </row>
    <row r="1980" spans="1:19" x14ac:dyDescent="0.3">
      <c r="A1980" t="s">
        <v>2050</v>
      </c>
      <c r="B1980">
        <v>66</v>
      </c>
      <c r="C1980" t="s">
        <v>31</v>
      </c>
      <c r="D1980" t="s">
        <v>47</v>
      </c>
      <c r="E1980" s="1">
        <v>45541</v>
      </c>
      <c r="F1980" s="3">
        <v>45554</v>
      </c>
      <c r="G1980" t="s">
        <v>93</v>
      </c>
      <c r="H1980" t="s">
        <v>72</v>
      </c>
      <c r="I1980" t="s">
        <v>58</v>
      </c>
      <c r="J1980">
        <v>4851.1499999999996</v>
      </c>
      <c r="K1980">
        <v>13</v>
      </c>
      <c r="L1980" t="s">
        <v>24</v>
      </c>
      <c r="M1980" t="s">
        <v>101</v>
      </c>
      <c r="N1980" t="s">
        <v>26</v>
      </c>
      <c r="O1980" t="s">
        <v>56</v>
      </c>
      <c r="P1980" t="s">
        <v>50</v>
      </c>
      <c r="Q1980">
        <v>7</v>
      </c>
      <c r="R1980">
        <v>1891.99</v>
      </c>
      <c r="S1980" t="s">
        <v>39</v>
      </c>
    </row>
    <row r="1981" spans="1:19" x14ac:dyDescent="0.3">
      <c r="A1981" t="s">
        <v>2051</v>
      </c>
      <c r="B1981">
        <v>78</v>
      </c>
      <c r="C1981" t="s">
        <v>19</v>
      </c>
      <c r="D1981" t="s">
        <v>89</v>
      </c>
      <c r="E1981" s="1">
        <v>45824</v>
      </c>
      <c r="F1981" s="3">
        <v>45830</v>
      </c>
      <c r="G1981" t="s">
        <v>21</v>
      </c>
      <c r="H1981" t="s">
        <v>22</v>
      </c>
      <c r="I1981" t="s">
        <v>83</v>
      </c>
      <c r="J1981">
        <v>5187.32</v>
      </c>
      <c r="K1981">
        <v>6</v>
      </c>
      <c r="L1981" t="s">
        <v>24</v>
      </c>
      <c r="M1981" t="s">
        <v>25</v>
      </c>
      <c r="N1981" t="s">
        <v>55</v>
      </c>
      <c r="O1981" t="s">
        <v>37</v>
      </c>
      <c r="P1981" t="s">
        <v>38</v>
      </c>
      <c r="Q1981">
        <v>10</v>
      </c>
      <c r="R1981">
        <v>1237.1199999999999</v>
      </c>
      <c r="S1981" t="s">
        <v>29</v>
      </c>
    </row>
    <row r="1982" spans="1:19" x14ac:dyDescent="0.3">
      <c r="A1982" t="s">
        <v>2052</v>
      </c>
      <c r="B1982">
        <v>41</v>
      </c>
      <c r="C1982" t="s">
        <v>19</v>
      </c>
      <c r="D1982" t="s">
        <v>32</v>
      </c>
      <c r="E1982" s="1">
        <v>45194</v>
      </c>
      <c r="F1982" s="3">
        <v>45201</v>
      </c>
      <c r="G1982" t="s">
        <v>41</v>
      </c>
      <c r="H1982" t="s">
        <v>42</v>
      </c>
      <c r="I1982" t="s">
        <v>43</v>
      </c>
      <c r="J1982">
        <v>6075.43</v>
      </c>
      <c r="K1982">
        <v>7</v>
      </c>
      <c r="L1982" t="s">
        <v>36</v>
      </c>
      <c r="M1982" t="s">
        <v>25</v>
      </c>
      <c r="N1982" t="s">
        <v>44</v>
      </c>
      <c r="O1982" t="s">
        <v>27</v>
      </c>
      <c r="P1982" t="s">
        <v>38</v>
      </c>
      <c r="Q1982">
        <v>11</v>
      </c>
      <c r="R1982">
        <v>1094.27</v>
      </c>
      <c r="S1982" t="s">
        <v>29</v>
      </c>
    </row>
    <row r="1983" spans="1:19" x14ac:dyDescent="0.3">
      <c r="A1983" t="s">
        <v>2053</v>
      </c>
      <c r="B1983">
        <v>87</v>
      </c>
      <c r="C1983" t="s">
        <v>31</v>
      </c>
      <c r="D1983" t="s">
        <v>61</v>
      </c>
      <c r="E1983" s="1">
        <v>45092</v>
      </c>
      <c r="F1983" s="3">
        <v>45109</v>
      </c>
      <c r="G1983" t="s">
        <v>62</v>
      </c>
      <c r="H1983" t="s">
        <v>63</v>
      </c>
      <c r="I1983" t="s">
        <v>54</v>
      </c>
      <c r="J1983">
        <v>7643.11</v>
      </c>
      <c r="K1983">
        <v>17</v>
      </c>
      <c r="L1983" t="s">
        <v>24</v>
      </c>
      <c r="M1983" t="s">
        <v>25</v>
      </c>
      <c r="N1983" t="s">
        <v>55</v>
      </c>
      <c r="O1983" t="s">
        <v>56</v>
      </c>
      <c r="P1983" t="s">
        <v>38</v>
      </c>
      <c r="Q1983">
        <v>2</v>
      </c>
      <c r="R1983">
        <v>1952.16</v>
      </c>
      <c r="S1983" t="s">
        <v>29</v>
      </c>
    </row>
    <row r="1984" spans="1:19" x14ac:dyDescent="0.3">
      <c r="A1984" t="s">
        <v>2054</v>
      </c>
      <c r="B1984">
        <v>40</v>
      </c>
      <c r="C1984" t="s">
        <v>19</v>
      </c>
      <c r="D1984" t="s">
        <v>47</v>
      </c>
      <c r="E1984" s="1">
        <v>45833</v>
      </c>
      <c r="F1984" s="3">
        <v>45851</v>
      </c>
      <c r="G1984" t="s">
        <v>71</v>
      </c>
      <c r="H1984" t="s">
        <v>72</v>
      </c>
      <c r="I1984" t="s">
        <v>58</v>
      </c>
      <c r="J1984">
        <v>9807.7000000000007</v>
      </c>
      <c r="K1984">
        <v>18</v>
      </c>
      <c r="L1984" t="s">
        <v>24</v>
      </c>
      <c r="M1984" t="s">
        <v>25</v>
      </c>
      <c r="N1984" t="s">
        <v>26</v>
      </c>
      <c r="O1984" t="s">
        <v>37</v>
      </c>
      <c r="P1984" t="s">
        <v>45</v>
      </c>
      <c r="Q1984">
        <v>3</v>
      </c>
      <c r="R1984">
        <v>3716.31</v>
      </c>
      <c r="S1984" t="s">
        <v>39</v>
      </c>
    </row>
    <row r="1985" spans="1:19" x14ac:dyDescent="0.3">
      <c r="A1985" t="s">
        <v>2055</v>
      </c>
      <c r="B1985">
        <v>71</v>
      </c>
      <c r="C1985" t="s">
        <v>31</v>
      </c>
      <c r="D1985" t="s">
        <v>61</v>
      </c>
      <c r="E1985" s="1">
        <v>45784</v>
      </c>
      <c r="F1985" s="3">
        <v>45792</v>
      </c>
      <c r="G1985" t="s">
        <v>71</v>
      </c>
      <c r="H1985" t="s">
        <v>72</v>
      </c>
      <c r="I1985" t="s">
        <v>35</v>
      </c>
      <c r="J1985">
        <v>4265.1400000000003</v>
      </c>
      <c r="K1985">
        <v>8</v>
      </c>
      <c r="L1985" t="s">
        <v>36</v>
      </c>
      <c r="M1985" t="s">
        <v>25</v>
      </c>
      <c r="N1985" t="s">
        <v>55</v>
      </c>
      <c r="O1985" t="s">
        <v>56</v>
      </c>
      <c r="P1985" t="s">
        <v>28</v>
      </c>
      <c r="Q1985">
        <v>7</v>
      </c>
      <c r="R1985">
        <v>1368.91</v>
      </c>
      <c r="S1985" t="s">
        <v>29</v>
      </c>
    </row>
    <row r="1986" spans="1:19" x14ac:dyDescent="0.3">
      <c r="A1986" t="s">
        <v>2056</v>
      </c>
      <c r="B1986">
        <v>19</v>
      </c>
      <c r="C1986" t="s">
        <v>19</v>
      </c>
      <c r="D1986" t="s">
        <v>89</v>
      </c>
      <c r="E1986" s="1">
        <v>45889</v>
      </c>
      <c r="F1986" s="3">
        <v>45902</v>
      </c>
      <c r="G1986" t="s">
        <v>48</v>
      </c>
      <c r="H1986" t="s">
        <v>22</v>
      </c>
      <c r="I1986" t="s">
        <v>58</v>
      </c>
      <c r="J1986">
        <v>4708.8</v>
      </c>
      <c r="K1986">
        <v>13</v>
      </c>
      <c r="L1986" t="s">
        <v>24</v>
      </c>
      <c r="M1986" t="s">
        <v>25</v>
      </c>
      <c r="N1986" t="s">
        <v>44</v>
      </c>
      <c r="O1986" t="s">
        <v>27</v>
      </c>
      <c r="P1986" t="s">
        <v>50</v>
      </c>
      <c r="Q1986">
        <v>3</v>
      </c>
      <c r="R1986">
        <v>1882.8</v>
      </c>
      <c r="S1986" t="s">
        <v>29</v>
      </c>
    </row>
    <row r="1987" spans="1:19" x14ac:dyDescent="0.3">
      <c r="A1987" t="s">
        <v>2057</v>
      </c>
      <c r="B1987">
        <v>31</v>
      </c>
      <c r="C1987" t="s">
        <v>19</v>
      </c>
      <c r="D1987" t="s">
        <v>20</v>
      </c>
      <c r="E1987" s="1">
        <v>45259</v>
      </c>
      <c r="F1987" s="3">
        <v>45271</v>
      </c>
      <c r="G1987" t="s">
        <v>74</v>
      </c>
      <c r="H1987" t="s">
        <v>75</v>
      </c>
      <c r="I1987" t="s">
        <v>58</v>
      </c>
      <c r="J1987">
        <v>6580.56</v>
      </c>
      <c r="K1987">
        <v>12</v>
      </c>
      <c r="L1987" t="s">
        <v>36</v>
      </c>
      <c r="M1987" t="s">
        <v>25</v>
      </c>
      <c r="N1987" t="s">
        <v>26</v>
      </c>
      <c r="O1987" t="s">
        <v>37</v>
      </c>
      <c r="P1987" t="s">
        <v>38</v>
      </c>
      <c r="Q1987">
        <v>11</v>
      </c>
      <c r="R1987">
        <v>2190.73</v>
      </c>
      <c r="S1987" t="s">
        <v>29</v>
      </c>
    </row>
    <row r="1988" spans="1:19" x14ac:dyDescent="0.3">
      <c r="A1988" t="s">
        <v>2058</v>
      </c>
      <c r="B1988">
        <v>71</v>
      </c>
      <c r="C1988" t="s">
        <v>31</v>
      </c>
      <c r="D1988" t="s">
        <v>79</v>
      </c>
      <c r="E1988" s="1">
        <v>45229</v>
      </c>
      <c r="F1988" s="3">
        <v>45244</v>
      </c>
      <c r="G1988" t="s">
        <v>41</v>
      </c>
      <c r="H1988" t="s">
        <v>42</v>
      </c>
      <c r="I1988" t="s">
        <v>23</v>
      </c>
      <c r="J1988">
        <v>5441.77</v>
      </c>
      <c r="K1988">
        <v>15</v>
      </c>
      <c r="L1988" t="s">
        <v>36</v>
      </c>
      <c r="M1988" t="s">
        <v>25</v>
      </c>
      <c r="N1988" t="s">
        <v>44</v>
      </c>
      <c r="O1988" t="s">
        <v>56</v>
      </c>
      <c r="P1988" t="s">
        <v>45</v>
      </c>
      <c r="Q1988">
        <v>1</v>
      </c>
      <c r="R1988">
        <v>1707.43</v>
      </c>
      <c r="S1988" t="s">
        <v>29</v>
      </c>
    </row>
    <row r="1989" spans="1:19" x14ac:dyDescent="0.3">
      <c r="A1989" t="s">
        <v>2059</v>
      </c>
      <c r="B1989">
        <v>60</v>
      </c>
      <c r="C1989" t="s">
        <v>19</v>
      </c>
      <c r="D1989" t="s">
        <v>20</v>
      </c>
      <c r="E1989" s="1">
        <v>44935</v>
      </c>
      <c r="F1989" s="3">
        <v>44959</v>
      </c>
      <c r="G1989" t="s">
        <v>52</v>
      </c>
      <c r="H1989" t="s">
        <v>53</v>
      </c>
      <c r="I1989" t="s">
        <v>54</v>
      </c>
      <c r="J1989">
        <v>15640.75</v>
      </c>
      <c r="K1989">
        <v>24</v>
      </c>
      <c r="L1989" t="s">
        <v>36</v>
      </c>
      <c r="M1989" t="s">
        <v>25</v>
      </c>
      <c r="N1989" t="s">
        <v>55</v>
      </c>
      <c r="O1989" t="s">
        <v>49</v>
      </c>
      <c r="P1989" t="s">
        <v>38</v>
      </c>
      <c r="Q1989">
        <v>10</v>
      </c>
      <c r="R1989">
        <v>3697.89</v>
      </c>
      <c r="S1989" t="s">
        <v>29</v>
      </c>
    </row>
    <row r="1990" spans="1:19" x14ac:dyDescent="0.3">
      <c r="A1990" t="s">
        <v>2060</v>
      </c>
      <c r="B1990">
        <v>38</v>
      </c>
      <c r="C1990" t="s">
        <v>19</v>
      </c>
      <c r="D1990" t="s">
        <v>79</v>
      </c>
      <c r="E1990" s="1">
        <v>45326</v>
      </c>
      <c r="F1990" s="3">
        <v>45339</v>
      </c>
      <c r="G1990" t="s">
        <v>74</v>
      </c>
      <c r="H1990" t="s">
        <v>75</v>
      </c>
      <c r="I1990" t="s">
        <v>35</v>
      </c>
      <c r="J1990">
        <v>15187.46</v>
      </c>
      <c r="K1990">
        <v>13</v>
      </c>
      <c r="L1990" t="s">
        <v>24</v>
      </c>
      <c r="M1990" t="s">
        <v>25</v>
      </c>
      <c r="N1990" t="s">
        <v>44</v>
      </c>
      <c r="O1990" t="s">
        <v>49</v>
      </c>
      <c r="P1990" t="s">
        <v>38</v>
      </c>
      <c r="Q1990">
        <v>1</v>
      </c>
      <c r="R1990">
        <v>5743.76</v>
      </c>
      <c r="S1990" t="s">
        <v>29</v>
      </c>
    </row>
    <row r="1991" spans="1:19" x14ac:dyDescent="0.3">
      <c r="A1991" t="s">
        <v>2061</v>
      </c>
      <c r="B1991">
        <v>51</v>
      </c>
      <c r="C1991" t="s">
        <v>31</v>
      </c>
      <c r="D1991" t="s">
        <v>61</v>
      </c>
      <c r="E1991" s="1">
        <v>45150</v>
      </c>
      <c r="F1991" s="3">
        <v>45155</v>
      </c>
      <c r="G1991" t="s">
        <v>41</v>
      </c>
      <c r="H1991" t="s">
        <v>42</v>
      </c>
      <c r="I1991" t="s">
        <v>81</v>
      </c>
      <c r="J1991">
        <v>6481.2</v>
      </c>
      <c r="K1991">
        <v>5</v>
      </c>
      <c r="L1991" t="s">
        <v>24</v>
      </c>
      <c r="M1991" t="s">
        <v>59</v>
      </c>
      <c r="N1991" t="s">
        <v>44</v>
      </c>
      <c r="O1991" t="s">
        <v>49</v>
      </c>
      <c r="P1991" t="s">
        <v>45</v>
      </c>
      <c r="Q1991">
        <v>8</v>
      </c>
      <c r="R1991">
        <v>2525.5700000000002</v>
      </c>
      <c r="S1991" t="s">
        <v>29</v>
      </c>
    </row>
    <row r="1992" spans="1:19" x14ac:dyDescent="0.3">
      <c r="A1992" t="s">
        <v>2062</v>
      </c>
      <c r="B1992">
        <v>24</v>
      </c>
      <c r="C1992" t="s">
        <v>31</v>
      </c>
      <c r="D1992" t="s">
        <v>70</v>
      </c>
      <c r="E1992" s="1">
        <v>45185</v>
      </c>
      <c r="F1992" s="3">
        <v>45209</v>
      </c>
      <c r="G1992" t="s">
        <v>52</v>
      </c>
      <c r="H1992" t="s">
        <v>53</v>
      </c>
      <c r="I1992" t="s">
        <v>35</v>
      </c>
      <c r="J1992">
        <v>11528.23</v>
      </c>
      <c r="K1992">
        <v>24</v>
      </c>
      <c r="L1992" t="s">
        <v>24</v>
      </c>
      <c r="M1992" t="s">
        <v>101</v>
      </c>
      <c r="N1992" t="s">
        <v>44</v>
      </c>
      <c r="O1992" t="s">
        <v>49</v>
      </c>
      <c r="P1992" t="s">
        <v>38</v>
      </c>
      <c r="Q1992">
        <v>7</v>
      </c>
      <c r="R1992">
        <v>1766.95</v>
      </c>
      <c r="S1992" t="s">
        <v>39</v>
      </c>
    </row>
    <row r="1993" spans="1:19" x14ac:dyDescent="0.3">
      <c r="A1993" t="s">
        <v>2063</v>
      </c>
      <c r="B1993">
        <v>31</v>
      </c>
      <c r="C1993" t="s">
        <v>31</v>
      </c>
      <c r="D1993" t="s">
        <v>61</v>
      </c>
      <c r="E1993" s="1">
        <v>45710</v>
      </c>
      <c r="F1993" s="3">
        <v>45735</v>
      </c>
      <c r="G1993" t="s">
        <v>67</v>
      </c>
      <c r="H1993" t="s">
        <v>42</v>
      </c>
      <c r="I1993" t="s">
        <v>35</v>
      </c>
      <c r="J1993">
        <v>22357.68</v>
      </c>
      <c r="K1993">
        <v>25</v>
      </c>
      <c r="L1993" t="s">
        <v>36</v>
      </c>
      <c r="M1993" t="s">
        <v>25</v>
      </c>
      <c r="N1993" t="s">
        <v>26</v>
      </c>
      <c r="O1993" t="s">
        <v>49</v>
      </c>
      <c r="P1993" t="s">
        <v>28</v>
      </c>
      <c r="Q1993">
        <v>15</v>
      </c>
      <c r="R1993">
        <v>6072.03</v>
      </c>
      <c r="S1993" t="s">
        <v>39</v>
      </c>
    </row>
    <row r="1994" spans="1:19" x14ac:dyDescent="0.3">
      <c r="A1994" t="s">
        <v>2064</v>
      </c>
      <c r="B1994">
        <v>70</v>
      </c>
      <c r="C1994" t="s">
        <v>31</v>
      </c>
      <c r="D1994" t="s">
        <v>47</v>
      </c>
      <c r="E1994" s="1">
        <v>45339</v>
      </c>
      <c r="F1994" s="3">
        <v>45366</v>
      </c>
      <c r="G1994" t="s">
        <v>48</v>
      </c>
      <c r="H1994" t="s">
        <v>22</v>
      </c>
      <c r="I1994" t="s">
        <v>91</v>
      </c>
      <c r="J1994">
        <v>15035.07</v>
      </c>
      <c r="K1994">
        <v>27</v>
      </c>
      <c r="L1994" t="s">
        <v>36</v>
      </c>
      <c r="M1994" t="s">
        <v>25</v>
      </c>
      <c r="N1994" t="s">
        <v>44</v>
      </c>
      <c r="O1994" t="s">
        <v>49</v>
      </c>
      <c r="P1994" t="s">
        <v>28</v>
      </c>
      <c r="Q1994">
        <v>6</v>
      </c>
      <c r="R1994">
        <v>5113.9399999999996</v>
      </c>
      <c r="S1994" t="s">
        <v>29</v>
      </c>
    </row>
    <row r="1995" spans="1:19" x14ac:dyDescent="0.3">
      <c r="A1995" t="s">
        <v>2065</v>
      </c>
      <c r="B1995">
        <v>22</v>
      </c>
      <c r="C1995" t="s">
        <v>31</v>
      </c>
      <c r="D1995" t="s">
        <v>32</v>
      </c>
      <c r="E1995" s="1">
        <v>45601</v>
      </c>
      <c r="F1995" s="3">
        <v>45613</v>
      </c>
      <c r="G1995" t="s">
        <v>21</v>
      </c>
      <c r="H1995" t="s">
        <v>22</v>
      </c>
      <c r="I1995" t="s">
        <v>58</v>
      </c>
      <c r="J1995">
        <v>10243.59</v>
      </c>
      <c r="K1995">
        <v>12</v>
      </c>
      <c r="L1995" t="s">
        <v>36</v>
      </c>
      <c r="M1995" t="s">
        <v>25</v>
      </c>
      <c r="N1995" t="s">
        <v>26</v>
      </c>
      <c r="O1995" t="s">
        <v>56</v>
      </c>
      <c r="P1995" t="s">
        <v>45</v>
      </c>
      <c r="Q1995">
        <v>9</v>
      </c>
      <c r="R1995">
        <v>2792.15</v>
      </c>
      <c r="S1995" t="s">
        <v>29</v>
      </c>
    </row>
    <row r="1996" spans="1:19" x14ac:dyDescent="0.3">
      <c r="A1996" t="s">
        <v>2066</v>
      </c>
      <c r="B1996">
        <v>33</v>
      </c>
      <c r="C1996" t="s">
        <v>19</v>
      </c>
      <c r="D1996" t="s">
        <v>79</v>
      </c>
      <c r="E1996" s="1">
        <v>45868</v>
      </c>
      <c r="F1996" s="3">
        <v>45872</v>
      </c>
      <c r="G1996" t="s">
        <v>67</v>
      </c>
      <c r="H1996" t="s">
        <v>42</v>
      </c>
      <c r="I1996" t="s">
        <v>81</v>
      </c>
      <c r="J1996">
        <v>3705.96</v>
      </c>
      <c r="K1996">
        <v>4</v>
      </c>
      <c r="L1996" t="s">
        <v>36</v>
      </c>
      <c r="M1996" t="s">
        <v>25</v>
      </c>
      <c r="N1996" t="s">
        <v>44</v>
      </c>
      <c r="O1996" t="s">
        <v>27</v>
      </c>
      <c r="P1996" t="s">
        <v>50</v>
      </c>
      <c r="Q1996">
        <v>6</v>
      </c>
      <c r="R1996">
        <v>797.32</v>
      </c>
      <c r="S1996" t="s">
        <v>29</v>
      </c>
    </row>
    <row r="1997" spans="1:19" x14ac:dyDescent="0.3">
      <c r="A1997" t="s">
        <v>2067</v>
      </c>
      <c r="B1997">
        <v>42</v>
      </c>
      <c r="C1997" t="s">
        <v>31</v>
      </c>
      <c r="D1997" t="s">
        <v>89</v>
      </c>
      <c r="E1997" s="1">
        <v>45060</v>
      </c>
      <c r="F1997" s="3">
        <v>45067</v>
      </c>
      <c r="G1997" t="s">
        <v>71</v>
      </c>
      <c r="H1997" t="s">
        <v>72</v>
      </c>
      <c r="I1997" t="s">
        <v>83</v>
      </c>
      <c r="J1997">
        <v>6198.19</v>
      </c>
      <c r="K1997">
        <v>7</v>
      </c>
      <c r="L1997" t="s">
        <v>24</v>
      </c>
      <c r="M1997" t="s">
        <v>25</v>
      </c>
      <c r="N1997" t="s">
        <v>26</v>
      </c>
      <c r="O1997" t="s">
        <v>37</v>
      </c>
      <c r="P1997" t="s">
        <v>28</v>
      </c>
      <c r="Q1997">
        <v>11</v>
      </c>
      <c r="R1997">
        <v>1160.54</v>
      </c>
      <c r="S1997" t="s">
        <v>29</v>
      </c>
    </row>
    <row r="1998" spans="1:19" x14ac:dyDescent="0.3">
      <c r="A1998" t="s">
        <v>2068</v>
      </c>
      <c r="B1998">
        <v>36</v>
      </c>
      <c r="C1998" t="s">
        <v>31</v>
      </c>
      <c r="D1998" t="s">
        <v>61</v>
      </c>
      <c r="E1998" s="1">
        <v>45343</v>
      </c>
      <c r="F1998" s="3">
        <v>45373</v>
      </c>
      <c r="G1998" t="s">
        <v>74</v>
      </c>
      <c r="H1998" t="s">
        <v>75</v>
      </c>
      <c r="I1998" t="s">
        <v>23</v>
      </c>
      <c r="J1998">
        <v>23323.41</v>
      </c>
      <c r="K1998">
        <v>30</v>
      </c>
      <c r="L1998" t="s">
        <v>24</v>
      </c>
      <c r="M1998" t="s">
        <v>25</v>
      </c>
      <c r="N1998" t="s">
        <v>55</v>
      </c>
      <c r="O1998" t="s">
        <v>49</v>
      </c>
      <c r="P1998" t="s">
        <v>50</v>
      </c>
      <c r="Q1998">
        <v>12</v>
      </c>
      <c r="R1998">
        <v>6197.07</v>
      </c>
      <c r="S1998" t="s">
        <v>29</v>
      </c>
    </row>
    <row r="1999" spans="1:19" x14ac:dyDescent="0.3">
      <c r="A1999" t="s">
        <v>2069</v>
      </c>
      <c r="B1999">
        <v>56</v>
      </c>
      <c r="C1999" t="s">
        <v>31</v>
      </c>
      <c r="D1999" t="s">
        <v>70</v>
      </c>
      <c r="E1999" s="1">
        <v>45087</v>
      </c>
      <c r="F1999" s="3">
        <v>45090</v>
      </c>
      <c r="G1999" t="s">
        <v>41</v>
      </c>
      <c r="H1999" t="s">
        <v>42</v>
      </c>
      <c r="I1999" t="s">
        <v>43</v>
      </c>
      <c r="J1999">
        <v>2366.92</v>
      </c>
      <c r="K1999">
        <v>3</v>
      </c>
      <c r="L1999" t="s">
        <v>36</v>
      </c>
      <c r="M1999" t="s">
        <v>25</v>
      </c>
      <c r="N1999" t="s">
        <v>44</v>
      </c>
      <c r="O1999" t="s">
        <v>27</v>
      </c>
      <c r="P1999" t="s">
        <v>45</v>
      </c>
      <c r="Q1999">
        <v>5</v>
      </c>
      <c r="R1999">
        <v>762.93</v>
      </c>
      <c r="S1999" t="s">
        <v>29</v>
      </c>
    </row>
    <row r="2000" spans="1:19" x14ac:dyDescent="0.3">
      <c r="A2000" t="s">
        <v>2070</v>
      </c>
      <c r="B2000">
        <v>60</v>
      </c>
      <c r="C2000" t="s">
        <v>19</v>
      </c>
      <c r="D2000" t="s">
        <v>89</v>
      </c>
      <c r="E2000" s="1">
        <v>45203</v>
      </c>
      <c r="F2000" s="3">
        <v>45216</v>
      </c>
      <c r="G2000" t="s">
        <v>52</v>
      </c>
      <c r="H2000" t="s">
        <v>53</v>
      </c>
      <c r="I2000" t="s">
        <v>91</v>
      </c>
      <c r="J2000">
        <v>4883.8500000000004</v>
      </c>
      <c r="K2000">
        <v>13</v>
      </c>
      <c r="L2000" t="s">
        <v>36</v>
      </c>
      <c r="M2000" t="s">
        <v>25</v>
      </c>
      <c r="N2000" t="s">
        <v>55</v>
      </c>
      <c r="O2000" t="s">
        <v>37</v>
      </c>
      <c r="P2000" t="s">
        <v>28</v>
      </c>
      <c r="Q2000">
        <v>5</v>
      </c>
      <c r="R2000">
        <v>734.36</v>
      </c>
      <c r="S2000" t="s">
        <v>29</v>
      </c>
    </row>
    <row r="2001" spans="1:19" x14ac:dyDescent="0.3">
      <c r="A2001" t="s">
        <v>2071</v>
      </c>
      <c r="B2001">
        <v>37</v>
      </c>
      <c r="C2001" t="s">
        <v>19</v>
      </c>
      <c r="D2001" t="s">
        <v>70</v>
      </c>
      <c r="E2001" s="1">
        <v>45196</v>
      </c>
      <c r="F2001" s="3">
        <v>45212</v>
      </c>
      <c r="G2001" t="s">
        <v>62</v>
      </c>
      <c r="H2001" t="s">
        <v>63</v>
      </c>
      <c r="I2001" t="s">
        <v>43</v>
      </c>
      <c r="J2001">
        <v>8849.93</v>
      </c>
      <c r="K2001">
        <v>16</v>
      </c>
      <c r="L2001" t="s">
        <v>36</v>
      </c>
      <c r="M2001" t="s">
        <v>25</v>
      </c>
      <c r="N2001" t="s">
        <v>55</v>
      </c>
      <c r="O2001" t="s">
        <v>27</v>
      </c>
      <c r="P2001" t="s">
        <v>50</v>
      </c>
      <c r="Q2001">
        <v>15</v>
      </c>
      <c r="R2001">
        <v>1446.62</v>
      </c>
      <c r="S2001" t="s">
        <v>29</v>
      </c>
    </row>
    <row r="2002" spans="1:19" x14ac:dyDescent="0.3">
      <c r="A2002" t="s">
        <v>2072</v>
      </c>
      <c r="B2002">
        <v>66</v>
      </c>
      <c r="C2002" t="s">
        <v>31</v>
      </c>
      <c r="D2002" t="s">
        <v>66</v>
      </c>
      <c r="E2002" s="1">
        <v>45422</v>
      </c>
      <c r="F2002" s="3">
        <v>45424</v>
      </c>
      <c r="G2002" t="s">
        <v>52</v>
      </c>
      <c r="H2002" t="s">
        <v>53</v>
      </c>
      <c r="I2002" t="s">
        <v>83</v>
      </c>
      <c r="J2002">
        <v>1359.98</v>
      </c>
      <c r="K2002">
        <v>2</v>
      </c>
      <c r="L2002" t="s">
        <v>36</v>
      </c>
      <c r="M2002" t="s">
        <v>59</v>
      </c>
      <c r="N2002" t="s">
        <v>26</v>
      </c>
      <c r="O2002" t="s">
        <v>27</v>
      </c>
      <c r="P2002" t="s">
        <v>50</v>
      </c>
      <c r="Q2002">
        <v>3</v>
      </c>
      <c r="R2002">
        <v>421.06</v>
      </c>
      <c r="S2002" t="s">
        <v>29</v>
      </c>
    </row>
    <row r="2003" spans="1:19" x14ac:dyDescent="0.3">
      <c r="A2003" t="s">
        <v>2073</v>
      </c>
      <c r="B2003">
        <v>21</v>
      </c>
      <c r="C2003" t="s">
        <v>19</v>
      </c>
      <c r="D2003" t="s">
        <v>61</v>
      </c>
      <c r="E2003" s="1">
        <v>45066</v>
      </c>
      <c r="F2003" s="3">
        <v>45078</v>
      </c>
      <c r="G2003" t="s">
        <v>52</v>
      </c>
      <c r="H2003" t="s">
        <v>53</v>
      </c>
      <c r="I2003" t="s">
        <v>35</v>
      </c>
      <c r="J2003">
        <v>3874.97</v>
      </c>
      <c r="K2003">
        <v>12</v>
      </c>
      <c r="L2003" t="s">
        <v>24</v>
      </c>
      <c r="M2003" t="s">
        <v>59</v>
      </c>
      <c r="N2003" t="s">
        <v>26</v>
      </c>
      <c r="O2003" t="s">
        <v>37</v>
      </c>
      <c r="P2003" t="s">
        <v>45</v>
      </c>
      <c r="Q2003">
        <v>12</v>
      </c>
      <c r="R2003">
        <v>861.34</v>
      </c>
      <c r="S2003" t="s">
        <v>39</v>
      </c>
    </row>
    <row r="2004" spans="1:19" x14ac:dyDescent="0.3">
      <c r="A2004" t="s">
        <v>2074</v>
      </c>
      <c r="B2004">
        <v>53</v>
      </c>
      <c r="C2004" t="s">
        <v>31</v>
      </c>
      <c r="D2004" t="s">
        <v>70</v>
      </c>
      <c r="E2004" s="1">
        <v>45435</v>
      </c>
      <c r="F2004" s="3">
        <v>45444</v>
      </c>
      <c r="G2004" t="s">
        <v>67</v>
      </c>
      <c r="H2004" t="s">
        <v>42</v>
      </c>
      <c r="I2004" t="s">
        <v>81</v>
      </c>
      <c r="J2004">
        <v>4425.1099999999997</v>
      </c>
      <c r="K2004">
        <v>9</v>
      </c>
      <c r="L2004" t="s">
        <v>36</v>
      </c>
      <c r="M2004" t="s">
        <v>25</v>
      </c>
      <c r="N2004" t="s">
        <v>26</v>
      </c>
      <c r="O2004" t="s">
        <v>56</v>
      </c>
      <c r="P2004" t="s">
        <v>50</v>
      </c>
      <c r="Q2004">
        <v>5</v>
      </c>
      <c r="R2004">
        <v>1127.28</v>
      </c>
      <c r="S2004" t="s">
        <v>39</v>
      </c>
    </row>
    <row r="2005" spans="1:19" x14ac:dyDescent="0.3">
      <c r="A2005" t="s">
        <v>2075</v>
      </c>
      <c r="B2005">
        <v>78</v>
      </c>
      <c r="C2005" t="s">
        <v>31</v>
      </c>
      <c r="D2005" t="s">
        <v>20</v>
      </c>
      <c r="E2005" s="1">
        <v>45622</v>
      </c>
      <c r="F2005" s="3">
        <v>45641</v>
      </c>
      <c r="G2005" t="s">
        <v>71</v>
      </c>
      <c r="H2005" t="s">
        <v>72</v>
      </c>
      <c r="I2005" t="s">
        <v>23</v>
      </c>
      <c r="J2005">
        <v>12504.52</v>
      </c>
      <c r="K2005">
        <v>19</v>
      </c>
      <c r="L2005" t="s">
        <v>36</v>
      </c>
      <c r="M2005" t="s">
        <v>25</v>
      </c>
      <c r="N2005" t="s">
        <v>44</v>
      </c>
      <c r="O2005" t="s">
        <v>27</v>
      </c>
      <c r="P2005" t="s">
        <v>45</v>
      </c>
      <c r="Q2005">
        <v>12</v>
      </c>
      <c r="R2005">
        <v>3924.91</v>
      </c>
      <c r="S2005" t="s">
        <v>29</v>
      </c>
    </row>
    <row r="2006" spans="1:19" x14ac:dyDescent="0.3">
      <c r="A2006" t="s">
        <v>2076</v>
      </c>
      <c r="B2006">
        <v>35</v>
      </c>
      <c r="C2006" t="s">
        <v>19</v>
      </c>
      <c r="D2006" t="s">
        <v>66</v>
      </c>
      <c r="E2006" s="1">
        <v>45071</v>
      </c>
      <c r="F2006" s="3">
        <v>45077</v>
      </c>
      <c r="G2006" t="s">
        <v>74</v>
      </c>
      <c r="H2006" t="s">
        <v>75</v>
      </c>
      <c r="I2006" t="s">
        <v>81</v>
      </c>
      <c r="J2006">
        <v>4311.3100000000004</v>
      </c>
      <c r="K2006">
        <v>6</v>
      </c>
      <c r="L2006" t="s">
        <v>24</v>
      </c>
      <c r="M2006" t="s">
        <v>59</v>
      </c>
      <c r="N2006" t="s">
        <v>44</v>
      </c>
      <c r="O2006" t="s">
        <v>37</v>
      </c>
      <c r="P2006" t="s">
        <v>45</v>
      </c>
      <c r="Q2006">
        <v>15</v>
      </c>
      <c r="R2006">
        <v>1594.21</v>
      </c>
      <c r="S2006" t="s">
        <v>29</v>
      </c>
    </row>
    <row r="2007" spans="1:19" x14ac:dyDescent="0.3">
      <c r="A2007" t="s">
        <v>2077</v>
      </c>
      <c r="B2007">
        <v>28</v>
      </c>
      <c r="C2007" t="s">
        <v>19</v>
      </c>
      <c r="D2007" t="s">
        <v>47</v>
      </c>
      <c r="E2007" s="1">
        <v>45666</v>
      </c>
      <c r="F2007" s="3">
        <v>45683</v>
      </c>
      <c r="G2007" t="s">
        <v>74</v>
      </c>
      <c r="H2007" t="s">
        <v>75</v>
      </c>
      <c r="I2007" t="s">
        <v>43</v>
      </c>
      <c r="J2007">
        <v>15736.85</v>
      </c>
      <c r="K2007">
        <v>17</v>
      </c>
      <c r="L2007" t="s">
        <v>24</v>
      </c>
      <c r="M2007" t="s">
        <v>25</v>
      </c>
      <c r="N2007" t="s">
        <v>26</v>
      </c>
      <c r="O2007" t="s">
        <v>49</v>
      </c>
      <c r="P2007" t="s">
        <v>45</v>
      </c>
      <c r="Q2007">
        <v>4</v>
      </c>
      <c r="R2007">
        <v>2792.13</v>
      </c>
      <c r="S2007" t="s">
        <v>29</v>
      </c>
    </row>
    <row r="2008" spans="1:19" x14ac:dyDescent="0.3">
      <c r="A2008" t="s">
        <v>2078</v>
      </c>
      <c r="B2008">
        <v>73</v>
      </c>
      <c r="C2008" t="s">
        <v>31</v>
      </c>
      <c r="D2008" t="s">
        <v>32</v>
      </c>
      <c r="E2008" s="1">
        <v>45754</v>
      </c>
      <c r="F2008" s="3">
        <v>45773</v>
      </c>
      <c r="G2008" t="s">
        <v>52</v>
      </c>
      <c r="H2008" t="s">
        <v>53</v>
      </c>
      <c r="I2008" t="s">
        <v>35</v>
      </c>
      <c r="J2008">
        <v>7762.36</v>
      </c>
      <c r="K2008">
        <v>19</v>
      </c>
      <c r="L2008" t="s">
        <v>36</v>
      </c>
      <c r="M2008" t="s">
        <v>59</v>
      </c>
      <c r="N2008" t="s">
        <v>44</v>
      </c>
      <c r="O2008" t="s">
        <v>27</v>
      </c>
      <c r="P2008" t="s">
        <v>38</v>
      </c>
      <c r="Q2008">
        <v>9</v>
      </c>
      <c r="R2008">
        <v>3063.67</v>
      </c>
      <c r="S2008" t="s">
        <v>29</v>
      </c>
    </row>
    <row r="2009" spans="1:19" x14ac:dyDescent="0.3">
      <c r="A2009" t="s">
        <v>2079</v>
      </c>
      <c r="B2009">
        <v>58</v>
      </c>
      <c r="C2009" t="s">
        <v>31</v>
      </c>
      <c r="D2009" t="s">
        <v>61</v>
      </c>
      <c r="E2009" s="1">
        <v>45888</v>
      </c>
      <c r="F2009" s="3">
        <v>45906</v>
      </c>
      <c r="G2009" t="s">
        <v>52</v>
      </c>
      <c r="H2009" t="s">
        <v>53</v>
      </c>
      <c r="I2009" t="s">
        <v>58</v>
      </c>
      <c r="J2009">
        <v>4815.09</v>
      </c>
      <c r="K2009">
        <v>18</v>
      </c>
      <c r="L2009" t="s">
        <v>24</v>
      </c>
      <c r="M2009" t="s">
        <v>25</v>
      </c>
      <c r="N2009" t="s">
        <v>55</v>
      </c>
      <c r="O2009" t="s">
        <v>56</v>
      </c>
      <c r="P2009" t="s">
        <v>38</v>
      </c>
      <c r="Q2009">
        <v>12</v>
      </c>
      <c r="R2009">
        <v>1613.25</v>
      </c>
      <c r="S2009" t="s">
        <v>29</v>
      </c>
    </row>
    <row r="2010" spans="1:19" x14ac:dyDescent="0.3">
      <c r="A2010" t="s">
        <v>2080</v>
      </c>
      <c r="B2010">
        <v>23</v>
      </c>
      <c r="C2010" t="s">
        <v>31</v>
      </c>
      <c r="D2010" t="s">
        <v>20</v>
      </c>
      <c r="E2010" s="1">
        <v>45908</v>
      </c>
      <c r="F2010" s="3">
        <v>45919</v>
      </c>
      <c r="G2010" t="s">
        <v>71</v>
      </c>
      <c r="H2010" t="s">
        <v>72</v>
      </c>
      <c r="I2010" t="s">
        <v>23</v>
      </c>
      <c r="J2010">
        <v>7484.61</v>
      </c>
      <c r="K2010">
        <v>11</v>
      </c>
      <c r="L2010" t="s">
        <v>36</v>
      </c>
      <c r="M2010" t="s">
        <v>25</v>
      </c>
      <c r="N2010" t="s">
        <v>55</v>
      </c>
      <c r="O2010" t="s">
        <v>27</v>
      </c>
      <c r="P2010" t="s">
        <v>28</v>
      </c>
      <c r="Q2010">
        <v>2</v>
      </c>
      <c r="R2010">
        <v>1982.46</v>
      </c>
      <c r="S2010" t="s">
        <v>29</v>
      </c>
    </row>
    <row r="2011" spans="1:19" x14ac:dyDescent="0.3">
      <c r="A2011" t="s">
        <v>2081</v>
      </c>
      <c r="B2011">
        <v>48</v>
      </c>
      <c r="C2011" t="s">
        <v>19</v>
      </c>
      <c r="D2011" t="s">
        <v>70</v>
      </c>
      <c r="E2011" s="1">
        <v>45427</v>
      </c>
      <c r="F2011" s="3">
        <v>45429</v>
      </c>
      <c r="G2011" t="s">
        <v>33</v>
      </c>
      <c r="H2011" t="s">
        <v>34</v>
      </c>
      <c r="I2011" t="s">
        <v>54</v>
      </c>
      <c r="J2011">
        <v>4074.38</v>
      </c>
      <c r="K2011">
        <v>2</v>
      </c>
      <c r="L2011" t="s">
        <v>24</v>
      </c>
      <c r="M2011" t="s">
        <v>25</v>
      </c>
      <c r="N2011" t="s">
        <v>55</v>
      </c>
      <c r="O2011" t="s">
        <v>56</v>
      </c>
      <c r="P2011" t="s">
        <v>28</v>
      </c>
      <c r="Q2011">
        <v>11</v>
      </c>
      <c r="R2011">
        <v>1477.58</v>
      </c>
      <c r="S2011" t="s">
        <v>29</v>
      </c>
    </row>
    <row r="2012" spans="1:19" x14ac:dyDescent="0.3">
      <c r="A2012" t="s">
        <v>2082</v>
      </c>
      <c r="B2012">
        <v>67</v>
      </c>
      <c r="C2012" t="s">
        <v>19</v>
      </c>
      <c r="D2012" t="s">
        <v>66</v>
      </c>
      <c r="E2012" s="1">
        <v>45860</v>
      </c>
      <c r="F2012" s="3">
        <v>45864</v>
      </c>
      <c r="G2012" t="s">
        <v>33</v>
      </c>
      <c r="H2012" t="s">
        <v>34</v>
      </c>
      <c r="I2012" t="s">
        <v>81</v>
      </c>
      <c r="J2012">
        <v>2889.64</v>
      </c>
      <c r="K2012">
        <v>4</v>
      </c>
      <c r="L2012" t="s">
        <v>24</v>
      </c>
      <c r="M2012" t="s">
        <v>25</v>
      </c>
      <c r="N2012" t="s">
        <v>44</v>
      </c>
      <c r="O2012" t="s">
        <v>37</v>
      </c>
      <c r="P2012" t="s">
        <v>38</v>
      </c>
      <c r="Q2012">
        <v>9</v>
      </c>
      <c r="R2012">
        <v>932.59</v>
      </c>
      <c r="S2012" t="s">
        <v>29</v>
      </c>
    </row>
    <row r="2013" spans="1:19" x14ac:dyDescent="0.3">
      <c r="A2013" t="s">
        <v>2083</v>
      </c>
      <c r="B2013">
        <v>23</v>
      </c>
      <c r="C2013" t="s">
        <v>19</v>
      </c>
      <c r="D2013" t="s">
        <v>32</v>
      </c>
      <c r="E2013" s="1">
        <v>45896</v>
      </c>
      <c r="F2013" s="3">
        <v>45913</v>
      </c>
      <c r="G2013" t="s">
        <v>67</v>
      </c>
      <c r="H2013" t="s">
        <v>42</v>
      </c>
      <c r="I2013" t="s">
        <v>83</v>
      </c>
      <c r="J2013">
        <v>11203.75</v>
      </c>
      <c r="K2013">
        <v>17</v>
      </c>
      <c r="L2013" t="s">
        <v>36</v>
      </c>
      <c r="M2013" t="s">
        <v>25</v>
      </c>
      <c r="N2013" t="s">
        <v>26</v>
      </c>
      <c r="O2013" t="s">
        <v>27</v>
      </c>
      <c r="P2013" t="s">
        <v>50</v>
      </c>
      <c r="Q2013">
        <v>9</v>
      </c>
      <c r="R2013">
        <v>2035.04</v>
      </c>
      <c r="S2013" t="s">
        <v>29</v>
      </c>
    </row>
    <row r="2014" spans="1:19" x14ac:dyDescent="0.3">
      <c r="A2014" t="s">
        <v>2084</v>
      </c>
      <c r="B2014">
        <v>82</v>
      </c>
      <c r="C2014" t="s">
        <v>19</v>
      </c>
      <c r="D2014" t="s">
        <v>66</v>
      </c>
      <c r="E2014" s="1">
        <v>44952</v>
      </c>
      <c r="F2014" s="3">
        <v>44961</v>
      </c>
      <c r="G2014" t="s">
        <v>21</v>
      </c>
      <c r="H2014" t="s">
        <v>22</v>
      </c>
      <c r="I2014" t="s">
        <v>81</v>
      </c>
      <c r="J2014">
        <v>5066.7700000000004</v>
      </c>
      <c r="K2014">
        <v>9</v>
      </c>
      <c r="L2014" t="s">
        <v>36</v>
      </c>
      <c r="M2014" t="s">
        <v>59</v>
      </c>
      <c r="N2014" t="s">
        <v>55</v>
      </c>
      <c r="O2014" t="s">
        <v>56</v>
      </c>
      <c r="P2014" t="s">
        <v>50</v>
      </c>
      <c r="Q2014">
        <v>1</v>
      </c>
      <c r="R2014">
        <v>1271.54</v>
      </c>
      <c r="S2014" t="s">
        <v>29</v>
      </c>
    </row>
    <row r="2015" spans="1:19" x14ac:dyDescent="0.3">
      <c r="A2015" t="s">
        <v>2085</v>
      </c>
      <c r="B2015">
        <v>23</v>
      </c>
      <c r="C2015" t="s">
        <v>31</v>
      </c>
      <c r="D2015" t="s">
        <v>79</v>
      </c>
      <c r="E2015" s="1">
        <v>45670</v>
      </c>
      <c r="F2015" s="3">
        <v>45675</v>
      </c>
      <c r="G2015" t="s">
        <v>67</v>
      </c>
      <c r="H2015" t="s">
        <v>42</v>
      </c>
      <c r="I2015" t="s">
        <v>43</v>
      </c>
      <c r="J2015">
        <v>3364.52</v>
      </c>
      <c r="K2015">
        <v>5</v>
      </c>
      <c r="L2015" t="s">
        <v>36</v>
      </c>
      <c r="M2015" t="s">
        <v>25</v>
      </c>
      <c r="N2015" t="s">
        <v>44</v>
      </c>
      <c r="O2015" t="s">
        <v>56</v>
      </c>
      <c r="P2015" t="s">
        <v>45</v>
      </c>
      <c r="Q2015">
        <v>2</v>
      </c>
      <c r="R2015">
        <v>721.06</v>
      </c>
      <c r="S2015" t="s">
        <v>29</v>
      </c>
    </row>
    <row r="2016" spans="1:19" x14ac:dyDescent="0.3">
      <c r="A2016" t="s">
        <v>2086</v>
      </c>
      <c r="B2016">
        <v>86</v>
      </c>
      <c r="C2016" t="s">
        <v>19</v>
      </c>
      <c r="D2016" t="s">
        <v>32</v>
      </c>
      <c r="E2016" s="1">
        <v>45353</v>
      </c>
      <c r="F2016" s="3">
        <v>45364</v>
      </c>
      <c r="G2016" t="s">
        <v>62</v>
      </c>
      <c r="H2016" t="s">
        <v>63</v>
      </c>
      <c r="I2016" t="s">
        <v>81</v>
      </c>
      <c r="J2016">
        <v>7155.58</v>
      </c>
      <c r="K2016">
        <v>11</v>
      </c>
      <c r="L2016" t="s">
        <v>24</v>
      </c>
      <c r="M2016" t="s">
        <v>25</v>
      </c>
      <c r="N2016" t="s">
        <v>44</v>
      </c>
      <c r="O2016" t="s">
        <v>37</v>
      </c>
      <c r="P2016" t="s">
        <v>28</v>
      </c>
      <c r="Q2016">
        <v>9</v>
      </c>
      <c r="R2016">
        <v>1244.71</v>
      </c>
      <c r="S2016" t="s">
        <v>29</v>
      </c>
    </row>
    <row r="2017" spans="1:19" x14ac:dyDescent="0.3">
      <c r="A2017" t="s">
        <v>2087</v>
      </c>
      <c r="B2017">
        <v>72</v>
      </c>
      <c r="C2017" t="s">
        <v>19</v>
      </c>
      <c r="D2017" t="s">
        <v>66</v>
      </c>
      <c r="E2017" s="1">
        <v>45081</v>
      </c>
      <c r="F2017" s="3">
        <v>45091</v>
      </c>
      <c r="G2017" t="s">
        <v>62</v>
      </c>
      <c r="H2017" t="s">
        <v>63</v>
      </c>
      <c r="I2017" t="s">
        <v>83</v>
      </c>
      <c r="J2017">
        <v>9364.9699999999993</v>
      </c>
      <c r="K2017">
        <v>10</v>
      </c>
      <c r="L2017" t="s">
        <v>24</v>
      </c>
      <c r="M2017" t="s">
        <v>101</v>
      </c>
      <c r="N2017" t="s">
        <v>44</v>
      </c>
      <c r="O2017" t="s">
        <v>56</v>
      </c>
      <c r="P2017" t="s">
        <v>50</v>
      </c>
      <c r="Q2017">
        <v>14</v>
      </c>
      <c r="R2017">
        <v>3592.05</v>
      </c>
      <c r="S2017" t="s">
        <v>29</v>
      </c>
    </row>
    <row r="2018" spans="1:19" x14ac:dyDescent="0.3">
      <c r="A2018" t="s">
        <v>2088</v>
      </c>
      <c r="B2018">
        <v>20</v>
      </c>
      <c r="C2018" t="s">
        <v>31</v>
      </c>
      <c r="D2018" t="s">
        <v>47</v>
      </c>
      <c r="E2018" s="1">
        <v>45704</v>
      </c>
      <c r="F2018" s="3">
        <v>45705</v>
      </c>
      <c r="G2018" t="s">
        <v>74</v>
      </c>
      <c r="H2018" t="s">
        <v>75</v>
      </c>
      <c r="I2018" t="s">
        <v>35</v>
      </c>
      <c r="J2018">
        <v>2788.73</v>
      </c>
      <c r="K2018">
        <v>1</v>
      </c>
      <c r="L2018" t="s">
        <v>36</v>
      </c>
      <c r="M2018" t="s">
        <v>25</v>
      </c>
      <c r="N2018" t="s">
        <v>44</v>
      </c>
      <c r="O2018" t="s">
        <v>56</v>
      </c>
      <c r="P2018" t="s">
        <v>38</v>
      </c>
      <c r="Q2018">
        <v>5</v>
      </c>
      <c r="R2018">
        <v>634.32000000000005</v>
      </c>
      <c r="S2018" t="s">
        <v>29</v>
      </c>
    </row>
    <row r="2019" spans="1:19" x14ac:dyDescent="0.3">
      <c r="A2019" t="s">
        <v>2089</v>
      </c>
      <c r="B2019">
        <v>19</v>
      </c>
      <c r="C2019" t="s">
        <v>31</v>
      </c>
      <c r="D2019" t="s">
        <v>70</v>
      </c>
      <c r="E2019" s="1">
        <v>45059</v>
      </c>
      <c r="F2019" s="3">
        <v>45079</v>
      </c>
      <c r="G2019" t="s">
        <v>21</v>
      </c>
      <c r="H2019" t="s">
        <v>22</v>
      </c>
      <c r="I2019" t="s">
        <v>54</v>
      </c>
      <c r="J2019">
        <v>16757.82</v>
      </c>
      <c r="K2019">
        <v>20</v>
      </c>
      <c r="L2019" t="s">
        <v>24</v>
      </c>
      <c r="M2019" t="s">
        <v>25</v>
      </c>
      <c r="N2019" t="s">
        <v>55</v>
      </c>
      <c r="O2019" t="s">
        <v>49</v>
      </c>
      <c r="P2019" t="s">
        <v>50</v>
      </c>
      <c r="Q2019">
        <v>8</v>
      </c>
      <c r="R2019">
        <v>2733.63</v>
      </c>
      <c r="S2019" t="s">
        <v>29</v>
      </c>
    </row>
    <row r="2020" spans="1:19" x14ac:dyDescent="0.3">
      <c r="A2020" t="s">
        <v>2090</v>
      </c>
      <c r="B2020">
        <v>55</v>
      </c>
      <c r="C2020" t="s">
        <v>31</v>
      </c>
      <c r="D2020" t="s">
        <v>89</v>
      </c>
      <c r="E2020" s="1">
        <v>45842</v>
      </c>
      <c r="F2020" s="3">
        <v>45859</v>
      </c>
      <c r="G2020" t="s">
        <v>48</v>
      </c>
      <c r="H2020" t="s">
        <v>22</v>
      </c>
      <c r="I2020" t="s">
        <v>43</v>
      </c>
      <c r="J2020">
        <v>7414.75</v>
      </c>
      <c r="K2020">
        <v>17</v>
      </c>
      <c r="L2020" t="s">
        <v>24</v>
      </c>
      <c r="M2020" t="s">
        <v>25</v>
      </c>
      <c r="N2020" t="s">
        <v>26</v>
      </c>
      <c r="O2020" t="s">
        <v>37</v>
      </c>
      <c r="P2020" t="s">
        <v>28</v>
      </c>
      <c r="Q2020">
        <v>8</v>
      </c>
      <c r="R2020">
        <v>1937.66</v>
      </c>
      <c r="S2020" t="s">
        <v>29</v>
      </c>
    </row>
    <row r="2021" spans="1:19" x14ac:dyDescent="0.3">
      <c r="A2021" t="s">
        <v>2091</v>
      </c>
      <c r="B2021">
        <v>73</v>
      </c>
      <c r="C2021" t="s">
        <v>19</v>
      </c>
      <c r="D2021" t="s">
        <v>47</v>
      </c>
      <c r="E2021" s="1">
        <v>45208</v>
      </c>
      <c r="F2021" s="3">
        <v>45210</v>
      </c>
      <c r="G2021" t="s">
        <v>71</v>
      </c>
      <c r="H2021" t="s">
        <v>72</v>
      </c>
      <c r="I2021" t="s">
        <v>43</v>
      </c>
      <c r="J2021">
        <v>2952.12</v>
      </c>
      <c r="K2021">
        <v>2</v>
      </c>
      <c r="L2021" t="s">
        <v>24</v>
      </c>
      <c r="M2021" t="s">
        <v>25</v>
      </c>
      <c r="N2021" t="s">
        <v>44</v>
      </c>
      <c r="O2021" t="s">
        <v>56</v>
      </c>
      <c r="P2021" t="s">
        <v>28</v>
      </c>
      <c r="Q2021">
        <v>5</v>
      </c>
      <c r="R2021">
        <v>971.92</v>
      </c>
      <c r="S2021" t="s">
        <v>29</v>
      </c>
    </row>
    <row r="2022" spans="1:19" x14ac:dyDescent="0.3">
      <c r="A2022" t="s">
        <v>2092</v>
      </c>
      <c r="B2022">
        <v>45</v>
      </c>
      <c r="C2022" t="s">
        <v>19</v>
      </c>
      <c r="D2022" t="s">
        <v>32</v>
      </c>
      <c r="E2022" s="1">
        <v>45547</v>
      </c>
      <c r="F2022" s="3">
        <v>45563</v>
      </c>
      <c r="G2022" t="s">
        <v>74</v>
      </c>
      <c r="H2022" t="s">
        <v>75</v>
      </c>
      <c r="I2022" t="s">
        <v>81</v>
      </c>
      <c r="J2022">
        <v>10881.66</v>
      </c>
      <c r="K2022">
        <v>16</v>
      </c>
      <c r="L2022" t="s">
        <v>24</v>
      </c>
      <c r="M2022" t="s">
        <v>25</v>
      </c>
      <c r="N2022" t="s">
        <v>55</v>
      </c>
      <c r="O2022" t="s">
        <v>27</v>
      </c>
      <c r="P2022" t="s">
        <v>28</v>
      </c>
      <c r="Q2022">
        <v>7</v>
      </c>
      <c r="R2022">
        <v>3654.58</v>
      </c>
      <c r="S2022" t="s">
        <v>29</v>
      </c>
    </row>
    <row r="2023" spans="1:19" x14ac:dyDescent="0.3">
      <c r="A2023" t="s">
        <v>2093</v>
      </c>
      <c r="B2023">
        <v>52</v>
      </c>
      <c r="C2023" t="s">
        <v>31</v>
      </c>
      <c r="D2023" t="s">
        <v>20</v>
      </c>
      <c r="E2023" s="1">
        <v>45051</v>
      </c>
      <c r="F2023" s="3">
        <v>45064</v>
      </c>
      <c r="G2023" t="s">
        <v>48</v>
      </c>
      <c r="H2023" t="s">
        <v>22</v>
      </c>
      <c r="I2023" t="s">
        <v>58</v>
      </c>
      <c r="J2023">
        <v>8997.9699999999993</v>
      </c>
      <c r="K2023">
        <v>13</v>
      </c>
      <c r="L2023" t="s">
        <v>36</v>
      </c>
      <c r="M2023" t="s">
        <v>25</v>
      </c>
      <c r="N2023" t="s">
        <v>44</v>
      </c>
      <c r="O2023" t="s">
        <v>56</v>
      </c>
      <c r="P2023" t="s">
        <v>28</v>
      </c>
      <c r="Q2023">
        <v>4</v>
      </c>
      <c r="R2023">
        <v>1545.65</v>
      </c>
      <c r="S2023" t="s">
        <v>29</v>
      </c>
    </row>
    <row r="2024" spans="1:19" x14ac:dyDescent="0.3">
      <c r="A2024" t="s">
        <v>2094</v>
      </c>
      <c r="B2024">
        <v>62</v>
      </c>
      <c r="C2024" t="s">
        <v>19</v>
      </c>
      <c r="D2024" t="s">
        <v>79</v>
      </c>
      <c r="E2024" s="1">
        <v>45787</v>
      </c>
      <c r="F2024" s="3">
        <v>45797</v>
      </c>
      <c r="G2024" t="s">
        <v>41</v>
      </c>
      <c r="H2024" t="s">
        <v>42</v>
      </c>
      <c r="I2024" t="s">
        <v>91</v>
      </c>
      <c r="J2024">
        <v>5073.18</v>
      </c>
      <c r="K2024">
        <v>10</v>
      </c>
      <c r="L2024" t="s">
        <v>36</v>
      </c>
      <c r="M2024" t="s">
        <v>25</v>
      </c>
      <c r="N2024" t="s">
        <v>26</v>
      </c>
      <c r="O2024" t="s">
        <v>56</v>
      </c>
      <c r="P2024" t="s">
        <v>28</v>
      </c>
      <c r="Q2024">
        <v>7</v>
      </c>
      <c r="R2024">
        <v>1054.19</v>
      </c>
      <c r="S2024" t="s">
        <v>29</v>
      </c>
    </row>
    <row r="2025" spans="1:19" x14ac:dyDescent="0.3">
      <c r="A2025" t="s">
        <v>2095</v>
      </c>
      <c r="B2025">
        <v>35</v>
      </c>
      <c r="C2025" t="s">
        <v>19</v>
      </c>
      <c r="D2025" t="s">
        <v>79</v>
      </c>
      <c r="E2025" s="1">
        <v>45488</v>
      </c>
      <c r="F2025" s="3">
        <v>45489</v>
      </c>
      <c r="G2025" t="s">
        <v>48</v>
      </c>
      <c r="H2025" t="s">
        <v>22</v>
      </c>
      <c r="I2025" t="s">
        <v>91</v>
      </c>
      <c r="J2025">
        <v>1719.11</v>
      </c>
      <c r="K2025">
        <v>1</v>
      </c>
      <c r="L2025" t="s">
        <v>36</v>
      </c>
      <c r="M2025" t="s">
        <v>25</v>
      </c>
      <c r="N2025" t="s">
        <v>44</v>
      </c>
      <c r="O2025" t="s">
        <v>56</v>
      </c>
      <c r="P2025" t="s">
        <v>38</v>
      </c>
      <c r="Q2025">
        <v>8</v>
      </c>
      <c r="R2025">
        <v>531.38</v>
      </c>
      <c r="S2025" t="s">
        <v>29</v>
      </c>
    </row>
    <row r="2026" spans="1:19" x14ac:dyDescent="0.3">
      <c r="A2026" t="s">
        <v>2096</v>
      </c>
      <c r="B2026">
        <v>39</v>
      </c>
      <c r="C2026" t="s">
        <v>31</v>
      </c>
      <c r="D2026" t="s">
        <v>70</v>
      </c>
      <c r="E2026" s="1">
        <v>45048</v>
      </c>
      <c r="F2026" s="3">
        <v>45058</v>
      </c>
      <c r="G2026" t="s">
        <v>93</v>
      </c>
      <c r="H2026" t="s">
        <v>72</v>
      </c>
      <c r="I2026" t="s">
        <v>91</v>
      </c>
      <c r="J2026">
        <v>1944.48</v>
      </c>
      <c r="K2026">
        <v>10</v>
      </c>
      <c r="L2026" t="s">
        <v>36</v>
      </c>
      <c r="M2026" t="s">
        <v>25</v>
      </c>
      <c r="N2026" t="s">
        <v>26</v>
      </c>
      <c r="O2026" t="s">
        <v>27</v>
      </c>
      <c r="P2026" t="s">
        <v>28</v>
      </c>
      <c r="Q2026">
        <v>6</v>
      </c>
      <c r="R2026">
        <v>554.37</v>
      </c>
      <c r="S2026" t="s">
        <v>29</v>
      </c>
    </row>
    <row r="2027" spans="1:19" x14ac:dyDescent="0.3">
      <c r="A2027" t="s">
        <v>2097</v>
      </c>
      <c r="B2027">
        <v>84</v>
      </c>
      <c r="C2027" t="s">
        <v>31</v>
      </c>
      <c r="D2027" t="s">
        <v>70</v>
      </c>
      <c r="E2027" s="1">
        <v>45148</v>
      </c>
      <c r="F2027" s="3">
        <v>45158</v>
      </c>
      <c r="G2027" t="s">
        <v>62</v>
      </c>
      <c r="H2027" t="s">
        <v>63</v>
      </c>
      <c r="I2027" t="s">
        <v>91</v>
      </c>
      <c r="J2027">
        <v>9454.7000000000007</v>
      </c>
      <c r="K2027">
        <v>10</v>
      </c>
      <c r="L2027" t="s">
        <v>24</v>
      </c>
      <c r="M2027" t="s">
        <v>25</v>
      </c>
      <c r="N2027" t="s">
        <v>44</v>
      </c>
      <c r="O2027" t="s">
        <v>49</v>
      </c>
      <c r="P2027" t="s">
        <v>45</v>
      </c>
      <c r="Q2027">
        <v>13</v>
      </c>
      <c r="R2027">
        <v>1718.9</v>
      </c>
      <c r="S2027" t="s">
        <v>29</v>
      </c>
    </row>
    <row r="2028" spans="1:19" x14ac:dyDescent="0.3">
      <c r="A2028" t="s">
        <v>2098</v>
      </c>
      <c r="B2028">
        <v>46</v>
      </c>
      <c r="C2028" t="s">
        <v>19</v>
      </c>
      <c r="D2028" t="s">
        <v>89</v>
      </c>
      <c r="E2028" s="1">
        <v>45771</v>
      </c>
      <c r="F2028" s="3">
        <v>45778</v>
      </c>
      <c r="G2028" t="s">
        <v>67</v>
      </c>
      <c r="H2028" t="s">
        <v>42</v>
      </c>
      <c r="I2028" t="s">
        <v>23</v>
      </c>
      <c r="J2028">
        <v>4019.65</v>
      </c>
      <c r="K2028">
        <v>7</v>
      </c>
      <c r="L2028" t="s">
        <v>24</v>
      </c>
      <c r="M2028" t="s">
        <v>25</v>
      </c>
      <c r="N2028" t="s">
        <v>44</v>
      </c>
      <c r="O2028" t="s">
        <v>37</v>
      </c>
      <c r="P2028" t="s">
        <v>45</v>
      </c>
      <c r="Q2028">
        <v>6</v>
      </c>
      <c r="R2028">
        <v>1228.31</v>
      </c>
      <c r="S2028" t="s">
        <v>29</v>
      </c>
    </row>
    <row r="2029" spans="1:19" x14ac:dyDescent="0.3">
      <c r="A2029" t="s">
        <v>2099</v>
      </c>
      <c r="B2029">
        <v>84</v>
      </c>
      <c r="C2029" t="s">
        <v>31</v>
      </c>
      <c r="D2029" t="s">
        <v>61</v>
      </c>
      <c r="E2029" s="1">
        <v>45672</v>
      </c>
      <c r="F2029" s="3">
        <v>45690</v>
      </c>
      <c r="G2029" t="s">
        <v>48</v>
      </c>
      <c r="H2029" t="s">
        <v>22</v>
      </c>
      <c r="I2029" t="s">
        <v>91</v>
      </c>
      <c r="J2029">
        <v>10753.33</v>
      </c>
      <c r="K2029">
        <v>18</v>
      </c>
      <c r="L2029" t="s">
        <v>24</v>
      </c>
      <c r="M2029" t="s">
        <v>25</v>
      </c>
      <c r="N2029" t="s">
        <v>55</v>
      </c>
      <c r="O2029" t="s">
        <v>37</v>
      </c>
      <c r="P2029" t="s">
        <v>28</v>
      </c>
      <c r="Q2029">
        <v>2</v>
      </c>
      <c r="R2029">
        <v>1646.78</v>
      </c>
      <c r="S2029" t="s">
        <v>29</v>
      </c>
    </row>
    <row r="2030" spans="1:19" x14ac:dyDescent="0.3">
      <c r="A2030" t="s">
        <v>2100</v>
      </c>
      <c r="B2030">
        <v>86</v>
      </c>
      <c r="C2030" t="s">
        <v>31</v>
      </c>
      <c r="D2030" t="s">
        <v>20</v>
      </c>
      <c r="E2030" s="1">
        <v>45028</v>
      </c>
      <c r="F2030" s="3">
        <v>45047</v>
      </c>
      <c r="G2030" t="s">
        <v>41</v>
      </c>
      <c r="H2030" t="s">
        <v>42</v>
      </c>
      <c r="I2030" t="s">
        <v>81</v>
      </c>
      <c r="J2030">
        <v>6146.83</v>
      </c>
      <c r="K2030">
        <v>19</v>
      </c>
      <c r="L2030" t="s">
        <v>24</v>
      </c>
      <c r="M2030" t="s">
        <v>59</v>
      </c>
      <c r="N2030" t="s">
        <v>44</v>
      </c>
      <c r="O2030" t="s">
        <v>37</v>
      </c>
      <c r="P2030" t="s">
        <v>28</v>
      </c>
      <c r="Q2030">
        <v>4</v>
      </c>
      <c r="R2030">
        <v>1973.08</v>
      </c>
      <c r="S2030" t="s">
        <v>29</v>
      </c>
    </row>
    <row r="2031" spans="1:19" x14ac:dyDescent="0.3">
      <c r="A2031" t="s">
        <v>2101</v>
      </c>
      <c r="B2031">
        <v>77</v>
      </c>
      <c r="C2031" t="s">
        <v>31</v>
      </c>
      <c r="D2031" t="s">
        <v>20</v>
      </c>
      <c r="E2031" s="1">
        <v>45608</v>
      </c>
      <c r="F2031" s="3">
        <v>45628</v>
      </c>
      <c r="G2031" t="s">
        <v>41</v>
      </c>
      <c r="H2031" t="s">
        <v>42</v>
      </c>
      <c r="I2031" t="s">
        <v>23</v>
      </c>
      <c r="J2031">
        <v>6183.55</v>
      </c>
      <c r="K2031">
        <v>20</v>
      </c>
      <c r="L2031" t="s">
        <v>24</v>
      </c>
      <c r="M2031" t="s">
        <v>25</v>
      </c>
      <c r="N2031" t="s">
        <v>44</v>
      </c>
      <c r="O2031" t="s">
        <v>56</v>
      </c>
      <c r="P2031" t="s">
        <v>28</v>
      </c>
      <c r="Q2031">
        <v>15</v>
      </c>
      <c r="R2031">
        <v>1347.79</v>
      </c>
      <c r="S2031" t="s">
        <v>39</v>
      </c>
    </row>
    <row r="2032" spans="1:19" x14ac:dyDescent="0.3">
      <c r="A2032" t="s">
        <v>2102</v>
      </c>
      <c r="B2032">
        <v>60</v>
      </c>
      <c r="C2032" t="s">
        <v>31</v>
      </c>
      <c r="D2032" t="s">
        <v>70</v>
      </c>
      <c r="E2032" s="1">
        <v>45532</v>
      </c>
      <c r="F2032" s="3">
        <v>45543</v>
      </c>
      <c r="G2032" t="s">
        <v>71</v>
      </c>
      <c r="H2032" t="s">
        <v>72</v>
      </c>
      <c r="I2032" t="s">
        <v>43</v>
      </c>
      <c r="J2032">
        <v>4048.28</v>
      </c>
      <c r="K2032">
        <v>11</v>
      </c>
      <c r="L2032" t="s">
        <v>36</v>
      </c>
      <c r="M2032" t="s">
        <v>59</v>
      </c>
      <c r="N2032" t="s">
        <v>55</v>
      </c>
      <c r="O2032" t="s">
        <v>56</v>
      </c>
      <c r="P2032" t="s">
        <v>28</v>
      </c>
      <c r="Q2032">
        <v>8</v>
      </c>
      <c r="R2032">
        <v>1423.13</v>
      </c>
      <c r="S2032" t="s">
        <v>29</v>
      </c>
    </row>
    <row r="2033" spans="1:19" x14ac:dyDescent="0.3">
      <c r="A2033" t="s">
        <v>2103</v>
      </c>
      <c r="B2033">
        <v>39</v>
      </c>
      <c r="C2033" t="s">
        <v>19</v>
      </c>
      <c r="D2033" t="s">
        <v>89</v>
      </c>
      <c r="E2033" s="1">
        <v>45089</v>
      </c>
      <c r="F2033" s="3">
        <v>45099</v>
      </c>
      <c r="G2033" t="s">
        <v>52</v>
      </c>
      <c r="H2033" t="s">
        <v>53</v>
      </c>
      <c r="I2033" t="s">
        <v>23</v>
      </c>
      <c r="J2033">
        <v>4167.82</v>
      </c>
      <c r="K2033">
        <v>10</v>
      </c>
      <c r="L2033" t="s">
        <v>24</v>
      </c>
      <c r="M2033" t="s">
        <v>25</v>
      </c>
      <c r="N2033" t="s">
        <v>55</v>
      </c>
      <c r="O2033" t="s">
        <v>56</v>
      </c>
      <c r="P2033" t="s">
        <v>45</v>
      </c>
      <c r="Q2033">
        <v>1</v>
      </c>
      <c r="R2033">
        <v>1137.8599999999999</v>
      </c>
      <c r="S2033" t="s">
        <v>39</v>
      </c>
    </row>
    <row r="2034" spans="1:19" x14ac:dyDescent="0.3">
      <c r="A2034" t="s">
        <v>2104</v>
      </c>
      <c r="B2034">
        <v>44</v>
      </c>
      <c r="C2034" t="s">
        <v>19</v>
      </c>
      <c r="D2034" t="s">
        <v>79</v>
      </c>
      <c r="E2034" s="1">
        <v>45752</v>
      </c>
      <c r="F2034" s="3">
        <v>45762</v>
      </c>
      <c r="G2034" t="s">
        <v>71</v>
      </c>
      <c r="H2034" t="s">
        <v>72</v>
      </c>
      <c r="I2034" t="s">
        <v>81</v>
      </c>
      <c r="J2034">
        <v>7191.63</v>
      </c>
      <c r="K2034">
        <v>10</v>
      </c>
      <c r="L2034" t="s">
        <v>36</v>
      </c>
      <c r="M2034" t="s">
        <v>25</v>
      </c>
      <c r="N2034" t="s">
        <v>55</v>
      </c>
      <c r="O2034" t="s">
        <v>56</v>
      </c>
      <c r="P2034" t="s">
        <v>45</v>
      </c>
      <c r="Q2034">
        <v>10</v>
      </c>
      <c r="R2034">
        <v>2718.96</v>
      </c>
      <c r="S2034" t="s">
        <v>29</v>
      </c>
    </row>
    <row r="2035" spans="1:19" x14ac:dyDescent="0.3">
      <c r="A2035" t="s">
        <v>2105</v>
      </c>
      <c r="B2035">
        <v>76</v>
      </c>
      <c r="C2035" t="s">
        <v>19</v>
      </c>
      <c r="D2035" t="s">
        <v>32</v>
      </c>
      <c r="E2035" s="1">
        <v>45702</v>
      </c>
      <c r="F2035" s="3">
        <v>45712</v>
      </c>
      <c r="G2035" t="s">
        <v>93</v>
      </c>
      <c r="H2035" t="s">
        <v>72</v>
      </c>
      <c r="I2035" t="s">
        <v>35</v>
      </c>
      <c r="J2035">
        <v>2753.68</v>
      </c>
      <c r="K2035">
        <v>10</v>
      </c>
      <c r="L2035" t="s">
        <v>24</v>
      </c>
      <c r="M2035" t="s">
        <v>25</v>
      </c>
      <c r="N2035" t="s">
        <v>55</v>
      </c>
      <c r="O2035" t="s">
        <v>37</v>
      </c>
      <c r="P2035" t="s">
        <v>50</v>
      </c>
      <c r="Q2035">
        <v>7</v>
      </c>
      <c r="R2035">
        <v>676.66</v>
      </c>
      <c r="S2035" t="s">
        <v>29</v>
      </c>
    </row>
    <row r="2036" spans="1:19" x14ac:dyDescent="0.3">
      <c r="A2036" t="s">
        <v>2106</v>
      </c>
      <c r="B2036">
        <v>67</v>
      </c>
      <c r="C2036" t="s">
        <v>31</v>
      </c>
      <c r="D2036" t="s">
        <v>47</v>
      </c>
      <c r="E2036" s="1">
        <v>45617</v>
      </c>
      <c r="F2036" s="3">
        <v>45633</v>
      </c>
      <c r="G2036" t="s">
        <v>33</v>
      </c>
      <c r="H2036" t="s">
        <v>34</v>
      </c>
      <c r="I2036" t="s">
        <v>91</v>
      </c>
      <c r="J2036">
        <v>12249.29</v>
      </c>
      <c r="K2036">
        <v>16</v>
      </c>
      <c r="L2036" t="s">
        <v>24</v>
      </c>
      <c r="M2036" t="s">
        <v>59</v>
      </c>
      <c r="N2036" t="s">
        <v>55</v>
      </c>
      <c r="O2036" t="s">
        <v>27</v>
      </c>
      <c r="P2036" t="s">
        <v>50</v>
      </c>
      <c r="Q2036">
        <v>8</v>
      </c>
      <c r="R2036">
        <v>2994.17</v>
      </c>
      <c r="S2036" t="s">
        <v>29</v>
      </c>
    </row>
    <row r="2037" spans="1:19" x14ac:dyDescent="0.3">
      <c r="A2037" t="s">
        <v>2107</v>
      </c>
      <c r="B2037">
        <v>62</v>
      </c>
      <c r="C2037" t="s">
        <v>19</v>
      </c>
      <c r="D2037" t="s">
        <v>32</v>
      </c>
      <c r="E2037" s="1">
        <v>45041</v>
      </c>
      <c r="F2037" s="3">
        <v>45047</v>
      </c>
      <c r="G2037" t="s">
        <v>74</v>
      </c>
      <c r="H2037" t="s">
        <v>75</v>
      </c>
      <c r="I2037" t="s">
        <v>91</v>
      </c>
      <c r="J2037">
        <v>4115.26</v>
      </c>
      <c r="K2037">
        <v>6</v>
      </c>
      <c r="L2037" t="s">
        <v>24</v>
      </c>
      <c r="M2037" t="s">
        <v>25</v>
      </c>
      <c r="N2037" t="s">
        <v>26</v>
      </c>
      <c r="O2037" t="s">
        <v>56</v>
      </c>
      <c r="P2037" t="s">
        <v>45</v>
      </c>
      <c r="Q2037">
        <v>9</v>
      </c>
      <c r="R2037">
        <v>618.83000000000004</v>
      </c>
      <c r="S2037" t="s">
        <v>29</v>
      </c>
    </row>
    <row r="2038" spans="1:19" x14ac:dyDescent="0.3">
      <c r="A2038" t="s">
        <v>2108</v>
      </c>
      <c r="B2038">
        <v>25</v>
      </c>
      <c r="C2038" t="s">
        <v>31</v>
      </c>
      <c r="D2038" t="s">
        <v>70</v>
      </c>
      <c r="E2038" s="1">
        <v>45225</v>
      </c>
      <c r="F2038" s="3">
        <v>45239</v>
      </c>
      <c r="G2038" t="s">
        <v>67</v>
      </c>
      <c r="H2038" t="s">
        <v>42</v>
      </c>
      <c r="I2038" t="s">
        <v>54</v>
      </c>
      <c r="J2038">
        <v>12389.54</v>
      </c>
      <c r="K2038">
        <v>14</v>
      </c>
      <c r="L2038" t="s">
        <v>36</v>
      </c>
      <c r="M2038" t="s">
        <v>25</v>
      </c>
      <c r="N2038" t="s">
        <v>44</v>
      </c>
      <c r="O2038" t="s">
        <v>49</v>
      </c>
      <c r="P2038" t="s">
        <v>50</v>
      </c>
      <c r="Q2038">
        <v>1</v>
      </c>
      <c r="R2038">
        <v>3285.31</v>
      </c>
      <c r="S2038" t="s">
        <v>29</v>
      </c>
    </row>
    <row r="2039" spans="1:19" x14ac:dyDescent="0.3">
      <c r="A2039" t="s">
        <v>2109</v>
      </c>
      <c r="B2039">
        <v>42</v>
      </c>
      <c r="C2039" t="s">
        <v>19</v>
      </c>
      <c r="D2039" t="s">
        <v>70</v>
      </c>
      <c r="E2039" s="1">
        <v>45120</v>
      </c>
      <c r="F2039" s="3">
        <v>45139</v>
      </c>
      <c r="G2039" t="s">
        <v>48</v>
      </c>
      <c r="H2039" t="s">
        <v>22</v>
      </c>
      <c r="I2039" t="s">
        <v>23</v>
      </c>
      <c r="J2039">
        <v>12001.39</v>
      </c>
      <c r="K2039">
        <v>19</v>
      </c>
      <c r="L2039" t="s">
        <v>24</v>
      </c>
      <c r="M2039" t="s">
        <v>25</v>
      </c>
      <c r="N2039" t="s">
        <v>44</v>
      </c>
      <c r="O2039" t="s">
        <v>37</v>
      </c>
      <c r="P2039" t="s">
        <v>28</v>
      </c>
      <c r="Q2039">
        <v>2</v>
      </c>
      <c r="R2039">
        <v>2682.42</v>
      </c>
      <c r="S2039" t="s">
        <v>29</v>
      </c>
    </row>
    <row r="2040" spans="1:19" x14ac:dyDescent="0.3">
      <c r="A2040" t="s">
        <v>2110</v>
      </c>
      <c r="B2040">
        <v>47</v>
      </c>
      <c r="C2040" t="s">
        <v>31</v>
      </c>
      <c r="D2040" t="s">
        <v>89</v>
      </c>
      <c r="E2040" s="1">
        <v>45357</v>
      </c>
      <c r="F2040" s="3">
        <v>45364</v>
      </c>
      <c r="G2040" t="s">
        <v>67</v>
      </c>
      <c r="H2040" t="s">
        <v>42</v>
      </c>
      <c r="I2040" t="s">
        <v>58</v>
      </c>
      <c r="J2040">
        <v>3816.28</v>
      </c>
      <c r="K2040">
        <v>7</v>
      </c>
      <c r="L2040" t="s">
        <v>36</v>
      </c>
      <c r="M2040" t="s">
        <v>25</v>
      </c>
      <c r="N2040" t="s">
        <v>55</v>
      </c>
      <c r="O2040" t="s">
        <v>56</v>
      </c>
      <c r="P2040" t="s">
        <v>50</v>
      </c>
      <c r="Q2040">
        <v>3</v>
      </c>
      <c r="R2040">
        <v>920.32</v>
      </c>
      <c r="S2040" t="s">
        <v>29</v>
      </c>
    </row>
    <row r="2041" spans="1:19" x14ac:dyDescent="0.3">
      <c r="A2041" t="s">
        <v>2111</v>
      </c>
      <c r="B2041">
        <v>23</v>
      </c>
      <c r="C2041" t="s">
        <v>31</v>
      </c>
      <c r="D2041" t="s">
        <v>66</v>
      </c>
      <c r="E2041" s="1">
        <v>45677</v>
      </c>
      <c r="F2041" s="3">
        <v>45691</v>
      </c>
      <c r="G2041" t="s">
        <v>41</v>
      </c>
      <c r="H2041" t="s">
        <v>42</v>
      </c>
      <c r="I2041" t="s">
        <v>58</v>
      </c>
      <c r="J2041">
        <v>10158.66</v>
      </c>
      <c r="K2041">
        <v>14</v>
      </c>
      <c r="L2041" t="s">
        <v>24</v>
      </c>
      <c r="M2041" t="s">
        <v>25</v>
      </c>
      <c r="N2041" t="s">
        <v>26</v>
      </c>
      <c r="O2041" t="s">
        <v>56</v>
      </c>
      <c r="P2041" t="s">
        <v>38</v>
      </c>
      <c r="Q2041">
        <v>8</v>
      </c>
      <c r="R2041">
        <v>2210.67</v>
      </c>
      <c r="S2041" t="s">
        <v>29</v>
      </c>
    </row>
    <row r="2042" spans="1:19" x14ac:dyDescent="0.3">
      <c r="A2042" t="s">
        <v>2112</v>
      </c>
      <c r="B2042">
        <v>77</v>
      </c>
      <c r="C2042" t="s">
        <v>19</v>
      </c>
      <c r="D2042" t="s">
        <v>70</v>
      </c>
      <c r="E2042" s="1">
        <v>45023</v>
      </c>
      <c r="F2042" s="3">
        <v>45032</v>
      </c>
      <c r="G2042" t="s">
        <v>52</v>
      </c>
      <c r="H2042" t="s">
        <v>53</v>
      </c>
      <c r="I2042" t="s">
        <v>43</v>
      </c>
      <c r="J2042">
        <v>5502.51</v>
      </c>
      <c r="K2042">
        <v>9</v>
      </c>
      <c r="L2042" t="s">
        <v>24</v>
      </c>
      <c r="M2042" t="s">
        <v>59</v>
      </c>
      <c r="N2042" t="s">
        <v>44</v>
      </c>
      <c r="O2042" t="s">
        <v>56</v>
      </c>
      <c r="P2042" t="s">
        <v>28</v>
      </c>
      <c r="Q2042">
        <v>5</v>
      </c>
      <c r="R2042">
        <v>1842.4</v>
      </c>
      <c r="S2042" t="s">
        <v>29</v>
      </c>
    </row>
    <row r="2043" spans="1:19" x14ac:dyDescent="0.3">
      <c r="A2043" t="s">
        <v>2113</v>
      </c>
      <c r="B2043">
        <v>71</v>
      </c>
      <c r="C2043" t="s">
        <v>19</v>
      </c>
      <c r="D2043" t="s">
        <v>79</v>
      </c>
      <c r="E2043" s="1">
        <v>45359</v>
      </c>
      <c r="F2043" s="3">
        <v>45388</v>
      </c>
      <c r="G2043" t="s">
        <v>93</v>
      </c>
      <c r="H2043" t="s">
        <v>72</v>
      </c>
      <c r="I2043" t="s">
        <v>23</v>
      </c>
      <c r="J2043">
        <v>13322.43</v>
      </c>
      <c r="K2043">
        <v>29</v>
      </c>
      <c r="L2043" t="s">
        <v>24</v>
      </c>
      <c r="M2043" t="s">
        <v>25</v>
      </c>
      <c r="N2043" t="s">
        <v>44</v>
      </c>
      <c r="O2043" t="s">
        <v>49</v>
      </c>
      <c r="P2043" t="s">
        <v>50</v>
      </c>
      <c r="Q2043">
        <v>9</v>
      </c>
      <c r="R2043">
        <v>2042.8</v>
      </c>
      <c r="S2043" t="s">
        <v>29</v>
      </c>
    </row>
    <row r="2044" spans="1:19" x14ac:dyDescent="0.3">
      <c r="A2044" t="s">
        <v>2114</v>
      </c>
      <c r="B2044">
        <v>78</v>
      </c>
      <c r="C2044" t="s">
        <v>31</v>
      </c>
      <c r="D2044" t="s">
        <v>61</v>
      </c>
      <c r="E2044" s="1">
        <v>45030</v>
      </c>
      <c r="F2044" s="3">
        <v>45058</v>
      </c>
      <c r="G2044" t="s">
        <v>52</v>
      </c>
      <c r="H2044" t="s">
        <v>53</v>
      </c>
      <c r="I2044" t="s">
        <v>35</v>
      </c>
      <c r="J2044">
        <v>19286.490000000002</v>
      </c>
      <c r="K2044">
        <v>28</v>
      </c>
      <c r="L2044" t="s">
        <v>24</v>
      </c>
      <c r="M2044" t="s">
        <v>25</v>
      </c>
      <c r="N2044" t="s">
        <v>44</v>
      </c>
      <c r="O2044" t="s">
        <v>49</v>
      </c>
      <c r="P2044" t="s">
        <v>38</v>
      </c>
      <c r="Q2044">
        <v>13</v>
      </c>
      <c r="R2044">
        <v>4093.33</v>
      </c>
      <c r="S2044" t="s">
        <v>29</v>
      </c>
    </row>
    <row r="2045" spans="1:19" x14ac:dyDescent="0.3">
      <c r="A2045" t="s">
        <v>2115</v>
      </c>
      <c r="B2045">
        <v>33</v>
      </c>
      <c r="C2045" t="s">
        <v>19</v>
      </c>
      <c r="D2045" t="s">
        <v>66</v>
      </c>
      <c r="E2045" s="1">
        <v>45743</v>
      </c>
      <c r="F2045" s="3">
        <v>45749</v>
      </c>
      <c r="G2045" t="s">
        <v>71</v>
      </c>
      <c r="H2045" t="s">
        <v>72</v>
      </c>
      <c r="I2045" t="s">
        <v>54</v>
      </c>
      <c r="J2045">
        <v>5700.62</v>
      </c>
      <c r="K2045">
        <v>6</v>
      </c>
      <c r="L2045" t="s">
        <v>24</v>
      </c>
      <c r="M2045" t="s">
        <v>101</v>
      </c>
      <c r="N2045" t="s">
        <v>55</v>
      </c>
      <c r="O2045" t="s">
        <v>56</v>
      </c>
      <c r="P2045" t="s">
        <v>38</v>
      </c>
      <c r="Q2045">
        <v>3</v>
      </c>
      <c r="R2045">
        <v>994.2</v>
      </c>
      <c r="S2045" t="s">
        <v>29</v>
      </c>
    </row>
    <row r="2046" spans="1:19" x14ac:dyDescent="0.3">
      <c r="A2046" t="s">
        <v>2116</v>
      </c>
      <c r="B2046">
        <v>36</v>
      </c>
      <c r="C2046" t="s">
        <v>31</v>
      </c>
      <c r="D2046" t="s">
        <v>70</v>
      </c>
      <c r="E2046" s="1">
        <v>45527</v>
      </c>
      <c r="F2046" s="3">
        <v>45534</v>
      </c>
      <c r="G2046" t="s">
        <v>41</v>
      </c>
      <c r="H2046" t="s">
        <v>42</v>
      </c>
      <c r="I2046" t="s">
        <v>81</v>
      </c>
      <c r="J2046">
        <v>5197.13</v>
      </c>
      <c r="K2046">
        <v>7</v>
      </c>
      <c r="L2046" t="s">
        <v>36</v>
      </c>
      <c r="M2046" t="s">
        <v>25</v>
      </c>
      <c r="N2046" t="s">
        <v>44</v>
      </c>
      <c r="O2046" t="s">
        <v>37</v>
      </c>
      <c r="P2046" t="s">
        <v>45</v>
      </c>
      <c r="Q2046">
        <v>5</v>
      </c>
      <c r="R2046">
        <v>1768.76</v>
      </c>
      <c r="S2046" t="s">
        <v>29</v>
      </c>
    </row>
    <row r="2047" spans="1:19" x14ac:dyDescent="0.3">
      <c r="A2047" t="s">
        <v>2117</v>
      </c>
      <c r="B2047">
        <v>51</v>
      </c>
      <c r="C2047" t="s">
        <v>31</v>
      </c>
      <c r="D2047" t="s">
        <v>70</v>
      </c>
      <c r="E2047" s="1">
        <v>45826</v>
      </c>
      <c r="F2047" s="3">
        <v>45832</v>
      </c>
      <c r="G2047" t="s">
        <v>62</v>
      </c>
      <c r="H2047" t="s">
        <v>63</v>
      </c>
      <c r="I2047" t="s">
        <v>43</v>
      </c>
      <c r="J2047">
        <v>6334.83</v>
      </c>
      <c r="K2047">
        <v>6</v>
      </c>
      <c r="L2047" t="s">
        <v>24</v>
      </c>
      <c r="M2047" t="s">
        <v>25</v>
      </c>
      <c r="N2047" t="s">
        <v>44</v>
      </c>
      <c r="O2047" t="s">
        <v>56</v>
      </c>
      <c r="P2047" t="s">
        <v>45</v>
      </c>
      <c r="Q2047">
        <v>4</v>
      </c>
      <c r="R2047">
        <v>1003.21</v>
      </c>
      <c r="S2047" t="s">
        <v>29</v>
      </c>
    </row>
    <row r="2048" spans="1:19" x14ac:dyDescent="0.3">
      <c r="A2048" t="s">
        <v>2118</v>
      </c>
      <c r="B2048">
        <v>33</v>
      </c>
      <c r="C2048" t="s">
        <v>19</v>
      </c>
      <c r="D2048" t="s">
        <v>32</v>
      </c>
      <c r="E2048" s="1">
        <v>45487</v>
      </c>
      <c r="F2048" s="3">
        <v>45490</v>
      </c>
      <c r="G2048" t="s">
        <v>33</v>
      </c>
      <c r="H2048" t="s">
        <v>34</v>
      </c>
      <c r="I2048" t="s">
        <v>58</v>
      </c>
      <c r="J2048">
        <v>1009.95</v>
      </c>
      <c r="K2048">
        <v>3</v>
      </c>
      <c r="L2048" t="s">
        <v>24</v>
      </c>
      <c r="M2048" t="s">
        <v>25</v>
      </c>
      <c r="N2048" t="s">
        <v>55</v>
      </c>
      <c r="O2048" t="s">
        <v>37</v>
      </c>
      <c r="P2048" t="s">
        <v>38</v>
      </c>
      <c r="Q2048">
        <v>14</v>
      </c>
      <c r="R2048">
        <v>236.84</v>
      </c>
      <c r="S2048" t="s">
        <v>29</v>
      </c>
    </row>
    <row r="2049" spans="1:19" x14ac:dyDescent="0.3">
      <c r="A2049" t="s">
        <v>2119</v>
      </c>
      <c r="B2049">
        <v>41</v>
      </c>
      <c r="C2049" t="s">
        <v>31</v>
      </c>
      <c r="D2049" t="s">
        <v>32</v>
      </c>
      <c r="E2049" s="1">
        <v>45743</v>
      </c>
      <c r="F2049" s="3">
        <v>45752</v>
      </c>
      <c r="G2049" t="s">
        <v>67</v>
      </c>
      <c r="H2049" t="s">
        <v>42</v>
      </c>
      <c r="I2049" t="s">
        <v>81</v>
      </c>
      <c r="J2049">
        <v>4927.34</v>
      </c>
      <c r="K2049">
        <v>9</v>
      </c>
      <c r="L2049" t="s">
        <v>24</v>
      </c>
      <c r="M2049" t="s">
        <v>101</v>
      </c>
      <c r="N2049" t="s">
        <v>44</v>
      </c>
      <c r="O2049" t="s">
        <v>56</v>
      </c>
      <c r="P2049" t="s">
        <v>38</v>
      </c>
      <c r="Q2049">
        <v>12</v>
      </c>
      <c r="R2049">
        <v>1846.93</v>
      </c>
      <c r="S2049" t="s">
        <v>29</v>
      </c>
    </row>
    <row r="2050" spans="1:19" x14ac:dyDescent="0.3">
      <c r="A2050" t="s">
        <v>2120</v>
      </c>
      <c r="B2050">
        <v>87</v>
      </c>
      <c r="C2050" t="s">
        <v>19</v>
      </c>
      <c r="D2050" t="s">
        <v>20</v>
      </c>
      <c r="E2050" s="1">
        <v>45068</v>
      </c>
      <c r="F2050" s="3">
        <v>45084</v>
      </c>
      <c r="G2050" t="s">
        <v>74</v>
      </c>
      <c r="H2050" t="s">
        <v>75</v>
      </c>
      <c r="I2050" t="s">
        <v>58</v>
      </c>
      <c r="J2050">
        <v>8904.52</v>
      </c>
      <c r="K2050">
        <v>16</v>
      </c>
      <c r="L2050" t="s">
        <v>36</v>
      </c>
      <c r="M2050" t="s">
        <v>101</v>
      </c>
      <c r="N2050" t="s">
        <v>55</v>
      </c>
      <c r="O2050" t="s">
        <v>37</v>
      </c>
      <c r="P2050" t="s">
        <v>38</v>
      </c>
      <c r="Q2050">
        <v>7</v>
      </c>
      <c r="R2050">
        <v>3074.31</v>
      </c>
      <c r="S2050" t="s">
        <v>29</v>
      </c>
    </row>
    <row r="2051" spans="1:19" x14ac:dyDescent="0.3">
      <c r="A2051" t="s">
        <v>2121</v>
      </c>
      <c r="B2051">
        <v>69</v>
      </c>
      <c r="C2051" t="s">
        <v>31</v>
      </c>
      <c r="D2051" t="s">
        <v>66</v>
      </c>
      <c r="E2051" s="1">
        <v>45556</v>
      </c>
      <c r="F2051" s="3">
        <v>45576</v>
      </c>
      <c r="G2051" t="s">
        <v>41</v>
      </c>
      <c r="H2051" t="s">
        <v>42</v>
      </c>
      <c r="I2051" t="s">
        <v>58</v>
      </c>
      <c r="J2051">
        <v>8562.9599999999991</v>
      </c>
      <c r="K2051">
        <v>20</v>
      </c>
      <c r="L2051" t="s">
        <v>24</v>
      </c>
      <c r="M2051" t="s">
        <v>25</v>
      </c>
      <c r="N2051" t="s">
        <v>55</v>
      </c>
      <c r="O2051" t="s">
        <v>37</v>
      </c>
      <c r="P2051" t="s">
        <v>38</v>
      </c>
      <c r="Q2051">
        <v>2</v>
      </c>
      <c r="R2051">
        <v>1665.27</v>
      </c>
      <c r="S2051" t="s">
        <v>29</v>
      </c>
    </row>
    <row r="2052" spans="1:19" x14ac:dyDescent="0.3">
      <c r="A2052" t="s">
        <v>2122</v>
      </c>
      <c r="B2052">
        <v>25</v>
      </c>
      <c r="C2052" t="s">
        <v>19</v>
      </c>
      <c r="D2052" t="s">
        <v>70</v>
      </c>
      <c r="E2052" s="1">
        <v>44927</v>
      </c>
      <c r="F2052" s="3">
        <v>44932</v>
      </c>
      <c r="G2052" t="s">
        <v>74</v>
      </c>
      <c r="H2052" t="s">
        <v>75</v>
      </c>
      <c r="I2052" t="s">
        <v>91</v>
      </c>
      <c r="J2052">
        <v>10218.44</v>
      </c>
      <c r="K2052">
        <v>5</v>
      </c>
      <c r="L2052" t="s">
        <v>36</v>
      </c>
      <c r="M2052" t="s">
        <v>25</v>
      </c>
      <c r="N2052" t="s">
        <v>44</v>
      </c>
      <c r="O2052" t="s">
        <v>49</v>
      </c>
      <c r="P2052" t="s">
        <v>50</v>
      </c>
      <c r="Q2052">
        <v>4</v>
      </c>
      <c r="R2052">
        <v>3186.44</v>
      </c>
      <c r="S2052" t="s">
        <v>29</v>
      </c>
    </row>
    <row r="2053" spans="1:19" x14ac:dyDescent="0.3">
      <c r="A2053" t="s">
        <v>2123</v>
      </c>
      <c r="B2053">
        <v>29</v>
      </c>
      <c r="C2053" t="s">
        <v>31</v>
      </c>
      <c r="D2053" t="s">
        <v>47</v>
      </c>
      <c r="E2053" s="1">
        <v>45857</v>
      </c>
      <c r="F2053" s="3">
        <v>45866</v>
      </c>
      <c r="G2053" t="s">
        <v>52</v>
      </c>
      <c r="H2053" t="s">
        <v>53</v>
      </c>
      <c r="I2053" t="s">
        <v>91</v>
      </c>
      <c r="J2053">
        <v>4450.55</v>
      </c>
      <c r="K2053">
        <v>9</v>
      </c>
      <c r="L2053" t="s">
        <v>36</v>
      </c>
      <c r="M2053" t="s">
        <v>25</v>
      </c>
      <c r="N2053" t="s">
        <v>55</v>
      </c>
      <c r="O2053" t="s">
        <v>27</v>
      </c>
      <c r="P2053" t="s">
        <v>45</v>
      </c>
      <c r="Q2053">
        <v>5</v>
      </c>
      <c r="R2053">
        <v>1377.29</v>
      </c>
      <c r="S2053" t="s">
        <v>29</v>
      </c>
    </row>
    <row r="2054" spans="1:19" x14ac:dyDescent="0.3">
      <c r="A2054" t="s">
        <v>2124</v>
      </c>
      <c r="B2054">
        <v>24</v>
      </c>
      <c r="C2054" t="s">
        <v>19</v>
      </c>
      <c r="D2054" t="s">
        <v>70</v>
      </c>
      <c r="E2054" s="1">
        <v>45129</v>
      </c>
      <c r="F2054" s="3">
        <v>45136</v>
      </c>
      <c r="G2054" t="s">
        <v>74</v>
      </c>
      <c r="H2054" t="s">
        <v>75</v>
      </c>
      <c r="I2054" t="s">
        <v>91</v>
      </c>
      <c r="J2054">
        <v>3707.96</v>
      </c>
      <c r="K2054">
        <v>7</v>
      </c>
      <c r="L2054" t="s">
        <v>36</v>
      </c>
      <c r="M2054" t="s">
        <v>25</v>
      </c>
      <c r="N2054" t="s">
        <v>26</v>
      </c>
      <c r="O2054" t="s">
        <v>37</v>
      </c>
      <c r="P2054" t="s">
        <v>38</v>
      </c>
      <c r="Q2054">
        <v>9</v>
      </c>
      <c r="R2054">
        <v>781.45</v>
      </c>
      <c r="S2054" t="s">
        <v>29</v>
      </c>
    </row>
    <row r="2055" spans="1:19" x14ac:dyDescent="0.3">
      <c r="A2055" t="s">
        <v>2125</v>
      </c>
      <c r="B2055">
        <v>24</v>
      </c>
      <c r="C2055" t="s">
        <v>31</v>
      </c>
      <c r="D2055" t="s">
        <v>89</v>
      </c>
      <c r="E2055" s="1">
        <v>45155</v>
      </c>
      <c r="F2055" s="3">
        <v>45164</v>
      </c>
      <c r="G2055" t="s">
        <v>21</v>
      </c>
      <c r="H2055" t="s">
        <v>22</v>
      </c>
      <c r="I2055" t="s">
        <v>58</v>
      </c>
      <c r="J2055">
        <v>7136.89</v>
      </c>
      <c r="K2055">
        <v>9</v>
      </c>
      <c r="L2055" t="s">
        <v>24</v>
      </c>
      <c r="M2055" t="s">
        <v>25</v>
      </c>
      <c r="N2055" t="s">
        <v>55</v>
      </c>
      <c r="O2055" t="s">
        <v>56</v>
      </c>
      <c r="P2055" t="s">
        <v>38</v>
      </c>
      <c r="Q2055">
        <v>11</v>
      </c>
      <c r="R2055">
        <v>2133.69</v>
      </c>
      <c r="S2055" t="s">
        <v>39</v>
      </c>
    </row>
    <row r="2056" spans="1:19" x14ac:dyDescent="0.3">
      <c r="A2056" t="s">
        <v>2126</v>
      </c>
      <c r="B2056">
        <v>57</v>
      </c>
      <c r="C2056" t="s">
        <v>19</v>
      </c>
      <c r="D2056" t="s">
        <v>89</v>
      </c>
      <c r="E2056" s="1">
        <v>45878</v>
      </c>
      <c r="F2056" s="3">
        <v>45893</v>
      </c>
      <c r="G2056" t="s">
        <v>52</v>
      </c>
      <c r="H2056" t="s">
        <v>53</v>
      </c>
      <c r="I2056" t="s">
        <v>83</v>
      </c>
      <c r="J2056">
        <v>10002.23</v>
      </c>
      <c r="K2056">
        <v>15</v>
      </c>
      <c r="L2056" t="s">
        <v>24</v>
      </c>
      <c r="M2056" t="s">
        <v>25</v>
      </c>
      <c r="N2056" t="s">
        <v>26</v>
      </c>
      <c r="O2056" t="s">
        <v>37</v>
      </c>
      <c r="P2056" t="s">
        <v>28</v>
      </c>
      <c r="Q2056">
        <v>10</v>
      </c>
      <c r="R2056">
        <v>3016.93</v>
      </c>
      <c r="S2056" t="s">
        <v>39</v>
      </c>
    </row>
    <row r="2057" spans="1:19" x14ac:dyDescent="0.3">
      <c r="A2057" t="s">
        <v>2127</v>
      </c>
      <c r="B2057">
        <v>47</v>
      </c>
      <c r="C2057" t="s">
        <v>31</v>
      </c>
      <c r="D2057" t="s">
        <v>70</v>
      </c>
      <c r="E2057" s="1">
        <v>45010</v>
      </c>
      <c r="F2057" s="3">
        <v>45025</v>
      </c>
      <c r="G2057" t="s">
        <v>71</v>
      </c>
      <c r="H2057" t="s">
        <v>72</v>
      </c>
      <c r="I2057" t="s">
        <v>83</v>
      </c>
      <c r="J2057">
        <v>6339.97</v>
      </c>
      <c r="K2057">
        <v>15</v>
      </c>
      <c r="L2057" t="s">
        <v>36</v>
      </c>
      <c r="M2057" t="s">
        <v>25</v>
      </c>
      <c r="N2057" t="s">
        <v>44</v>
      </c>
      <c r="O2057" t="s">
        <v>37</v>
      </c>
      <c r="P2057" t="s">
        <v>45</v>
      </c>
      <c r="Q2057">
        <v>11</v>
      </c>
      <c r="R2057">
        <v>1392.26</v>
      </c>
      <c r="S2057" t="s">
        <v>29</v>
      </c>
    </row>
    <row r="2058" spans="1:19" x14ac:dyDescent="0.3">
      <c r="A2058" t="s">
        <v>2128</v>
      </c>
      <c r="B2058">
        <v>40</v>
      </c>
      <c r="C2058" t="s">
        <v>19</v>
      </c>
      <c r="D2058" t="s">
        <v>79</v>
      </c>
      <c r="E2058" s="1">
        <v>45704</v>
      </c>
      <c r="F2058" s="3">
        <v>45718</v>
      </c>
      <c r="G2058" t="s">
        <v>21</v>
      </c>
      <c r="H2058" t="s">
        <v>22</v>
      </c>
      <c r="I2058" t="s">
        <v>83</v>
      </c>
      <c r="J2058">
        <v>6851.6</v>
      </c>
      <c r="K2058">
        <v>14</v>
      </c>
      <c r="L2058" t="s">
        <v>36</v>
      </c>
      <c r="M2058" t="s">
        <v>25</v>
      </c>
      <c r="N2058" t="s">
        <v>44</v>
      </c>
      <c r="O2058" t="s">
        <v>56</v>
      </c>
      <c r="P2058" t="s">
        <v>28</v>
      </c>
      <c r="Q2058">
        <v>1</v>
      </c>
      <c r="R2058">
        <v>1395.28</v>
      </c>
      <c r="S2058" t="s">
        <v>29</v>
      </c>
    </row>
    <row r="2059" spans="1:19" x14ac:dyDescent="0.3">
      <c r="A2059" t="s">
        <v>2129</v>
      </c>
      <c r="B2059">
        <v>32</v>
      </c>
      <c r="C2059" t="s">
        <v>19</v>
      </c>
      <c r="D2059" t="s">
        <v>66</v>
      </c>
      <c r="E2059" s="1">
        <v>45130</v>
      </c>
      <c r="F2059" s="3">
        <v>45138</v>
      </c>
      <c r="G2059" t="s">
        <v>71</v>
      </c>
      <c r="H2059" t="s">
        <v>72</v>
      </c>
      <c r="I2059" t="s">
        <v>43</v>
      </c>
      <c r="J2059">
        <v>5528</v>
      </c>
      <c r="K2059">
        <v>8</v>
      </c>
      <c r="L2059" t="s">
        <v>24</v>
      </c>
      <c r="M2059" t="s">
        <v>25</v>
      </c>
      <c r="N2059" t="s">
        <v>55</v>
      </c>
      <c r="O2059" t="s">
        <v>27</v>
      </c>
      <c r="P2059" t="s">
        <v>45</v>
      </c>
      <c r="Q2059">
        <v>10</v>
      </c>
      <c r="R2059">
        <v>2050.1799999999998</v>
      </c>
      <c r="S2059" t="s">
        <v>29</v>
      </c>
    </row>
    <row r="2060" spans="1:19" x14ac:dyDescent="0.3">
      <c r="A2060" t="s">
        <v>2130</v>
      </c>
      <c r="B2060">
        <v>72</v>
      </c>
      <c r="C2060" t="s">
        <v>31</v>
      </c>
      <c r="D2060" t="s">
        <v>79</v>
      </c>
      <c r="E2060" s="1">
        <v>45799</v>
      </c>
      <c r="F2060" s="3">
        <v>45814</v>
      </c>
      <c r="G2060" t="s">
        <v>21</v>
      </c>
      <c r="H2060" t="s">
        <v>22</v>
      </c>
      <c r="I2060" t="s">
        <v>35</v>
      </c>
      <c r="J2060">
        <v>9150.59</v>
      </c>
      <c r="K2060">
        <v>15</v>
      </c>
      <c r="L2060" t="s">
        <v>36</v>
      </c>
      <c r="M2060" t="s">
        <v>25</v>
      </c>
      <c r="N2060" t="s">
        <v>26</v>
      </c>
      <c r="O2060" t="s">
        <v>37</v>
      </c>
      <c r="P2060" t="s">
        <v>50</v>
      </c>
      <c r="Q2060">
        <v>12</v>
      </c>
      <c r="R2060">
        <v>3528.56</v>
      </c>
      <c r="S2060" t="s">
        <v>29</v>
      </c>
    </row>
    <row r="2061" spans="1:19" x14ac:dyDescent="0.3">
      <c r="A2061" t="s">
        <v>2131</v>
      </c>
      <c r="B2061">
        <v>89</v>
      </c>
      <c r="C2061" t="s">
        <v>19</v>
      </c>
      <c r="D2061" t="s">
        <v>66</v>
      </c>
      <c r="E2061" s="1">
        <v>45746</v>
      </c>
      <c r="F2061" s="3">
        <v>45757</v>
      </c>
      <c r="G2061" t="s">
        <v>71</v>
      </c>
      <c r="H2061" t="s">
        <v>72</v>
      </c>
      <c r="I2061" t="s">
        <v>35</v>
      </c>
      <c r="J2061">
        <v>4670.62</v>
      </c>
      <c r="K2061">
        <v>11</v>
      </c>
      <c r="L2061" t="s">
        <v>36</v>
      </c>
      <c r="M2061" t="s">
        <v>25</v>
      </c>
      <c r="N2061" t="s">
        <v>26</v>
      </c>
      <c r="O2061" t="s">
        <v>37</v>
      </c>
      <c r="P2061" t="s">
        <v>28</v>
      </c>
      <c r="Q2061">
        <v>12</v>
      </c>
      <c r="R2061">
        <v>1842.95</v>
      </c>
      <c r="S2061" t="s">
        <v>29</v>
      </c>
    </row>
    <row r="2062" spans="1:19" x14ac:dyDescent="0.3">
      <c r="A2062" t="s">
        <v>2132</v>
      </c>
      <c r="B2062">
        <v>36</v>
      </c>
      <c r="C2062" t="s">
        <v>19</v>
      </c>
      <c r="D2062" t="s">
        <v>79</v>
      </c>
      <c r="E2062" s="1">
        <v>45061</v>
      </c>
      <c r="F2062" s="3">
        <v>45084</v>
      </c>
      <c r="G2062" t="s">
        <v>93</v>
      </c>
      <c r="H2062" t="s">
        <v>72</v>
      </c>
      <c r="I2062" t="s">
        <v>58</v>
      </c>
      <c r="J2062">
        <v>13003.36</v>
      </c>
      <c r="K2062">
        <v>23</v>
      </c>
      <c r="L2062" t="s">
        <v>24</v>
      </c>
      <c r="M2062" t="s">
        <v>25</v>
      </c>
      <c r="N2062" t="s">
        <v>55</v>
      </c>
      <c r="O2062" t="s">
        <v>49</v>
      </c>
      <c r="P2062" t="s">
        <v>38</v>
      </c>
      <c r="Q2062">
        <v>3</v>
      </c>
      <c r="R2062">
        <v>3010.5</v>
      </c>
      <c r="S2062" t="s">
        <v>29</v>
      </c>
    </row>
    <row r="2063" spans="1:19" x14ac:dyDescent="0.3">
      <c r="A2063" t="s">
        <v>2133</v>
      </c>
      <c r="B2063">
        <v>79</v>
      </c>
      <c r="C2063" t="s">
        <v>19</v>
      </c>
      <c r="D2063" t="s">
        <v>61</v>
      </c>
      <c r="E2063" s="1">
        <v>45351</v>
      </c>
      <c r="F2063" s="3">
        <v>45369</v>
      </c>
      <c r="G2063" t="s">
        <v>48</v>
      </c>
      <c r="H2063" t="s">
        <v>22</v>
      </c>
      <c r="I2063" t="s">
        <v>43</v>
      </c>
      <c r="J2063">
        <v>12596.45</v>
      </c>
      <c r="K2063">
        <v>18</v>
      </c>
      <c r="L2063" t="s">
        <v>36</v>
      </c>
      <c r="M2063" t="s">
        <v>25</v>
      </c>
      <c r="N2063" t="s">
        <v>55</v>
      </c>
      <c r="O2063" t="s">
        <v>27</v>
      </c>
      <c r="P2063" t="s">
        <v>45</v>
      </c>
      <c r="Q2063">
        <v>14</v>
      </c>
      <c r="R2063">
        <v>2129.17</v>
      </c>
      <c r="S2063" t="s">
        <v>29</v>
      </c>
    </row>
    <row r="2064" spans="1:19" x14ac:dyDescent="0.3">
      <c r="A2064" t="s">
        <v>2134</v>
      </c>
      <c r="B2064">
        <v>44</v>
      </c>
      <c r="C2064" t="s">
        <v>19</v>
      </c>
      <c r="D2064" t="s">
        <v>32</v>
      </c>
      <c r="E2064" s="1">
        <v>45364</v>
      </c>
      <c r="F2064" s="3">
        <v>45377</v>
      </c>
      <c r="G2064" t="s">
        <v>62</v>
      </c>
      <c r="H2064" t="s">
        <v>63</v>
      </c>
      <c r="I2064" t="s">
        <v>83</v>
      </c>
      <c r="J2064">
        <v>8711.65</v>
      </c>
      <c r="K2064">
        <v>13</v>
      </c>
      <c r="L2064" t="s">
        <v>24</v>
      </c>
      <c r="M2064" t="s">
        <v>25</v>
      </c>
      <c r="N2064" t="s">
        <v>55</v>
      </c>
      <c r="O2064" t="s">
        <v>37</v>
      </c>
      <c r="P2064" t="s">
        <v>50</v>
      </c>
      <c r="Q2064">
        <v>1</v>
      </c>
      <c r="R2064">
        <v>1891.2</v>
      </c>
      <c r="S2064" t="s">
        <v>39</v>
      </c>
    </row>
    <row r="2065" spans="1:19" x14ac:dyDescent="0.3">
      <c r="A2065" t="s">
        <v>2135</v>
      </c>
      <c r="B2065">
        <v>34</v>
      </c>
      <c r="C2065" t="s">
        <v>31</v>
      </c>
      <c r="D2065" t="s">
        <v>47</v>
      </c>
      <c r="E2065" s="1">
        <v>45325</v>
      </c>
      <c r="F2065" s="3">
        <v>45338</v>
      </c>
      <c r="G2065" t="s">
        <v>41</v>
      </c>
      <c r="H2065" t="s">
        <v>42</v>
      </c>
      <c r="I2065" t="s">
        <v>35</v>
      </c>
      <c r="J2065">
        <v>13992.08</v>
      </c>
      <c r="K2065">
        <v>13</v>
      </c>
      <c r="L2065" t="s">
        <v>36</v>
      </c>
      <c r="M2065" t="s">
        <v>25</v>
      </c>
      <c r="N2065" t="s">
        <v>55</v>
      </c>
      <c r="O2065" t="s">
        <v>49</v>
      </c>
      <c r="P2065" t="s">
        <v>45</v>
      </c>
      <c r="Q2065">
        <v>11</v>
      </c>
      <c r="R2065">
        <v>3662.68</v>
      </c>
      <c r="S2065" t="s">
        <v>29</v>
      </c>
    </row>
    <row r="2066" spans="1:19" x14ac:dyDescent="0.3">
      <c r="A2066" t="s">
        <v>2136</v>
      </c>
      <c r="B2066">
        <v>52</v>
      </c>
      <c r="C2066" t="s">
        <v>31</v>
      </c>
      <c r="D2066" t="s">
        <v>47</v>
      </c>
      <c r="E2066" s="1">
        <v>45017</v>
      </c>
      <c r="F2066" s="3">
        <v>45031</v>
      </c>
      <c r="G2066" t="s">
        <v>41</v>
      </c>
      <c r="H2066" t="s">
        <v>42</v>
      </c>
      <c r="I2066" t="s">
        <v>58</v>
      </c>
      <c r="J2066">
        <v>15023.36</v>
      </c>
      <c r="K2066">
        <v>14</v>
      </c>
      <c r="L2066" t="s">
        <v>36</v>
      </c>
      <c r="M2066" t="s">
        <v>101</v>
      </c>
      <c r="N2066" t="s">
        <v>44</v>
      </c>
      <c r="O2066" t="s">
        <v>49</v>
      </c>
      <c r="P2066" t="s">
        <v>38</v>
      </c>
      <c r="Q2066">
        <v>8</v>
      </c>
      <c r="R2066">
        <v>4036.1</v>
      </c>
      <c r="S2066" t="s">
        <v>29</v>
      </c>
    </row>
    <row r="2067" spans="1:19" x14ac:dyDescent="0.3">
      <c r="A2067" t="s">
        <v>2137</v>
      </c>
      <c r="B2067">
        <v>18</v>
      </c>
      <c r="C2067" t="s">
        <v>31</v>
      </c>
      <c r="D2067" t="s">
        <v>47</v>
      </c>
      <c r="E2067" s="1">
        <v>45786</v>
      </c>
      <c r="F2067" s="3">
        <v>45791</v>
      </c>
      <c r="G2067" t="s">
        <v>33</v>
      </c>
      <c r="H2067" t="s">
        <v>34</v>
      </c>
      <c r="I2067" t="s">
        <v>35</v>
      </c>
      <c r="J2067">
        <v>3078.02</v>
      </c>
      <c r="K2067">
        <v>5</v>
      </c>
      <c r="L2067" t="s">
        <v>24</v>
      </c>
      <c r="M2067" t="s">
        <v>25</v>
      </c>
      <c r="N2067" t="s">
        <v>26</v>
      </c>
      <c r="O2067" t="s">
        <v>27</v>
      </c>
      <c r="P2067" t="s">
        <v>45</v>
      </c>
      <c r="Q2067">
        <v>11</v>
      </c>
      <c r="R2067">
        <v>829.64</v>
      </c>
      <c r="S2067" t="s">
        <v>29</v>
      </c>
    </row>
    <row r="2068" spans="1:19" x14ac:dyDescent="0.3">
      <c r="A2068" t="s">
        <v>2138</v>
      </c>
      <c r="B2068">
        <v>54</v>
      </c>
      <c r="C2068" t="s">
        <v>19</v>
      </c>
      <c r="D2068" t="s">
        <v>70</v>
      </c>
      <c r="E2068" s="1">
        <v>45276</v>
      </c>
      <c r="F2068" s="3">
        <v>45294</v>
      </c>
      <c r="G2068" t="s">
        <v>33</v>
      </c>
      <c r="H2068" t="s">
        <v>34</v>
      </c>
      <c r="I2068" t="s">
        <v>81</v>
      </c>
      <c r="J2068">
        <v>5062.3999999999996</v>
      </c>
      <c r="K2068">
        <v>18</v>
      </c>
      <c r="L2068" t="s">
        <v>24</v>
      </c>
      <c r="M2068" t="s">
        <v>25</v>
      </c>
      <c r="N2068" t="s">
        <v>55</v>
      </c>
      <c r="O2068" t="s">
        <v>27</v>
      </c>
      <c r="P2068" t="s">
        <v>38</v>
      </c>
      <c r="Q2068">
        <v>1</v>
      </c>
      <c r="R2068">
        <v>1676.24</v>
      </c>
      <c r="S2068" t="s">
        <v>29</v>
      </c>
    </row>
    <row r="2069" spans="1:19" x14ac:dyDescent="0.3">
      <c r="A2069" t="s">
        <v>2139</v>
      </c>
      <c r="B2069">
        <v>41</v>
      </c>
      <c r="C2069" t="s">
        <v>19</v>
      </c>
      <c r="D2069" t="s">
        <v>70</v>
      </c>
      <c r="E2069" s="1">
        <v>44940</v>
      </c>
      <c r="F2069" s="3">
        <v>44954</v>
      </c>
      <c r="G2069" t="s">
        <v>41</v>
      </c>
      <c r="H2069" t="s">
        <v>42</v>
      </c>
      <c r="I2069" t="s">
        <v>23</v>
      </c>
      <c r="J2069">
        <v>8998.83</v>
      </c>
      <c r="K2069">
        <v>14</v>
      </c>
      <c r="L2069" t="s">
        <v>24</v>
      </c>
      <c r="M2069" t="s">
        <v>25</v>
      </c>
      <c r="N2069" t="s">
        <v>26</v>
      </c>
      <c r="O2069" t="s">
        <v>37</v>
      </c>
      <c r="P2069" t="s">
        <v>50</v>
      </c>
      <c r="Q2069">
        <v>11</v>
      </c>
      <c r="R2069">
        <v>3344.74</v>
      </c>
      <c r="S2069" t="s">
        <v>39</v>
      </c>
    </row>
    <row r="2070" spans="1:19" x14ac:dyDescent="0.3">
      <c r="A2070" t="s">
        <v>2140</v>
      </c>
      <c r="B2070">
        <v>52</v>
      </c>
      <c r="C2070" t="s">
        <v>19</v>
      </c>
      <c r="D2070" t="s">
        <v>32</v>
      </c>
      <c r="E2070" s="1">
        <v>44990</v>
      </c>
      <c r="F2070" s="3">
        <v>45014</v>
      </c>
      <c r="G2070" t="s">
        <v>33</v>
      </c>
      <c r="H2070" t="s">
        <v>34</v>
      </c>
      <c r="I2070" t="s">
        <v>58</v>
      </c>
      <c r="J2070">
        <v>14452.55</v>
      </c>
      <c r="K2070">
        <v>24</v>
      </c>
      <c r="L2070" t="s">
        <v>36</v>
      </c>
      <c r="M2070" t="s">
        <v>25</v>
      </c>
      <c r="N2070" t="s">
        <v>44</v>
      </c>
      <c r="O2070" t="s">
        <v>49</v>
      </c>
      <c r="P2070" t="s">
        <v>50</v>
      </c>
      <c r="Q2070">
        <v>2</v>
      </c>
      <c r="R2070">
        <v>4103.1899999999996</v>
      </c>
      <c r="S2070" t="s">
        <v>29</v>
      </c>
    </row>
    <row r="2071" spans="1:19" x14ac:dyDescent="0.3">
      <c r="A2071" t="s">
        <v>2141</v>
      </c>
      <c r="B2071">
        <v>30</v>
      </c>
      <c r="C2071" t="s">
        <v>31</v>
      </c>
      <c r="D2071" t="s">
        <v>20</v>
      </c>
      <c r="E2071" s="1">
        <v>45578</v>
      </c>
      <c r="F2071" s="3">
        <v>45579</v>
      </c>
      <c r="G2071" t="s">
        <v>67</v>
      </c>
      <c r="H2071" t="s">
        <v>42</v>
      </c>
      <c r="I2071" t="s">
        <v>91</v>
      </c>
      <c r="J2071">
        <v>2724.96</v>
      </c>
      <c r="K2071">
        <v>1</v>
      </c>
      <c r="L2071" t="s">
        <v>36</v>
      </c>
      <c r="M2071" t="s">
        <v>25</v>
      </c>
      <c r="N2071" t="s">
        <v>55</v>
      </c>
      <c r="O2071" t="s">
        <v>37</v>
      </c>
      <c r="P2071" t="s">
        <v>50</v>
      </c>
      <c r="Q2071">
        <v>13</v>
      </c>
      <c r="R2071">
        <v>892.6</v>
      </c>
      <c r="S2071" t="s">
        <v>29</v>
      </c>
    </row>
    <row r="2072" spans="1:19" x14ac:dyDescent="0.3">
      <c r="A2072" t="s">
        <v>2142</v>
      </c>
      <c r="B2072">
        <v>65</v>
      </c>
      <c r="C2072" t="s">
        <v>19</v>
      </c>
      <c r="D2072" t="s">
        <v>89</v>
      </c>
      <c r="E2072" s="1">
        <v>45026</v>
      </c>
      <c r="F2072" s="3">
        <v>45033</v>
      </c>
      <c r="G2072" t="s">
        <v>48</v>
      </c>
      <c r="H2072" t="s">
        <v>22</v>
      </c>
      <c r="I2072" t="s">
        <v>54</v>
      </c>
      <c r="J2072">
        <v>9293.83</v>
      </c>
      <c r="K2072">
        <v>7</v>
      </c>
      <c r="L2072" t="s">
        <v>24</v>
      </c>
      <c r="M2072" t="s">
        <v>25</v>
      </c>
      <c r="N2072" t="s">
        <v>44</v>
      </c>
      <c r="O2072" t="s">
        <v>49</v>
      </c>
      <c r="P2072" t="s">
        <v>38</v>
      </c>
      <c r="Q2072">
        <v>2</v>
      </c>
      <c r="R2072">
        <v>3038.52</v>
      </c>
      <c r="S2072" t="s">
        <v>29</v>
      </c>
    </row>
    <row r="2073" spans="1:19" x14ac:dyDescent="0.3">
      <c r="A2073" t="s">
        <v>2143</v>
      </c>
      <c r="B2073">
        <v>76</v>
      </c>
      <c r="C2073" t="s">
        <v>19</v>
      </c>
      <c r="D2073" t="s">
        <v>47</v>
      </c>
      <c r="E2073" s="1">
        <v>45895</v>
      </c>
      <c r="F2073" s="3">
        <v>45913</v>
      </c>
      <c r="G2073" t="s">
        <v>21</v>
      </c>
      <c r="H2073" t="s">
        <v>22</v>
      </c>
      <c r="I2073" t="s">
        <v>23</v>
      </c>
      <c r="J2073">
        <v>8527.1200000000008</v>
      </c>
      <c r="K2073">
        <v>18</v>
      </c>
      <c r="L2073" t="s">
        <v>36</v>
      </c>
      <c r="M2073" t="s">
        <v>25</v>
      </c>
      <c r="N2073" t="s">
        <v>26</v>
      </c>
      <c r="O2073" t="s">
        <v>56</v>
      </c>
      <c r="P2073" t="s">
        <v>45</v>
      </c>
      <c r="Q2073">
        <v>5</v>
      </c>
      <c r="R2073">
        <v>2586.85</v>
      </c>
      <c r="S2073" t="s">
        <v>29</v>
      </c>
    </row>
    <row r="2074" spans="1:19" x14ac:dyDescent="0.3">
      <c r="A2074" t="s">
        <v>2144</v>
      </c>
      <c r="B2074">
        <v>19</v>
      </c>
      <c r="C2074" t="s">
        <v>19</v>
      </c>
      <c r="D2074" t="s">
        <v>20</v>
      </c>
      <c r="E2074" s="1">
        <v>45551</v>
      </c>
      <c r="F2074" s="3">
        <v>45552</v>
      </c>
      <c r="G2074" t="s">
        <v>52</v>
      </c>
      <c r="H2074" t="s">
        <v>53</v>
      </c>
      <c r="I2074" t="s">
        <v>91</v>
      </c>
      <c r="J2074">
        <v>2974.89</v>
      </c>
      <c r="K2074">
        <v>1</v>
      </c>
      <c r="L2074" t="s">
        <v>36</v>
      </c>
      <c r="M2074" t="s">
        <v>76</v>
      </c>
      <c r="N2074" t="s">
        <v>55</v>
      </c>
      <c r="O2074" t="s">
        <v>37</v>
      </c>
      <c r="P2074" t="s">
        <v>45</v>
      </c>
      <c r="Q2074">
        <v>4</v>
      </c>
      <c r="R2074">
        <v>818.9</v>
      </c>
      <c r="S2074" t="s">
        <v>39</v>
      </c>
    </row>
    <row r="2075" spans="1:19" x14ac:dyDescent="0.3">
      <c r="A2075" t="s">
        <v>2145</v>
      </c>
      <c r="B2075">
        <v>19</v>
      </c>
      <c r="C2075" t="s">
        <v>19</v>
      </c>
      <c r="D2075" t="s">
        <v>20</v>
      </c>
      <c r="E2075" s="1">
        <v>45455</v>
      </c>
      <c r="F2075" s="3">
        <v>45481</v>
      </c>
      <c r="G2075" t="s">
        <v>74</v>
      </c>
      <c r="H2075" t="s">
        <v>75</v>
      </c>
      <c r="I2075" t="s">
        <v>23</v>
      </c>
      <c r="J2075">
        <v>18874.13</v>
      </c>
      <c r="K2075">
        <v>26</v>
      </c>
      <c r="L2075" t="s">
        <v>36</v>
      </c>
      <c r="M2075" t="s">
        <v>25</v>
      </c>
      <c r="N2075" t="s">
        <v>26</v>
      </c>
      <c r="O2075" t="s">
        <v>49</v>
      </c>
      <c r="P2075" t="s">
        <v>45</v>
      </c>
      <c r="Q2075">
        <v>6</v>
      </c>
      <c r="R2075">
        <v>3257.69</v>
      </c>
      <c r="S2075" t="s">
        <v>29</v>
      </c>
    </row>
    <row r="2076" spans="1:19" x14ac:dyDescent="0.3">
      <c r="A2076" t="s">
        <v>2146</v>
      </c>
      <c r="B2076">
        <v>46</v>
      </c>
      <c r="C2076" t="s">
        <v>31</v>
      </c>
      <c r="D2076" t="s">
        <v>79</v>
      </c>
      <c r="E2076" s="1">
        <v>45564</v>
      </c>
      <c r="F2076" s="3">
        <v>45589</v>
      </c>
      <c r="G2076" t="s">
        <v>74</v>
      </c>
      <c r="H2076" t="s">
        <v>75</v>
      </c>
      <c r="I2076" t="s">
        <v>54</v>
      </c>
      <c r="J2076">
        <v>15541.13</v>
      </c>
      <c r="K2076">
        <v>25</v>
      </c>
      <c r="L2076" t="s">
        <v>36</v>
      </c>
      <c r="M2076" t="s">
        <v>25</v>
      </c>
      <c r="N2076" t="s">
        <v>44</v>
      </c>
      <c r="O2076" t="s">
        <v>49</v>
      </c>
      <c r="P2076" t="s">
        <v>38</v>
      </c>
      <c r="Q2076">
        <v>12</v>
      </c>
      <c r="R2076">
        <v>2843.99</v>
      </c>
      <c r="S2076" t="s">
        <v>29</v>
      </c>
    </row>
    <row r="2077" spans="1:19" x14ac:dyDescent="0.3">
      <c r="A2077" t="s">
        <v>2147</v>
      </c>
      <c r="B2077">
        <v>69</v>
      </c>
      <c r="C2077" t="s">
        <v>19</v>
      </c>
      <c r="D2077" t="s">
        <v>20</v>
      </c>
      <c r="E2077" s="1">
        <v>45331</v>
      </c>
      <c r="F2077" s="3">
        <v>45339</v>
      </c>
      <c r="G2077" t="s">
        <v>67</v>
      </c>
      <c r="H2077" t="s">
        <v>42</v>
      </c>
      <c r="I2077" t="s">
        <v>91</v>
      </c>
      <c r="J2077">
        <v>7843.99</v>
      </c>
      <c r="K2077">
        <v>8</v>
      </c>
      <c r="L2077" t="s">
        <v>36</v>
      </c>
      <c r="M2077" t="s">
        <v>59</v>
      </c>
      <c r="N2077" t="s">
        <v>26</v>
      </c>
      <c r="O2077" t="s">
        <v>56</v>
      </c>
      <c r="P2077" t="s">
        <v>38</v>
      </c>
      <c r="Q2077">
        <v>13</v>
      </c>
      <c r="R2077">
        <v>2110.62</v>
      </c>
      <c r="S2077" t="s">
        <v>29</v>
      </c>
    </row>
    <row r="2078" spans="1:19" x14ac:dyDescent="0.3">
      <c r="A2078" t="s">
        <v>2148</v>
      </c>
      <c r="B2078">
        <v>66</v>
      </c>
      <c r="C2078" t="s">
        <v>31</v>
      </c>
      <c r="D2078" t="s">
        <v>89</v>
      </c>
      <c r="E2078" s="1">
        <v>45074</v>
      </c>
      <c r="F2078" s="3">
        <v>45089</v>
      </c>
      <c r="G2078" t="s">
        <v>48</v>
      </c>
      <c r="H2078" t="s">
        <v>22</v>
      </c>
      <c r="I2078" t="s">
        <v>23</v>
      </c>
      <c r="J2078">
        <v>14060.66</v>
      </c>
      <c r="K2078">
        <v>15</v>
      </c>
      <c r="L2078" t="s">
        <v>24</v>
      </c>
      <c r="M2078" t="s">
        <v>25</v>
      </c>
      <c r="N2078" t="s">
        <v>26</v>
      </c>
      <c r="O2078" t="s">
        <v>49</v>
      </c>
      <c r="P2078" t="s">
        <v>38</v>
      </c>
      <c r="Q2078">
        <v>6</v>
      </c>
      <c r="R2078">
        <v>4948.5</v>
      </c>
      <c r="S2078" t="s">
        <v>29</v>
      </c>
    </row>
    <row r="2079" spans="1:19" x14ac:dyDescent="0.3">
      <c r="A2079" t="s">
        <v>2149</v>
      </c>
      <c r="B2079">
        <v>74</v>
      </c>
      <c r="C2079" t="s">
        <v>19</v>
      </c>
      <c r="D2079" t="s">
        <v>70</v>
      </c>
      <c r="E2079" s="1">
        <v>45074</v>
      </c>
      <c r="F2079" s="3">
        <v>45089</v>
      </c>
      <c r="G2079" t="s">
        <v>62</v>
      </c>
      <c r="H2079" t="s">
        <v>63</v>
      </c>
      <c r="I2079" t="s">
        <v>58</v>
      </c>
      <c r="J2079">
        <v>7543.3</v>
      </c>
      <c r="K2079">
        <v>15</v>
      </c>
      <c r="L2079" t="s">
        <v>36</v>
      </c>
      <c r="M2079" t="s">
        <v>25</v>
      </c>
      <c r="N2079" t="s">
        <v>26</v>
      </c>
      <c r="O2079" t="s">
        <v>56</v>
      </c>
      <c r="P2079" t="s">
        <v>28</v>
      </c>
      <c r="Q2079">
        <v>1</v>
      </c>
      <c r="R2079">
        <v>1213.5</v>
      </c>
      <c r="S2079" t="s">
        <v>39</v>
      </c>
    </row>
    <row r="2080" spans="1:19" x14ac:dyDescent="0.3">
      <c r="A2080" t="s">
        <v>2150</v>
      </c>
      <c r="B2080">
        <v>19</v>
      </c>
      <c r="C2080" t="s">
        <v>19</v>
      </c>
      <c r="D2080" t="s">
        <v>79</v>
      </c>
      <c r="E2080" s="1">
        <v>45590</v>
      </c>
      <c r="F2080" s="3">
        <v>45603</v>
      </c>
      <c r="G2080" t="s">
        <v>21</v>
      </c>
      <c r="H2080" t="s">
        <v>22</v>
      </c>
      <c r="I2080" t="s">
        <v>35</v>
      </c>
      <c r="J2080">
        <v>9037.82</v>
      </c>
      <c r="K2080">
        <v>13</v>
      </c>
      <c r="L2080" t="s">
        <v>24</v>
      </c>
      <c r="M2080" t="s">
        <v>59</v>
      </c>
      <c r="N2080" t="s">
        <v>26</v>
      </c>
      <c r="O2080" t="s">
        <v>56</v>
      </c>
      <c r="P2080" t="s">
        <v>45</v>
      </c>
      <c r="Q2080">
        <v>12</v>
      </c>
      <c r="R2080">
        <v>2981.13</v>
      </c>
      <c r="S2080" t="s">
        <v>29</v>
      </c>
    </row>
    <row r="2081" spans="1:19" x14ac:dyDescent="0.3">
      <c r="A2081" t="s">
        <v>2151</v>
      </c>
      <c r="B2081">
        <v>59</v>
      </c>
      <c r="C2081" t="s">
        <v>19</v>
      </c>
      <c r="D2081" t="s">
        <v>20</v>
      </c>
      <c r="E2081" s="1">
        <v>45397</v>
      </c>
      <c r="F2081" s="3">
        <v>45407</v>
      </c>
      <c r="G2081" t="s">
        <v>33</v>
      </c>
      <c r="H2081" t="s">
        <v>34</v>
      </c>
      <c r="I2081" t="s">
        <v>35</v>
      </c>
      <c r="J2081">
        <v>6309.19</v>
      </c>
      <c r="K2081">
        <v>10</v>
      </c>
      <c r="L2081" t="s">
        <v>24</v>
      </c>
      <c r="M2081" t="s">
        <v>25</v>
      </c>
      <c r="N2081" t="s">
        <v>55</v>
      </c>
      <c r="O2081" t="s">
        <v>37</v>
      </c>
      <c r="P2081" t="s">
        <v>45</v>
      </c>
      <c r="Q2081">
        <v>10</v>
      </c>
      <c r="R2081">
        <v>1901.7</v>
      </c>
      <c r="S2081" t="s">
        <v>29</v>
      </c>
    </row>
    <row r="2082" spans="1:19" x14ac:dyDescent="0.3">
      <c r="A2082" t="s">
        <v>2152</v>
      </c>
      <c r="B2082">
        <v>86</v>
      </c>
      <c r="C2082" t="s">
        <v>19</v>
      </c>
      <c r="D2082" t="s">
        <v>89</v>
      </c>
      <c r="E2082" s="1">
        <v>45315</v>
      </c>
      <c r="F2082" s="3">
        <v>45317</v>
      </c>
      <c r="G2082" t="s">
        <v>93</v>
      </c>
      <c r="H2082" t="s">
        <v>72</v>
      </c>
      <c r="I2082" t="s">
        <v>58</v>
      </c>
      <c r="J2082">
        <v>2422.1</v>
      </c>
      <c r="K2082">
        <v>2</v>
      </c>
      <c r="L2082" t="s">
        <v>36</v>
      </c>
      <c r="M2082" t="s">
        <v>59</v>
      </c>
      <c r="N2082" t="s">
        <v>26</v>
      </c>
      <c r="O2082" t="s">
        <v>27</v>
      </c>
      <c r="P2082" t="s">
        <v>50</v>
      </c>
      <c r="Q2082">
        <v>1</v>
      </c>
      <c r="R2082">
        <v>923</v>
      </c>
      <c r="S2082" t="s">
        <v>29</v>
      </c>
    </row>
    <row r="2083" spans="1:19" x14ac:dyDescent="0.3">
      <c r="A2083" t="s">
        <v>2153</v>
      </c>
      <c r="B2083">
        <v>54</v>
      </c>
      <c r="C2083" t="s">
        <v>19</v>
      </c>
      <c r="D2083" t="s">
        <v>61</v>
      </c>
      <c r="E2083" s="1">
        <v>45453</v>
      </c>
      <c r="F2083" s="3">
        <v>45461</v>
      </c>
      <c r="G2083" t="s">
        <v>62</v>
      </c>
      <c r="H2083" t="s">
        <v>63</v>
      </c>
      <c r="I2083" t="s">
        <v>81</v>
      </c>
      <c r="J2083">
        <v>3195.23</v>
      </c>
      <c r="K2083">
        <v>8</v>
      </c>
      <c r="L2083" t="s">
        <v>36</v>
      </c>
      <c r="M2083" t="s">
        <v>25</v>
      </c>
      <c r="N2083" t="s">
        <v>55</v>
      </c>
      <c r="O2083" t="s">
        <v>37</v>
      </c>
      <c r="P2083" t="s">
        <v>28</v>
      </c>
      <c r="Q2083">
        <v>3</v>
      </c>
      <c r="R2083">
        <v>623.48</v>
      </c>
      <c r="S2083" t="s">
        <v>29</v>
      </c>
    </row>
    <row r="2084" spans="1:19" x14ac:dyDescent="0.3">
      <c r="A2084" t="s">
        <v>2154</v>
      </c>
      <c r="B2084">
        <v>30</v>
      </c>
      <c r="C2084" t="s">
        <v>19</v>
      </c>
      <c r="D2084" t="s">
        <v>79</v>
      </c>
      <c r="E2084" s="1">
        <v>45028</v>
      </c>
      <c r="F2084" s="3">
        <v>45042</v>
      </c>
      <c r="G2084" t="s">
        <v>62</v>
      </c>
      <c r="H2084" t="s">
        <v>63</v>
      </c>
      <c r="I2084" t="s">
        <v>43</v>
      </c>
      <c r="J2084">
        <v>9530.4599999999991</v>
      </c>
      <c r="K2084">
        <v>14</v>
      </c>
      <c r="L2084" t="s">
        <v>24</v>
      </c>
      <c r="M2084" t="s">
        <v>101</v>
      </c>
      <c r="N2084" t="s">
        <v>26</v>
      </c>
      <c r="O2084" t="s">
        <v>27</v>
      </c>
      <c r="P2084" t="s">
        <v>28</v>
      </c>
      <c r="Q2084">
        <v>4</v>
      </c>
      <c r="R2084">
        <v>2598.0300000000002</v>
      </c>
      <c r="S2084" t="s">
        <v>29</v>
      </c>
    </row>
    <row r="2085" spans="1:19" x14ac:dyDescent="0.3">
      <c r="A2085" t="s">
        <v>2155</v>
      </c>
      <c r="B2085">
        <v>40</v>
      </c>
      <c r="C2085" t="s">
        <v>19</v>
      </c>
      <c r="D2085" t="s">
        <v>61</v>
      </c>
      <c r="E2085" s="1">
        <v>45513</v>
      </c>
      <c r="F2085" s="3">
        <v>45537</v>
      </c>
      <c r="G2085" t="s">
        <v>71</v>
      </c>
      <c r="H2085" t="s">
        <v>72</v>
      </c>
      <c r="I2085" t="s">
        <v>54</v>
      </c>
      <c r="J2085">
        <v>22872.91</v>
      </c>
      <c r="K2085">
        <v>24</v>
      </c>
      <c r="L2085" t="s">
        <v>24</v>
      </c>
      <c r="M2085" t="s">
        <v>76</v>
      </c>
      <c r="N2085" t="s">
        <v>55</v>
      </c>
      <c r="O2085" t="s">
        <v>49</v>
      </c>
      <c r="P2085" t="s">
        <v>45</v>
      </c>
      <c r="Q2085">
        <v>15</v>
      </c>
      <c r="R2085">
        <v>3810.84</v>
      </c>
      <c r="S2085" t="s">
        <v>39</v>
      </c>
    </row>
    <row r="2086" spans="1:19" x14ac:dyDescent="0.3">
      <c r="A2086" t="s">
        <v>2156</v>
      </c>
      <c r="B2086">
        <v>69</v>
      </c>
      <c r="C2086" t="s">
        <v>19</v>
      </c>
      <c r="D2086" t="s">
        <v>20</v>
      </c>
      <c r="E2086" s="1">
        <v>44984</v>
      </c>
      <c r="F2086" s="3">
        <v>44994</v>
      </c>
      <c r="G2086" t="s">
        <v>21</v>
      </c>
      <c r="H2086" t="s">
        <v>22</v>
      </c>
      <c r="I2086" t="s">
        <v>23</v>
      </c>
      <c r="J2086">
        <v>11126.75</v>
      </c>
      <c r="K2086">
        <v>10</v>
      </c>
      <c r="L2086" t="s">
        <v>24</v>
      </c>
      <c r="M2086" t="s">
        <v>59</v>
      </c>
      <c r="N2086" t="s">
        <v>26</v>
      </c>
      <c r="O2086" t="s">
        <v>49</v>
      </c>
      <c r="P2086" t="s">
        <v>28</v>
      </c>
      <c r="Q2086">
        <v>15</v>
      </c>
      <c r="R2086">
        <v>2643.18</v>
      </c>
      <c r="S2086" t="s">
        <v>39</v>
      </c>
    </row>
    <row r="2087" spans="1:19" x14ac:dyDescent="0.3">
      <c r="A2087" t="s">
        <v>2157</v>
      </c>
      <c r="B2087">
        <v>68</v>
      </c>
      <c r="C2087" t="s">
        <v>31</v>
      </c>
      <c r="D2087" t="s">
        <v>20</v>
      </c>
      <c r="E2087" s="1">
        <v>45043</v>
      </c>
      <c r="F2087" s="3">
        <v>45047</v>
      </c>
      <c r="G2087" t="s">
        <v>21</v>
      </c>
      <c r="H2087" t="s">
        <v>22</v>
      </c>
      <c r="I2087" t="s">
        <v>58</v>
      </c>
      <c r="J2087">
        <v>4097.3599999999997</v>
      </c>
      <c r="K2087">
        <v>4</v>
      </c>
      <c r="L2087" t="s">
        <v>36</v>
      </c>
      <c r="M2087" t="s">
        <v>25</v>
      </c>
      <c r="N2087" t="s">
        <v>44</v>
      </c>
      <c r="O2087" t="s">
        <v>27</v>
      </c>
      <c r="P2087" t="s">
        <v>50</v>
      </c>
      <c r="Q2087">
        <v>1</v>
      </c>
      <c r="R2087">
        <v>1125.95</v>
      </c>
      <c r="S2087" t="s">
        <v>29</v>
      </c>
    </row>
    <row r="2088" spans="1:19" x14ac:dyDescent="0.3">
      <c r="A2088" t="s">
        <v>2158</v>
      </c>
      <c r="B2088">
        <v>54</v>
      </c>
      <c r="C2088" t="s">
        <v>31</v>
      </c>
      <c r="D2088" t="s">
        <v>89</v>
      </c>
      <c r="E2088" s="1">
        <v>45770</v>
      </c>
      <c r="F2088" s="3">
        <v>45775</v>
      </c>
      <c r="G2088" t="s">
        <v>74</v>
      </c>
      <c r="H2088" t="s">
        <v>75</v>
      </c>
      <c r="I2088" t="s">
        <v>58</v>
      </c>
      <c r="J2088">
        <v>3526.43</v>
      </c>
      <c r="K2088">
        <v>5</v>
      </c>
      <c r="L2088" t="s">
        <v>36</v>
      </c>
      <c r="M2088" t="s">
        <v>25</v>
      </c>
      <c r="N2088" t="s">
        <v>26</v>
      </c>
      <c r="O2088" t="s">
        <v>37</v>
      </c>
      <c r="P2088" t="s">
        <v>38</v>
      </c>
      <c r="Q2088">
        <v>5</v>
      </c>
      <c r="R2088">
        <v>1333.05</v>
      </c>
      <c r="S2088" t="s">
        <v>29</v>
      </c>
    </row>
    <row r="2089" spans="1:19" x14ac:dyDescent="0.3">
      <c r="A2089" t="s">
        <v>2159</v>
      </c>
      <c r="B2089">
        <v>53</v>
      </c>
      <c r="C2089" t="s">
        <v>31</v>
      </c>
      <c r="D2089" t="s">
        <v>89</v>
      </c>
      <c r="E2089" s="1">
        <v>45212</v>
      </c>
      <c r="F2089" s="3">
        <v>45231</v>
      </c>
      <c r="G2089" t="s">
        <v>62</v>
      </c>
      <c r="H2089" t="s">
        <v>63</v>
      </c>
      <c r="I2089" t="s">
        <v>35</v>
      </c>
      <c r="J2089">
        <v>10048.719999999999</v>
      </c>
      <c r="K2089">
        <v>19</v>
      </c>
      <c r="L2089" t="s">
        <v>24</v>
      </c>
      <c r="M2089" t="s">
        <v>25</v>
      </c>
      <c r="N2089" t="s">
        <v>26</v>
      </c>
      <c r="O2089" t="s">
        <v>56</v>
      </c>
      <c r="P2089" t="s">
        <v>45</v>
      </c>
      <c r="Q2089">
        <v>11</v>
      </c>
      <c r="R2089">
        <v>3661.54</v>
      </c>
      <c r="S2089" t="s">
        <v>29</v>
      </c>
    </row>
    <row r="2090" spans="1:19" x14ac:dyDescent="0.3">
      <c r="A2090" t="s">
        <v>2160</v>
      </c>
      <c r="B2090">
        <v>60</v>
      </c>
      <c r="C2090" t="s">
        <v>19</v>
      </c>
      <c r="D2090" t="s">
        <v>47</v>
      </c>
      <c r="E2090" s="1">
        <v>45436</v>
      </c>
      <c r="F2090" s="3">
        <v>45459</v>
      </c>
      <c r="G2090" t="s">
        <v>21</v>
      </c>
      <c r="H2090" t="s">
        <v>22</v>
      </c>
      <c r="I2090" t="s">
        <v>54</v>
      </c>
      <c r="J2090">
        <v>14957.54</v>
      </c>
      <c r="K2090">
        <v>23</v>
      </c>
      <c r="L2090" t="s">
        <v>24</v>
      </c>
      <c r="M2090" t="s">
        <v>25</v>
      </c>
      <c r="N2090" t="s">
        <v>44</v>
      </c>
      <c r="O2090" t="s">
        <v>49</v>
      </c>
      <c r="P2090" t="s">
        <v>38</v>
      </c>
      <c r="Q2090">
        <v>4</v>
      </c>
      <c r="R2090">
        <v>3611.65</v>
      </c>
      <c r="S2090" t="s">
        <v>29</v>
      </c>
    </row>
    <row r="2091" spans="1:19" x14ac:dyDescent="0.3">
      <c r="A2091" t="s">
        <v>2161</v>
      </c>
      <c r="B2091">
        <v>22</v>
      </c>
      <c r="C2091" t="s">
        <v>19</v>
      </c>
      <c r="D2091" t="s">
        <v>61</v>
      </c>
      <c r="E2091" s="1">
        <v>45205</v>
      </c>
      <c r="F2091" s="3">
        <v>45222</v>
      </c>
      <c r="G2091" t="s">
        <v>67</v>
      </c>
      <c r="H2091" t="s">
        <v>42</v>
      </c>
      <c r="I2091" t="s">
        <v>35</v>
      </c>
      <c r="J2091">
        <v>6013.79</v>
      </c>
      <c r="K2091">
        <v>17</v>
      </c>
      <c r="L2091" t="s">
        <v>36</v>
      </c>
      <c r="M2091" t="s">
        <v>25</v>
      </c>
      <c r="N2091" t="s">
        <v>44</v>
      </c>
      <c r="O2091" t="s">
        <v>56</v>
      </c>
      <c r="P2091" t="s">
        <v>38</v>
      </c>
      <c r="Q2091">
        <v>3</v>
      </c>
      <c r="R2091">
        <v>1001.89</v>
      </c>
      <c r="S2091" t="s">
        <v>29</v>
      </c>
    </row>
    <row r="2092" spans="1:19" x14ac:dyDescent="0.3">
      <c r="A2092" t="s">
        <v>2162</v>
      </c>
      <c r="B2092">
        <v>60</v>
      </c>
      <c r="C2092" t="s">
        <v>19</v>
      </c>
      <c r="D2092" t="s">
        <v>79</v>
      </c>
      <c r="E2092" s="1">
        <v>45517</v>
      </c>
      <c r="F2092" s="3">
        <v>45520</v>
      </c>
      <c r="G2092" t="s">
        <v>21</v>
      </c>
      <c r="H2092" t="s">
        <v>22</v>
      </c>
      <c r="I2092" t="s">
        <v>23</v>
      </c>
      <c r="J2092">
        <v>3189.9</v>
      </c>
      <c r="K2092">
        <v>3</v>
      </c>
      <c r="L2092" t="s">
        <v>36</v>
      </c>
      <c r="M2092" t="s">
        <v>25</v>
      </c>
      <c r="N2092" t="s">
        <v>26</v>
      </c>
      <c r="O2092" t="s">
        <v>37</v>
      </c>
      <c r="P2092" t="s">
        <v>50</v>
      </c>
      <c r="Q2092">
        <v>2</v>
      </c>
      <c r="R2092">
        <v>884.49</v>
      </c>
      <c r="S2092" t="s">
        <v>29</v>
      </c>
    </row>
    <row r="2093" spans="1:19" x14ac:dyDescent="0.3">
      <c r="A2093" t="s">
        <v>2163</v>
      </c>
      <c r="B2093">
        <v>53</v>
      </c>
      <c r="C2093" t="s">
        <v>19</v>
      </c>
      <c r="D2093" t="s">
        <v>47</v>
      </c>
      <c r="E2093" s="1">
        <v>45129</v>
      </c>
      <c r="F2093" s="3">
        <v>45135</v>
      </c>
      <c r="G2093" t="s">
        <v>48</v>
      </c>
      <c r="H2093" t="s">
        <v>22</v>
      </c>
      <c r="I2093" t="s">
        <v>23</v>
      </c>
      <c r="J2093">
        <v>8372.15</v>
      </c>
      <c r="K2093">
        <v>6</v>
      </c>
      <c r="L2093" t="s">
        <v>24</v>
      </c>
      <c r="M2093" t="s">
        <v>25</v>
      </c>
      <c r="N2093" t="s">
        <v>44</v>
      </c>
      <c r="O2093" t="s">
        <v>49</v>
      </c>
      <c r="P2093" t="s">
        <v>45</v>
      </c>
      <c r="Q2093">
        <v>2</v>
      </c>
      <c r="R2093">
        <v>1886.85</v>
      </c>
      <c r="S2093" t="s">
        <v>29</v>
      </c>
    </row>
    <row r="2094" spans="1:19" x14ac:dyDescent="0.3">
      <c r="A2094" t="s">
        <v>2164</v>
      </c>
      <c r="B2094">
        <v>40</v>
      </c>
      <c r="C2094" t="s">
        <v>31</v>
      </c>
      <c r="D2094" t="s">
        <v>20</v>
      </c>
      <c r="E2094" s="1">
        <v>45496</v>
      </c>
      <c r="F2094" s="3">
        <v>45513</v>
      </c>
      <c r="G2094" t="s">
        <v>74</v>
      </c>
      <c r="H2094" t="s">
        <v>75</v>
      </c>
      <c r="I2094" t="s">
        <v>83</v>
      </c>
      <c r="J2094">
        <v>7253.71</v>
      </c>
      <c r="K2094">
        <v>17</v>
      </c>
      <c r="L2094" t="s">
        <v>36</v>
      </c>
      <c r="M2094" t="s">
        <v>25</v>
      </c>
      <c r="N2094" t="s">
        <v>26</v>
      </c>
      <c r="O2094" t="s">
        <v>27</v>
      </c>
      <c r="P2094" t="s">
        <v>45</v>
      </c>
      <c r="Q2094">
        <v>2</v>
      </c>
      <c r="R2094">
        <v>2103.94</v>
      </c>
      <c r="S2094" t="s">
        <v>29</v>
      </c>
    </row>
    <row r="2095" spans="1:19" x14ac:dyDescent="0.3">
      <c r="A2095" t="s">
        <v>2165</v>
      </c>
      <c r="B2095">
        <v>54</v>
      </c>
      <c r="C2095" t="s">
        <v>31</v>
      </c>
      <c r="D2095" t="s">
        <v>66</v>
      </c>
      <c r="E2095" s="1">
        <v>45746</v>
      </c>
      <c r="F2095" s="3">
        <v>45752</v>
      </c>
      <c r="G2095" t="s">
        <v>67</v>
      </c>
      <c r="H2095" t="s">
        <v>42</v>
      </c>
      <c r="I2095" t="s">
        <v>43</v>
      </c>
      <c r="J2095">
        <v>5410.78</v>
      </c>
      <c r="K2095">
        <v>6</v>
      </c>
      <c r="L2095" t="s">
        <v>36</v>
      </c>
      <c r="M2095" t="s">
        <v>25</v>
      </c>
      <c r="N2095" t="s">
        <v>44</v>
      </c>
      <c r="O2095" t="s">
        <v>27</v>
      </c>
      <c r="P2095" t="s">
        <v>45</v>
      </c>
      <c r="Q2095">
        <v>13</v>
      </c>
      <c r="R2095">
        <v>941.51</v>
      </c>
      <c r="S2095" t="s">
        <v>29</v>
      </c>
    </row>
    <row r="2096" spans="1:19" x14ac:dyDescent="0.3">
      <c r="A2096" t="s">
        <v>2166</v>
      </c>
      <c r="B2096">
        <v>22</v>
      </c>
      <c r="C2096" t="s">
        <v>19</v>
      </c>
      <c r="D2096" t="s">
        <v>79</v>
      </c>
      <c r="E2096" s="1">
        <v>45246</v>
      </c>
      <c r="F2096" s="3">
        <v>45249</v>
      </c>
      <c r="G2096" t="s">
        <v>33</v>
      </c>
      <c r="H2096" t="s">
        <v>34</v>
      </c>
      <c r="I2096" t="s">
        <v>81</v>
      </c>
      <c r="J2096">
        <v>2898.97</v>
      </c>
      <c r="K2096">
        <v>3</v>
      </c>
      <c r="L2096" t="s">
        <v>24</v>
      </c>
      <c r="M2096" t="s">
        <v>25</v>
      </c>
      <c r="N2096" t="s">
        <v>55</v>
      </c>
      <c r="O2096" t="s">
        <v>37</v>
      </c>
      <c r="P2096" t="s">
        <v>50</v>
      </c>
      <c r="Q2096">
        <v>1</v>
      </c>
      <c r="R2096">
        <v>816.24</v>
      </c>
      <c r="S2096" t="s">
        <v>29</v>
      </c>
    </row>
    <row r="2097" spans="1:19" x14ac:dyDescent="0.3">
      <c r="A2097" t="s">
        <v>2167</v>
      </c>
      <c r="B2097">
        <v>47</v>
      </c>
      <c r="C2097" t="s">
        <v>31</v>
      </c>
      <c r="D2097" t="s">
        <v>61</v>
      </c>
      <c r="E2097" s="1">
        <v>45405</v>
      </c>
      <c r="F2097" s="3">
        <v>45435</v>
      </c>
      <c r="G2097" t="s">
        <v>71</v>
      </c>
      <c r="H2097" t="s">
        <v>72</v>
      </c>
      <c r="I2097" t="s">
        <v>58</v>
      </c>
      <c r="J2097">
        <v>26054.55</v>
      </c>
      <c r="K2097">
        <v>30</v>
      </c>
      <c r="L2097" t="s">
        <v>36</v>
      </c>
      <c r="M2097" t="s">
        <v>25</v>
      </c>
      <c r="N2097" t="s">
        <v>44</v>
      </c>
      <c r="O2097" t="s">
        <v>49</v>
      </c>
      <c r="P2097" t="s">
        <v>28</v>
      </c>
      <c r="Q2097">
        <v>11</v>
      </c>
      <c r="R2097">
        <v>5368.57</v>
      </c>
      <c r="S2097" t="s">
        <v>29</v>
      </c>
    </row>
    <row r="2098" spans="1:19" x14ac:dyDescent="0.3">
      <c r="A2098" t="s">
        <v>2168</v>
      </c>
      <c r="B2098">
        <v>37</v>
      </c>
      <c r="C2098" t="s">
        <v>31</v>
      </c>
      <c r="D2098" t="s">
        <v>20</v>
      </c>
      <c r="E2098" s="1">
        <v>45221</v>
      </c>
      <c r="F2098" s="3">
        <v>45223</v>
      </c>
      <c r="G2098" t="s">
        <v>41</v>
      </c>
      <c r="H2098" t="s">
        <v>42</v>
      </c>
      <c r="I2098" t="s">
        <v>58</v>
      </c>
      <c r="J2098">
        <v>2683.78</v>
      </c>
      <c r="K2098">
        <v>2</v>
      </c>
      <c r="L2098" t="s">
        <v>36</v>
      </c>
      <c r="M2098" t="s">
        <v>25</v>
      </c>
      <c r="N2098" t="s">
        <v>55</v>
      </c>
      <c r="O2098" t="s">
        <v>37</v>
      </c>
      <c r="P2098" t="s">
        <v>38</v>
      </c>
      <c r="Q2098">
        <v>8</v>
      </c>
      <c r="R2098">
        <v>836.55</v>
      </c>
      <c r="S2098" t="s">
        <v>29</v>
      </c>
    </row>
    <row r="2099" spans="1:19" x14ac:dyDescent="0.3">
      <c r="A2099" t="s">
        <v>2169</v>
      </c>
      <c r="B2099">
        <v>51</v>
      </c>
      <c r="C2099" t="s">
        <v>31</v>
      </c>
      <c r="D2099" t="s">
        <v>70</v>
      </c>
      <c r="E2099" s="1">
        <v>45212</v>
      </c>
      <c r="F2099" s="3">
        <v>45215</v>
      </c>
      <c r="G2099" t="s">
        <v>33</v>
      </c>
      <c r="H2099" t="s">
        <v>34</v>
      </c>
      <c r="I2099" t="s">
        <v>91</v>
      </c>
      <c r="J2099">
        <v>2821.8</v>
      </c>
      <c r="K2099">
        <v>3</v>
      </c>
      <c r="L2099" t="s">
        <v>24</v>
      </c>
      <c r="M2099" t="s">
        <v>25</v>
      </c>
      <c r="N2099" t="s">
        <v>55</v>
      </c>
      <c r="O2099" t="s">
        <v>56</v>
      </c>
      <c r="P2099" t="s">
        <v>50</v>
      </c>
      <c r="Q2099">
        <v>7</v>
      </c>
      <c r="R2099">
        <v>489.87</v>
      </c>
      <c r="S2099" t="s">
        <v>29</v>
      </c>
    </row>
    <row r="2100" spans="1:19" x14ac:dyDescent="0.3">
      <c r="A2100" t="s">
        <v>2170</v>
      </c>
      <c r="B2100">
        <v>33</v>
      </c>
      <c r="C2100" t="s">
        <v>31</v>
      </c>
      <c r="D2100" t="s">
        <v>20</v>
      </c>
      <c r="E2100" s="1">
        <v>45730</v>
      </c>
      <c r="F2100" s="3">
        <v>45733</v>
      </c>
      <c r="G2100" t="s">
        <v>33</v>
      </c>
      <c r="H2100" t="s">
        <v>34</v>
      </c>
      <c r="I2100" t="s">
        <v>83</v>
      </c>
      <c r="J2100">
        <v>1102.1099999999999</v>
      </c>
      <c r="K2100">
        <v>3</v>
      </c>
      <c r="L2100" t="s">
        <v>24</v>
      </c>
      <c r="M2100" t="s">
        <v>25</v>
      </c>
      <c r="N2100" t="s">
        <v>44</v>
      </c>
      <c r="O2100" t="s">
        <v>56</v>
      </c>
      <c r="P2100" t="s">
        <v>50</v>
      </c>
      <c r="Q2100">
        <v>5</v>
      </c>
      <c r="R2100">
        <v>268.99</v>
      </c>
      <c r="S2100" t="s">
        <v>29</v>
      </c>
    </row>
    <row r="2101" spans="1:19" x14ac:dyDescent="0.3">
      <c r="A2101" t="s">
        <v>2171</v>
      </c>
      <c r="B2101">
        <v>41</v>
      </c>
      <c r="C2101" t="s">
        <v>19</v>
      </c>
      <c r="D2101" t="s">
        <v>70</v>
      </c>
      <c r="E2101" s="1">
        <v>45785</v>
      </c>
      <c r="F2101" s="3">
        <v>45803</v>
      </c>
      <c r="G2101" t="s">
        <v>74</v>
      </c>
      <c r="H2101" t="s">
        <v>75</v>
      </c>
      <c r="I2101" t="s">
        <v>91</v>
      </c>
      <c r="J2101">
        <v>10521.18</v>
      </c>
      <c r="K2101">
        <v>18</v>
      </c>
      <c r="L2101" t="s">
        <v>24</v>
      </c>
      <c r="M2101" t="s">
        <v>25</v>
      </c>
      <c r="N2101" t="s">
        <v>26</v>
      </c>
      <c r="O2101" t="s">
        <v>27</v>
      </c>
      <c r="P2101" t="s">
        <v>50</v>
      </c>
      <c r="Q2101">
        <v>2</v>
      </c>
      <c r="R2101">
        <v>3145.28</v>
      </c>
      <c r="S2101" t="s">
        <v>29</v>
      </c>
    </row>
    <row r="2102" spans="1:19" x14ac:dyDescent="0.3">
      <c r="A2102" t="s">
        <v>2172</v>
      </c>
      <c r="B2102">
        <v>41</v>
      </c>
      <c r="C2102" t="s">
        <v>19</v>
      </c>
      <c r="D2102" t="s">
        <v>66</v>
      </c>
      <c r="E2102" s="1">
        <v>45626</v>
      </c>
      <c r="F2102" s="3">
        <v>45636</v>
      </c>
      <c r="G2102" t="s">
        <v>74</v>
      </c>
      <c r="H2102" t="s">
        <v>75</v>
      </c>
      <c r="I2102" t="s">
        <v>43</v>
      </c>
      <c r="J2102">
        <v>7800.62</v>
      </c>
      <c r="K2102">
        <v>10</v>
      </c>
      <c r="L2102" t="s">
        <v>24</v>
      </c>
      <c r="M2102" t="s">
        <v>25</v>
      </c>
      <c r="N2102" t="s">
        <v>26</v>
      </c>
      <c r="O2102" t="s">
        <v>27</v>
      </c>
      <c r="P2102" t="s">
        <v>50</v>
      </c>
      <c r="Q2102">
        <v>11</v>
      </c>
      <c r="R2102">
        <v>1696.13</v>
      </c>
      <c r="S2102" t="s">
        <v>29</v>
      </c>
    </row>
    <row r="2103" spans="1:19" x14ac:dyDescent="0.3">
      <c r="A2103" t="s">
        <v>2173</v>
      </c>
      <c r="B2103">
        <v>84</v>
      </c>
      <c r="C2103" t="s">
        <v>19</v>
      </c>
      <c r="D2103" t="s">
        <v>32</v>
      </c>
      <c r="E2103" s="1">
        <v>45508</v>
      </c>
      <c r="F2103" s="3">
        <v>45520</v>
      </c>
      <c r="G2103" t="s">
        <v>62</v>
      </c>
      <c r="H2103" t="s">
        <v>63</v>
      </c>
      <c r="I2103" t="s">
        <v>35</v>
      </c>
      <c r="J2103">
        <v>3944.03</v>
      </c>
      <c r="K2103">
        <v>12</v>
      </c>
      <c r="L2103" t="s">
        <v>24</v>
      </c>
      <c r="M2103" t="s">
        <v>25</v>
      </c>
      <c r="N2103" t="s">
        <v>44</v>
      </c>
      <c r="O2103" t="s">
        <v>27</v>
      </c>
      <c r="P2103" t="s">
        <v>45</v>
      </c>
      <c r="Q2103">
        <v>15</v>
      </c>
      <c r="R2103">
        <v>719.46</v>
      </c>
      <c r="S2103" t="s">
        <v>29</v>
      </c>
    </row>
    <row r="2104" spans="1:19" x14ac:dyDescent="0.3">
      <c r="A2104" t="s">
        <v>2174</v>
      </c>
      <c r="B2104">
        <v>76</v>
      </c>
      <c r="C2104" t="s">
        <v>19</v>
      </c>
      <c r="D2104" t="s">
        <v>66</v>
      </c>
      <c r="E2104" s="1">
        <v>45159</v>
      </c>
      <c r="F2104" s="3">
        <v>45167</v>
      </c>
      <c r="G2104" t="s">
        <v>21</v>
      </c>
      <c r="H2104" t="s">
        <v>22</v>
      </c>
      <c r="I2104" t="s">
        <v>23</v>
      </c>
      <c r="J2104">
        <v>3998.24</v>
      </c>
      <c r="K2104">
        <v>8</v>
      </c>
      <c r="L2104" t="s">
        <v>24</v>
      </c>
      <c r="M2104" t="s">
        <v>25</v>
      </c>
      <c r="N2104" t="s">
        <v>44</v>
      </c>
      <c r="O2104" t="s">
        <v>37</v>
      </c>
      <c r="P2104" t="s">
        <v>38</v>
      </c>
      <c r="Q2104">
        <v>1</v>
      </c>
      <c r="R2104">
        <v>750.73</v>
      </c>
      <c r="S2104" t="s">
        <v>29</v>
      </c>
    </row>
    <row r="2105" spans="1:19" x14ac:dyDescent="0.3">
      <c r="A2105" t="s">
        <v>2175</v>
      </c>
      <c r="B2105">
        <v>56</v>
      </c>
      <c r="C2105" t="s">
        <v>31</v>
      </c>
      <c r="D2105" t="s">
        <v>47</v>
      </c>
      <c r="E2105" s="1">
        <v>45168</v>
      </c>
      <c r="F2105" s="3">
        <v>45179</v>
      </c>
      <c r="G2105" t="s">
        <v>93</v>
      </c>
      <c r="H2105" t="s">
        <v>72</v>
      </c>
      <c r="I2105" t="s">
        <v>83</v>
      </c>
      <c r="J2105">
        <v>6405.59</v>
      </c>
      <c r="K2105">
        <v>11</v>
      </c>
      <c r="L2105" t="s">
        <v>36</v>
      </c>
      <c r="M2105" t="s">
        <v>59</v>
      </c>
      <c r="N2105" t="s">
        <v>44</v>
      </c>
      <c r="O2105" t="s">
        <v>37</v>
      </c>
      <c r="P2105" t="s">
        <v>38</v>
      </c>
      <c r="Q2105">
        <v>12</v>
      </c>
      <c r="R2105">
        <v>1821.5</v>
      </c>
      <c r="S2105" t="s">
        <v>39</v>
      </c>
    </row>
    <row r="2106" spans="1:19" x14ac:dyDescent="0.3">
      <c r="A2106" t="s">
        <v>2176</v>
      </c>
      <c r="B2106">
        <v>47</v>
      </c>
      <c r="C2106" t="s">
        <v>31</v>
      </c>
      <c r="D2106" t="s">
        <v>61</v>
      </c>
      <c r="E2106" s="1">
        <v>45508</v>
      </c>
      <c r="F2106" s="3">
        <v>45528</v>
      </c>
      <c r="G2106" t="s">
        <v>48</v>
      </c>
      <c r="H2106" t="s">
        <v>22</v>
      </c>
      <c r="I2106" t="s">
        <v>81</v>
      </c>
      <c r="J2106">
        <v>12325.61</v>
      </c>
      <c r="K2106">
        <v>20</v>
      </c>
      <c r="L2106" t="s">
        <v>36</v>
      </c>
      <c r="M2106" t="s">
        <v>25</v>
      </c>
      <c r="N2106" t="s">
        <v>26</v>
      </c>
      <c r="O2106" t="s">
        <v>27</v>
      </c>
      <c r="P2106" t="s">
        <v>45</v>
      </c>
      <c r="Q2106">
        <v>3</v>
      </c>
      <c r="R2106">
        <v>3123.24</v>
      </c>
      <c r="S2106" t="s">
        <v>29</v>
      </c>
    </row>
    <row r="2107" spans="1:19" x14ac:dyDescent="0.3">
      <c r="A2107" t="s">
        <v>2177</v>
      </c>
      <c r="B2107">
        <v>60</v>
      </c>
      <c r="C2107" t="s">
        <v>31</v>
      </c>
      <c r="D2107" t="s">
        <v>47</v>
      </c>
      <c r="E2107" s="1">
        <v>45901</v>
      </c>
      <c r="F2107" s="3">
        <v>45912</v>
      </c>
      <c r="G2107" t="s">
        <v>21</v>
      </c>
      <c r="H2107" t="s">
        <v>22</v>
      </c>
      <c r="I2107" t="s">
        <v>81</v>
      </c>
      <c r="J2107">
        <v>9839.6200000000008</v>
      </c>
      <c r="K2107">
        <v>11</v>
      </c>
      <c r="L2107" t="s">
        <v>36</v>
      </c>
      <c r="M2107" t="s">
        <v>25</v>
      </c>
      <c r="N2107" t="s">
        <v>55</v>
      </c>
      <c r="O2107" t="s">
        <v>27</v>
      </c>
      <c r="P2107" t="s">
        <v>28</v>
      </c>
      <c r="Q2107">
        <v>2</v>
      </c>
      <c r="R2107">
        <v>2771.93</v>
      </c>
      <c r="S2107" t="s">
        <v>29</v>
      </c>
    </row>
    <row r="2108" spans="1:19" x14ac:dyDescent="0.3">
      <c r="A2108" t="s">
        <v>2178</v>
      </c>
      <c r="B2108">
        <v>84</v>
      </c>
      <c r="C2108" t="s">
        <v>31</v>
      </c>
      <c r="D2108" t="s">
        <v>20</v>
      </c>
      <c r="E2108" s="1">
        <v>45075</v>
      </c>
      <c r="F2108" s="3">
        <v>45087</v>
      </c>
      <c r="G2108" t="s">
        <v>93</v>
      </c>
      <c r="H2108" t="s">
        <v>72</v>
      </c>
      <c r="I2108" t="s">
        <v>81</v>
      </c>
      <c r="J2108">
        <v>4058.62</v>
      </c>
      <c r="K2108">
        <v>12</v>
      </c>
      <c r="L2108" t="s">
        <v>36</v>
      </c>
      <c r="M2108" t="s">
        <v>25</v>
      </c>
      <c r="N2108" t="s">
        <v>44</v>
      </c>
      <c r="O2108" t="s">
        <v>37</v>
      </c>
      <c r="P2108" t="s">
        <v>45</v>
      </c>
      <c r="Q2108">
        <v>12</v>
      </c>
      <c r="R2108">
        <v>1506.72</v>
      </c>
      <c r="S2108" t="s">
        <v>29</v>
      </c>
    </row>
    <row r="2109" spans="1:19" x14ac:dyDescent="0.3">
      <c r="A2109" t="s">
        <v>2179</v>
      </c>
      <c r="B2109">
        <v>44</v>
      </c>
      <c r="C2109" t="s">
        <v>19</v>
      </c>
      <c r="D2109" t="s">
        <v>70</v>
      </c>
      <c r="E2109" s="1">
        <v>45666</v>
      </c>
      <c r="F2109" s="3">
        <v>45667</v>
      </c>
      <c r="G2109" t="s">
        <v>21</v>
      </c>
      <c r="H2109" t="s">
        <v>22</v>
      </c>
      <c r="I2109" t="s">
        <v>23</v>
      </c>
      <c r="J2109">
        <v>2971.54</v>
      </c>
      <c r="K2109">
        <v>1</v>
      </c>
      <c r="L2109" t="s">
        <v>36</v>
      </c>
      <c r="M2109" t="s">
        <v>25</v>
      </c>
      <c r="N2109" t="s">
        <v>55</v>
      </c>
      <c r="O2109" t="s">
        <v>37</v>
      </c>
      <c r="P2109" t="s">
        <v>38</v>
      </c>
      <c r="Q2109">
        <v>9</v>
      </c>
      <c r="R2109">
        <v>781.84</v>
      </c>
      <c r="S2109" t="s">
        <v>29</v>
      </c>
    </row>
    <row r="2110" spans="1:19" x14ac:dyDescent="0.3">
      <c r="A2110" t="s">
        <v>2180</v>
      </c>
      <c r="B2110">
        <v>81</v>
      </c>
      <c r="C2110" t="s">
        <v>31</v>
      </c>
      <c r="D2110" t="s">
        <v>32</v>
      </c>
      <c r="E2110" s="1">
        <v>45323</v>
      </c>
      <c r="F2110" s="3">
        <v>45342</v>
      </c>
      <c r="G2110" t="s">
        <v>67</v>
      </c>
      <c r="H2110" t="s">
        <v>42</v>
      </c>
      <c r="I2110" t="s">
        <v>54</v>
      </c>
      <c r="J2110">
        <v>4502.37</v>
      </c>
      <c r="K2110">
        <v>19</v>
      </c>
      <c r="L2110" t="s">
        <v>36</v>
      </c>
      <c r="M2110" t="s">
        <v>25</v>
      </c>
      <c r="N2110" t="s">
        <v>44</v>
      </c>
      <c r="O2110" t="s">
        <v>37</v>
      </c>
      <c r="P2110" t="s">
        <v>50</v>
      </c>
      <c r="Q2110">
        <v>6</v>
      </c>
      <c r="R2110">
        <v>821.61</v>
      </c>
      <c r="S2110" t="s">
        <v>29</v>
      </c>
    </row>
    <row r="2111" spans="1:19" x14ac:dyDescent="0.3">
      <c r="A2111" t="s">
        <v>2181</v>
      </c>
      <c r="B2111">
        <v>57</v>
      </c>
      <c r="C2111" t="s">
        <v>31</v>
      </c>
      <c r="D2111" t="s">
        <v>79</v>
      </c>
      <c r="E2111" s="1">
        <v>45426</v>
      </c>
      <c r="F2111" s="3">
        <v>45437</v>
      </c>
      <c r="G2111" t="s">
        <v>93</v>
      </c>
      <c r="H2111" t="s">
        <v>72</v>
      </c>
      <c r="I2111" t="s">
        <v>43</v>
      </c>
      <c r="J2111">
        <v>10960.91</v>
      </c>
      <c r="K2111">
        <v>11</v>
      </c>
      <c r="L2111" t="s">
        <v>24</v>
      </c>
      <c r="M2111" t="s">
        <v>25</v>
      </c>
      <c r="N2111" t="s">
        <v>44</v>
      </c>
      <c r="O2111" t="s">
        <v>49</v>
      </c>
      <c r="P2111" t="s">
        <v>50</v>
      </c>
      <c r="Q2111">
        <v>5</v>
      </c>
      <c r="R2111">
        <v>2644.03</v>
      </c>
      <c r="S2111" t="s">
        <v>29</v>
      </c>
    </row>
    <row r="2112" spans="1:19" x14ac:dyDescent="0.3">
      <c r="A2112" t="s">
        <v>2182</v>
      </c>
      <c r="B2112">
        <v>82</v>
      </c>
      <c r="C2112" t="s">
        <v>19</v>
      </c>
      <c r="D2112" t="s">
        <v>61</v>
      </c>
      <c r="E2112" s="1">
        <v>45577</v>
      </c>
      <c r="F2112" s="3">
        <v>45587</v>
      </c>
      <c r="G2112" t="s">
        <v>52</v>
      </c>
      <c r="H2112" t="s">
        <v>53</v>
      </c>
      <c r="I2112" t="s">
        <v>43</v>
      </c>
      <c r="J2112">
        <v>6204.76</v>
      </c>
      <c r="K2112">
        <v>10</v>
      </c>
      <c r="L2112" t="s">
        <v>24</v>
      </c>
      <c r="M2112" t="s">
        <v>25</v>
      </c>
      <c r="N2112" t="s">
        <v>44</v>
      </c>
      <c r="O2112" t="s">
        <v>27</v>
      </c>
      <c r="P2112" t="s">
        <v>38</v>
      </c>
      <c r="Q2112">
        <v>10</v>
      </c>
      <c r="R2112">
        <v>1858.73</v>
      </c>
      <c r="S2112" t="s">
        <v>29</v>
      </c>
    </row>
    <row r="2113" spans="1:19" x14ac:dyDescent="0.3">
      <c r="A2113" t="s">
        <v>2183</v>
      </c>
      <c r="B2113">
        <v>73</v>
      </c>
      <c r="C2113" t="s">
        <v>19</v>
      </c>
      <c r="D2113" t="s">
        <v>61</v>
      </c>
      <c r="E2113" s="1">
        <v>45591</v>
      </c>
      <c r="F2113" s="3">
        <v>45598</v>
      </c>
      <c r="G2113" t="s">
        <v>52</v>
      </c>
      <c r="H2113" t="s">
        <v>53</v>
      </c>
      <c r="I2113" t="s">
        <v>83</v>
      </c>
      <c r="J2113">
        <v>5917.96</v>
      </c>
      <c r="K2113">
        <v>7</v>
      </c>
      <c r="L2113" t="s">
        <v>36</v>
      </c>
      <c r="M2113" t="s">
        <v>25</v>
      </c>
      <c r="N2113" t="s">
        <v>44</v>
      </c>
      <c r="O2113" t="s">
        <v>37</v>
      </c>
      <c r="P2113" t="s">
        <v>45</v>
      </c>
      <c r="Q2113">
        <v>8</v>
      </c>
      <c r="R2113">
        <v>1929.34</v>
      </c>
      <c r="S2113" t="s">
        <v>29</v>
      </c>
    </row>
    <row r="2114" spans="1:19" x14ac:dyDescent="0.3">
      <c r="A2114" t="s">
        <v>2184</v>
      </c>
      <c r="B2114">
        <v>81</v>
      </c>
      <c r="C2114" t="s">
        <v>31</v>
      </c>
      <c r="D2114" t="s">
        <v>79</v>
      </c>
      <c r="E2114" s="1">
        <v>45013</v>
      </c>
      <c r="F2114" s="3">
        <v>45019</v>
      </c>
      <c r="G2114" t="s">
        <v>62</v>
      </c>
      <c r="H2114" t="s">
        <v>63</v>
      </c>
      <c r="I2114" t="s">
        <v>83</v>
      </c>
      <c r="J2114">
        <v>4294.99</v>
      </c>
      <c r="K2114">
        <v>6</v>
      </c>
      <c r="L2114" t="s">
        <v>24</v>
      </c>
      <c r="M2114" t="s">
        <v>25</v>
      </c>
      <c r="N2114" t="s">
        <v>55</v>
      </c>
      <c r="O2114" t="s">
        <v>37</v>
      </c>
      <c r="P2114" t="s">
        <v>50</v>
      </c>
      <c r="Q2114">
        <v>11</v>
      </c>
      <c r="R2114">
        <v>1280.98</v>
      </c>
      <c r="S2114" t="s">
        <v>29</v>
      </c>
    </row>
    <row r="2115" spans="1:19" x14ac:dyDescent="0.3">
      <c r="A2115" t="s">
        <v>2185</v>
      </c>
      <c r="B2115">
        <v>67</v>
      </c>
      <c r="C2115" t="s">
        <v>19</v>
      </c>
      <c r="D2115" t="s">
        <v>79</v>
      </c>
      <c r="E2115" s="1">
        <v>45342</v>
      </c>
      <c r="F2115" s="3">
        <v>45353</v>
      </c>
      <c r="G2115" t="s">
        <v>48</v>
      </c>
      <c r="H2115" t="s">
        <v>22</v>
      </c>
      <c r="I2115" t="s">
        <v>81</v>
      </c>
      <c r="J2115">
        <v>11818.71</v>
      </c>
      <c r="K2115">
        <v>11</v>
      </c>
      <c r="L2115" t="s">
        <v>36</v>
      </c>
      <c r="M2115" t="s">
        <v>25</v>
      </c>
      <c r="N2115" t="s">
        <v>26</v>
      </c>
      <c r="O2115" t="s">
        <v>49</v>
      </c>
      <c r="P2115" t="s">
        <v>45</v>
      </c>
      <c r="Q2115">
        <v>7</v>
      </c>
      <c r="R2115">
        <v>4323.38</v>
      </c>
      <c r="S2115" t="s">
        <v>29</v>
      </c>
    </row>
    <row r="2116" spans="1:19" x14ac:dyDescent="0.3">
      <c r="A2116" t="s">
        <v>2186</v>
      </c>
      <c r="B2116">
        <v>24</v>
      </c>
      <c r="C2116" t="s">
        <v>31</v>
      </c>
      <c r="D2116" t="s">
        <v>79</v>
      </c>
      <c r="E2116" s="1">
        <v>44946</v>
      </c>
      <c r="F2116" s="3">
        <v>44947</v>
      </c>
      <c r="G2116" t="s">
        <v>52</v>
      </c>
      <c r="H2116" t="s">
        <v>53</v>
      </c>
      <c r="I2116" t="s">
        <v>58</v>
      </c>
      <c r="J2116">
        <v>2274.5500000000002</v>
      </c>
      <c r="K2116">
        <v>1</v>
      </c>
      <c r="L2116" t="s">
        <v>24</v>
      </c>
      <c r="M2116" t="s">
        <v>25</v>
      </c>
      <c r="N2116" t="s">
        <v>55</v>
      </c>
      <c r="O2116" t="s">
        <v>37</v>
      </c>
      <c r="P2116" t="s">
        <v>45</v>
      </c>
      <c r="Q2116">
        <v>13</v>
      </c>
      <c r="R2116">
        <v>341.47</v>
      </c>
      <c r="S2116" t="s">
        <v>29</v>
      </c>
    </row>
    <row r="2117" spans="1:19" x14ac:dyDescent="0.3">
      <c r="A2117" t="s">
        <v>2187</v>
      </c>
      <c r="B2117">
        <v>53</v>
      </c>
      <c r="C2117" t="s">
        <v>31</v>
      </c>
      <c r="D2117" t="s">
        <v>61</v>
      </c>
      <c r="E2117" s="1">
        <v>45647</v>
      </c>
      <c r="F2117" s="3">
        <v>45661</v>
      </c>
      <c r="G2117" t="s">
        <v>41</v>
      </c>
      <c r="H2117" t="s">
        <v>42</v>
      </c>
      <c r="I2117" t="s">
        <v>43</v>
      </c>
      <c r="J2117">
        <v>9487.7099999999991</v>
      </c>
      <c r="K2117">
        <v>14</v>
      </c>
      <c r="L2117" t="s">
        <v>36</v>
      </c>
      <c r="M2117" t="s">
        <v>25</v>
      </c>
      <c r="N2117" t="s">
        <v>26</v>
      </c>
      <c r="O2117" t="s">
        <v>56</v>
      </c>
      <c r="P2117" t="s">
        <v>45</v>
      </c>
      <c r="Q2117">
        <v>8</v>
      </c>
      <c r="R2117">
        <v>3195.77</v>
      </c>
      <c r="S2117" t="s">
        <v>39</v>
      </c>
    </row>
    <row r="2118" spans="1:19" x14ac:dyDescent="0.3">
      <c r="A2118" t="s">
        <v>2188</v>
      </c>
      <c r="B2118">
        <v>60</v>
      </c>
      <c r="C2118" t="s">
        <v>31</v>
      </c>
      <c r="D2118" t="s">
        <v>20</v>
      </c>
      <c r="E2118" s="1">
        <v>45155</v>
      </c>
      <c r="F2118" s="3">
        <v>45175</v>
      </c>
      <c r="G2118" t="s">
        <v>33</v>
      </c>
      <c r="H2118" t="s">
        <v>34</v>
      </c>
      <c r="I2118" t="s">
        <v>43</v>
      </c>
      <c r="J2118">
        <v>3660.26</v>
      </c>
      <c r="K2118">
        <v>20</v>
      </c>
      <c r="L2118" t="s">
        <v>36</v>
      </c>
      <c r="M2118" t="s">
        <v>25</v>
      </c>
      <c r="N2118" t="s">
        <v>44</v>
      </c>
      <c r="O2118" t="s">
        <v>56</v>
      </c>
      <c r="P2118" t="s">
        <v>38</v>
      </c>
      <c r="Q2118">
        <v>11</v>
      </c>
      <c r="R2118">
        <v>1440.82</v>
      </c>
      <c r="S2118" t="s">
        <v>29</v>
      </c>
    </row>
    <row r="2119" spans="1:19" x14ac:dyDescent="0.3">
      <c r="A2119" t="s">
        <v>2189</v>
      </c>
      <c r="B2119">
        <v>75</v>
      </c>
      <c r="C2119" t="s">
        <v>31</v>
      </c>
      <c r="D2119" t="s">
        <v>66</v>
      </c>
      <c r="E2119" s="1">
        <v>45927</v>
      </c>
      <c r="F2119" s="3">
        <v>45940</v>
      </c>
      <c r="G2119" t="s">
        <v>93</v>
      </c>
      <c r="H2119" t="s">
        <v>72</v>
      </c>
      <c r="I2119" t="s">
        <v>81</v>
      </c>
      <c r="J2119">
        <v>14950.75</v>
      </c>
      <c r="K2119">
        <v>13</v>
      </c>
      <c r="L2119" t="s">
        <v>24</v>
      </c>
      <c r="M2119" t="s">
        <v>25</v>
      </c>
      <c r="N2119" t="s">
        <v>55</v>
      </c>
      <c r="O2119" t="s">
        <v>49</v>
      </c>
      <c r="P2119" t="s">
        <v>38</v>
      </c>
      <c r="Q2119">
        <v>4</v>
      </c>
      <c r="R2119">
        <v>4664.0200000000004</v>
      </c>
      <c r="S2119" t="s">
        <v>29</v>
      </c>
    </row>
    <row r="2120" spans="1:19" x14ac:dyDescent="0.3">
      <c r="A2120" t="s">
        <v>2190</v>
      </c>
      <c r="B2120">
        <v>56</v>
      </c>
      <c r="C2120" t="s">
        <v>31</v>
      </c>
      <c r="D2120" t="s">
        <v>20</v>
      </c>
      <c r="E2120" s="1">
        <v>45458</v>
      </c>
      <c r="F2120" s="3">
        <v>45479</v>
      </c>
      <c r="G2120" t="s">
        <v>48</v>
      </c>
      <c r="H2120" t="s">
        <v>22</v>
      </c>
      <c r="I2120" t="s">
        <v>83</v>
      </c>
      <c r="J2120">
        <v>14917.66</v>
      </c>
      <c r="K2120">
        <v>21</v>
      </c>
      <c r="L2120" t="s">
        <v>24</v>
      </c>
      <c r="M2120" t="s">
        <v>25</v>
      </c>
      <c r="N2120" t="s">
        <v>55</v>
      </c>
      <c r="O2120" t="s">
        <v>49</v>
      </c>
      <c r="P2120" t="s">
        <v>38</v>
      </c>
      <c r="Q2120">
        <v>12</v>
      </c>
      <c r="R2120">
        <v>3520.37</v>
      </c>
      <c r="S2120" t="s">
        <v>29</v>
      </c>
    </row>
    <row r="2121" spans="1:19" x14ac:dyDescent="0.3">
      <c r="A2121" t="s">
        <v>2191</v>
      </c>
      <c r="B2121">
        <v>84</v>
      </c>
      <c r="C2121" t="s">
        <v>19</v>
      </c>
      <c r="D2121" t="s">
        <v>66</v>
      </c>
      <c r="E2121" s="1">
        <v>45288</v>
      </c>
      <c r="F2121" s="3">
        <v>45306</v>
      </c>
      <c r="G2121" t="s">
        <v>74</v>
      </c>
      <c r="H2121" t="s">
        <v>75</v>
      </c>
      <c r="I2121" t="s">
        <v>35</v>
      </c>
      <c r="J2121">
        <v>11204.93</v>
      </c>
      <c r="K2121">
        <v>18</v>
      </c>
      <c r="L2121" t="s">
        <v>36</v>
      </c>
      <c r="M2121" t="s">
        <v>25</v>
      </c>
      <c r="N2121" t="s">
        <v>44</v>
      </c>
      <c r="O2121" t="s">
        <v>27</v>
      </c>
      <c r="P2121" t="s">
        <v>28</v>
      </c>
      <c r="Q2121">
        <v>12</v>
      </c>
      <c r="R2121">
        <v>3742.87</v>
      </c>
      <c r="S2121" t="s">
        <v>29</v>
      </c>
    </row>
    <row r="2122" spans="1:19" x14ac:dyDescent="0.3">
      <c r="A2122" t="s">
        <v>2192</v>
      </c>
      <c r="B2122">
        <v>62</v>
      </c>
      <c r="C2122" t="s">
        <v>19</v>
      </c>
      <c r="D2122" t="s">
        <v>79</v>
      </c>
      <c r="E2122" s="1">
        <v>45338</v>
      </c>
      <c r="F2122" s="3">
        <v>45349</v>
      </c>
      <c r="G2122" t="s">
        <v>74</v>
      </c>
      <c r="H2122" t="s">
        <v>75</v>
      </c>
      <c r="I2122" t="s">
        <v>43</v>
      </c>
      <c r="J2122">
        <v>11986.84</v>
      </c>
      <c r="K2122">
        <v>11</v>
      </c>
      <c r="L2122" t="s">
        <v>24</v>
      </c>
      <c r="M2122" t="s">
        <v>59</v>
      </c>
      <c r="N2122" t="s">
        <v>55</v>
      </c>
      <c r="O2122" t="s">
        <v>49</v>
      </c>
      <c r="P2122" t="s">
        <v>50</v>
      </c>
      <c r="Q2122">
        <v>11</v>
      </c>
      <c r="R2122">
        <v>2705.4</v>
      </c>
      <c r="S2122" t="s">
        <v>29</v>
      </c>
    </row>
    <row r="2123" spans="1:19" x14ac:dyDescent="0.3">
      <c r="A2123" t="s">
        <v>2193</v>
      </c>
      <c r="B2123">
        <v>26</v>
      </c>
      <c r="C2123" t="s">
        <v>19</v>
      </c>
      <c r="D2123" t="s">
        <v>70</v>
      </c>
      <c r="E2123" s="1">
        <v>45281</v>
      </c>
      <c r="F2123" s="3">
        <v>45303</v>
      </c>
      <c r="G2123" t="s">
        <v>67</v>
      </c>
      <c r="H2123" t="s">
        <v>42</v>
      </c>
      <c r="I2123" t="s">
        <v>54</v>
      </c>
      <c r="J2123">
        <v>12080.29</v>
      </c>
      <c r="K2123">
        <v>22</v>
      </c>
      <c r="L2123" t="s">
        <v>24</v>
      </c>
      <c r="M2123" t="s">
        <v>25</v>
      </c>
      <c r="N2123" t="s">
        <v>26</v>
      </c>
      <c r="O2123" t="s">
        <v>49</v>
      </c>
      <c r="P2123" t="s">
        <v>38</v>
      </c>
      <c r="Q2123">
        <v>10</v>
      </c>
      <c r="R2123">
        <v>4170.83</v>
      </c>
      <c r="S2123" t="s">
        <v>29</v>
      </c>
    </row>
    <row r="2124" spans="1:19" x14ac:dyDescent="0.3">
      <c r="A2124" t="s">
        <v>2194</v>
      </c>
      <c r="B2124">
        <v>84</v>
      </c>
      <c r="C2124" t="s">
        <v>19</v>
      </c>
      <c r="D2124" t="s">
        <v>89</v>
      </c>
      <c r="E2124" s="1">
        <v>45099</v>
      </c>
      <c r="F2124" s="3">
        <v>45107</v>
      </c>
      <c r="G2124" t="s">
        <v>71</v>
      </c>
      <c r="H2124" t="s">
        <v>72</v>
      </c>
      <c r="I2124" t="s">
        <v>83</v>
      </c>
      <c r="J2124">
        <v>7001.59</v>
      </c>
      <c r="K2124">
        <v>8</v>
      </c>
      <c r="L2124" t="s">
        <v>24</v>
      </c>
      <c r="M2124" t="s">
        <v>25</v>
      </c>
      <c r="N2124" t="s">
        <v>26</v>
      </c>
      <c r="O2124" t="s">
        <v>37</v>
      </c>
      <c r="P2124" t="s">
        <v>38</v>
      </c>
      <c r="Q2124">
        <v>6</v>
      </c>
      <c r="R2124">
        <v>1749.86</v>
      </c>
      <c r="S2124" t="s">
        <v>29</v>
      </c>
    </row>
    <row r="2125" spans="1:19" x14ac:dyDescent="0.3">
      <c r="A2125" t="s">
        <v>2195</v>
      </c>
      <c r="B2125">
        <v>85</v>
      </c>
      <c r="C2125" t="s">
        <v>19</v>
      </c>
      <c r="D2125" t="s">
        <v>20</v>
      </c>
      <c r="E2125" s="1">
        <v>44938</v>
      </c>
      <c r="F2125" s="3">
        <v>44939</v>
      </c>
      <c r="G2125" t="s">
        <v>33</v>
      </c>
      <c r="H2125" t="s">
        <v>34</v>
      </c>
      <c r="I2125" t="s">
        <v>58</v>
      </c>
      <c r="J2125">
        <v>2639.89</v>
      </c>
      <c r="K2125">
        <v>1</v>
      </c>
      <c r="L2125" t="s">
        <v>36</v>
      </c>
      <c r="M2125" t="s">
        <v>25</v>
      </c>
      <c r="N2125" t="s">
        <v>44</v>
      </c>
      <c r="O2125" t="s">
        <v>27</v>
      </c>
      <c r="P2125" t="s">
        <v>45</v>
      </c>
      <c r="Q2125">
        <v>5</v>
      </c>
      <c r="R2125">
        <v>522.08000000000004</v>
      </c>
      <c r="S2125" t="s">
        <v>39</v>
      </c>
    </row>
    <row r="2126" spans="1:19" x14ac:dyDescent="0.3">
      <c r="A2126" t="s">
        <v>2196</v>
      </c>
      <c r="B2126">
        <v>34</v>
      </c>
      <c r="C2126" t="s">
        <v>31</v>
      </c>
      <c r="D2126" t="s">
        <v>70</v>
      </c>
      <c r="E2126" s="1">
        <v>45182</v>
      </c>
      <c r="F2126" s="3">
        <v>45197</v>
      </c>
      <c r="G2126" t="s">
        <v>93</v>
      </c>
      <c r="H2126" t="s">
        <v>72</v>
      </c>
      <c r="I2126" t="s">
        <v>43</v>
      </c>
      <c r="J2126">
        <v>9070.7099999999991</v>
      </c>
      <c r="K2126">
        <v>15</v>
      </c>
      <c r="L2126" t="s">
        <v>24</v>
      </c>
      <c r="M2126" t="s">
        <v>59</v>
      </c>
      <c r="N2126" t="s">
        <v>55</v>
      </c>
      <c r="O2126" t="s">
        <v>27</v>
      </c>
      <c r="P2126" t="s">
        <v>38</v>
      </c>
      <c r="Q2126">
        <v>6</v>
      </c>
      <c r="R2126">
        <v>2495.6799999999998</v>
      </c>
      <c r="S2126" t="s">
        <v>29</v>
      </c>
    </row>
    <row r="2127" spans="1:19" x14ac:dyDescent="0.3">
      <c r="A2127" t="s">
        <v>2197</v>
      </c>
      <c r="B2127">
        <v>66</v>
      </c>
      <c r="C2127" t="s">
        <v>19</v>
      </c>
      <c r="D2127" t="s">
        <v>20</v>
      </c>
      <c r="E2127" s="1">
        <v>45818</v>
      </c>
      <c r="F2127" s="3">
        <v>45826</v>
      </c>
      <c r="G2127" t="s">
        <v>48</v>
      </c>
      <c r="H2127" t="s">
        <v>22</v>
      </c>
      <c r="I2127" t="s">
        <v>91</v>
      </c>
      <c r="J2127">
        <v>3907.93</v>
      </c>
      <c r="K2127">
        <v>8</v>
      </c>
      <c r="L2127" t="s">
        <v>36</v>
      </c>
      <c r="M2127" t="s">
        <v>25</v>
      </c>
      <c r="N2127" t="s">
        <v>44</v>
      </c>
      <c r="O2127" t="s">
        <v>37</v>
      </c>
      <c r="P2127" t="s">
        <v>28</v>
      </c>
      <c r="Q2127">
        <v>9</v>
      </c>
      <c r="R2127">
        <v>988.07</v>
      </c>
      <c r="S2127" t="s">
        <v>29</v>
      </c>
    </row>
    <row r="2128" spans="1:19" x14ac:dyDescent="0.3">
      <c r="A2128" t="s">
        <v>2198</v>
      </c>
      <c r="B2128">
        <v>77</v>
      </c>
      <c r="C2128" t="s">
        <v>31</v>
      </c>
      <c r="D2128" t="s">
        <v>79</v>
      </c>
      <c r="E2128" s="1">
        <v>45082</v>
      </c>
      <c r="F2128" s="3">
        <v>45094</v>
      </c>
      <c r="G2128" t="s">
        <v>67</v>
      </c>
      <c r="H2128" t="s">
        <v>42</v>
      </c>
      <c r="I2128" t="s">
        <v>35</v>
      </c>
      <c r="J2128">
        <v>14265.91</v>
      </c>
      <c r="K2128">
        <v>12</v>
      </c>
      <c r="L2128" t="s">
        <v>36</v>
      </c>
      <c r="M2128" t="s">
        <v>25</v>
      </c>
      <c r="N2128" t="s">
        <v>55</v>
      </c>
      <c r="O2128" t="s">
        <v>49</v>
      </c>
      <c r="P2128" t="s">
        <v>50</v>
      </c>
      <c r="Q2128">
        <v>10</v>
      </c>
      <c r="R2128">
        <v>2891.3</v>
      </c>
      <c r="S2128" t="s">
        <v>29</v>
      </c>
    </row>
    <row r="2129" spans="1:19" x14ac:dyDescent="0.3">
      <c r="A2129" t="s">
        <v>2199</v>
      </c>
      <c r="B2129">
        <v>78</v>
      </c>
      <c r="C2129" t="s">
        <v>19</v>
      </c>
      <c r="D2129" t="s">
        <v>89</v>
      </c>
      <c r="E2129" s="1">
        <v>45357</v>
      </c>
      <c r="F2129" s="3">
        <v>45371</v>
      </c>
      <c r="G2129" t="s">
        <v>93</v>
      </c>
      <c r="H2129" t="s">
        <v>72</v>
      </c>
      <c r="I2129" t="s">
        <v>23</v>
      </c>
      <c r="J2129">
        <v>3090.45</v>
      </c>
      <c r="K2129">
        <v>14</v>
      </c>
      <c r="L2129" t="s">
        <v>36</v>
      </c>
      <c r="M2129" t="s">
        <v>25</v>
      </c>
      <c r="N2129" t="s">
        <v>44</v>
      </c>
      <c r="O2129" t="s">
        <v>27</v>
      </c>
      <c r="P2129" t="s">
        <v>50</v>
      </c>
      <c r="Q2129">
        <v>14</v>
      </c>
      <c r="R2129">
        <v>957.17</v>
      </c>
      <c r="S2129" t="s">
        <v>29</v>
      </c>
    </row>
    <row r="2130" spans="1:19" x14ac:dyDescent="0.3">
      <c r="A2130" t="s">
        <v>2200</v>
      </c>
      <c r="B2130">
        <v>59</v>
      </c>
      <c r="C2130" t="s">
        <v>19</v>
      </c>
      <c r="D2130" t="s">
        <v>61</v>
      </c>
      <c r="E2130" s="1">
        <v>45571</v>
      </c>
      <c r="F2130" s="3">
        <v>45578</v>
      </c>
      <c r="G2130" t="s">
        <v>71</v>
      </c>
      <c r="H2130" t="s">
        <v>72</v>
      </c>
      <c r="I2130" t="s">
        <v>23</v>
      </c>
      <c r="J2130">
        <v>5090.4399999999996</v>
      </c>
      <c r="K2130">
        <v>7</v>
      </c>
      <c r="L2130" t="s">
        <v>24</v>
      </c>
      <c r="M2130" t="s">
        <v>25</v>
      </c>
      <c r="N2130" t="s">
        <v>44</v>
      </c>
      <c r="O2130" t="s">
        <v>27</v>
      </c>
      <c r="P2130" t="s">
        <v>45</v>
      </c>
      <c r="Q2130">
        <v>13</v>
      </c>
      <c r="R2130">
        <v>1013.46</v>
      </c>
      <c r="S2130" t="s">
        <v>29</v>
      </c>
    </row>
    <row r="2131" spans="1:19" x14ac:dyDescent="0.3">
      <c r="A2131" t="s">
        <v>2201</v>
      </c>
      <c r="B2131">
        <v>49</v>
      </c>
      <c r="C2131" t="s">
        <v>19</v>
      </c>
      <c r="D2131" t="s">
        <v>70</v>
      </c>
      <c r="E2131" s="1">
        <v>45564</v>
      </c>
      <c r="F2131" s="3">
        <v>45567</v>
      </c>
      <c r="G2131" t="s">
        <v>33</v>
      </c>
      <c r="H2131" t="s">
        <v>34</v>
      </c>
      <c r="I2131" t="s">
        <v>81</v>
      </c>
      <c r="J2131">
        <v>9343.94</v>
      </c>
      <c r="K2131">
        <v>3</v>
      </c>
      <c r="L2131" t="s">
        <v>36</v>
      </c>
      <c r="M2131" t="s">
        <v>25</v>
      </c>
      <c r="N2131" t="s">
        <v>44</v>
      </c>
      <c r="O2131" t="s">
        <v>49</v>
      </c>
      <c r="P2131" t="s">
        <v>50</v>
      </c>
      <c r="Q2131">
        <v>4</v>
      </c>
      <c r="R2131">
        <v>1454.25</v>
      </c>
      <c r="S2131" t="s">
        <v>29</v>
      </c>
    </row>
    <row r="2132" spans="1:19" x14ac:dyDescent="0.3">
      <c r="A2132" t="s">
        <v>2202</v>
      </c>
      <c r="B2132">
        <v>79</v>
      </c>
      <c r="C2132" t="s">
        <v>19</v>
      </c>
      <c r="D2132" t="s">
        <v>32</v>
      </c>
      <c r="E2132" s="1">
        <v>45729</v>
      </c>
      <c r="F2132" s="3">
        <v>45731</v>
      </c>
      <c r="G2132" t="s">
        <v>62</v>
      </c>
      <c r="H2132" t="s">
        <v>63</v>
      </c>
      <c r="I2132" t="s">
        <v>83</v>
      </c>
      <c r="J2132">
        <v>3365.52</v>
      </c>
      <c r="K2132">
        <v>2</v>
      </c>
      <c r="L2132" t="s">
        <v>24</v>
      </c>
      <c r="M2132" t="s">
        <v>25</v>
      </c>
      <c r="N2132" t="s">
        <v>55</v>
      </c>
      <c r="O2132" t="s">
        <v>56</v>
      </c>
      <c r="P2132" t="s">
        <v>28</v>
      </c>
      <c r="Q2132">
        <v>7</v>
      </c>
      <c r="R2132">
        <v>1093.3599999999999</v>
      </c>
      <c r="S2132" t="s">
        <v>29</v>
      </c>
    </row>
    <row r="2133" spans="1:19" x14ac:dyDescent="0.3">
      <c r="A2133" t="s">
        <v>2203</v>
      </c>
      <c r="B2133">
        <v>78</v>
      </c>
      <c r="C2133" t="s">
        <v>19</v>
      </c>
      <c r="D2133" t="s">
        <v>89</v>
      </c>
      <c r="E2133" s="1">
        <v>45480</v>
      </c>
      <c r="F2133" s="3">
        <v>45482</v>
      </c>
      <c r="G2133" t="s">
        <v>41</v>
      </c>
      <c r="H2133" t="s">
        <v>42</v>
      </c>
      <c r="I2133" t="s">
        <v>91</v>
      </c>
      <c r="J2133">
        <v>2680.75</v>
      </c>
      <c r="K2133">
        <v>2</v>
      </c>
      <c r="L2133" t="s">
        <v>24</v>
      </c>
      <c r="M2133" t="s">
        <v>25</v>
      </c>
      <c r="N2133" t="s">
        <v>44</v>
      </c>
      <c r="O2133" t="s">
        <v>56</v>
      </c>
      <c r="P2133" t="s">
        <v>28</v>
      </c>
      <c r="Q2133">
        <v>15</v>
      </c>
      <c r="R2133">
        <v>801.19</v>
      </c>
      <c r="S2133" t="s">
        <v>39</v>
      </c>
    </row>
    <row r="2134" spans="1:19" x14ac:dyDescent="0.3">
      <c r="A2134" t="s">
        <v>2204</v>
      </c>
      <c r="B2134">
        <v>53</v>
      </c>
      <c r="C2134" t="s">
        <v>31</v>
      </c>
      <c r="D2134" t="s">
        <v>79</v>
      </c>
      <c r="E2134" s="1">
        <v>45249</v>
      </c>
      <c r="F2134" s="3">
        <v>45254</v>
      </c>
      <c r="G2134" t="s">
        <v>71</v>
      </c>
      <c r="H2134" t="s">
        <v>72</v>
      </c>
      <c r="I2134" t="s">
        <v>23</v>
      </c>
      <c r="J2134">
        <v>5115.76</v>
      </c>
      <c r="K2134">
        <v>5</v>
      </c>
      <c r="L2134" t="s">
        <v>36</v>
      </c>
      <c r="M2134" t="s">
        <v>25</v>
      </c>
      <c r="N2134" t="s">
        <v>26</v>
      </c>
      <c r="O2134" t="s">
        <v>37</v>
      </c>
      <c r="P2134" t="s">
        <v>50</v>
      </c>
      <c r="Q2134">
        <v>13</v>
      </c>
      <c r="R2134">
        <v>1003.21</v>
      </c>
      <c r="S2134" t="s">
        <v>29</v>
      </c>
    </row>
    <row r="2135" spans="1:19" x14ac:dyDescent="0.3">
      <c r="A2135" t="s">
        <v>2205</v>
      </c>
      <c r="B2135">
        <v>34</v>
      </c>
      <c r="C2135" t="s">
        <v>19</v>
      </c>
      <c r="D2135" t="s">
        <v>32</v>
      </c>
      <c r="E2135" s="1">
        <v>45210</v>
      </c>
      <c r="F2135" s="3">
        <v>45230</v>
      </c>
      <c r="G2135" t="s">
        <v>71</v>
      </c>
      <c r="H2135" t="s">
        <v>72</v>
      </c>
      <c r="I2135" t="s">
        <v>43</v>
      </c>
      <c r="J2135">
        <v>8719.36</v>
      </c>
      <c r="K2135">
        <v>20</v>
      </c>
      <c r="L2135" t="s">
        <v>36</v>
      </c>
      <c r="M2135" t="s">
        <v>76</v>
      </c>
      <c r="N2135" t="s">
        <v>44</v>
      </c>
      <c r="O2135" t="s">
        <v>56</v>
      </c>
      <c r="P2135" t="s">
        <v>38</v>
      </c>
      <c r="Q2135">
        <v>5</v>
      </c>
      <c r="R2135">
        <v>3183.62</v>
      </c>
      <c r="S2135" t="s">
        <v>29</v>
      </c>
    </row>
    <row r="2136" spans="1:19" x14ac:dyDescent="0.3">
      <c r="A2136" t="s">
        <v>2206</v>
      </c>
      <c r="B2136">
        <v>20</v>
      </c>
      <c r="C2136" t="s">
        <v>19</v>
      </c>
      <c r="D2136" t="s">
        <v>89</v>
      </c>
      <c r="E2136" s="1">
        <v>45744</v>
      </c>
      <c r="F2136" s="3">
        <v>45747</v>
      </c>
      <c r="G2136" t="s">
        <v>52</v>
      </c>
      <c r="H2136" t="s">
        <v>53</v>
      </c>
      <c r="I2136" t="s">
        <v>58</v>
      </c>
      <c r="J2136">
        <v>2908.35</v>
      </c>
      <c r="K2136">
        <v>3</v>
      </c>
      <c r="L2136" t="s">
        <v>36</v>
      </c>
      <c r="M2136" t="s">
        <v>59</v>
      </c>
      <c r="N2136" t="s">
        <v>26</v>
      </c>
      <c r="O2136" t="s">
        <v>27</v>
      </c>
      <c r="P2136" t="s">
        <v>28</v>
      </c>
      <c r="Q2136">
        <v>6</v>
      </c>
      <c r="R2136">
        <v>608.66999999999996</v>
      </c>
      <c r="S2136" t="s">
        <v>29</v>
      </c>
    </row>
    <row r="2137" spans="1:19" x14ac:dyDescent="0.3">
      <c r="A2137" t="s">
        <v>2207</v>
      </c>
      <c r="B2137">
        <v>46</v>
      </c>
      <c r="C2137" t="s">
        <v>19</v>
      </c>
      <c r="D2137" t="s">
        <v>89</v>
      </c>
      <c r="E2137" s="1">
        <v>45810</v>
      </c>
      <c r="F2137" s="3">
        <v>45822</v>
      </c>
      <c r="G2137" t="s">
        <v>41</v>
      </c>
      <c r="H2137" t="s">
        <v>42</v>
      </c>
      <c r="I2137" t="s">
        <v>83</v>
      </c>
      <c r="J2137">
        <v>4930.74</v>
      </c>
      <c r="K2137">
        <v>12</v>
      </c>
      <c r="L2137" t="s">
        <v>36</v>
      </c>
      <c r="M2137" t="s">
        <v>25</v>
      </c>
      <c r="N2137" t="s">
        <v>44</v>
      </c>
      <c r="O2137" t="s">
        <v>37</v>
      </c>
      <c r="P2137" t="s">
        <v>38</v>
      </c>
      <c r="Q2137">
        <v>7</v>
      </c>
      <c r="R2137">
        <v>988.5</v>
      </c>
      <c r="S2137" t="s">
        <v>29</v>
      </c>
    </row>
    <row r="2138" spans="1:19" x14ac:dyDescent="0.3">
      <c r="A2138" t="s">
        <v>2208</v>
      </c>
      <c r="B2138">
        <v>75</v>
      </c>
      <c r="C2138" t="s">
        <v>31</v>
      </c>
      <c r="D2138" t="s">
        <v>32</v>
      </c>
      <c r="E2138" s="1">
        <v>45027</v>
      </c>
      <c r="F2138" s="3">
        <v>45038</v>
      </c>
      <c r="G2138" t="s">
        <v>21</v>
      </c>
      <c r="H2138" t="s">
        <v>22</v>
      </c>
      <c r="I2138" t="s">
        <v>83</v>
      </c>
      <c r="J2138">
        <v>9092.73</v>
      </c>
      <c r="K2138">
        <v>11</v>
      </c>
      <c r="L2138" t="s">
        <v>36</v>
      </c>
      <c r="M2138" t="s">
        <v>25</v>
      </c>
      <c r="N2138" t="s">
        <v>55</v>
      </c>
      <c r="O2138" t="s">
        <v>56</v>
      </c>
      <c r="P2138" t="s">
        <v>45</v>
      </c>
      <c r="Q2138">
        <v>10</v>
      </c>
      <c r="R2138">
        <v>2001.85</v>
      </c>
      <c r="S2138" t="s">
        <v>39</v>
      </c>
    </row>
    <row r="2139" spans="1:19" x14ac:dyDescent="0.3">
      <c r="A2139" t="s">
        <v>2209</v>
      </c>
      <c r="B2139">
        <v>39</v>
      </c>
      <c r="C2139" t="s">
        <v>31</v>
      </c>
      <c r="D2139" t="s">
        <v>32</v>
      </c>
      <c r="E2139" s="1">
        <v>45652</v>
      </c>
      <c r="F2139" s="3">
        <v>45669</v>
      </c>
      <c r="G2139" t="s">
        <v>33</v>
      </c>
      <c r="H2139" t="s">
        <v>34</v>
      </c>
      <c r="I2139" t="s">
        <v>58</v>
      </c>
      <c r="J2139">
        <v>7092.53</v>
      </c>
      <c r="K2139">
        <v>17</v>
      </c>
      <c r="L2139" t="s">
        <v>36</v>
      </c>
      <c r="M2139" t="s">
        <v>25</v>
      </c>
      <c r="N2139" t="s">
        <v>44</v>
      </c>
      <c r="O2139" t="s">
        <v>27</v>
      </c>
      <c r="P2139" t="s">
        <v>45</v>
      </c>
      <c r="Q2139">
        <v>15</v>
      </c>
      <c r="R2139">
        <v>2613.39</v>
      </c>
      <c r="S2139" t="s">
        <v>29</v>
      </c>
    </row>
    <row r="2140" spans="1:19" x14ac:dyDescent="0.3">
      <c r="A2140" t="s">
        <v>2210</v>
      </c>
      <c r="B2140">
        <v>76</v>
      </c>
      <c r="C2140" t="s">
        <v>31</v>
      </c>
      <c r="D2140" t="s">
        <v>66</v>
      </c>
      <c r="E2140" s="1">
        <v>45052</v>
      </c>
      <c r="F2140" s="3">
        <v>45064</v>
      </c>
      <c r="G2140" t="s">
        <v>71</v>
      </c>
      <c r="H2140" t="s">
        <v>72</v>
      </c>
      <c r="I2140" t="s">
        <v>43</v>
      </c>
      <c r="J2140">
        <v>15722.85</v>
      </c>
      <c r="K2140">
        <v>12</v>
      </c>
      <c r="L2140" t="s">
        <v>24</v>
      </c>
      <c r="M2140" t="s">
        <v>59</v>
      </c>
      <c r="N2140" t="s">
        <v>55</v>
      </c>
      <c r="O2140" t="s">
        <v>49</v>
      </c>
      <c r="P2140" t="s">
        <v>45</v>
      </c>
      <c r="Q2140">
        <v>6</v>
      </c>
      <c r="R2140">
        <v>3662.77</v>
      </c>
      <c r="S2140" t="s">
        <v>29</v>
      </c>
    </row>
    <row r="2141" spans="1:19" x14ac:dyDescent="0.3">
      <c r="A2141" t="s">
        <v>2211</v>
      </c>
      <c r="B2141">
        <v>21</v>
      </c>
      <c r="C2141" t="s">
        <v>31</v>
      </c>
      <c r="D2141" t="s">
        <v>66</v>
      </c>
      <c r="E2141" s="1">
        <v>45698</v>
      </c>
      <c r="F2141" s="3">
        <v>45704</v>
      </c>
      <c r="G2141" t="s">
        <v>52</v>
      </c>
      <c r="H2141" t="s">
        <v>53</v>
      </c>
      <c r="I2141" t="s">
        <v>43</v>
      </c>
      <c r="J2141">
        <v>3684.68</v>
      </c>
      <c r="K2141">
        <v>6</v>
      </c>
      <c r="L2141" t="s">
        <v>36</v>
      </c>
      <c r="M2141" t="s">
        <v>25</v>
      </c>
      <c r="N2141" t="s">
        <v>55</v>
      </c>
      <c r="O2141" t="s">
        <v>56</v>
      </c>
      <c r="P2141" t="s">
        <v>38</v>
      </c>
      <c r="Q2141">
        <v>14</v>
      </c>
      <c r="R2141">
        <v>949.17</v>
      </c>
      <c r="S2141" t="s">
        <v>29</v>
      </c>
    </row>
    <row r="2142" spans="1:19" x14ac:dyDescent="0.3">
      <c r="A2142" t="s">
        <v>2212</v>
      </c>
      <c r="B2142">
        <v>77</v>
      </c>
      <c r="C2142" t="s">
        <v>19</v>
      </c>
      <c r="D2142" t="s">
        <v>47</v>
      </c>
      <c r="E2142" s="1">
        <v>45692</v>
      </c>
      <c r="F2142" s="3">
        <v>45711</v>
      </c>
      <c r="G2142" t="s">
        <v>62</v>
      </c>
      <c r="H2142" t="s">
        <v>63</v>
      </c>
      <c r="I2142" t="s">
        <v>54</v>
      </c>
      <c r="J2142">
        <v>17356.97</v>
      </c>
      <c r="K2142">
        <v>19</v>
      </c>
      <c r="L2142" t="s">
        <v>24</v>
      </c>
      <c r="M2142" t="s">
        <v>25</v>
      </c>
      <c r="N2142" t="s">
        <v>44</v>
      </c>
      <c r="O2142" t="s">
        <v>49</v>
      </c>
      <c r="P2142" t="s">
        <v>50</v>
      </c>
      <c r="Q2142">
        <v>15</v>
      </c>
      <c r="R2142">
        <v>3452.82</v>
      </c>
      <c r="S2142" t="s">
        <v>29</v>
      </c>
    </row>
    <row r="2143" spans="1:19" x14ac:dyDescent="0.3">
      <c r="A2143" t="s">
        <v>2213</v>
      </c>
      <c r="B2143">
        <v>64</v>
      </c>
      <c r="C2143" t="s">
        <v>19</v>
      </c>
      <c r="D2143" t="s">
        <v>89</v>
      </c>
      <c r="E2143" s="1">
        <v>45525</v>
      </c>
      <c r="F2143" s="3">
        <v>45539</v>
      </c>
      <c r="G2143" t="s">
        <v>52</v>
      </c>
      <c r="H2143" t="s">
        <v>53</v>
      </c>
      <c r="I2143" t="s">
        <v>91</v>
      </c>
      <c r="J2143">
        <v>7422.51</v>
      </c>
      <c r="K2143">
        <v>14</v>
      </c>
      <c r="L2143" t="s">
        <v>24</v>
      </c>
      <c r="M2143" t="s">
        <v>25</v>
      </c>
      <c r="N2143" t="s">
        <v>44</v>
      </c>
      <c r="O2143" t="s">
        <v>37</v>
      </c>
      <c r="P2143" t="s">
        <v>28</v>
      </c>
      <c r="Q2143">
        <v>15</v>
      </c>
      <c r="R2143">
        <v>2896.99</v>
      </c>
      <c r="S2143" t="s">
        <v>29</v>
      </c>
    </row>
    <row r="2144" spans="1:19" x14ac:dyDescent="0.3">
      <c r="A2144" t="s">
        <v>2214</v>
      </c>
      <c r="B2144">
        <v>71</v>
      </c>
      <c r="C2144" t="s">
        <v>31</v>
      </c>
      <c r="D2144" t="s">
        <v>20</v>
      </c>
      <c r="E2144" s="1">
        <v>45831</v>
      </c>
      <c r="F2144" s="3">
        <v>45848</v>
      </c>
      <c r="G2144" t="s">
        <v>67</v>
      </c>
      <c r="H2144" t="s">
        <v>42</v>
      </c>
      <c r="I2144" t="s">
        <v>23</v>
      </c>
      <c r="J2144">
        <v>6993.24</v>
      </c>
      <c r="K2144">
        <v>17</v>
      </c>
      <c r="L2144" t="s">
        <v>24</v>
      </c>
      <c r="M2144" t="s">
        <v>25</v>
      </c>
      <c r="N2144" t="s">
        <v>26</v>
      </c>
      <c r="O2144" t="s">
        <v>27</v>
      </c>
      <c r="P2144" t="s">
        <v>45</v>
      </c>
      <c r="Q2144">
        <v>10</v>
      </c>
      <c r="R2144">
        <v>2720.15</v>
      </c>
      <c r="S2144" t="s">
        <v>29</v>
      </c>
    </row>
    <row r="2145" spans="1:19" x14ac:dyDescent="0.3">
      <c r="A2145" t="s">
        <v>2215</v>
      </c>
      <c r="B2145">
        <v>66</v>
      </c>
      <c r="C2145" t="s">
        <v>19</v>
      </c>
      <c r="D2145" t="s">
        <v>61</v>
      </c>
      <c r="E2145" s="1">
        <v>45348</v>
      </c>
      <c r="F2145" s="3">
        <v>45356</v>
      </c>
      <c r="G2145" t="s">
        <v>21</v>
      </c>
      <c r="H2145" t="s">
        <v>22</v>
      </c>
      <c r="I2145" t="s">
        <v>54</v>
      </c>
      <c r="J2145">
        <v>3414.24</v>
      </c>
      <c r="K2145">
        <v>8</v>
      </c>
      <c r="L2145" t="s">
        <v>24</v>
      </c>
      <c r="M2145" t="s">
        <v>25</v>
      </c>
      <c r="N2145" t="s">
        <v>55</v>
      </c>
      <c r="O2145" t="s">
        <v>56</v>
      </c>
      <c r="P2145" t="s">
        <v>45</v>
      </c>
      <c r="Q2145">
        <v>7</v>
      </c>
      <c r="R2145">
        <v>1286.83</v>
      </c>
      <c r="S2145" t="s">
        <v>29</v>
      </c>
    </row>
    <row r="2146" spans="1:19" x14ac:dyDescent="0.3">
      <c r="A2146" t="s">
        <v>2216</v>
      </c>
      <c r="B2146">
        <v>30</v>
      </c>
      <c r="C2146" t="s">
        <v>19</v>
      </c>
      <c r="D2146" t="s">
        <v>47</v>
      </c>
      <c r="E2146" s="1">
        <v>45279</v>
      </c>
      <c r="F2146" s="3">
        <v>45294</v>
      </c>
      <c r="G2146" t="s">
        <v>67</v>
      </c>
      <c r="H2146" t="s">
        <v>42</v>
      </c>
      <c r="I2146" t="s">
        <v>43</v>
      </c>
      <c r="J2146">
        <v>7181.28</v>
      </c>
      <c r="K2146">
        <v>15</v>
      </c>
      <c r="L2146" t="s">
        <v>24</v>
      </c>
      <c r="M2146" t="s">
        <v>25</v>
      </c>
      <c r="N2146" t="s">
        <v>44</v>
      </c>
      <c r="O2146" t="s">
        <v>27</v>
      </c>
      <c r="P2146" t="s">
        <v>45</v>
      </c>
      <c r="Q2146">
        <v>13</v>
      </c>
      <c r="R2146">
        <v>2040.75</v>
      </c>
      <c r="S2146" t="s">
        <v>29</v>
      </c>
    </row>
    <row r="2147" spans="1:19" x14ac:dyDescent="0.3">
      <c r="A2147" t="s">
        <v>2217</v>
      </c>
      <c r="B2147">
        <v>21</v>
      </c>
      <c r="C2147" t="s">
        <v>19</v>
      </c>
      <c r="D2147" t="s">
        <v>47</v>
      </c>
      <c r="E2147" s="1">
        <v>45382</v>
      </c>
      <c r="F2147" s="3">
        <v>45393</v>
      </c>
      <c r="G2147" t="s">
        <v>33</v>
      </c>
      <c r="H2147" t="s">
        <v>34</v>
      </c>
      <c r="I2147" t="s">
        <v>43</v>
      </c>
      <c r="J2147">
        <v>5906.01</v>
      </c>
      <c r="K2147">
        <v>11</v>
      </c>
      <c r="L2147" t="s">
        <v>36</v>
      </c>
      <c r="M2147" t="s">
        <v>25</v>
      </c>
      <c r="N2147" t="s">
        <v>26</v>
      </c>
      <c r="O2147" t="s">
        <v>37</v>
      </c>
      <c r="P2147" t="s">
        <v>28</v>
      </c>
      <c r="Q2147">
        <v>12</v>
      </c>
      <c r="R2147">
        <v>1743.11</v>
      </c>
      <c r="S2147" t="s">
        <v>29</v>
      </c>
    </row>
    <row r="2148" spans="1:19" x14ac:dyDescent="0.3">
      <c r="A2148" t="s">
        <v>2218</v>
      </c>
      <c r="B2148">
        <v>84</v>
      </c>
      <c r="C2148" t="s">
        <v>31</v>
      </c>
      <c r="D2148" t="s">
        <v>79</v>
      </c>
      <c r="E2148" s="1">
        <v>45507</v>
      </c>
      <c r="F2148" s="3">
        <v>45510</v>
      </c>
      <c r="G2148" t="s">
        <v>71</v>
      </c>
      <c r="H2148" t="s">
        <v>72</v>
      </c>
      <c r="I2148" t="s">
        <v>83</v>
      </c>
      <c r="J2148">
        <v>2827.4</v>
      </c>
      <c r="K2148">
        <v>3</v>
      </c>
      <c r="L2148" t="s">
        <v>36</v>
      </c>
      <c r="M2148" t="s">
        <v>25</v>
      </c>
      <c r="N2148" t="s">
        <v>44</v>
      </c>
      <c r="O2148" t="s">
        <v>56</v>
      </c>
      <c r="P2148" t="s">
        <v>45</v>
      </c>
      <c r="Q2148">
        <v>11</v>
      </c>
      <c r="R2148">
        <v>510.53</v>
      </c>
      <c r="S2148" t="s">
        <v>29</v>
      </c>
    </row>
    <row r="2149" spans="1:19" x14ac:dyDescent="0.3">
      <c r="A2149" t="s">
        <v>2219</v>
      </c>
      <c r="B2149">
        <v>74</v>
      </c>
      <c r="C2149" t="s">
        <v>31</v>
      </c>
      <c r="D2149" t="s">
        <v>66</v>
      </c>
      <c r="E2149" s="1">
        <v>45073</v>
      </c>
      <c r="F2149" s="3">
        <v>45086</v>
      </c>
      <c r="G2149" t="s">
        <v>62</v>
      </c>
      <c r="H2149" t="s">
        <v>63</v>
      </c>
      <c r="I2149" t="s">
        <v>43</v>
      </c>
      <c r="J2149">
        <v>10234.57</v>
      </c>
      <c r="K2149">
        <v>13</v>
      </c>
      <c r="L2149" t="s">
        <v>24</v>
      </c>
      <c r="M2149" t="s">
        <v>59</v>
      </c>
      <c r="N2149" t="s">
        <v>44</v>
      </c>
      <c r="O2149" t="s">
        <v>49</v>
      </c>
      <c r="P2149" t="s">
        <v>28</v>
      </c>
      <c r="Q2149">
        <v>11</v>
      </c>
      <c r="R2149">
        <v>1859.71</v>
      </c>
      <c r="S2149" t="s">
        <v>29</v>
      </c>
    </row>
    <row r="2150" spans="1:19" x14ac:dyDescent="0.3">
      <c r="A2150" t="s">
        <v>2220</v>
      </c>
      <c r="B2150">
        <v>67</v>
      </c>
      <c r="C2150" t="s">
        <v>31</v>
      </c>
      <c r="D2150" t="s">
        <v>66</v>
      </c>
      <c r="E2150" s="1">
        <v>45584</v>
      </c>
      <c r="F2150" s="3">
        <v>45612</v>
      </c>
      <c r="G2150" t="s">
        <v>52</v>
      </c>
      <c r="H2150" t="s">
        <v>53</v>
      </c>
      <c r="I2150" t="s">
        <v>91</v>
      </c>
      <c r="J2150">
        <v>12178.22</v>
      </c>
      <c r="K2150">
        <v>28</v>
      </c>
      <c r="L2150" t="s">
        <v>24</v>
      </c>
      <c r="M2150" t="s">
        <v>25</v>
      </c>
      <c r="N2150" t="s">
        <v>55</v>
      </c>
      <c r="O2150" t="s">
        <v>49</v>
      </c>
      <c r="P2150" t="s">
        <v>28</v>
      </c>
      <c r="Q2150">
        <v>7</v>
      </c>
      <c r="R2150">
        <v>4012.98</v>
      </c>
      <c r="S2150" t="s">
        <v>29</v>
      </c>
    </row>
    <row r="2151" spans="1:19" x14ac:dyDescent="0.3">
      <c r="A2151" t="s">
        <v>2221</v>
      </c>
      <c r="B2151">
        <v>18</v>
      </c>
      <c r="C2151" t="s">
        <v>19</v>
      </c>
      <c r="D2151" t="s">
        <v>47</v>
      </c>
      <c r="E2151" s="1">
        <v>45886</v>
      </c>
      <c r="F2151" s="3">
        <v>45898</v>
      </c>
      <c r="G2151" t="s">
        <v>41</v>
      </c>
      <c r="H2151" t="s">
        <v>42</v>
      </c>
      <c r="I2151" t="s">
        <v>23</v>
      </c>
      <c r="J2151">
        <v>8375.7999999999993</v>
      </c>
      <c r="K2151">
        <v>12</v>
      </c>
      <c r="L2151" t="s">
        <v>36</v>
      </c>
      <c r="M2151" t="s">
        <v>25</v>
      </c>
      <c r="N2151" t="s">
        <v>26</v>
      </c>
      <c r="O2151" t="s">
        <v>37</v>
      </c>
      <c r="P2151" t="s">
        <v>38</v>
      </c>
      <c r="Q2151">
        <v>6</v>
      </c>
      <c r="R2151">
        <v>3138.13</v>
      </c>
      <c r="S2151" t="s">
        <v>29</v>
      </c>
    </row>
    <row r="2152" spans="1:19" x14ac:dyDescent="0.3">
      <c r="A2152" t="s">
        <v>2222</v>
      </c>
      <c r="B2152">
        <v>39</v>
      </c>
      <c r="C2152" t="s">
        <v>31</v>
      </c>
      <c r="D2152" t="s">
        <v>89</v>
      </c>
      <c r="E2152" s="1">
        <v>44995</v>
      </c>
      <c r="F2152" s="3">
        <v>45006</v>
      </c>
      <c r="G2152" t="s">
        <v>52</v>
      </c>
      <c r="H2152" t="s">
        <v>53</v>
      </c>
      <c r="I2152" t="s">
        <v>58</v>
      </c>
      <c r="J2152">
        <v>7400.43</v>
      </c>
      <c r="K2152">
        <v>11</v>
      </c>
      <c r="L2152" t="s">
        <v>24</v>
      </c>
      <c r="M2152" t="s">
        <v>25</v>
      </c>
      <c r="N2152" t="s">
        <v>26</v>
      </c>
      <c r="O2152" t="s">
        <v>56</v>
      </c>
      <c r="P2152" t="s">
        <v>28</v>
      </c>
      <c r="Q2152">
        <v>13</v>
      </c>
      <c r="R2152">
        <v>1869.39</v>
      </c>
      <c r="S2152" t="s">
        <v>29</v>
      </c>
    </row>
    <row r="2153" spans="1:19" x14ac:dyDescent="0.3">
      <c r="A2153" t="s">
        <v>2223</v>
      </c>
      <c r="B2153">
        <v>45</v>
      </c>
      <c r="C2153" t="s">
        <v>31</v>
      </c>
      <c r="D2153" t="s">
        <v>89</v>
      </c>
      <c r="E2153" s="1">
        <v>45323</v>
      </c>
      <c r="F2153" s="3">
        <v>45327</v>
      </c>
      <c r="G2153" t="s">
        <v>93</v>
      </c>
      <c r="H2153" t="s">
        <v>72</v>
      </c>
      <c r="I2153" t="s">
        <v>54</v>
      </c>
      <c r="J2153">
        <v>3867.92</v>
      </c>
      <c r="K2153">
        <v>4</v>
      </c>
      <c r="L2153" t="s">
        <v>24</v>
      </c>
      <c r="M2153" t="s">
        <v>25</v>
      </c>
      <c r="N2153" t="s">
        <v>55</v>
      </c>
      <c r="O2153" t="s">
        <v>56</v>
      </c>
      <c r="P2153" t="s">
        <v>28</v>
      </c>
      <c r="Q2153">
        <v>2</v>
      </c>
      <c r="R2153">
        <v>1156.48</v>
      </c>
      <c r="S2153" t="s">
        <v>29</v>
      </c>
    </row>
    <row r="2154" spans="1:19" x14ac:dyDescent="0.3">
      <c r="A2154" t="s">
        <v>2224</v>
      </c>
      <c r="B2154">
        <v>67</v>
      </c>
      <c r="C2154" t="s">
        <v>19</v>
      </c>
      <c r="D2154" t="s">
        <v>79</v>
      </c>
      <c r="E2154" s="1">
        <v>45610</v>
      </c>
      <c r="F2154" s="3">
        <v>45620</v>
      </c>
      <c r="G2154" t="s">
        <v>21</v>
      </c>
      <c r="H2154" t="s">
        <v>22</v>
      </c>
      <c r="I2154" t="s">
        <v>54</v>
      </c>
      <c r="J2154">
        <v>3316.64</v>
      </c>
      <c r="K2154">
        <v>10</v>
      </c>
      <c r="L2154" t="s">
        <v>36</v>
      </c>
      <c r="M2154" t="s">
        <v>25</v>
      </c>
      <c r="N2154" t="s">
        <v>55</v>
      </c>
      <c r="O2154" t="s">
        <v>56</v>
      </c>
      <c r="P2154" t="s">
        <v>50</v>
      </c>
      <c r="Q2154">
        <v>1</v>
      </c>
      <c r="R2154">
        <v>1281.1099999999999</v>
      </c>
      <c r="S2154" t="s">
        <v>29</v>
      </c>
    </row>
    <row r="2155" spans="1:19" x14ac:dyDescent="0.3">
      <c r="A2155" t="s">
        <v>2225</v>
      </c>
      <c r="B2155">
        <v>80</v>
      </c>
      <c r="C2155" t="s">
        <v>31</v>
      </c>
      <c r="D2155" t="s">
        <v>20</v>
      </c>
      <c r="E2155" s="1">
        <v>45702</v>
      </c>
      <c r="F2155" s="3">
        <v>45730</v>
      </c>
      <c r="G2155" t="s">
        <v>52</v>
      </c>
      <c r="H2155" t="s">
        <v>53</v>
      </c>
      <c r="I2155" t="s">
        <v>35</v>
      </c>
      <c r="J2155">
        <v>22257.43</v>
      </c>
      <c r="K2155">
        <v>28</v>
      </c>
      <c r="L2155" t="s">
        <v>36</v>
      </c>
      <c r="M2155" t="s">
        <v>25</v>
      </c>
      <c r="N2155" t="s">
        <v>44</v>
      </c>
      <c r="O2155" t="s">
        <v>49</v>
      </c>
      <c r="P2155" t="s">
        <v>28</v>
      </c>
      <c r="Q2155">
        <v>13</v>
      </c>
      <c r="R2155">
        <v>4217.05</v>
      </c>
      <c r="S2155" t="s">
        <v>29</v>
      </c>
    </row>
    <row r="2156" spans="1:19" x14ac:dyDescent="0.3">
      <c r="A2156" t="s">
        <v>2226</v>
      </c>
      <c r="B2156">
        <v>76</v>
      </c>
      <c r="C2156" t="s">
        <v>19</v>
      </c>
      <c r="D2156" t="s">
        <v>61</v>
      </c>
      <c r="E2156" s="1">
        <v>44968</v>
      </c>
      <c r="F2156" s="3">
        <v>44981</v>
      </c>
      <c r="G2156" t="s">
        <v>41</v>
      </c>
      <c r="H2156" t="s">
        <v>42</v>
      </c>
      <c r="I2156" t="s">
        <v>43</v>
      </c>
      <c r="J2156">
        <v>13700.63</v>
      </c>
      <c r="K2156">
        <v>13</v>
      </c>
      <c r="L2156" t="s">
        <v>24</v>
      </c>
      <c r="M2156" t="s">
        <v>25</v>
      </c>
      <c r="N2156" t="s">
        <v>55</v>
      </c>
      <c r="O2156" t="s">
        <v>49</v>
      </c>
      <c r="P2156" t="s">
        <v>28</v>
      </c>
      <c r="Q2156">
        <v>13</v>
      </c>
      <c r="R2156">
        <v>4436.05</v>
      </c>
      <c r="S2156" t="s">
        <v>29</v>
      </c>
    </row>
    <row r="2157" spans="1:19" x14ac:dyDescent="0.3">
      <c r="A2157" t="s">
        <v>2227</v>
      </c>
      <c r="B2157">
        <v>27</v>
      </c>
      <c r="C2157" t="s">
        <v>19</v>
      </c>
      <c r="D2157" t="s">
        <v>32</v>
      </c>
      <c r="E2157" s="1">
        <v>45920</v>
      </c>
      <c r="F2157" s="3">
        <v>45929</v>
      </c>
      <c r="G2157" t="s">
        <v>41</v>
      </c>
      <c r="H2157" t="s">
        <v>42</v>
      </c>
      <c r="I2157" t="s">
        <v>58</v>
      </c>
      <c r="J2157">
        <v>6218.09</v>
      </c>
      <c r="K2157">
        <v>9</v>
      </c>
      <c r="L2157" t="s">
        <v>36</v>
      </c>
      <c r="M2157" t="s">
        <v>25</v>
      </c>
      <c r="N2157" t="s">
        <v>44</v>
      </c>
      <c r="O2157" t="s">
        <v>27</v>
      </c>
      <c r="P2157" t="s">
        <v>38</v>
      </c>
      <c r="Q2157">
        <v>8</v>
      </c>
      <c r="R2157">
        <v>1195.57</v>
      </c>
      <c r="S2157" t="s">
        <v>29</v>
      </c>
    </row>
    <row r="2158" spans="1:19" x14ac:dyDescent="0.3">
      <c r="A2158" t="s">
        <v>2228</v>
      </c>
      <c r="B2158">
        <v>38</v>
      </c>
      <c r="C2158" t="s">
        <v>31</v>
      </c>
      <c r="D2158" t="s">
        <v>20</v>
      </c>
      <c r="E2158" s="1">
        <v>45394</v>
      </c>
      <c r="F2158" s="3">
        <v>45396</v>
      </c>
      <c r="G2158" t="s">
        <v>52</v>
      </c>
      <c r="H2158" t="s">
        <v>53</v>
      </c>
      <c r="I2158" t="s">
        <v>23</v>
      </c>
      <c r="J2158">
        <v>2493.7199999999998</v>
      </c>
      <c r="K2158">
        <v>2</v>
      </c>
      <c r="L2158" t="s">
        <v>36</v>
      </c>
      <c r="M2158" t="s">
        <v>25</v>
      </c>
      <c r="N2158" t="s">
        <v>55</v>
      </c>
      <c r="O2158" t="s">
        <v>56</v>
      </c>
      <c r="P2158" t="s">
        <v>28</v>
      </c>
      <c r="Q2158">
        <v>1</v>
      </c>
      <c r="R2158">
        <v>611.54999999999995</v>
      </c>
      <c r="S2158" t="s">
        <v>29</v>
      </c>
    </row>
    <row r="2159" spans="1:19" x14ac:dyDescent="0.3">
      <c r="A2159" t="s">
        <v>2229</v>
      </c>
      <c r="B2159">
        <v>56</v>
      </c>
      <c r="C2159" t="s">
        <v>19</v>
      </c>
      <c r="D2159" t="s">
        <v>32</v>
      </c>
      <c r="E2159" s="1">
        <v>45367</v>
      </c>
      <c r="F2159" s="3">
        <v>45378</v>
      </c>
      <c r="G2159" t="s">
        <v>41</v>
      </c>
      <c r="H2159" t="s">
        <v>42</v>
      </c>
      <c r="I2159" t="s">
        <v>91</v>
      </c>
      <c r="J2159">
        <v>9514.99</v>
      </c>
      <c r="K2159">
        <v>11</v>
      </c>
      <c r="L2159" t="s">
        <v>36</v>
      </c>
      <c r="M2159" t="s">
        <v>25</v>
      </c>
      <c r="N2159" t="s">
        <v>26</v>
      </c>
      <c r="O2159" t="s">
        <v>37</v>
      </c>
      <c r="P2159" t="s">
        <v>45</v>
      </c>
      <c r="Q2159">
        <v>11</v>
      </c>
      <c r="R2159">
        <v>1943.56</v>
      </c>
      <c r="S2159" t="s">
        <v>29</v>
      </c>
    </row>
    <row r="2160" spans="1:19" x14ac:dyDescent="0.3">
      <c r="A2160" t="s">
        <v>2230</v>
      </c>
      <c r="B2160">
        <v>83</v>
      </c>
      <c r="C2160" t="s">
        <v>19</v>
      </c>
      <c r="D2160" t="s">
        <v>47</v>
      </c>
      <c r="E2160" s="1">
        <v>45441</v>
      </c>
      <c r="F2160" s="3">
        <v>45456</v>
      </c>
      <c r="G2160" t="s">
        <v>52</v>
      </c>
      <c r="H2160" t="s">
        <v>53</v>
      </c>
      <c r="I2160" t="s">
        <v>43</v>
      </c>
      <c r="J2160">
        <v>6477.75</v>
      </c>
      <c r="K2160">
        <v>15</v>
      </c>
      <c r="L2160" t="s">
        <v>36</v>
      </c>
      <c r="M2160" t="s">
        <v>25</v>
      </c>
      <c r="N2160" t="s">
        <v>44</v>
      </c>
      <c r="O2160" t="s">
        <v>27</v>
      </c>
      <c r="P2160" t="s">
        <v>45</v>
      </c>
      <c r="Q2160">
        <v>9</v>
      </c>
      <c r="R2160">
        <v>1315.75</v>
      </c>
      <c r="S2160" t="s">
        <v>29</v>
      </c>
    </row>
    <row r="2161" spans="1:19" x14ac:dyDescent="0.3">
      <c r="A2161" t="s">
        <v>2231</v>
      </c>
      <c r="B2161">
        <v>18</v>
      </c>
      <c r="C2161" t="s">
        <v>19</v>
      </c>
      <c r="D2161" t="s">
        <v>20</v>
      </c>
      <c r="E2161" s="1">
        <v>45859</v>
      </c>
      <c r="F2161" s="3">
        <v>45865</v>
      </c>
      <c r="G2161" t="s">
        <v>74</v>
      </c>
      <c r="H2161" t="s">
        <v>75</v>
      </c>
      <c r="I2161" t="s">
        <v>81</v>
      </c>
      <c r="J2161">
        <v>5358.56</v>
      </c>
      <c r="K2161">
        <v>6</v>
      </c>
      <c r="L2161" t="s">
        <v>36</v>
      </c>
      <c r="M2161" t="s">
        <v>59</v>
      </c>
      <c r="N2161" t="s">
        <v>44</v>
      </c>
      <c r="O2161" t="s">
        <v>56</v>
      </c>
      <c r="P2161" t="s">
        <v>38</v>
      </c>
      <c r="Q2161">
        <v>1</v>
      </c>
      <c r="R2161">
        <v>1095.73</v>
      </c>
      <c r="S2161" t="s">
        <v>29</v>
      </c>
    </row>
    <row r="2162" spans="1:19" x14ac:dyDescent="0.3">
      <c r="A2162" t="s">
        <v>2232</v>
      </c>
      <c r="B2162">
        <v>50</v>
      </c>
      <c r="C2162" t="s">
        <v>19</v>
      </c>
      <c r="D2162" t="s">
        <v>70</v>
      </c>
      <c r="E2162" s="1">
        <v>45706</v>
      </c>
      <c r="F2162" s="3">
        <v>45722</v>
      </c>
      <c r="G2162" t="s">
        <v>67</v>
      </c>
      <c r="H2162" t="s">
        <v>42</v>
      </c>
      <c r="I2162" t="s">
        <v>58</v>
      </c>
      <c r="J2162">
        <v>11097.39</v>
      </c>
      <c r="K2162">
        <v>16</v>
      </c>
      <c r="L2162" t="s">
        <v>24</v>
      </c>
      <c r="M2162" t="s">
        <v>25</v>
      </c>
      <c r="N2162" t="s">
        <v>26</v>
      </c>
      <c r="O2162" t="s">
        <v>37</v>
      </c>
      <c r="P2162" t="s">
        <v>45</v>
      </c>
      <c r="Q2162">
        <v>11</v>
      </c>
      <c r="R2162">
        <v>1716.97</v>
      </c>
      <c r="S2162" t="s">
        <v>29</v>
      </c>
    </row>
    <row r="2163" spans="1:19" x14ac:dyDescent="0.3">
      <c r="A2163" t="s">
        <v>2233</v>
      </c>
      <c r="B2163">
        <v>18</v>
      </c>
      <c r="C2163" t="s">
        <v>19</v>
      </c>
      <c r="D2163" t="s">
        <v>20</v>
      </c>
      <c r="E2163" s="1">
        <v>45044</v>
      </c>
      <c r="F2163" s="3">
        <v>45065</v>
      </c>
      <c r="G2163" t="s">
        <v>62</v>
      </c>
      <c r="H2163" t="s">
        <v>63</v>
      </c>
      <c r="I2163" t="s">
        <v>43</v>
      </c>
      <c r="J2163">
        <v>11547.04</v>
      </c>
      <c r="K2163">
        <v>21</v>
      </c>
      <c r="L2163" t="s">
        <v>36</v>
      </c>
      <c r="M2163" t="s">
        <v>59</v>
      </c>
      <c r="N2163" t="s">
        <v>26</v>
      </c>
      <c r="O2163" t="s">
        <v>49</v>
      </c>
      <c r="P2163" t="s">
        <v>28</v>
      </c>
      <c r="Q2163">
        <v>7</v>
      </c>
      <c r="R2163">
        <v>2313.7600000000002</v>
      </c>
      <c r="S2163" t="s">
        <v>39</v>
      </c>
    </row>
    <row r="2164" spans="1:19" x14ac:dyDescent="0.3">
      <c r="A2164" t="s">
        <v>2234</v>
      </c>
      <c r="B2164">
        <v>41</v>
      </c>
      <c r="C2164" t="s">
        <v>31</v>
      </c>
      <c r="D2164" t="s">
        <v>66</v>
      </c>
      <c r="E2164" s="1">
        <v>45615</v>
      </c>
      <c r="F2164" s="3">
        <v>45629</v>
      </c>
      <c r="G2164" t="s">
        <v>74</v>
      </c>
      <c r="H2164" t="s">
        <v>75</v>
      </c>
      <c r="I2164" t="s">
        <v>58</v>
      </c>
      <c r="J2164">
        <v>7729.11</v>
      </c>
      <c r="K2164">
        <v>14</v>
      </c>
      <c r="L2164" t="s">
        <v>36</v>
      </c>
      <c r="M2164" t="s">
        <v>25</v>
      </c>
      <c r="N2164" t="s">
        <v>26</v>
      </c>
      <c r="O2164" t="s">
        <v>56</v>
      </c>
      <c r="P2164" t="s">
        <v>28</v>
      </c>
      <c r="Q2164">
        <v>7</v>
      </c>
      <c r="R2164">
        <v>1768.83</v>
      </c>
      <c r="S2164" t="s">
        <v>29</v>
      </c>
    </row>
    <row r="2165" spans="1:19" x14ac:dyDescent="0.3">
      <c r="A2165" t="s">
        <v>2235</v>
      </c>
      <c r="B2165">
        <v>43</v>
      </c>
      <c r="C2165" t="s">
        <v>31</v>
      </c>
      <c r="D2165" t="s">
        <v>20</v>
      </c>
      <c r="E2165" s="1">
        <v>45858</v>
      </c>
      <c r="F2165" s="3">
        <v>45877</v>
      </c>
      <c r="G2165" t="s">
        <v>74</v>
      </c>
      <c r="H2165" t="s">
        <v>75</v>
      </c>
      <c r="I2165" t="s">
        <v>35</v>
      </c>
      <c r="J2165">
        <v>9822.9599999999991</v>
      </c>
      <c r="K2165">
        <v>19</v>
      </c>
      <c r="L2165" t="s">
        <v>36</v>
      </c>
      <c r="M2165" t="s">
        <v>101</v>
      </c>
      <c r="N2165" t="s">
        <v>44</v>
      </c>
      <c r="O2165" t="s">
        <v>37</v>
      </c>
      <c r="P2165" t="s">
        <v>45</v>
      </c>
      <c r="Q2165">
        <v>15</v>
      </c>
      <c r="R2165">
        <v>3080.26</v>
      </c>
      <c r="S2165" t="s">
        <v>29</v>
      </c>
    </row>
    <row r="2166" spans="1:19" x14ac:dyDescent="0.3">
      <c r="A2166" t="s">
        <v>2236</v>
      </c>
      <c r="B2166">
        <v>39</v>
      </c>
      <c r="C2166" t="s">
        <v>31</v>
      </c>
      <c r="D2166" t="s">
        <v>61</v>
      </c>
      <c r="E2166" s="1">
        <v>45292</v>
      </c>
      <c r="F2166" s="3">
        <v>45311</v>
      </c>
      <c r="G2166" t="s">
        <v>74</v>
      </c>
      <c r="H2166" t="s">
        <v>75</v>
      </c>
      <c r="I2166" t="s">
        <v>83</v>
      </c>
      <c r="J2166">
        <v>13586.29</v>
      </c>
      <c r="K2166">
        <v>19</v>
      </c>
      <c r="L2166" t="s">
        <v>24</v>
      </c>
      <c r="M2166" t="s">
        <v>25</v>
      </c>
      <c r="N2166" t="s">
        <v>55</v>
      </c>
      <c r="O2166" t="s">
        <v>56</v>
      </c>
      <c r="P2166" t="s">
        <v>50</v>
      </c>
      <c r="Q2166">
        <v>15</v>
      </c>
      <c r="R2166">
        <v>4843.59</v>
      </c>
      <c r="S2166" t="s">
        <v>29</v>
      </c>
    </row>
    <row r="2167" spans="1:19" x14ac:dyDescent="0.3">
      <c r="A2167" t="s">
        <v>2237</v>
      </c>
      <c r="B2167">
        <v>62</v>
      </c>
      <c r="C2167" t="s">
        <v>19</v>
      </c>
      <c r="D2167" t="s">
        <v>61</v>
      </c>
      <c r="E2167" s="1">
        <v>45060</v>
      </c>
      <c r="F2167" s="3">
        <v>45078</v>
      </c>
      <c r="G2167" t="s">
        <v>67</v>
      </c>
      <c r="H2167" t="s">
        <v>42</v>
      </c>
      <c r="I2167" t="s">
        <v>83</v>
      </c>
      <c r="J2167">
        <v>15112.22</v>
      </c>
      <c r="K2167">
        <v>18</v>
      </c>
      <c r="L2167" t="s">
        <v>24</v>
      </c>
      <c r="M2167" t="s">
        <v>25</v>
      </c>
      <c r="N2167" t="s">
        <v>26</v>
      </c>
      <c r="O2167" t="s">
        <v>56</v>
      </c>
      <c r="P2167" t="s">
        <v>45</v>
      </c>
      <c r="Q2167">
        <v>15</v>
      </c>
      <c r="R2167">
        <v>3562.63</v>
      </c>
      <c r="S2167" t="s">
        <v>29</v>
      </c>
    </row>
    <row r="2168" spans="1:19" x14ac:dyDescent="0.3">
      <c r="A2168" t="s">
        <v>2238</v>
      </c>
      <c r="B2168">
        <v>34</v>
      </c>
      <c r="C2168" t="s">
        <v>19</v>
      </c>
      <c r="D2168" t="s">
        <v>66</v>
      </c>
      <c r="E2168" s="1">
        <v>44935</v>
      </c>
      <c r="F2168" s="3">
        <v>44939</v>
      </c>
      <c r="G2168" t="s">
        <v>67</v>
      </c>
      <c r="H2168" t="s">
        <v>42</v>
      </c>
      <c r="I2168" t="s">
        <v>43</v>
      </c>
      <c r="J2168">
        <v>1814.88</v>
      </c>
      <c r="K2168">
        <v>4</v>
      </c>
      <c r="L2168" t="s">
        <v>24</v>
      </c>
      <c r="M2168" t="s">
        <v>25</v>
      </c>
      <c r="N2168" t="s">
        <v>26</v>
      </c>
      <c r="O2168" t="s">
        <v>27</v>
      </c>
      <c r="P2168" t="s">
        <v>45</v>
      </c>
      <c r="Q2168">
        <v>14</v>
      </c>
      <c r="R2168">
        <v>716.15</v>
      </c>
      <c r="S2168" t="s">
        <v>29</v>
      </c>
    </row>
    <row r="2169" spans="1:19" x14ac:dyDescent="0.3">
      <c r="A2169" t="s">
        <v>2239</v>
      </c>
      <c r="B2169">
        <v>52</v>
      </c>
      <c r="C2169" t="s">
        <v>19</v>
      </c>
      <c r="D2169" t="s">
        <v>47</v>
      </c>
      <c r="E2169" s="1">
        <v>45134</v>
      </c>
      <c r="F2169" s="3">
        <v>45148</v>
      </c>
      <c r="G2169" t="s">
        <v>41</v>
      </c>
      <c r="H2169" t="s">
        <v>42</v>
      </c>
      <c r="I2169" t="s">
        <v>58</v>
      </c>
      <c r="J2169">
        <v>4244.54</v>
      </c>
      <c r="K2169">
        <v>14</v>
      </c>
      <c r="L2169" t="s">
        <v>24</v>
      </c>
      <c r="M2169" t="s">
        <v>25</v>
      </c>
      <c r="N2169" t="s">
        <v>44</v>
      </c>
      <c r="O2169" t="s">
        <v>37</v>
      </c>
      <c r="P2169" t="s">
        <v>45</v>
      </c>
      <c r="Q2169">
        <v>10</v>
      </c>
      <c r="R2169">
        <v>716.93</v>
      </c>
      <c r="S2169" t="s">
        <v>39</v>
      </c>
    </row>
    <row r="2170" spans="1:19" x14ac:dyDescent="0.3">
      <c r="A2170" t="s">
        <v>2240</v>
      </c>
      <c r="B2170">
        <v>22</v>
      </c>
      <c r="C2170" t="s">
        <v>19</v>
      </c>
      <c r="D2170" t="s">
        <v>79</v>
      </c>
      <c r="E2170" s="1">
        <v>45742</v>
      </c>
      <c r="F2170" s="3">
        <v>45747</v>
      </c>
      <c r="G2170" t="s">
        <v>52</v>
      </c>
      <c r="H2170" t="s">
        <v>53</v>
      </c>
      <c r="I2170" t="s">
        <v>83</v>
      </c>
      <c r="J2170">
        <v>5837.89</v>
      </c>
      <c r="K2170">
        <v>5</v>
      </c>
      <c r="L2170" t="s">
        <v>36</v>
      </c>
      <c r="M2170" t="s">
        <v>25</v>
      </c>
      <c r="N2170" t="s">
        <v>26</v>
      </c>
      <c r="O2170" t="s">
        <v>37</v>
      </c>
      <c r="P2170" t="s">
        <v>50</v>
      </c>
      <c r="Q2170">
        <v>7</v>
      </c>
      <c r="R2170">
        <v>1463.13</v>
      </c>
      <c r="S2170" t="s">
        <v>29</v>
      </c>
    </row>
    <row r="2171" spans="1:19" x14ac:dyDescent="0.3">
      <c r="A2171" t="s">
        <v>2241</v>
      </c>
      <c r="B2171">
        <v>27</v>
      </c>
      <c r="C2171" t="s">
        <v>19</v>
      </c>
      <c r="D2171" t="s">
        <v>61</v>
      </c>
      <c r="E2171" s="1">
        <v>45797</v>
      </c>
      <c r="F2171" s="3">
        <v>45804</v>
      </c>
      <c r="G2171" t="s">
        <v>52</v>
      </c>
      <c r="H2171" t="s">
        <v>53</v>
      </c>
      <c r="I2171" t="s">
        <v>58</v>
      </c>
      <c r="J2171">
        <v>5051.26</v>
      </c>
      <c r="K2171">
        <v>7</v>
      </c>
      <c r="L2171" t="s">
        <v>24</v>
      </c>
      <c r="M2171" t="s">
        <v>25</v>
      </c>
      <c r="N2171" t="s">
        <v>55</v>
      </c>
      <c r="O2171" t="s">
        <v>56</v>
      </c>
      <c r="P2171" t="s">
        <v>38</v>
      </c>
      <c r="Q2171">
        <v>15</v>
      </c>
      <c r="R2171">
        <v>1212.98</v>
      </c>
      <c r="S2171" t="s">
        <v>29</v>
      </c>
    </row>
    <row r="2172" spans="1:19" x14ac:dyDescent="0.3">
      <c r="A2172" t="s">
        <v>2242</v>
      </c>
      <c r="B2172">
        <v>81</v>
      </c>
      <c r="C2172" t="s">
        <v>31</v>
      </c>
      <c r="D2172" t="s">
        <v>79</v>
      </c>
      <c r="E2172" s="1">
        <v>45747</v>
      </c>
      <c r="F2172" s="3">
        <v>45748</v>
      </c>
      <c r="G2172" t="s">
        <v>71</v>
      </c>
      <c r="H2172" t="s">
        <v>72</v>
      </c>
      <c r="I2172" t="s">
        <v>35</v>
      </c>
      <c r="J2172">
        <v>2890.16</v>
      </c>
      <c r="K2172">
        <v>1</v>
      </c>
      <c r="L2172" t="s">
        <v>36</v>
      </c>
      <c r="M2172" t="s">
        <v>25</v>
      </c>
      <c r="N2172" t="s">
        <v>55</v>
      </c>
      <c r="O2172" t="s">
        <v>56</v>
      </c>
      <c r="P2172" t="s">
        <v>45</v>
      </c>
      <c r="Q2172">
        <v>1</v>
      </c>
      <c r="R2172">
        <v>1126.6500000000001</v>
      </c>
      <c r="S2172" t="s">
        <v>29</v>
      </c>
    </row>
    <row r="2173" spans="1:19" x14ac:dyDescent="0.3">
      <c r="A2173" t="s">
        <v>2243</v>
      </c>
      <c r="B2173">
        <v>64</v>
      </c>
      <c r="C2173" t="s">
        <v>31</v>
      </c>
      <c r="D2173" t="s">
        <v>66</v>
      </c>
      <c r="E2173" s="1">
        <v>45071</v>
      </c>
      <c r="F2173" s="3">
        <v>45081</v>
      </c>
      <c r="G2173" t="s">
        <v>71</v>
      </c>
      <c r="H2173" t="s">
        <v>72</v>
      </c>
      <c r="I2173" t="s">
        <v>54</v>
      </c>
      <c r="J2173">
        <v>3868.1</v>
      </c>
      <c r="K2173">
        <v>10</v>
      </c>
      <c r="L2173" t="s">
        <v>36</v>
      </c>
      <c r="M2173" t="s">
        <v>25</v>
      </c>
      <c r="N2173" t="s">
        <v>55</v>
      </c>
      <c r="O2173" t="s">
        <v>56</v>
      </c>
      <c r="P2173" t="s">
        <v>28</v>
      </c>
      <c r="Q2173">
        <v>10</v>
      </c>
      <c r="R2173">
        <v>1201.22</v>
      </c>
      <c r="S2173" t="s">
        <v>29</v>
      </c>
    </row>
    <row r="2174" spans="1:19" x14ac:dyDescent="0.3">
      <c r="A2174" t="s">
        <v>2244</v>
      </c>
      <c r="B2174">
        <v>81</v>
      </c>
      <c r="C2174" t="s">
        <v>31</v>
      </c>
      <c r="D2174" t="s">
        <v>61</v>
      </c>
      <c r="E2174" s="1">
        <v>45311</v>
      </c>
      <c r="F2174" s="3">
        <v>45320</v>
      </c>
      <c r="G2174" t="s">
        <v>67</v>
      </c>
      <c r="H2174" t="s">
        <v>42</v>
      </c>
      <c r="I2174" t="s">
        <v>83</v>
      </c>
      <c r="J2174">
        <v>4203.58</v>
      </c>
      <c r="K2174">
        <v>9</v>
      </c>
      <c r="L2174" t="s">
        <v>24</v>
      </c>
      <c r="M2174" t="s">
        <v>25</v>
      </c>
      <c r="N2174" t="s">
        <v>26</v>
      </c>
      <c r="O2174" t="s">
        <v>37</v>
      </c>
      <c r="P2174" t="s">
        <v>45</v>
      </c>
      <c r="Q2174">
        <v>11</v>
      </c>
      <c r="R2174">
        <v>1511.61</v>
      </c>
      <c r="S2174" t="s">
        <v>29</v>
      </c>
    </row>
    <row r="2175" spans="1:19" x14ac:dyDescent="0.3">
      <c r="A2175" t="s">
        <v>2245</v>
      </c>
      <c r="B2175">
        <v>49</v>
      </c>
      <c r="C2175" t="s">
        <v>19</v>
      </c>
      <c r="D2175" t="s">
        <v>20</v>
      </c>
      <c r="E2175" s="1">
        <v>45821</v>
      </c>
      <c r="F2175" s="3">
        <v>45837</v>
      </c>
      <c r="G2175" t="s">
        <v>74</v>
      </c>
      <c r="H2175" t="s">
        <v>75</v>
      </c>
      <c r="I2175" t="s">
        <v>54</v>
      </c>
      <c r="J2175">
        <v>11801.08</v>
      </c>
      <c r="K2175">
        <v>16</v>
      </c>
      <c r="L2175" t="s">
        <v>36</v>
      </c>
      <c r="M2175" t="s">
        <v>25</v>
      </c>
      <c r="N2175" t="s">
        <v>55</v>
      </c>
      <c r="O2175" t="s">
        <v>37</v>
      </c>
      <c r="P2175" t="s">
        <v>38</v>
      </c>
      <c r="Q2175">
        <v>10</v>
      </c>
      <c r="R2175">
        <v>2285.48</v>
      </c>
      <c r="S2175" t="s">
        <v>29</v>
      </c>
    </row>
    <row r="2176" spans="1:19" x14ac:dyDescent="0.3">
      <c r="A2176" t="s">
        <v>2246</v>
      </c>
      <c r="B2176">
        <v>77</v>
      </c>
      <c r="C2176" t="s">
        <v>19</v>
      </c>
      <c r="D2176" t="s">
        <v>61</v>
      </c>
      <c r="E2176" s="1">
        <v>45514</v>
      </c>
      <c r="F2176" s="3">
        <v>45520</v>
      </c>
      <c r="G2176" t="s">
        <v>41</v>
      </c>
      <c r="H2176" t="s">
        <v>42</v>
      </c>
      <c r="I2176" t="s">
        <v>81</v>
      </c>
      <c r="J2176">
        <v>3740.67</v>
      </c>
      <c r="K2176">
        <v>6</v>
      </c>
      <c r="L2176" t="s">
        <v>36</v>
      </c>
      <c r="M2176" t="s">
        <v>25</v>
      </c>
      <c r="N2176" t="s">
        <v>44</v>
      </c>
      <c r="O2176" t="s">
        <v>56</v>
      </c>
      <c r="P2176" t="s">
        <v>50</v>
      </c>
      <c r="Q2176">
        <v>11</v>
      </c>
      <c r="R2176">
        <v>1079.23</v>
      </c>
      <c r="S2176" t="s">
        <v>29</v>
      </c>
    </row>
    <row r="2177" spans="1:19" x14ac:dyDescent="0.3">
      <c r="A2177" t="s">
        <v>2247</v>
      </c>
      <c r="B2177">
        <v>42</v>
      </c>
      <c r="C2177" t="s">
        <v>31</v>
      </c>
      <c r="D2177" t="s">
        <v>66</v>
      </c>
      <c r="E2177" s="1">
        <v>45339</v>
      </c>
      <c r="F2177" s="3">
        <v>45357</v>
      </c>
      <c r="G2177" t="s">
        <v>52</v>
      </c>
      <c r="H2177" t="s">
        <v>53</v>
      </c>
      <c r="I2177" t="s">
        <v>23</v>
      </c>
      <c r="J2177">
        <v>6139.53</v>
      </c>
      <c r="K2177">
        <v>18</v>
      </c>
      <c r="L2177" t="s">
        <v>36</v>
      </c>
      <c r="M2177" t="s">
        <v>59</v>
      </c>
      <c r="N2177" t="s">
        <v>44</v>
      </c>
      <c r="O2177" t="s">
        <v>27</v>
      </c>
      <c r="P2177" t="s">
        <v>45</v>
      </c>
      <c r="Q2177">
        <v>1</v>
      </c>
      <c r="R2177">
        <v>1904.8</v>
      </c>
      <c r="S2177" t="s">
        <v>39</v>
      </c>
    </row>
    <row r="2178" spans="1:19" x14ac:dyDescent="0.3">
      <c r="A2178" t="s">
        <v>2248</v>
      </c>
      <c r="B2178">
        <v>57</v>
      </c>
      <c r="C2178" t="s">
        <v>19</v>
      </c>
      <c r="D2178" t="s">
        <v>61</v>
      </c>
      <c r="E2178" s="1">
        <v>45527</v>
      </c>
      <c r="F2178" s="3">
        <v>45538</v>
      </c>
      <c r="G2178" t="s">
        <v>74</v>
      </c>
      <c r="H2178" t="s">
        <v>75</v>
      </c>
      <c r="I2178" t="s">
        <v>81</v>
      </c>
      <c r="J2178">
        <v>5201.07</v>
      </c>
      <c r="K2178">
        <v>11</v>
      </c>
      <c r="L2178" t="s">
        <v>24</v>
      </c>
      <c r="M2178" t="s">
        <v>25</v>
      </c>
      <c r="N2178" t="s">
        <v>26</v>
      </c>
      <c r="O2178" t="s">
        <v>27</v>
      </c>
      <c r="P2178" t="s">
        <v>45</v>
      </c>
      <c r="Q2178">
        <v>14</v>
      </c>
      <c r="R2178">
        <v>1135.5999999999999</v>
      </c>
      <c r="S2178" t="s">
        <v>29</v>
      </c>
    </row>
    <row r="2179" spans="1:19" x14ac:dyDescent="0.3">
      <c r="A2179" t="s">
        <v>2249</v>
      </c>
      <c r="B2179">
        <v>52</v>
      </c>
      <c r="C2179" t="s">
        <v>31</v>
      </c>
      <c r="D2179" t="s">
        <v>89</v>
      </c>
      <c r="E2179" s="1">
        <v>45578</v>
      </c>
      <c r="F2179" s="3">
        <v>45582</v>
      </c>
      <c r="G2179" t="s">
        <v>74</v>
      </c>
      <c r="H2179" t="s">
        <v>75</v>
      </c>
      <c r="I2179" t="s">
        <v>83</v>
      </c>
      <c r="J2179">
        <v>3120.46</v>
      </c>
      <c r="K2179">
        <v>4</v>
      </c>
      <c r="L2179" t="s">
        <v>36</v>
      </c>
      <c r="M2179" t="s">
        <v>25</v>
      </c>
      <c r="N2179" t="s">
        <v>55</v>
      </c>
      <c r="O2179" t="s">
        <v>27</v>
      </c>
      <c r="P2179" t="s">
        <v>38</v>
      </c>
      <c r="Q2179">
        <v>14</v>
      </c>
      <c r="R2179">
        <v>802.48</v>
      </c>
      <c r="S2179" t="s">
        <v>29</v>
      </c>
    </row>
    <row r="2180" spans="1:19" x14ac:dyDescent="0.3">
      <c r="A2180" t="s">
        <v>2250</v>
      </c>
      <c r="B2180">
        <v>57</v>
      </c>
      <c r="C2180" t="s">
        <v>19</v>
      </c>
      <c r="D2180" t="s">
        <v>70</v>
      </c>
      <c r="E2180" s="1">
        <v>45711</v>
      </c>
      <c r="F2180" s="3">
        <v>45722</v>
      </c>
      <c r="G2180" t="s">
        <v>93</v>
      </c>
      <c r="H2180" t="s">
        <v>72</v>
      </c>
      <c r="I2180" t="s">
        <v>35</v>
      </c>
      <c r="J2180">
        <v>9261.75</v>
      </c>
      <c r="K2180">
        <v>11</v>
      </c>
      <c r="L2180" t="s">
        <v>36</v>
      </c>
      <c r="M2180" t="s">
        <v>25</v>
      </c>
      <c r="N2180" t="s">
        <v>44</v>
      </c>
      <c r="O2180" t="s">
        <v>49</v>
      </c>
      <c r="P2180" t="s">
        <v>50</v>
      </c>
      <c r="Q2180">
        <v>15</v>
      </c>
      <c r="R2180">
        <v>3673.01</v>
      </c>
      <c r="S2180" t="s">
        <v>29</v>
      </c>
    </row>
    <row r="2181" spans="1:19" x14ac:dyDescent="0.3">
      <c r="A2181" t="s">
        <v>2251</v>
      </c>
      <c r="B2181">
        <v>65</v>
      </c>
      <c r="C2181" t="s">
        <v>31</v>
      </c>
      <c r="D2181" t="s">
        <v>89</v>
      </c>
      <c r="E2181" s="1">
        <v>45169</v>
      </c>
      <c r="F2181" s="3">
        <v>45184</v>
      </c>
      <c r="G2181" t="s">
        <v>71</v>
      </c>
      <c r="H2181" t="s">
        <v>72</v>
      </c>
      <c r="I2181" t="s">
        <v>83</v>
      </c>
      <c r="J2181">
        <v>13073.19</v>
      </c>
      <c r="K2181">
        <v>15</v>
      </c>
      <c r="L2181" t="s">
        <v>36</v>
      </c>
      <c r="M2181" t="s">
        <v>25</v>
      </c>
      <c r="N2181" t="s">
        <v>55</v>
      </c>
      <c r="O2181" t="s">
        <v>37</v>
      </c>
      <c r="P2181" t="s">
        <v>28</v>
      </c>
      <c r="Q2181">
        <v>7</v>
      </c>
      <c r="R2181">
        <v>2360.5100000000002</v>
      </c>
      <c r="S2181" t="s">
        <v>29</v>
      </c>
    </row>
    <row r="2182" spans="1:19" x14ac:dyDescent="0.3">
      <c r="A2182" t="s">
        <v>2252</v>
      </c>
      <c r="B2182">
        <v>80</v>
      </c>
      <c r="C2182" t="s">
        <v>19</v>
      </c>
      <c r="D2182" t="s">
        <v>70</v>
      </c>
      <c r="E2182" s="1">
        <v>45757</v>
      </c>
      <c r="F2182" s="3">
        <v>45760</v>
      </c>
      <c r="G2182" t="s">
        <v>62</v>
      </c>
      <c r="H2182" t="s">
        <v>63</v>
      </c>
      <c r="I2182" t="s">
        <v>23</v>
      </c>
      <c r="J2182">
        <v>3631.69</v>
      </c>
      <c r="K2182">
        <v>3</v>
      </c>
      <c r="L2182" t="s">
        <v>36</v>
      </c>
      <c r="M2182" t="s">
        <v>25</v>
      </c>
      <c r="N2182" t="s">
        <v>26</v>
      </c>
      <c r="O2182" t="s">
        <v>56</v>
      </c>
      <c r="P2182" t="s">
        <v>28</v>
      </c>
      <c r="Q2182">
        <v>12</v>
      </c>
      <c r="R2182">
        <v>649.52</v>
      </c>
      <c r="S2182" t="s">
        <v>29</v>
      </c>
    </row>
    <row r="2183" spans="1:19" x14ac:dyDescent="0.3">
      <c r="A2183" t="s">
        <v>2253</v>
      </c>
      <c r="B2183">
        <v>63</v>
      </c>
      <c r="C2183" t="s">
        <v>19</v>
      </c>
      <c r="D2183" t="s">
        <v>20</v>
      </c>
      <c r="E2183" s="1">
        <v>45898</v>
      </c>
      <c r="F2183" s="3">
        <v>45901</v>
      </c>
      <c r="G2183" t="s">
        <v>71</v>
      </c>
      <c r="H2183" t="s">
        <v>72</v>
      </c>
      <c r="I2183" t="s">
        <v>83</v>
      </c>
      <c r="J2183">
        <v>1677.67</v>
      </c>
      <c r="K2183">
        <v>3</v>
      </c>
      <c r="L2183" t="s">
        <v>24</v>
      </c>
      <c r="M2183" t="s">
        <v>25</v>
      </c>
      <c r="N2183" t="s">
        <v>44</v>
      </c>
      <c r="O2183" t="s">
        <v>56</v>
      </c>
      <c r="P2183" t="s">
        <v>28</v>
      </c>
      <c r="Q2183">
        <v>12</v>
      </c>
      <c r="R2183">
        <v>563.23</v>
      </c>
      <c r="S2183" t="s">
        <v>29</v>
      </c>
    </row>
    <row r="2184" spans="1:19" x14ac:dyDescent="0.3">
      <c r="A2184" t="s">
        <v>2254</v>
      </c>
      <c r="B2184">
        <v>63</v>
      </c>
      <c r="C2184" t="s">
        <v>19</v>
      </c>
      <c r="D2184" t="s">
        <v>66</v>
      </c>
      <c r="E2184" s="1">
        <v>45065</v>
      </c>
      <c r="F2184" s="3">
        <v>45080</v>
      </c>
      <c r="G2184" t="s">
        <v>52</v>
      </c>
      <c r="H2184" t="s">
        <v>53</v>
      </c>
      <c r="I2184" t="s">
        <v>83</v>
      </c>
      <c r="J2184">
        <v>10130.27</v>
      </c>
      <c r="K2184">
        <v>15</v>
      </c>
      <c r="L2184" t="s">
        <v>36</v>
      </c>
      <c r="M2184" t="s">
        <v>25</v>
      </c>
      <c r="N2184" t="s">
        <v>44</v>
      </c>
      <c r="O2184" t="s">
        <v>27</v>
      </c>
      <c r="P2184" t="s">
        <v>45</v>
      </c>
      <c r="Q2184">
        <v>9</v>
      </c>
      <c r="R2184">
        <v>2100.8200000000002</v>
      </c>
      <c r="S2184" t="s">
        <v>39</v>
      </c>
    </row>
    <row r="2185" spans="1:19" x14ac:dyDescent="0.3">
      <c r="A2185" t="s">
        <v>2255</v>
      </c>
      <c r="B2185">
        <v>63</v>
      </c>
      <c r="C2185" t="s">
        <v>31</v>
      </c>
      <c r="D2185" t="s">
        <v>32</v>
      </c>
      <c r="E2185" s="1">
        <v>44996</v>
      </c>
      <c r="F2185" s="3">
        <v>45014</v>
      </c>
      <c r="G2185" t="s">
        <v>21</v>
      </c>
      <c r="H2185" t="s">
        <v>22</v>
      </c>
      <c r="I2185" t="s">
        <v>58</v>
      </c>
      <c r="J2185">
        <v>13595.94</v>
      </c>
      <c r="K2185">
        <v>18</v>
      </c>
      <c r="L2185" t="s">
        <v>36</v>
      </c>
      <c r="M2185" t="s">
        <v>25</v>
      </c>
      <c r="N2185" t="s">
        <v>44</v>
      </c>
      <c r="O2185" t="s">
        <v>37</v>
      </c>
      <c r="P2185" t="s">
        <v>38</v>
      </c>
      <c r="Q2185">
        <v>15</v>
      </c>
      <c r="R2185">
        <v>5299.48</v>
      </c>
      <c r="S2185" t="s">
        <v>29</v>
      </c>
    </row>
    <row r="2186" spans="1:19" x14ac:dyDescent="0.3">
      <c r="A2186" t="s">
        <v>2256</v>
      </c>
      <c r="B2186">
        <v>20</v>
      </c>
      <c r="C2186" t="s">
        <v>19</v>
      </c>
      <c r="D2186" t="s">
        <v>47</v>
      </c>
      <c r="E2186" s="1">
        <v>45029</v>
      </c>
      <c r="F2186" s="3">
        <v>45051</v>
      </c>
      <c r="G2186" t="s">
        <v>74</v>
      </c>
      <c r="H2186" t="s">
        <v>75</v>
      </c>
      <c r="I2186" t="s">
        <v>54</v>
      </c>
      <c r="J2186">
        <v>21502.59</v>
      </c>
      <c r="K2186">
        <v>22</v>
      </c>
      <c r="L2186" t="s">
        <v>36</v>
      </c>
      <c r="M2186" t="s">
        <v>25</v>
      </c>
      <c r="N2186" t="s">
        <v>55</v>
      </c>
      <c r="O2186" t="s">
        <v>49</v>
      </c>
      <c r="P2186" t="s">
        <v>45</v>
      </c>
      <c r="Q2186">
        <v>5</v>
      </c>
      <c r="R2186">
        <v>4530.1499999999996</v>
      </c>
      <c r="S2186" t="s">
        <v>29</v>
      </c>
    </row>
    <row r="2187" spans="1:19" x14ac:dyDescent="0.3">
      <c r="A2187" t="s">
        <v>2257</v>
      </c>
      <c r="B2187">
        <v>39</v>
      </c>
      <c r="C2187" t="s">
        <v>31</v>
      </c>
      <c r="D2187" t="s">
        <v>70</v>
      </c>
      <c r="E2187" s="1">
        <v>45922</v>
      </c>
      <c r="F2187" s="3">
        <v>45934</v>
      </c>
      <c r="G2187" t="s">
        <v>67</v>
      </c>
      <c r="H2187" t="s">
        <v>42</v>
      </c>
      <c r="I2187" t="s">
        <v>81</v>
      </c>
      <c r="J2187">
        <v>7335.89</v>
      </c>
      <c r="K2187">
        <v>12</v>
      </c>
      <c r="L2187" t="s">
        <v>36</v>
      </c>
      <c r="M2187" t="s">
        <v>25</v>
      </c>
      <c r="N2187" t="s">
        <v>55</v>
      </c>
      <c r="O2187" t="s">
        <v>37</v>
      </c>
      <c r="P2187" t="s">
        <v>28</v>
      </c>
      <c r="Q2187">
        <v>4</v>
      </c>
      <c r="R2187">
        <v>1166.04</v>
      </c>
      <c r="S2187" t="s">
        <v>29</v>
      </c>
    </row>
    <row r="2188" spans="1:19" x14ac:dyDescent="0.3">
      <c r="A2188" t="s">
        <v>2258</v>
      </c>
      <c r="B2188">
        <v>58</v>
      </c>
      <c r="C2188" t="s">
        <v>19</v>
      </c>
      <c r="D2188" t="s">
        <v>89</v>
      </c>
      <c r="E2188" s="1">
        <v>45356</v>
      </c>
      <c r="F2188" s="3">
        <v>45358</v>
      </c>
      <c r="G2188" t="s">
        <v>52</v>
      </c>
      <c r="H2188" t="s">
        <v>53</v>
      </c>
      <c r="I2188" t="s">
        <v>23</v>
      </c>
      <c r="J2188">
        <v>1954.98</v>
      </c>
      <c r="K2188">
        <v>2</v>
      </c>
      <c r="L2188" t="s">
        <v>36</v>
      </c>
      <c r="M2188" t="s">
        <v>25</v>
      </c>
      <c r="N2188" t="s">
        <v>44</v>
      </c>
      <c r="O2188" t="s">
        <v>56</v>
      </c>
      <c r="P2188" t="s">
        <v>45</v>
      </c>
      <c r="Q2188">
        <v>13</v>
      </c>
      <c r="R2188">
        <v>543.41999999999996</v>
      </c>
      <c r="S2188" t="s">
        <v>29</v>
      </c>
    </row>
    <row r="2189" spans="1:19" x14ac:dyDescent="0.3">
      <c r="A2189" t="s">
        <v>2259</v>
      </c>
      <c r="B2189">
        <v>81</v>
      </c>
      <c r="C2189" t="s">
        <v>19</v>
      </c>
      <c r="D2189" t="s">
        <v>47</v>
      </c>
      <c r="E2189" s="1">
        <v>45228</v>
      </c>
      <c r="F2189" s="3">
        <v>45234</v>
      </c>
      <c r="G2189" t="s">
        <v>67</v>
      </c>
      <c r="H2189" t="s">
        <v>42</v>
      </c>
      <c r="I2189" t="s">
        <v>35</v>
      </c>
      <c r="J2189">
        <v>9335.6299999999992</v>
      </c>
      <c r="K2189">
        <v>6</v>
      </c>
      <c r="L2189" t="s">
        <v>36</v>
      </c>
      <c r="M2189" t="s">
        <v>25</v>
      </c>
      <c r="N2189" t="s">
        <v>55</v>
      </c>
      <c r="O2189" t="s">
        <v>49</v>
      </c>
      <c r="P2189" t="s">
        <v>45</v>
      </c>
      <c r="Q2189">
        <v>8</v>
      </c>
      <c r="R2189">
        <v>1845.83</v>
      </c>
      <c r="S2189" t="s">
        <v>29</v>
      </c>
    </row>
    <row r="2190" spans="1:19" x14ac:dyDescent="0.3">
      <c r="A2190" t="s">
        <v>2260</v>
      </c>
      <c r="B2190">
        <v>75</v>
      </c>
      <c r="C2190" t="s">
        <v>31</v>
      </c>
      <c r="D2190" t="s">
        <v>89</v>
      </c>
      <c r="E2190" s="1">
        <v>45579</v>
      </c>
      <c r="F2190" s="3">
        <v>45584</v>
      </c>
      <c r="G2190" t="s">
        <v>93</v>
      </c>
      <c r="H2190" t="s">
        <v>72</v>
      </c>
      <c r="I2190" t="s">
        <v>83</v>
      </c>
      <c r="J2190">
        <v>1366.24</v>
      </c>
      <c r="K2190">
        <v>5</v>
      </c>
      <c r="L2190" t="s">
        <v>24</v>
      </c>
      <c r="M2190" t="s">
        <v>25</v>
      </c>
      <c r="N2190" t="s">
        <v>44</v>
      </c>
      <c r="O2190" t="s">
        <v>27</v>
      </c>
      <c r="P2190" t="s">
        <v>28</v>
      </c>
      <c r="Q2190">
        <v>5</v>
      </c>
      <c r="R2190">
        <v>436.45</v>
      </c>
      <c r="S2190" t="s">
        <v>29</v>
      </c>
    </row>
    <row r="2191" spans="1:19" x14ac:dyDescent="0.3">
      <c r="A2191" t="s">
        <v>2261</v>
      </c>
      <c r="B2191">
        <v>43</v>
      </c>
      <c r="C2191" t="s">
        <v>31</v>
      </c>
      <c r="D2191" t="s">
        <v>70</v>
      </c>
      <c r="E2191" s="1">
        <v>45922</v>
      </c>
      <c r="F2191" s="3">
        <v>45942</v>
      </c>
      <c r="G2191" t="s">
        <v>62</v>
      </c>
      <c r="H2191" t="s">
        <v>63</v>
      </c>
      <c r="I2191" t="s">
        <v>91</v>
      </c>
      <c r="J2191">
        <v>7065.31</v>
      </c>
      <c r="K2191">
        <v>20</v>
      </c>
      <c r="L2191" t="s">
        <v>24</v>
      </c>
      <c r="M2191" t="s">
        <v>25</v>
      </c>
      <c r="N2191" t="s">
        <v>55</v>
      </c>
      <c r="O2191" t="s">
        <v>56</v>
      </c>
      <c r="P2191" t="s">
        <v>50</v>
      </c>
      <c r="Q2191">
        <v>1</v>
      </c>
      <c r="R2191">
        <v>1554.26</v>
      </c>
      <c r="S2191" t="s">
        <v>29</v>
      </c>
    </row>
    <row r="2192" spans="1:19" x14ac:dyDescent="0.3">
      <c r="A2192" t="s">
        <v>2262</v>
      </c>
      <c r="B2192">
        <v>21</v>
      </c>
      <c r="C2192" t="s">
        <v>19</v>
      </c>
      <c r="D2192" t="s">
        <v>32</v>
      </c>
      <c r="E2192" s="1">
        <v>45876</v>
      </c>
      <c r="F2192" s="3">
        <v>45894</v>
      </c>
      <c r="G2192" t="s">
        <v>48</v>
      </c>
      <c r="H2192" t="s">
        <v>22</v>
      </c>
      <c r="I2192" t="s">
        <v>35</v>
      </c>
      <c r="J2192">
        <v>18130.89</v>
      </c>
      <c r="K2192">
        <v>18</v>
      </c>
      <c r="L2192" t="s">
        <v>36</v>
      </c>
      <c r="M2192" t="s">
        <v>25</v>
      </c>
      <c r="N2192" t="s">
        <v>26</v>
      </c>
      <c r="O2192" t="s">
        <v>49</v>
      </c>
      <c r="P2192" t="s">
        <v>50</v>
      </c>
      <c r="Q2192">
        <v>7</v>
      </c>
      <c r="R2192">
        <v>6056.2</v>
      </c>
      <c r="S2192" t="s">
        <v>29</v>
      </c>
    </row>
    <row r="2193" spans="1:19" x14ac:dyDescent="0.3">
      <c r="A2193" t="s">
        <v>2263</v>
      </c>
      <c r="B2193">
        <v>57</v>
      </c>
      <c r="C2193" t="s">
        <v>31</v>
      </c>
      <c r="D2193" t="s">
        <v>79</v>
      </c>
      <c r="E2193" s="1">
        <v>45395</v>
      </c>
      <c r="F2193" s="3">
        <v>45403</v>
      </c>
      <c r="G2193" t="s">
        <v>48</v>
      </c>
      <c r="H2193" t="s">
        <v>22</v>
      </c>
      <c r="I2193" t="s">
        <v>91</v>
      </c>
      <c r="J2193">
        <v>3268.91</v>
      </c>
      <c r="K2193">
        <v>8</v>
      </c>
      <c r="L2193" t="s">
        <v>24</v>
      </c>
      <c r="M2193" t="s">
        <v>101</v>
      </c>
      <c r="N2193" t="s">
        <v>26</v>
      </c>
      <c r="O2193" t="s">
        <v>56</v>
      </c>
      <c r="P2193" t="s">
        <v>50</v>
      </c>
      <c r="Q2193">
        <v>4</v>
      </c>
      <c r="R2193">
        <v>550.67999999999995</v>
      </c>
      <c r="S2193" t="s">
        <v>29</v>
      </c>
    </row>
    <row r="2194" spans="1:19" x14ac:dyDescent="0.3">
      <c r="A2194" t="s">
        <v>2264</v>
      </c>
      <c r="B2194">
        <v>88</v>
      </c>
      <c r="C2194" t="s">
        <v>19</v>
      </c>
      <c r="D2194" t="s">
        <v>70</v>
      </c>
      <c r="E2194" s="1">
        <v>45224</v>
      </c>
      <c r="F2194" s="3">
        <v>45231</v>
      </c>
      <c r="G2194" t="s">
        <v>67</v>
      </c>
      <c r="H2194" t="s">
        <v>42</v>
      </c>
      <c r="I2194" t="s">
        <v>43</v>
      </c>
      <c r="J2194">
        <v>3282.31</v>
      </c>
      <c r="K2194">
        <v>7</v>
      </c>
      <c r="L2194" t="s">
        <v>24</v>
      </c>
      <c r="M2194" t="s">
        <v>25</v>
      </c>
      <c r="N2194" t="s">
        <v>44</v>
      </c>
      <c r="O2194" t="s">
        <v>56</v>
      </c>
      <c r="P2194" t="s">
        <v>45</v>
      </c>
      <c r="Q2194">
        <v>5</v>
      </c>
      <c r="R2194">
        <v>1164.43</v>
      </c>
      <c r="S2194" t="s">
        <v>29</v>
      </c>
    </row>
    <row r="2195" spans="1:19" x14ac:dyDescent="0.3">
      <c r="A2195" t="s">
        <v>2265</v>
      </c>
      <c r="B2195">
        <v>30</v>
      </c>
      <c r="C2195" t="s">
        <v>19</v>
      </c>
      <c r="D2195" t="s">
        <v>61</v>
      </c>
      <c r="E2195" s="1">
        <v>44994</v>
      </c>
      <c r="F2195" s="3">
        <v>45016</v>
      </c>
      <c r="G2195" t="s">
        <v>33</v>
      </c>
      <c r="H2195" t="s">
        <v>34</v>
      </c>
      <c r="I2195" t="s">
        <v>81</v>
      </c>
      <c r="J2195">
        <v>14127.41</v>
      </c>
      <c r="K2195">
        <v>22</v>
      </c>
      <c r="L2195" t="s">
        <v>36</v>
      </c>
      <c r="M2195" t="s">
        <v>25</v>
      </c>
      <c r="N2195" t="s">
        <v>44</v>
      </c>
      <c r="O2195" t="s">
        <v>49</v>
      </c>
      <c r="P2195" t="s">
        <v>28</v>
      </c>
      <c r="Q2195">
        <v>10</v>
      </c>
      <c r="R2195">
        <v>2671.98</v>
      </c>
      <c r="S2195" t="s">
        <v>29</v>
      </c>
    </row>
    <row r="2196" spans="1:19" x14ac:dyDescent="0.3">
      <c r="A2196" t="s">
        <v>2266</v>
      </c>
      <c r="B2196">
        <v>85</v>
      </c>
      <c r="C2196" t="s">
        <v>31</v>
      </c>
      <c r="D2196" t="s">
        <v>32</v>
      </c>
      <c r="E2196" s="1">
        <v>45354</v>
      </c>
      <c r="F2196" s="3">
        <v>45357</v>
      </c>
      <c r="G2196" t="s">
        <v>21</v>
      </c>
      <c r="H2196" t="s">
        <v>22</v>
      </c>
      <c r="I2196" t="s">
        <v>43</v>
      </c>
      <c r="J2196">
        <v>4017.72</v>
      </c>
      <c r="K2196">
        <v>3</v>
      </c>
      <c r="L2196" t="s">
        <v>36</v>
      </c>
      <c r="M2196" t="s">
        <v>25</v>
      </c>
      <c r="N2196" t="s">
        <v>44</v>
      </c>
      <c r="O2196" t="s">
        <v>27</v>
      </c>
      <c r="P2196" t="s">
        <v>45</v>
      </c>
      <c r="Q2196">
        <v>3</v>
      </c>
      <c r="R2196">
        <v>1432.52</v>
      </c>
      <c r="S2196" t="s">
        <v>29</v>
      </c>
    </row>
    <row r="2197" spans="1:19" x14ac:dyDescent="0.3">
      <c r="A2197" t="s">
        <v>2267</v>
      </c>
      <c r="B2197">
        <v>74</v>
      </c>
      <c r="C2197" t="s">
        <v>31</v>
      </c>
      <c r="D2197" t="s">
        <v>32</v>
      </c>
      <c r="E2197" s="1">
        <v>45510</v>
      </c>
      <c r="F2197" s="3">
        <v>45519</v>
      </c>
      <c r="G2197" t="s">
        <v>41</v>
      </c>
      <c r="H2197" t="s">
        <v>42</v>
      </c>
      <c r="I2197" t="s">
        <v>23</v>
      </c>
      <c r="J2197">
        <v>4974.33</v>
      </c>
      <c r="K2197">
        <v>9</v>
      </c>
      <c r="L2197" t="s">
        <v>36</v>
      </c>
      <c r="M2197" t="s">
        <v>25</v>
      </c>
      <c r="N2197" t="s">
        <v>26</v>
      </c>
      <c r="O2197" t="s">
        <v>37</v>
      </c>
      <c r="P2197" t="s">
        <v>45</v>
      </c>
      <c r="Q2197">
        <v>15</v>
      </c>
      <c r="R2197">
        <v>1729.65</v>
      </c>
      <c r="S2197" t="s">
        <v>29</v>
      </c>
    </row>
    <row r="2198" spans="1:19" x14ac:dyDescent="0.3">
      <c r="A2198" t="s">
        <v>2268</v>
      </c>
      <c r="B2198">
        <v>63</v>
      </c>
      <c r="C2198" t="s">
        <v>19</v>
      </c>
      <c r="D2198" t="s">
        <v>61</v>
      </c>
      <c r="E2198" s="1">
        <v>45156</v>
      </c>
      <c r="F2198" s="3">
        <v>45158</v>
      </c>
      <c r="G2198" t="s">
        <v>67</v>
      </c>
      <c r="H2198" t="s">
        <v>42</v>
      </c>
      <c r="I2198" t="s">
        <v>91</v>
      </c>
      <c r="J2198">
        <v>3219.22</v>
      </c>
      <c r="K2198">
        <v>2</v>
      </c>
      <c r="L2198" t="s">
        <v>24</v>
      </c>
      <c r="M2198" t="s">
        <v>25</v>
      </c>
      <c r="N2198" t="s">
        <v>26</v>
      </c>
      <c r="O2198" t="s">
        <v>27</v>
      </c>
      <c r="P2198" t="s">
        <v>45</v>
      </c>
      <c r="Q2198">
        <v>6</v>
      </c>
      <c r="R2198">
        <v>696.83</v>
      </c>
      <c r="S2198" t="s">
        <v>29</v>
      </c>
    </row>
    <row r="2199" spans="1:19" x14ac:dyDescent="0.3">
      <c r="A2199" t="s">
        <v>2269</v>
      </c>
      <c r="B2199">
        <v>59</v>
      </c>
      <c r="C2199" t="s">
        <v>19</v>
      </c>
      <c r="D2199" t="s">
        <v>32</v>
      </c>
      <c r="E2199" s="1">
        <v>45781</v>
      </c>
      <c r="F2199" s="3">
        <v>45809</v>
      </c>
      <c r="G2199" t="s">
        <v>71</v>
      </c>
      <c r="H2199" t="s">
        <v>72</v>
      </c>
      <c r="I2199" t="s">
        <v>81</v>
      </c>
      <c r="J2199">
        <v>18683.560000000001</v>
      </c>
      <c r="K2199">
        <v>28</v>
      </c>
      <c r="L2199" t="s">
        <v>36</v>
      </c>
      <c r="M2199" t="s">
        <v>25</v>
      </c>
      <c r="N2199" t="s">
        <v>44</v>
      </c>
      <c r="O2199" t="s">
        <v>49</v>
      </c>
      <c r="P2199" t="s">
        <v>28</v>
      </c>
      <c r="Q2199">
        <v>14</v>
      </c>
      <c r="R2199">
        <v>5382.85</v>
      </c>
      <c r="S2199" t="s">
        <v>29</v>
      </c>
    </row>
    <row r="2200" spans="1:19" x14ac:dyDescent="0.3">
      <c r="A2200" t="s">
        <v>2270</v>
      </c>
      <c r="B2200">
        <v>24</v>
      </c>
      <c r="C2200" t="s">
        <v>31</v>
      </c>
      <c r="D2200" t="s">
        <v>20</v>
      </c>
      <c r="E2200" s="1">
        <v>45352</v>
      </c>
      <c r="F2200" s="3">
        <v>45374</v>
      </c>
      <c r="G2200" t="s">
        <v>48</v>
      </c>
      <c r="H2200" t="s">
        <v>22</v>
      </c>
      <c r="I2200" t="s">
        <v>23</v>
      </c>
      <c r="J2200">
        <v>19400.18</v>
      </c>
      <c r="K2200">
        <v>22</v>
      </c>
      <c r="L2200" t="s">
        <v>24</v>
      </c>
      <c r="M2200" t="s">
        <v>25</v>
      </c>
      <c r="N2200" t="s">
        <v>44</v>
      </c>
      <c r="O2200" t="s">
        <v>49</v>
      </c>
      <c r="P2200" t="s">
        <v>38</v>
      </c>
      <c r="Q2200">
        <v>4</v>
      </c>
      <c r="R2200">
        <v>4362.46</v>
      </c>
      <c r="S2200" t="s">
        <v>29</v>
      </c>
    </row>
    <row r="2201" spans="1:19" x14ac:dyDescent="0.3">
      <c r="A2201" t="s">
        <v>2271</v>
      </c>
      <c r="B2201">
        <v>60</v>
      </c>
      <c r="C2201" t="s">
        <v>31</v>
      </c>
      <c r="D2201" t="s">
        <v>47</v>
      </c>
      <c r="E2201" s="1">
        <v>45109</v>
      </c>
      <c r="F2201" s="3">
        <v>45112</v>
      </c>
      <c r="G2201" t="s">
        <v>52</v>
      </c>
      <c r="H2201" t="s">
        <v>53</v>
      </c>
      <c r="I2201" t="s">
        <v>83</v>
      </c>
      <c r="J2201">
        <v>3502.38</v>
      </c>
      <c r="K2201">
        <v>3</v>
      </c>
      <c r="L2201" t="s">
        <v>36</v>
      </c>
      <c r="M2201" t="s">
        <v>25</v>
      </c>
      <c r="N2201" t="s">
        <v>55</v>
      </c>
      <c r="O2201" t="s">
        <v>37</v>
      </c>
      <c r="P2201" t="s">
        <v>50</v>
      </c>
      <c r="Q2201">
        <v>13</v>
      </c>
      <c r="R2201">
        <v>881.67</v>
      </c>
      <c r="S2201" t="s">
        <v>29</v>
      </c>
    </row>
    <row r="2202" spans="1:19" x14ac:dyDescent="0.3">
      <c r="A2202" t="s">
        <v>2272</v>
      </c>
      <c r="B2202">
        <v>18</v>
      </c>
      <c r="C2202" t="s">
        <v>19</v>
      </c>
      <c r="D2202" t="s">
        <v>70</v>
      </c>
      <c r="E2202" s="1">
        <v>45121</v>
      </c>
      <c r="F2202" s="3">
        <v>45139</v>
      </c>
      <c r="G2202" t="s">
        <v>71</v>
      </c>
      <c r="H2202" t="s">
        <v>72</v>
      </c>
      <c r="I2202" t="s">
        <v>58</v>
      </c>
      <c r="J2202">
        <v>8157.51</v>
      </c>
      <c r="K2202">
        <v>18</v>
      </c>
      <c r="L2202" t="s">
        <v>36</v>
      </c>
      <c r="M2202" t="s">
        <v>25</v>
      </c>
      <c r="N2202" t="s">
        <v>26</v>
      </c>
      <c r="O2202" t="s">
        <v>56</v>
      </c>
      <c r="P2202" t="s">
        <v>38</v>
      </c>
      <c r="Q2202">
        <v>8</v>
      </c>
      <c r="R2202">
        <v>2422.54</v>
      </c>
      <c r="S2202" t="s">
        <v>29</v>
      </c>
    </row>
    <row r="2203" spans="1:19" x14ac:dyDescent="0.3">
      <c r="A2203" t="s">
        <v>2273</v>
      </c>
      <c r="B2203">
        <v>52</v>
      </c>
      <c r="C2203" t="s">
        <v>19</v>
      </c>
      <c r="D2203" t="s">
        <v>70</v>
      </c>
      <c r="E2203" s="1">
        <v>45556</v>
      </c>
      <c r="F2203" s="3">
        <v>45560</v>
      </c>
      <c r="G2203" t="s">
        <v>52</v>
      </c>
      <c r="H2203" t="s">
        <v>53</v>
      </c>
      <c r="I2203" t="s">
        <v>58</v>
      </c>
      <c r="J2203">
        <v>4411.8</v>
      </c>
      <c r="K2203">
        <v>4</v>
      </c>
      <c r="L2203" t="s">
        <v>24</v>
      </c>
      <c r="M2203" t="s">
        <v>25</v>
      </c>
      <c r="N2203" t="s">
        <v>26</v>
      </c>
      <c r="O2203" t="s">
        <v>37</v>
      </c>
      <c r="P2203" t="s">
        <v>45</v>
      </c>
      <c r="Q2203">
        <v>9</v>
      </c>
      <c r="R2203">
        <v>964.39</v>
      </c>
      <c r="S2203" t="s">
        <v>29</v>
      </c>
    </row>
    <row r="2204" spans="1:19" x14ac:dyDescent="0.3">
      <c r="A2204" t="s">
        <v>2274</v>
      </c>
      <c r="B2204">
        <v>47</v>
      </c>
      <c r="C2204" t="s">
        <v>19</v>
      </c>
      <c r="D2204" t="s">
        <v>61</v>
      </c>
      <c r="E2204" s="1">
        <v>45923</v>
      </c>
      <c r="F2204" s="3">
        <v>45936</v>
      </c>
      <c r="G2204" t="s">
        <v>21</v>
      </c>
      <c r="H2204" t="s">
        <v>22</v>
      </c>
      <c r="I2204" t="s">
        <v>91</v>
      </c>
      <c r="J2204">
        <v>11939.17</v>
      </c>
      <c r="K2204">
        <v>13</v>
      </c>
      <c r="L2204" t="s">
        <v>24</v>
      </c>
      <c r="M2204" t="s">
        <v>25</v>
      </c>
      <c r="N2204" t="s">
        <v>44</v>
      </c>
      <c r="O2204" t="s">
        <v>49</v>
      </c>
      <c r="P2204" t="s">
        <v>38</v>
      </c>
      <c r="Q2204">
        <v>4</v>
      </c>
      <c r="R2204">
        <v>3746.46</v>
      </c>
      <c r="S2204" t="s">
        <v>29</v>
      </c>
    </row>
    <row r="2205" spans="1:19" x14ac:dyDescent="0.3">
      <c r="A2205" t="s">
        <v>2275</v>
      </c>
      <c r="B2205">
        <v>28</v>
      </c>
      <c r="C2205" t="s">
        <v>31</v>
      </c>
      <c r="D2205" t="s">
        <v>66</v>
      </c>
      <c r="E2205" s="1">
        <v>44972</v>
      </c>
      <c r="F2205" s="3">
        <v>44991</v>
      </c>
      <c r="G2205" t="s">
        <v>41</v>
      </c>
      <c r="H2205" t="s">
        <v>42</v>
      </c>
      <c r="I2205" t="s">
        <v>91</v>
      </c>
      <c r="J2205">
        <v>7578.4</v>
      </c>
      <c r="K2205">
        <v>19</v>
      </c>
      <c r="L2205" t="s">
        <v>36</v>
      </c>
      <c r="M2205" t="s">
        <v>25</v>
      </c>
      <c r="N2205" t="s">
        <v>44</v>
      </c>
      <c r="O2205" t="s">
        <v>56</v>
      </c>
      <c r="P2205" t="s">
        <v>28</v>
      </c>
      <c r="Q2205">
        <v>13</v>
      </c>
      <c r="R2205">
        <v>1274.23</v>
      </c>
      <c r="S2205" t="s">
        <v>29</v>
      </c>
    </row>
    <row r="2206" spans="1:19" x14ac:dyDescent="0.3">
      <c r="A2206" t="s">
        <v>2276</v>
      </c>
      <c r="B2206">
        <v>21</v>
      </c>
      <c r="C2206" t="s">
        <v>31</v>
      </c>
      <c r="D2206" t="s">
        <v>47</v>
      </c>
      <c r="E2206" s="1">
        <v>45429</v>
      </c>
      <c r="F2206" s="3">
        <v>45447</v>
      </c>
      <c r="G2206" t="s">
        <v>93</v>
      </c>
      <c r="H2206" t="s">
        <v>72</v>
      </c>
      <c r="I2206" t="s">
        <v>23</v>
      </c>
      <c r="J2206">
        <v>6604.47</v>
      </c>
      <c r="K2206">
        <v>18</v>
      </c>
      <c r="L2206" t="s">
        <v>24</v>
      </c>
      <c r="M2206" t="s">
        <v>25</v>
      </c>
      <c r="N2206" t="s">
        <v>44</v>
      </c>
      <c r="O2206" t="s">
        <v>56</v>
      </c>
      <c r="P2206" t="s">
        <v>28</v>
      </c>
      <c r="Q2206">
        <v>6</v>
      </c>
      <c r="R2206">
        <v>1180.01</v>
      </c>
      <c r="S2206" t="s">
        <v>29</v>
      </c>
    </row>
    <row r="2207" spans="1:19" x14ac:dyDescent="0.3">
      <c r="A2207" t="s">
        <v>2277</v>
      </c>
      <c r="B2207">
        <v>65</v>
      </c>
      <c r="C2207" t="s">
        <v>31</v>
      </c>
      <c r="D2207" t="s">
        <v>89</v>
      </c>
      <c r="E2207" s="1">
        <v>45815</v>
      </c>
      <c r="F2207" s="3">
        <v>45830</v>
      </c>
      <c r="G2207" t="s">
        <v>67</v>
      </c>
      <c r="H2207" t="s">
        <v>42</v>
      </c>
      <c r="I2207" t="s">
        <v>54</v>
      </c>
      <c r="J2207">
        <v>3748.22</v>
      </c>
      <c r="K2207">
        <v>15</v>
      </c>
      <c r="L2207" t="s">
        <v>24</v>
      </c>
      <c r="M2207" t="s">
        <v>59</v>
      </c>
      <c r="N2207" t="s">
        <v>55</v>
      </c>
      <c r="O2207" t="s">
        <v>37</v>
      </c>
      <c r="P2207" t="s">
        <v>28</v>
      </c>
      <c r="Q2207">
        <v>5</v>
      </c>
      <c r="R2207">
        <v>1395.9</v>
      </c>
      <c r="S2207" t="s">
        <v>29</v>
      </c>
    </row>
    <row r="2208" spans="1:19" x14ac:dyDescent="0.3">
      <c r="A2208" t="s">
        <v>2278</v>
      </c>
      <c r="B2208">
        <v>31</v>
      </c>
      <c r="C2208" t="s">
        <v>31</v>
      </c>
      <c r="D2208" t="s">
        <v>61</v>
      </c>
      <c r="E2208" s="1">
        <v>45551</v>
      </c>
      <c r="F2208" s="3">
        <v>45555</v>
      </c>
      <c r="G2208" t="s">
        <v>71</v>
      </c>
      <c r="H2208" t="s">
        <v>72</v>
      </c>
      <c r="I2208" t="s">
        <v>81</v>
      </c>
      <c r="J2208">
        <v>4919.96</v>
      </c>
      <c r="K2208">
        <v>4</v>
      </c>
      <c r="L2208" t="s">
        <v>36</v>
      </c>
      <c r="M2208" t="s">
        <v>59</v>
      </c>
      <c r="N2208" t="s">
        <v>44</v>
      </c>
      <c r="O2208" t="s">
        <v>27</v>
      </c>
      <c r="P2208" t="s">
        <v>38</v>
      </c>
      <c r="Q2208">
        <v>8</v>
      </c>
      <c r="R2208">
        <v>1542.36</v>
      </c>
      <c r="S2208" t="s">
        <v>29</v>
      </c>
    </row>
    <row r="2209" spans="1:19" x14ac:dyDescent="0.3">
      <c r="A2209" t="s">
        <v>2279</v>
      </c>
      <c r="B2209">
        <v>79</v>
      </c>
      <c r="C2209" t="s">
        <v>31</v>
      </c>
      <c r="D2209" t="s">
        <v>66</v>
      </c>
      <c r="E2209" s="1">
        <v>45078</v>
      </c>
      <c r="F2209" s="3">
        <v>45081</v>
      </c>
      <c r="G2209" t="s">
        <v>71</v>
      </c>
      <c r="H2209" t="s">
        <v>72</v>
      </c>
      <c r="I2209" t="s">
        <v>58</v>
      </c>
      <c r="J2209">
        <v>6551.62</v>
      </c>
      <c r="K2209">
        <v>3</v>
      </c>
      <c r="L2209" t="s">
        <v>36</v>
      </c>
      <c r="M2209" t="s">
        <v>25</v>
      </c>
      <c r="N2209" t="s">
        <v>26</v>
      </c>
      <c r="O2209" t="s">
        <v>49</v>
      </c>
      <c r="P2209" t="s">
        <v>50</v>
      </c>
      <c r="Q2209">
        <v>13</v>
      </c>
      <c r="R2209">
        <v>1688.74</v>
      </c>
      <c r="S2209" t="s">
        <v>29</v>
      </c>
    </row>
    <row r="2210" spans="1:19" x14ac:dyDescent="0.3">
      <c r="A2210" t="s">
        <v>2280</v>
      </c>
      <c r="B2210">
        <v>40</v>
      </c>
      <c r="C2210" t="s">
        <v>19</v>
      </c>
      <c r="D2210" t="s">
        <v>61</v>
      </c>
      <c r="E2210" s="1">
        <v>45766</v>
      </c>
      <c r="F2210" s="3">
        <v>45780</v>
      </c>
      <c r="G2210" t="s">
        <v>52</v>
      </c>
      <c r="H2210" t="s">
        <v>53</v>
      </c>
      <c r="I2210" t="s">
        <v>23</v>
      </c>
      <c r="J2210">
        <v>7410.6</v>
      </c>
      <c r="K2210">
        <v>14</v>
      </c>
      <c r="L2210" t="s">
        <v>24</v>
      </c>
      <c r="M2210" t="s">
        <v>25</v>
      </c>
      <c r="N2210" t="s">
        <v>55</v>
      </c>
      <c r="O2210" t="s">
        <v>27</v>
      </c>
      <c r="P2210" t="s">
        <v>45</v>
      </c>
      <c r="Q2210">
        <v>8</v>
      </c>
      <c r="R2210">
        <v>1540.74</v>
      </c>
      <c r="S2210" t="s">
        <v>29</v>
      </c>
    </row>
    <row r="2211" spans="1:19" x14ac:dyDescent="0.3">
      <c r="A2211" t="s">
        <v>2281</v>
      </c>
      <c r="B2211">
        <v>57</v>
      </c>
      <c r="C2211" t="s">
        <v>19</v>
      </c>
      <c r="D2211" t="s">
        <v>89</v>
      </c>
      <c r="E2211" s="1">
        <v>45367</v>
      </c>
      <c r="F2211" s="3">
        <v>45392</v>
      </c>
      <c r="G2211" t="s">
        <v>21</v>
      </c>
      <c r="H2211" t="s">
        <v>22</v>
      </c>
      <c r="I2211" t="s">
        <v>35</v>
      </c>
      <c r="J2211">
        <v>9867.51</v>
      </c>
      <c r="K2211">
        <v>25</v>
      </c>
      <c r="L2211" t="s">
        <v>36</v>
      </c>
      <c r="M2211" t="s">
        <v>25</v>
      </c>
      <c r="N2211" t="s">
        <v>26</v>
      </c>
      <c r="O2211" t="s">
        <v>49</v>
      </c>
      <c r="P2211" t="s">
        <v>28</v>
      </c>
      <c r="Q2211">
        <v>7</v>
      </c>
      <c r="R2211">
        <v>3749.4</v>
      </c>
      <c r="S2211" t="s">
        <v>29</v>
      </c>
    </row>
    <row r="2212" spans="1:19" x14ac:dyDescent="0.3">
      <c r="A2212" t="s">
        <v>2282</v>
      </c>
      <c r="B2212">
        <v>65</v>
      </c>
      <c r="C2212" t="s">
        <v>19</v>
      </c>
      <c r="D2212" t="s">
        <v>32</v>
      </c>
      <c r="E2212" s="1">
        <v>45373</v>
      </c>
      <c r="F2212" s="3">
        <v>45374</v>
      </c>
      <c r="G2212" t="s">
        <v>67</v>
      </c>
      <c r="H2212" t="s">
        <v>42</v>
      </c>
      <c r="I2212" t="s">
        <v>81</v>
      </c>
      <c r="J2212">
        <v>3051.05</v>
      </c>
      <c r="K2212">
        <v>1</v>
      </c>
      <c r="L2212" t="s">
        <v>24</v>
      </c>
      <c r="M2212" t="s">
        <v>25</v>
      </c>
      <c r="N2212" t="s">
        <v>26</v>
      </c>
      <c r="O2212" t="s">
        <v>56</v>
      </c>
      <c r="P2212" t="s">
        <v>28</v>
      </c>
      <c r="Q2212">
        <v>6</v>
      </c>
      <c r="R2212">
        <v>917.88</v>
      </c>
      <c r="S2212" t="s">
        <v>29</v>
      </c>
    </row>
    <row r="2213" spans="1:19" x14ac:dyDescent="0.3">
      <c r="A2213" t="s">
        <v>2283</v>
      </c>
      <c r="B2213">
        <v>45</v>
      </c>
      <c r="C2213" t="s">
        <v>31</v>
      </c>
      <c r="D2213" t="s">
        <v>79</v>
      </c>
      <c r="E2213" s="1">
        <v>45473</v>
      </c>
      <c r="F2213" s="3">
        <v>45481</v>
      </c>
      <c r="G2213" t="s">
        <v>48</v>
      </c>
      <c r="H2213" t="s">
        <v>22</v>
      </c>
      <c r="I2213" t="s">
        <v>81</v>
      </c>
      <c r="J2213">
        <v>4466.51</v>
      </c>
      <c r="K2213">
        <v>8</v>
      </c>
      <c r="L2213" t="s">
        <v>36</v>
      </c>
      <c r="M2213" t="s">
        <v>76</v>
      </c>
      <c r="N2213" t="s">
        <v>55</v>
      </c>
      <c r="O2213" t="s">
        <v>27</v>
      </c>
      <c r="P2213" t="s">
        <v>38</v>
      </c>
      <c r="Q2213">
        <v>9</v>
      </c>
      <c r="R2213">
        <v>907.46</v>
      </c>
      <c r="S2213" t="s">
        <v>29</v>
      </c>
    </row>
    <row r="2214" spans="1:19" x14ac:dyDescent="0.3">
      <c r="A2214" t="s">
        <v>2284</v>
      </c>
      <c r="B2214">
        <v>64</v>
      </c>
      <c r="C2214" t="s">
        <v>19</v>
      </c>
      <c r="D2214" t="s">
        <v>79</v>
      </c>
      <c r="E2214" s="1">
        <v>45083</v>
      </c>
      <c r="F2214" s="3">
        <v>45088</v>
      </c>
      <c r="G2214" t="s">
        <v>93</v>
      </c>
      <c r="H2214" t="s">
        <v>72</v>
      </c>
      <c r="I2214" t="s">
        <v>91</v>
      </c>
      <c r="J2214">
        <v>4065.48</v>
      </c>
      <c r="K2214">
        <v>5</v>
      </c>
      <c r="L2214" t="s">
        <v>36</v>
      </c>
      <c r="M2214" t="s">
        <v>25</v>
      </c>
      <c r="N2214" t="s">
        <v>26</v>
      </c>
      <c r="O2214" t="s">
        <v>56</v>
      </c>
      <c r="P2214" t="s">
        <v>38</v>
      </c>
      <c r="Q2214">
        <v>11</v>
      </c>
      <c r="R2214">
        <v>842.1</v>
      </c>
      <c r="S2214" t="s">
        <v>29</v>
      </c>
    </row>
    <row r="2215" spans="1:19" x14ac:dyDescent="0.3">
      <c r="A2215" t="s">
        <v>2285</v>
      </c>
      <c r="B2215">
        <v>70</v>
      </c>
      <c r="C2215" t="s">
        <v>19</v>
      </c>
      <c r="D2215" t="s">
        <v>89</v>
      </c>
      <c r="E2215" s="1">
        <v>45748</v>
      </c>
      <c r="F2215" s="3">
        <v>45751</v>
      </c>
      <c r="G2215" t="s">
        <v>93</v>
      </c>
      <c r="H2215" t="s">
        <v>72</v>
      </c>
      <c r="I2215" t="s">
        <v>54</v>
      </c>
      <c r="J2215">
        <v>1914.51</v>
      </c>
      <c r="K2215">
        <v>3</v>
      </c>
      <c r="L2215" t="s">
        <v>24</v>
      </c>
      <c r="M2215" t="s">
        <v>25</v>
      </c>
      <c r="N2215" t="s">
        <v>44</v>
      </c>
      <c r="O2215" t="s">
        <v>37</v>
      </c>
      <c r="P2215" t="s">
        <v>28</v>
      </c>
      <c r="Q2215">
        <v>14</v>
      </c>
      <c r="R2215">
        <v>529.80999999999995</v>
      </c>
      <c r="S2215" t="s">
        <v>29</v>
      </c>
    </row>
    <row r="2216" spans="1:19" x14ac:dyDescent="0.3">
      <c r="A2216" t="s">
        <v>2286</v>
      </c>
      <c r="B2216">
        <v>76</v>
      </c>
      <c r="C2216" t="s">
        <v>19</v>
      </c>
      <c r="D2216" t="s">
        <v>70</v>
      </c>
      <c r="E2216" s="1">
        <v>44961</v>
      </c>
      <c r="F2216" s="3">
        <v>44976</v>
      </c>
      <c r="G2216" t="s">
        <v>52</v>
      </c>
      <c r="H2216" t="s">
        <v>53</v>
      </c>
      <c r="I2216" t="s">
        <v>83</v>
      </c>
      <c r="J2216">
        <v>13640.79</v>
      </c>
      <c r="K2216">
        <v>15</v>
      </c>
      <c r="L2216" t="s">
        <v>24</v>
      </c>
      <c r="M2216" t="s">
        <v>25</v>
      </c>
      <c r="N2216" t="s">
        <v>55</v>
      </c>
      <c r="O2216" t="s">
        <v>49</v>
      </c>
      <c r="P2216" t="s">
        <v>28</v>
      </c>
      <c r="Q2216">
        <v>9</v>
      </c>
      <c r="R2216">
        <v>2928.78</v>
      </c>
      <c r="S2216" t="s">
        <v>29</v>
      </c>
    </row>
    <row r="2217" spans="1:19" x14ac:dyDescent="0.3">
      <c r="A2217" t="s">
        <v>2287</v>
      </c>
      <c r="B2217">
        <v>76</v>
      </c>
      <c r="C2217" t="s">
        <v>31</v>
      </c>
      <c r="D2217" t="s">
        <v>61</v>
      </c>
      <c r="E2217" s="1">
        <v>45733</v>
      </c>
      <c r="F2217" s="3">
        <v>45740</v>
      </c>
      <c r="G2217" t="s">
        <v>71</v>
      </c>
      <c r="H2217" t="s">
        <v>72</v>
      </c>
      <c r="I2217" t="s">
        <v>23</v>
      </c>
      <c r="J2217">
        <v>3955.42</v>
      </c>
      <c r="K2217">
        <v>7</v>
      </c>
      <c r="L2217" t="s">
        <v>36</v>
      </c>
      <c r="M2217" t="s">
        <v>25</v>
      </c>
      <c r="N2217" t="s">
        <v>44</v>
      </c>
      <c r="O2217" t="s">
        <v>27</v>
      </c>
      <c r="P2217" t="s">
        <v>28</v>
      </c>
      <c r="Q2217">
        <v>6</v>
      </c>
      <c r="R2217">
        <v>1298.0899999999999</v>
      </c>
      <c r="S2217" t="s">
        <v>29</v>
      </c>
    </row>
    <row r="2218" spans="1:19" x14ac:dyDescent="0.3">
      <c r="A2218" t="s">
        <v>2288</v>
      </c>
      <c r="B2218">
        <v>68</v>
      </c>
      <c r="C2218" t="s">
        <v>31</v>
      </c>
      <c r="D2218" t="s">
        <v>20</v>
      </c>
      <c r="E2218" s="1">
        <v>45167</v>
      </c>
      <c r="F2218" s="3">
        <v>45186</v>
      </c>
      <c r="G2218" t="s">
        <v>71</v>
      </c>
      <c r="H2218" t="s">
        <v>72</v>
      </c>
      <c r="I2218" t="s">
        <v>58</v>
      </c>
      <c r="J2218">
        <v>10464.6</v>
      </c>
      <c r="K2218">
        <v>19</v>
      </c>
      <c r="L2218" t="s">
        <v>36</v>
      </c>
      <c r="M2218" t="s">
        <v>25</v>
      </c>
      <c r="N2218" t="s">
        <v>44</v>
      </c>
      <c r="O2218" t="s">
        <v>37</v>
      </c>
      <c r="P2218" t="s">
        <v>28</v>
      </c>
      <c r="Q2218">
        <v>15</v>
      </c>
      <c r="R2218">
        <v>3220.13</v>
      </c>
      <c r="S2218" t="s">
        <v>29</v>
      </c>
    </row>
    <row r="2219" spans="1:19" x14ac:dyDescent="0.3">
      <c r="A2219" t="s">
        <v>2289</v>
      </c>
      <c r="B2219">
        <v>89</v>
      </c>
      <c r="C2219" t="s">
        <v>31</v>
      </c>
      <c r="D2219" t="s">
        <v>79</v>
      </c>
      <c r="E2219" s="1">
        <v>45206</v>
      </c>
      <c r="F2219" s="3">
        <v>45214</v>
      </c>
      <c r="G2219" t="s">
        <v>52</v>
      </c>
      <c r="H2219" t="s">
        <v>53</v>
      </c>
      <c r="I2219" t="s">
        <v>83</v>
      </c>
      <c r="J2219">
        <v>2678.32</v>
      </c>
      <c r="K2219">
        <v>8</v>
      </c>
      <c r="L2219" t="s">
        <v>24</v>
      </c>
      <c r="M2219" t="s">
        <v>25</v>
      </c>
      <c r="N2219" t="s">
        <v>44</v>
      </c>
      <c r="O2219" t="s">
        <v>37</v>
      </c>
      <c r="P2219" t="s">
        <v>45</v>
      </c>
      <c r="Q2219">
        <v>10</v>
      </c>
      <c r="R2219">
        <v>527</v>
      </c>
      <c r="S2219" t="s">
        <v>39</v>
      </c>
    </row>
    <row r="2220" spans="1:19" x14ac:dyDescent="0.3">
      <c r="A2220" t="s">
        <v>2290</v>
      </c>
      <c r="B2220">
        <v>32</v>
      </c>
      <c r="C2220" t="s">
        <v>31</v>
      </c>
      <c r="D2220" t="s">
        <v>89</v>
      </c>
      <c r="E2220" s="1">
        <v>45260</v>
      </c>
      <c r="F2220" s="3">
        <v>45277</v>
      </c>
      <c r="G2220" t="s">
        <v>41</v>
      </c>
      <c r="H2220" t="s">
        <v>42</v>
      </c>
      <c r="I2220" t="s">
        <v>35</v>
      </c>
      <c r="J2220">
        <v>5630.51</v>
      </c>
      <c r="K2220">
        <v>17</v>
      </c>
      <c r="L2220" t="s">
        <v>36</v>
      </c>
      <c r="M2220" t="s">
        <v>101</v>
      </c>
      <c r="N2220" t="s">
        <v>44</v>
      </c>
      <c r="O2220" t="s">
        <v>27</v>
      </c>
      <c r="P2220" t="s">
        <v>28</v>
      </c>
      <c r="Q2220">
        <v>1</v>
      </c>
      <c r="R2220">
        <v>1433.74</v>
      </c>
      <c r="S2220" t="s">
        <v>29</v>
      </c>
    </row>
    <row r="2221" spans="1:19" x14ac:dyDescent="0.3">
      <c r="A2221" t="s">
        <v>2291</v>
      </c>
      <c r="B2221">
        <v>50</v>
      </c>
      <c r="C2221" t="s">
        <v>31</v>
      </c>
      <c r="D2221" t="s">
        <v>70</v>
      </c>
      <c r="E2221" s="1">
        <v>45698</v>
      </c>
      <c r="F2221" s="3">
        <v>45709</v>
      </c>
      <c r="G2221" t="s">
        <v>74</v>
      </c>
      <c r="H2221" t="s">
        <v>75</v>
      </c>
      <c r="I2221" t="s">
        <v>83</v>
      </c>
      <c r="J2221">
        <v>4051.6</v>
      </c>
      <c r="K2221">
        <v>11</v>
      </c>
      <c r="L2221" t="s">
        <v>24</v>
      </c>
      <c r="M2221" t="s">
        <v>25</v>
      </c>
      <c r="N2221" t="s">
        <v>26</v>
      </c>
      <c r="O2221" t="s">
        <v>27</v>
      </c>
      <c r="P2221" t="s">
        <v>38</v>
      </c>
      <c r="Q2221">
        <v>2</v>
      </c>
      <c r="R2221">
        <v>1240.45</v>
      </c>
      <c r="S2221" t="s">
        <v>29</v>
      </c>
    </row>
    <row r="2222" spans="1:19" x14ac:dyDescent="0.3">
      <c r="A2222" t="s">
        <v>2292</v>
      </c>
      <c r="B2222">
        <v>67</v>
      </c>
      <c r="C2222" t="s">
        <v>31</v>
      </c>
      <c r="D2222" t="s">
        <v>70</v>
      </c>
      <c r="E2222" s="1">
        <v>45681</v>
      </c>
      <c r="F2222" s="3">
        <v>45699</v>
      </c>
      <c r="G2222" t="s">
        <v>93</v>
      </c>
      <c r="H2222" t="s">
        <v>72</v>
      </c>
      <c r="I2222" t="s">
        <v>81</v>
      </c>
      <c r="J2222">
        <v>7507.74</v>
      </c>
      <c r="K2222">
        <v>18</v>
      </c>
      <c r="L2222" t="s">
        <v>24</v>
      </c>
      <c r="M2222" t="s">
        <v>25</v>
      </c>
      <c r="N2222" t="s">
        <v>55</v>
      </c>
      <c r="O2222" t="s">
        <v>37</v>
      </c>
      <c r="P2222" t="s">
        <v>28</v>
      </c>
      <c r="Q2222">
        <v>6</v>
      </c>
      <c r="R2222">
        <v>2012.24</v>
      </c>
      <c r="S2222" t="s">
        <v>29</v>
      </c>
    </row>
    <row r="2223" spans="1:19" x14ac:dyDescent="0.3">
      <c r="A2223" t="s">
        <v>2293</v>
      </c>
      <c r="B2223">
        <v>81</v>
      </c>
      <c r="C2223" t="s">
        <v>31</v>
      </c>
      <c r="D2223" t="s">
        <v>79</v>
      </c>
      <c r="E2223" s="1">
        <v>45144</v>
      </c>
      <c r="F2223" s="3">
        <v>45161</v>
      </c>
      <c r="G2223" t="s">
        <v>52</v>
      </c>
      <c r="H2223" t="s">
        <v>53</v>
      </c>
      <c r="I2223" t="s">
        <v>43</v>
      </c>
      <c r="J2223">
        <v>4428.08</v>
      </c>
      <c r="K2223">
        <v>17</v>
      </c>
      <c r="L2223" t="s">
        <v>36</v>
      </c>
      <c r="M2223" t="s">
        <v>25</v>
      </c>
      <c r="N2223" t="s">
        <v>44</v>
      </c>
      <c r="O2223" t="s">
        <v>56</v>
      </c>
      <c r="P2223" t="s">
        <v>50</v>
      </c>
      <c r="Q2223">
        <v>14</v>
      </c>
      <c r="R2223">
        <v>1674.68</v>
      </c>
      <c r="S2223" t="s">
        <v>29</v>
      </c>
    </row>
    <row r="2224" spans="1:19" x14ac:dyDescent="0.3">
      <c r="A2224" t="s">
        <v>2294</v>
      </c>
      <c r="B2224">
        <v>69</v>
      </c>
      <c r="C2224" t="s">
        <v>31</v>
      </c>
      <c r="D2224" t="s">
        <v>32</v>
      </c>
      <c r="E2224" s="1">
        <v>45599</v>
      </c>
      <c r="F2224" s="3">
        <v>45612</v>
      </c>
      <c r="G2224" t="s">
        <v>41</v>
      </c>
      <c r="H2224" t="s">
        <v>42</v>
      </c>
      <c r="I2224" t="s">
        <v>54</v>
      </c>
      <c r="J2224">
        <v>9910.1200000000008</v>
      </c>
      <c r="K2224">
        <v>13</v>
      </c>
      <c r="L2224" t="s">
        <v>36</v>
      </c>
      <c r="M2224" t="s">
        <v>25</v>
      </c>
      <c r="N2224" t="s">
        <v>44</v>
      </c>
      <c r="O2224" t="s">
        <v>37</v>
      </c>
      <c r="P2224" t="s">
        <v>45</v>
      </c>
      <c r="Q2224">
        <v>3</v>
      </c>
      <c r="R2224">
        <v>3580.57</v>
      </c>
      <c r="S2224" t="s">
        <v>39</v>
      </c>
    </row>
    <row r="2225" spans="1:19" x14ac:dyDescent="0.3">
      <c r="A2225" t="s">
        <v>2295</v>
      </c>
      <c r="B2225">
        <v>31</v>
      </c>
      <c r="C2225" t="s">
        <v>19</v>
      </c>
      <c r="D2225" t="s">
        <v>66</v>
      </c>
      <c r="E2225" s="1">
        <v>45232</v>
      </c>
      <c r="F2225" s="3">
        <v>45236</v>
      </c>
      <c r="G2225" t="s">
        <v>93</v>
      </c>
      <c r="H2225" t="s">
        <v>72</v>
      </c>
      <c r="I2225" t="s">
        <v>81</v>
      </c>
      <c r="J2225">
        <v>3044.05</v>
      </c>
      <c r="K2225">
        <v>4</v>
      </c>
      <c r="L2225" t="s">
        <v>36</v>
      </c>
      <c r="M2225" t="s">
        <v>59</v>
      </c>
      <c r="N2225" t="s">
        <v>55</v>
      </c>
      <c r="O2225" t="s">
        <v>37</v>
      </c>
      <c r="P2225" t="s">
        <v>38</v>
      </c>
      <c r="Q2225">
        <v>8</v>
      </c>
      <c r="R2225">
        <v>773.62</v>
      </c>
      <c r="S2225" t="s">
        <v>29</v>
      </c>
    </row>
    <row r="2226" spans="1:19" x14ac:dyDescent="0.3">
      <c r="A2226" t="s">
        <v>2296</v>
      </c>
      <c r="B2226">
        <v>79</v>
      </c>
      <c r="C2226" t="s">
        <v>31</v>
      </c>
      <c r="D2226" t="s">
        <v>61</v>
      </c>
      <c r="E2226" s="1">
        <v>45528</v>
      </c>
      <c r="F2226" s="3">
        <v>45534</v>
      </c>
      <c r="G2226" t="s">
        <v>74</v>
      </c>
      <c r="H2226" t="s">
        <v>75</v>
      </c>
      <c r="I2226" t="s">
        <v>81</v>
      </c>
      <c r="J2226">
        <v>10410.08</v>
      </c>
      <c r="K2226">
        <v>6</v>
      </c>
      <c r="L2226" t="s">
        <v>36</v>
      </c>
      <c r="M2226" t="s">
        <v>25</v>
      </c>
      <c r="N2226" t="s">
        <v>26</v>
      </c>
      <c r="O2226" t="s">
        <v>49</v>
      </c>
      <c r="P2226" t="s">
        <v>38</v>
      </c>
      <c r="Q2226">
        <v>2</v>
      </c>
      <c r="R2226">
        <v>2809.49</v>
      </c>
      <c r="S2226" t="s">
        <v>29</v>
      </c>
    </row>
    <row r="2227" spans="1:19" x14ac:dyDescent="0.3">
      <c r="A2227" t="s">
        <v>2297</v>
      </c>
      <c r="B2227">
        <v>61</v>
      </c>
      <c r="C2227" t="s">
        <v>31</v>
      </c>
      <c r="D2227" t="s">
        <v>32</v>
      </c>
      <c r="E2227" s="1">
        <v>45873</v>
      </c>
      <c r="F2227" s="3">
        <v>45880</v>
      </c>
      <c r="G2227" t="s">
        <v>71</v>
      </c>
      <c r="H2227" t="s">
        <v>72</v>
      </c>
      <c r="I2227" t="s">
        <v>35</v>
      </c>
      <c r="J2227">
        <v>7636.67</v>
      </c>
      <c r="K2227">
        <v>7</v>
      </c>
      <c r="L2227" t="s">
        <v>24</v>
      </c>
      <c r="M2227" t="s">
        <v>76</v>
      </c>
      <c r="N2227" t="s">
        <v>44</v>
      </c>
      <c r="O2227" t="s">
        <v>49</v>
      </c>
      <c r="P2227" t="s">
        <v>50</v>
      </c>
      <c r="Q2227">
        <v>2</v>
      </c>
      <c r="R2227">
        <v>1303.56</v>
      </c>
      <c r="S2227" t="s">
        <v>29</v>
      </c>
    </row>
    <row r="2228" spans="1:19" x14ac:dyDescent="0.3">
      <c r="A2228" t="s">
        <v>2298</v>
      </c>
      <c r="B2228">
        <v>51</v>
      </c>
      <c r="C2228" t="s">
        <v>31</v>
      </c>
      <c r="D2228" t="s">
        <v>32</v>
      </c>
      <c r="E2228" s="1">
        <v>45579</v>
      </c>
      <c r="F2228" s="3">
        <v>45596</v>
      </c>
      <c r="G2228" t="s">
        <v>41</v>
      </c>
      <c r="H2228" t="s">
        <v>42</v>
      </c>
      <c r="I2228" t="s">
        <v>43</v>
      </c>
      <c r="J2228">
        <v>12538.34</v>
      </c>
      <c r="K2228">
        <v>17</v>
      </c>
      <c r="L2228" t="s">
        <v>24</v>
      </c>
      <c r="M2228" t="s">
        <v>101</v>
      </c>
      <c r="N2228" t="s">
        <v>55</v>
      </c>
      <c r="O2228" t="s">
        <v>37</v>
      </c>
      <c r="P2228" t="s">
        <v>45</v>
      </c>
      <c r="Q2228">
        <v>14</v>
      </c>
      <c r="R2228">
        <v>2995.69</v>
      </c>
      <c r="S2228" t="s">
        <v>29</v>
      </c>
    </row>
    <row r="2229" spans="1:19" x14ac:dyDescent="0.3">
      <c r="A2229" t="s">
        <v>2299</v>
      </c>
      <c r="B2229">
        <v>52</v>
      </c>
      <c r="C2229" t="s">
        <v>31</v>
      </c>
      <c r="D2229" t="s">
        <v>89</v>
      </c>
      <c r="E2229" s="1">
        <v>45626</v>
      </c>
      <c r="F2229" s="3">
        <v>45633</v>
      </c>
      <c r="G2229" t="s">
        <v>52</v>
      </c>
      <c r="H2229" t="s">
        <v>53</v>
      </c>
      <c r="I2229" t="s">
        <v>23</v>
      </c>
      <c r="J2229">
        <v>4625.24</v>
      </c>
      <c r="K2229">
        <v>7</v>
      </c>
      <c r="L2229" t="s">
        <v>36</v>
      </c>
      <c r="M2229" t="s">
        <v>101</v>
      </c>
      <c r="N2229" t="s">
        <v>26</v>
      </c>
      <c r="O2229" t="s">
        <v>56</v>
      </c>
      <c r="P2229" t="s">
        <v>50</v>
      </c>
      <c r="Q2229">
        <v>10</v>
      </c>
      <c r="R2229">
        <v>1165.69</v>
      </c>
      <c r="S2229" t="s">
        <v>29</v>
      </c>
    </row>
    <row r="2230" spans="1:19" x14ac:dyDescent="0.3">
      <c r="A2230" t="s">
        <v>2300</v>
      </c>
      <c r="B2230">
        <v>62</v>
      </c>
      <c r="C2230" t="s">
        <v>31</v>
      </c>
      <c r="D2230" t="s">
        <v>79</v>
      </c>
      <c r="E2230" s="1">
        <v>45833</v>
      </c>
      <c r="F2230" s="3">
        <v>45839</v>
      </c>
      <c r="G2230" t="s">
        <v>21</v>
      </c>
      <c r="H2230" t="s">
        <v>22</v>
      </c>
      <c r="I2230" t="s">
        <v>83</v>
      </c>
      <c r="J2230">
        <v>3387.46</v>
      </c>
      <c r="K2230">
        <v>6</v>
      </c>
      <c r="L2230" t="s">
        <v>24</v>
      </c>
      <c r="M2230" t="s">
        <v>25</v>
      </c>
      <c r="N2230" t="s">
        <v>44</v>
      </c>
      <c r="O2230" t="s">
        <v>27</v>
      </c>
      <c r="P2230" t="s">
        <v>45</v>
      </c>
      <c r="Q2230">
        <v>3</v>
      </c>
      <c r="R2230">
        <v>894.95</v>
      </c>
      <c r="S2230" t="s">
        <v>39</v>
      </c>
    </row>
    <row r="2231" spans="1:19" x14ac:dyDescent="0.3">
      <c r="A2231" t="s">
        <v>2301</v>
      </c>
      <c r="B2231">
        <v>37</v>
      </c>
      <c r="C2231" t="s">
        <v>19</v>
      </c>
      <c r="D2231" t="s">
        <v>70</v>
      </c>
      <c r="E2231" s="1">
        <v>45219</v>
      </c>
      <c r="F2231" s="3">
        <v>45221</v>
      </c>
      <c r="G2231" t="s">
        <v>52</v>
      </c>
      <c r="H2231" t="s">
        <v>53</v>
      </c>
      <c r="I2231" t="s">
        <v>23</v>
      </c>
      <c r="J2231">
        <v>3014.3</v>
      </c>
      <c r="K2231">
        <v>2</v>
      </c>
      <c r="L2231" t="s">
        <v>36</v>
      </c>
      <c r="M2231" t="s">
        <v>25</v>
      </c>
      <c r="N2231" t="s">
        <v>44</v>
      </c>
      <c r="O2231" t="s">
        <v>37</v>
      </c>
      <c r="P2231" t="s">
        <v>50</v>
      </c>
      <c r="Q2231">
        <v>3</v>
      </c>
      <c r="R2231">
        <v>965.71</v>
      </c>
      <c r="S2231" t="s">
        <v>29</v>
      </c>
    </row>
    <row r="2232" spans="1:19" x14ac:dyDescent="0.3">
      <c r="A2232" t="s">
        <v>2302</v>
      </c>
      <c r="B2232">
        <v>38</v>
      </c>
      <c r="C2232" t="s">
        <v>19</v>
      </c>
      <c r="D2232" t="s">
        <v>47</v>
      </c>
      <c r="E2232" s="1">
        <v>45854</v>
      </c>
      <c r="F2232" s="3">
        <v>45860</v>
      </c>
      <c r="G2232" t="s">
        <v>71</v>
      </c>
      <c r="H2232" t="s">
        <v>72</v>
      </c>
      <c r="I2232" t="s">
        <v>91</v>
      </c>
      <c r="J2232">
        <v>9948.23</v>
      </c>
      <c r="K2232">
        <v>6</v>
      </c>
      <c r="L2232" t="s">
        <v>36</v>
      </c>
      <c r="M2232" t="s">
        <v>59</v>
      </c>
      <c r="N2232" t="s">
        <v>44</v>
      </c>
      <c r="O2232" t="s">
        <v>49</v>
      </c>
      <c r="P2232" t="s">
        <v>45</v>
      </c>
      <c r="Q2232">
        <v>13</v>
      </c>
      <c r="R2232">
        <v>1975.17</v>
      </c>
      <c r="S2232" t="s">
        <v>29</v>
      </c>
    </row>
    <row r="2233" spans="1:19" x14ac:dyDescent="0.3">
      <c r="A2233" t="s">
        <v>2303</v>
      </c>
      <c r="B2233">
        <v>76</v>
      </c>
      <c r="C2233" t="s">
        <v>19</v>
      </c>
      <c r="D2233" t="s">
        <v>89</v>
      </c>
      <c r="E2233" s="1">
        <v>45426</v>
      </c>
      <c r="F2233" s="3">
        <v>45436</v>
      </c>
      <c r="G2233" t="s">
        <v>67</v>
      </c>
      <c r="H2233" t="s">
        <v>42</v>
      </c>
      <c r="I2233" t="s">
        <v>81</v>
      </c>
      <c r="J2233">
        <v>4905.9799999999996</v>
      </c>
      <c r="K2233">
        <v>10</v>
      </c>
      <c r="L2233" t="s">
        <v>36</v>
      </c>
      <c r="M2233" t="s">
        <v>25</v>
      </c>
      <c r="N2233" t="s">
        <v>26</v>
      </c>
      <c r="O2233" t="s">
        <v>37</v>
      </c>
      <c r="P2233" t="s">
        <v>28</v>
      </c>
      <c r="Q2233">
        <v>15</v>
      </c>
      <c r="R2233">
        <v>1147.3499999999999</v>
      </c>
      <c r="S2233" t="s">
        <v>29</v>
      </c>
    </row>
    <row r="2234" spans="1:19" x14ac:dyDescent="0.3">
      <c r="A2234" t="s">
        <v>2304</v>
      </c>
      <c r="B2234">
        <v>36</v>
      </c>
      <c r="C2234" t="s">
        <v>31</v>
      </c>
      <c r="D2234" t="s">
        <v>20</v>
      </c>
      <c r="E2234" s="1">
        <v>45060</v>
      </c>
      <c r="F2234" s="3">
        <v>45079</v>
      </c>
      <c r="G2234" t="s">
        <v>71</v>
      </c>
      <c r="H2234" t="s">
        <v>72</v>
      </c>
      <c r="I2234" t="s">
        <v>81</v>
      </c>
      <c r="J2234">
        <v>13500.89</v>
      </c>
      <c r="K2234">
        <v>19</v>
      </c>
      <c r="L2234" t="s">
        <v>24</v>
      </c>
      <c r="M2234" t="s">
        <v>25</v>
      </c>
      <c r="N2234" t="s">
        <v>44</v>
      </c>
      <c r="O2234" t="s">
        <v>56</v>
      </c>
      <c r="P2234" t="s">
        <v>45</v>
      </c>
      <c r="Q2234">
        <v>14</v>
      </c>
      <c r="R2234">
        <v>2822.68</v>
      </c>
      <c r="S2234" t="s">
        <v>29</v>
      </c>
    </row>
    <row r="2235" spans="1:19" x14ac:dyDescent="0.3">
      <c r="A2235" t="s">
        <v>2305</v>
      </c>
      <c r="B2235">
        <v>88</v>
      </c>
      <c r="C2235" t="s">
        <v>31</v>
      </c>
      <c r="D2235" t="s">
        <v>47</v>
      </c>
      <c r="E2235" s="1">
        <v>45214</v>
      </c>
      <c r="F2235" s="3">
        <v>45239</v>
      </c>
      <c r="G2235" t="s">
        <v>67</v>
      </c>
      <c r="H2235" t="s">
        <v>42</v>
      </c>
      <c r="I2235" t="s">
        <v>83</v>
      </c>
      <c r="J2235">
        <v>19924.73</v>
      </c>
      <c r="K2235">
        <v>25</v>
      </c>
      <c r="L2235" t="s">
        <v>24</v>
      </c>
      <c r="M2235" t="s">
        <v>25</v>
      </c>
      <c r="N2235" t="s">
        <v>26</v>
      </c>
      <c r="O2235" t="s">
        <v>49</v>
      </c>
      <c r="P2235" t="s">
        <v>45</v>
      </c>
      <c r="Q2235">
        <v>14</v>
      </c>
      <c r="R2235">
        <v>7923.18</v>
      </c>
      <c r="S2235" t="s">
        <v>29</v>
      </c>
    </row>
    <row r="2236" spans="1:19" x14ac:dyDescent="0.3">
      <c r="A2236" t="s">
        <v>2306</v>
      </c>
      <c r="B2236">
        <v>68</v>
      </c>
      <c r="C2236" t="s">
        <v>19</v>
      </c>
      <c r="D2236" t="s">
        <v>20</v>
      </c>
      <c r="E2236" s="1">
        <v>45207</v>
      </c>
      <c r="F2236" s="3">
        <v>45215</v>
      </c>
      <c r="G2236" t="s">
        <v>71</v>
      </c>
      <c r="H2236" t="s">
        <v>72</v>
      </c>
      <c r="I2236" t="s">
        <v>81</v>
      </c>
      <c r="J2236">
        <v>3752.43</v>
      </c>
      <c r="K2236">
        <v>8</v>
      </c>
      <c r="L2236" t="s">
        <v>36</v>
      </c>
      <c r="M2236" t="s">
        <v>25</v>
      </c>
      <c r="N2236" t="s">
        <v>44</v>
      </c>
      <c r="O2236" t="s">
        <v>56</v>
      </c>
      <c r="P2236" t="s">
        <v>45</v>
      </c>
      <c r="Q2236">
        <v>10</v>
      </c>
      <c r="R2236">
        <v>779.08</v>
      </c>
      <c r="S2236" t="s">
        <v>29</v>
      </c>
    </row>
    <row r="2237" spans="1:19" x14ac:dyDescent="0.3">
      <c r="A2237" t="s">
        <v>2307</v>
      </c>
      <c r="B2237">
        <v>66</v>
      </c>
      <c r="C2237" t="s">
        <v>19</v>
      </c>
      <c r="D2237" t="s">
        <v>20</v>
      </c>
      <c r="E2237" s="1">
        <v>45700</v>
      </c>
      <c r="F2237" s="3">
        <v>45719</v>
      </c>
      <c r="G2237" t="s">
        <v>93</v>
      </c>
      <c r="H2237" t="s">
        <v>72</v>
      </c>
      <c r="I2237" t="s">
        <v>35</v>
      </c>
      <c r="J2237">
        <v>5902.52</v>
      </c>
      <c r="K2237">
        <v>19</v>
      </c>
      <c r="L2237" t="s">
        <v>36</v>
      </c>
      <c r="M2237" t="s">
        <v>25</v>
      </c>
      <c r="N2237" t="s">
        <v>44</v>
      </c>
      <c r="O2237" t="s">
        <v>56</v>
      </c>
      <c r="P2237" t="s">
        <v>50</v>
      </c>
      <c r="Q2237">
        <v>12</v>
      </c>
      <c r="R2237">
        <v>1108.25</v>
      </c>
      <c r="S2237" t="s">
        <v>39</v>
      </c>
    </row>
    <row r="2238" spans="1:19" x14ac:dyDescent="0.3">
      <c r="A2238" t="s">
        <v>2308</v>
      </c>
      <c r="B2238">
        <v>30</v>
      </c>
      <c r="C2238" t="s">
        <v>19</v>
      </c>
      <c r="D2238" t="s">
        <v>70</v>
      </c>
      <c r="E2238" s="1">
        <v>45230</v>
      </c>
      <c r="F2238" s="3">
        <v>45233</v>
      </c>
      <c r="G2238" t="s">
        <v>21</v>
      </c>
      <c r="H2238" t="s">
        <v>22</v>
      </c>
      <c r="I2238" t="s">
        <v>81</v>
      </c>
      <c r="J2238">
        <v>3133.17</v>
      </c>
      <c r="K2238">
        <v>3</v>
      </c>
      <c r="L2238" t="s">
        <v>24</v>
      </c>
      <c r="M2238" t="s">
        <v>25</v>
      </c>
      <c r="N2238" t="s">
        <v>44</v>
      </c>
      <c r="O2238" t="s">
        <v>27</v>
      </c>
      <c r="P2238" t="s">
        <v>50</v>
      </c>
      <c r="Q2238">
        <v>1</v>
      </c>
      <c r="R2238">
        <v>863.58</v>
      </c>
      <c r="S2238" t="s">
        <v>29</v>
      </c>
    </row>
    <row r="2239" spans="1:19" x14ac:dyDescent="0.3">
      <c r="A2239" t="s">
        <v>2309</v>
      </c>
      <c r="B2239">
        <v>34</v>
      </c>
      <c r="C2239" t="s">
        <v>31</v>
      </c>
      <c r="D2239" t="s">
        <v>61</v>
      </c>
      <c r="E2239" s="1">
        <v>45677</v>
      </c>
      <c r="F2239" s="3">
        <v>45685</v>
      </c>
      <c r="G2239" t="s">
        <v>52</v>
      </c>
      <c r="H2239" t="s">
        <v>53</v>
      </c>
      <c r="I2239" t="s">
        <v>58</v>
      </c>
      <c r="J2239">
        <v>11046.35</v>
      </c>
      <c r="K2239">
        <v>8</v>
      </c>
      <c r="L2239" t="s">
        <v>24</v>
      </c>
      <c r="M2239" t="s">
        <v>25</v>
      </c>
      <c r="N2239" t="s">
        <v>26</v>
      </c>
      <c r="O2239" t="s">
        <v>49</v>
      </c>
      <c r="P2239" t="s">
        <v>28</v>
      </c>
      <c r="Q2239">
        <v>15</v>
      </c>
      <c r="R2239">
        <v>3354.6</v>
      </c>
      <c r="S2239" t="s">
        <v>39</v>
      </c>
    </row>
    <row r="2240" spans="1:19" x14ac:dyDescent="0.3">
      <c r="A2240" t="s">
        <v>2310</v>
      </c>
      <c r="B2240">
        <v>84</v>
      </c>
      <c r="C2240" t="s">
        <v>31</v>
      </c>
      <c r="D2240" t="s">
        <v>20</v>
      </c>
      <c r="E2240" s="1">
        <v>45055</v>
      </c>
      <c r="F2240" s="3">
        <v>45063</v>
      </c>
      <c r="G2240" t="s">
        <v>62</v>
      </c>
      <c r="H2240" t="s">
        <v>63</v>
      </c>
      <c r="I2240" t="s">
        <v>81</v>
      </c>
      <c r="J2240">
        <v>5367.87</v>
      </c>
      <c r="K2240">
        <v>8</v>
      </c>
      <c r="L2240" t="s">
        <v>36</v>
      </c>
      <c r="M2240" t="s">
        <v>25</v>
      </c>
      <c r="N2240" t="s">
        <v>44</v>
      </c>
      <c r="O2240" t="s">
        <v>56</v>
      </c>
      <c r="P2240" t="s">
        <v>45</v>
      </c>
      <c r="Q2240">
        <v>7</v>
      </c>
      <c r="R2240">
        <v>1732.87</v>
      </c>
      <c r="S2240" t="s">
        <v>39</v>
      </c>
    </row>
    <row r="2241" spans="1:19" x14ac:dyDescent="0.3">
      <c r="A2241" t="s">
        <v>2311</v>
      </c>
      <c r="B2241">
        <v>87</v>
      </c>
      <c r="C2241" t="s">
        <v>31</v>
      </c>
      <c r="D2241" t="s">
        <v>70</v>
      </c>
      <c r="E2241" s="1">
        <v>45194</v>
      </c>
      <c r="F2241" s="3">
        <v>45206</v>
      </c>
      <c r="G2241" t="s">
        <v>41</v>
      </c>
      <c r="H2241" t="s">
        <v>42</v>
      </c>
      <c r="I2241" t="s">
        <v>35</v>
      </c>
      <c r="J2241">
        <v>9616.59</v>
      </c>
      <c r="K2241">
        <v>12</v>
      </c>
      <c r="L2241" t="s">
        <v>36</v>
      </c>
      <c r="M2241" t="s">
        <v>25</v>
      </c>
      <c r="N2241" t="s">
        <v>44</v>
      </c>
      <c r="O2241" t="s">
        <v>27</v>
      </c>
      <c r="P2241" t="s">
        <v>38</v>
      </c>
      <c r="Q2241">
        <v>7</v>
      </c>
      <c r="R2241">
        <v>2879.05</v>
      </c>
      <c r="S2241" t="s">
        <v>29</v>
      </c>
    </row>
    <row r="2242" spans="1:19" x14ac:dyDescent="0.3">
      <c r="A2242" t="s">
        <v>2312</v>
      </c>
      <c r="B2242">
        <v>56</v>
      </c>
      <c r="C2242" t="s">
        <v>31</v>
      </c>
      <c r="D2242" t="s">
        <v>79</v>
      </c>
      <c r="E2242" s="1">
        <v>45566</v>
      </c>
      <c r="F2242" s="3">
        <v>45593</v>
      </c>
      <c r="G2242" t="s">
        <v>41</v>
      </c>
      <c r="H2242" t="s">
        <v>42</v>
      </c>
      <c r="I2242" t="s">
        <v>43</v>
      </c>
      <c r="J2242">
        <v>15673.27</v>
      </c>
      <c r="K2242">
        <v>27</v>
      </c>
      <c r="L2242" t="s">
        <v>24</v>
      </c>
      <c r="M2242" t="s">
        <v>25</v>
      </c>
      <c r="N2242" t="s">
        <v>26</v>
      </c>
      <c r="O2242" t="s">
        <v>49</v>
      </c>
      <c r="P2242" t="s">
        <v>28</v>
      </c>
      <c r="Q2242">
        <v>14</v>
      </c>
      <c r="R2242">
        <v>2774.17</v>
      </c>
      <c r="S2242" t="s">
        <v>29</v>
      </c>
    </row>
    <row r="2243" spans="1:19" x14ac:dyDescent="0.3">
      <c r="A2243" t="s">
        <v>2313</v>
      </c>
      <c r="B2243">
        <v>22</v>
      </c>
      <c r="C2243" t="s">
        <v>31</v>
      </c>
      <c r="D2243" t="s">
        <v>32</v>
      </c>
      <c r="E2243" s="1">
        <v>45574</v>
      </c>
      <c r="F2243" s="3">
        <v>45581</v>
      </c>
      <c r="G2243" t="s">
        <v>67</v>
      </c>
      <c r="H2243" t="s">
        <v>42</v>
      </c>
      <c r="I2243" t="s">
        <v>81</v>
      </c>
      <c r="J2243">
        <v>4719.09</v>
      </c>
      <c r="K2243">
        <v>7</v>
      </c>
      <c r="L2243" t="s">
        <v>36</v>
      </c>
      <c r="M2243" t="s">
        <v>25</v>
      </c>
      <c r="N2243" t="s">
        <v>26</v>
      </c>
      <c r="O2243" t="s">
        <v>56</v>
      </c>
      <c r="P2243" t="s">
        <v>45</v>
      </c>
      <c r="Q2243">
        <v>3</v>
      </c>
      <c r="R2243">
        <v>1496.75</v>
      </c>
      <c r="S2243" t="s">
        <v>29</v>
      </c>
    </row>
    <row r="2244" spans="1:19" x14ac:dyDescent="0.3">
      <c r="A2244" t="s">
        <v>2314</v>
      </c>
      <c r="B2244">
        <v>63</v>
      </c>
      <c r="C2244" t="s">
        <v>31</v>
      </c>
      <c r="D2244" t="s">
        <v>66</v>
      </c>
      <c r="E2244" s="1">
        <v>45764</v>
      </c>
      <c r="F2244" s="3">
        <v>45771</v>
      </c>
      <c r="G2244" t="s">
        <v>33</v>
      </c>
      <c r="H2244" t="s">
        <v>34</v>
      </c>
      <c r="I2244" t="s">
        <v>58</v>
      </c>
      <c r="J2244">
        <v>2641.24</v>
      </c>
      <c r="K2244">
        <v>7</v>
      </c>
      <c r="L2244" t="s">
        <v>24</v>
      </c>
      <c r="M2244" t="s">
        <v>25</v>
      </c>
      <c r="N2244" t="s">
        <v>44</v>
      </c>
      <c r="O2244" t="s">
        <v>37</v>
      </c>
      <c r="P2244" t="s">
        <v>28</v>
      </c>
      <c r="Q2244">
        <v>2</v>
      </c>
      <c r="R2244">
        <v>997.3</v>
      </c>
      <c r="S2244" t="s">
        <v>29</v>
      </c>
    </row>
    <row r="2245" spans="1:19" x14ac:dyDescent="0.3">
      <c r="A2245" t="s">
        <v>2315</v>
      </c>
      <c r="B2245">
        <v>42</v>
      </c>
      <c r="C2245" t="s">
        <v>31</v>
      </c>
      <c r="D2245" t="s">
        <v>20</v>
      </c>
      <c r="E2245" s="1">
        <v>45711</v>
      </c>
      <c r="F2245" s="3">
        <v>45718</v>
      </c>
      <c r="G2245" t="s">
        <v>52</v>
      </c>
      <c r="H2245" t="s">
        <v>53</v>
      </c>
      <c r="I2245" t="s">
        <v>83</v>
      </c>
      <c r="J2245">
        <v>9041.3700000000008</v>
      </c>
      <c r="K2245">
        <v>7</v>
      </c>
      <c r="L2245" t="s">
        <v>36</v>
      </c>
      <c r="M2245" t="s">
        <v>25</v>
      </c>
      <c r="N2245" t="s">
        <v>55</v>
      </c>
      <c r="O2245" t="s">
        <v>49</v>
      </c>
      <c r="P2245" t="s">
        <v>45</v>
      </c>
      <c r="Q2245">
        <v>8</v>
      </c>
      <c r="R2245">
        <v>2532.65</v>
      </c>
      <c r="S2245" t="s">
        <v>29</v>
      </c>
    </row>
    <row r="2246" spans="1:19" x14ac:dyDescent="0.3">
      <c r="A2246" t="s">
        <v>2316</v>
      </c>
      <c r="B2246">
        <v>67</v>
      </c>
      <c r="C2246" t="s">
        <v>19</v>
      </c>
      <c r="D2246" t="s">
        <v>61</v>
      </c>
      <c r="E2246" s="1">
        <v>44995</v>
      </c>
      <c r="F2246" s="3">
        <v>45017</v>
      </c>
      <c r="G2246" t="s">
        <v>41</v>
      </c>
      <c r="H2246" t="s">
        <v>42</v>
      </c>
      <c r="I2246" t="s">
        <v>43</v>
      </c>
      <c r="J2246">
        <v>13826.92</v>
      </c>
      <c r="K2246">
        <v>22</v>
      </c>
      <c r="L2246" t="s">
        <v>24</v>
      </c>
      <c r="M2246" t="s">
        <v>25</v>
      </c>
      <c r="N2246" t="s">
        <v>44</v>
      </c>
      <c r="O2246" t="s">
        <v>49</v>
      </c>
      <c r="P2246" t="s">
        <v>45</v>
      </c>
      <c r="Q2246">
        <v>5</v>
      </c>
      <c r="R2246">
        <v>4558.3999999999996</v>
      </c>
      <c r="S2246" t="s">
        <v>29</v>
      </c>
    </row>
    <row r="2247" spans="1:19" x14ac:dyDescent="0.3">
      <c r="A2247" t="s">
        <v>2317</v>
      </c>
      <c r="B2247">
        <v>38</v>
      </c>
      <c r="C2247" t="s">
        <v>19</v>
      </c>
      <c r="D2247" t="s">
        <v>61</v>
      </c>
      <c r="E2247" s="1">
        <v>45698</v>
      </c>
      <c r="F2247" s="3">
        <v>45714</v>
      </c>
      <c r="G2247" t="s">
        <v>93</v>
      </c>
      <c r="H2247" t="s">
        <v>72</v>
      </c>
      <c r="I2247" t="s">
        <v>81</v>
      </c>
      <c r="J2247">
        <v>10582.27</v>
      </c>
      <c r="K2247">
        <v>16</v>
      </c>
      <c r="L2247" t="s">
        <v>36</v>
      </c>
      <c r="M2247" t="s">
        <v>25</v>
      </c>
      <c r="N2247" t="s">
        <v>55</v>
      </c>
      <c r="O2247" t="s">
        <v>56</v>
      </c>
      <c r="P2247" t="s">
        <v>28</v>
      </c>
      <c r="Q2247">
        <v>15</v>
      </c>
      <c r="R2247">
        <v>3489.42</v>
      </c>
      <c r="S2247" t="s">
        <v>29</v>
      </c>
    </row>
    <row r="2248" spans="1:19" x14ac:dyDescent="0.3">
      <c r="A2248" t="s">
        <v>2318</v>
      </c>
      <c r="B2248">
        <v>88</v>
      </c>
      <c r="C2248" t="s">
        <v>19</v>
      </c>
      <c r="D2248" t="s">
        <v>66</v>
      </c>
      <c r="E2248" s="1">
        <v>45746</v>
      </c>
      <c r="F2248" s="3">
        <v>45750</v>
      </c>
      <c r="G2248" t="s">
        <v>93</v>
      </c>
      <c r="H2248" t="s">
        <v>72</v>
      </c>
      <c r="I2248" t="s">
        <v>83</v>
      </c>
      <c r="J2248">
        <v>3596.99</v>
      </c>
      <c r="K2248">
        <v>4</v>
      </c>
      <c r="L2248" t="s">
        <v>24</v>
      </c>
      <c r="M2248" t="s">
        <v>25</v>
      </c>
      <c r="N2248" t="s">
        <v>26</v>
      </c>
      <c r="O2248" t="s">
        <v>27</v>
      </c>
      <c r="P2248" t="s">
        <v>45</v>
      </c>
      <c r="Q2248">
        <v>9</v>
      </c>
      <c r="R2248">
        <v>1116.78</v>
      </c>
      <c r="S2248" t="s">
        <v>39</v>
      </c>
    </row>
    <row r="2249" spans="1:19" x14ac:dyDescent="0.3">
      <c r="A2249" t="s">
        <v>2319</v>
      </c>
      <c r="B2249">
        <v>35</v>
      </c>
      <c r="C2249" t="s">
        <v>19</v>
      </c>
      <c r="D2249" t="s">
        <v>32</v>
      </c>
      <c r="E2249" s="1">
        <v>45159</v>
      </c>
      <c r="F2249" s="3">
        <v>45189</v>
      </c>
      <c r="G2249" t="s">
        <v>62</v>
      </c>
      <c r="H2249" t="s">
        <v>63</v>
      </c>
      <c r="I2249" t="s">
        <v>54</v>
      </c>
      <c r="J2249">
        <v>10474.299999999999</v>
      </c>
      <c r="K2249">
        <v>30</v>
      </c>
      <c r="L2249" t="s">
        <v>24</v>
      </c>
      <c r="M2249" t="s">
        <v>25</v>
      </c>
      <c r="N2249" t="s">
        <v>26</v>
      </c>
      <c r="O2249" t="s">
        <v>49</v>
      </c>
      <c r="P2249" t="s">
        <v>28</v>
      </c>
      <c r="Q2249">
        <v>13</v>
      </c>
      <c r="R2249">
        <v>1761.35</v>
      </c>
      <c r="S2249" t="s">
        <v>29</v>
      </c>
    </row>
    <row r="2250" spans="1:19" x14ac:dyDescent="0.3">
      <c r="A2250" t="s">
        <v>2320</v>
      </c>
      <c r="B2250">
        <v>88</v>
      </c>
      <c r="C2250" t="s">
        <v>31</v>
      </c>
      <c r="D2250" t="s">
        <v>61</v>
      </c>
      <c r="E2250" s="1">
        <v>45111</v>
      </c>
      <c r="F2250" s="3">
        <v>45130</v>
      </c>
      <c r="G2250" t="s">
        <v>62</v>
      </c>
      <c r="H2250" t="s">
        <v>63</v>
      </c>
      <c r="I2250" t="s">
        <v>81</v>
      </c>
      <c r="J2250">
        <v>11177.16</v>
      </c>
      <c r="K2250">
        <v>19</v>
      </c>
      <c r="L2250" t="s">
        <v>36</v>
      </c>
      <c r="M2250" t="s">
        <v>25</v>
      </c>
      <c r="N2250" t="s">
        <v>55</v>
      </c>
      <c r="O2250" t="s">
        <v>49</v>
      </c>
      <c r="P2250" t="s">
        <v>38</v>
      </c>
      <c r="Q2250">
        <v>2</v>
      </c>
      <c r="R2250">
        <v>1972.39</v>
      </c>
      <c r="S2250" t="s">
        <v>29</v>
      </c>
    </row>
    <row r="2251" spans="1:19" x14ac:dyDescent="0.3">
      <c r="A2251" t="s">
        <v>2321</v>
      </c>
      <c r="B2251">
        <v>67</v>
      </c>
      <c r="C2251" t="s">
        <v>31</v>
      </c>
      <c r="D2251" t="s">
        <v>89</v>
      </c>
      <c r="E2251" s="1">
        <v>45434</v>
      </c>
      <c r="F2251" s="3">
        <v>45452</v>
      </c>
      <c r="G2251" t="s">
        <v>67</v>
      </c>
      <c r="H2251" t="s">
        <v>42</v>
      </c>
      <c r="I2251" t="s">
        <v>54</v>
      </c>
      <c r="J2251">
        <v>19282.16</v>
      </c>
      <c r="K2251">
        <v>18</v>
      </c>
      <c r="L2251" t="s">
        <v>24</v>
      </c>
      <c r="M2251" t="s">
        <v>25</v>
      </c>
      <c r="N2251" t="s">
        <v>26</v>
      </c>
      <c r="O2251" t="s">
        <v>49</v>
      </c>
      <c r="P2251" t="s">
        <v>50</v>
      </c>
      <c r="Q2251">
        <v>8</v>
      </c>
      <c r="R2251">
        <v>4260.46</v>
      </c>
      <c r="S2251" t="s">
        <v>29</v>
      </c>
    </row>
    <row r="2252" spans="1:19" x14ac:dyDescent="0.3">
      <c r="A2252" t="s">
        <v>2322</v>
      </c>
      <c r="B2252">
        <v>34</v>
      </c>
      <c r="C2252" t="s">
        <v>31</v>
      </c>
      <c r="D2252" t="s">
        <v>79</v>
      </c>
      <c r="E2252" s="1">
        <v>45728</v>
      </c>
      <c r="F2252" s="3">
        <v>45737</v>
      </c>
      <c r="G2252" t="s">
        <v>93</v>
      </c>
      <c r="H2252" t="s">
        <v>72</v>
      </c>
      <c r="I2252" t="s">
        <v>58</v>
      </c>
      <c r="J2252">
        <v>6872.41</v>
      </c>
      <c r="K2252">
        <v>9</v>
      </c>
      <c r="L2252" t="s">
        <v>24</v>
      </c>
      <c r="M2252" t="s">
        <v>25</v>
      </c>
      <c r="N2252" t="s">
        <v>55</v>
      </c>
      <c r="O2252" t="s">
        <v>37</v>
      </c>
      <c r="P2252" t="s">
        <v>38</v>
      </c>
      <c r="Q2252">
        <v>14</v>
      </c>
      <c r="R2252">
        <v>2666.81</v>
      </c>
      <c r="S2252" t="s">
        <v>29</v>
      </c>
    </row>
    <row r="2253" spans="1:19" x14ac:dyDescent="0.3">
      <c r="A2253" t="s">
        <v>2323</v>
      </c>
      <c r="B2253">
        <v>74</v>
      </c>
      <c r="C2253" t="s">
        <v>31</v>
      </c>
      <c r="D2253" t="s">
        <v>89</v>
      </c>
      <c r="E2253" s="1">
        <v>45459</v>
      </c>
      <c r="F2253" s="3">
        <v>45461</v>
      </c>
      <c r="G2253" t="s">
        <v>71</v>
      </c>
      <c r="H2253" t="s">
        <v>72</v>
      </c>
      <c r="I2253" t="s">
        <v>23</v>
      </c>
      <c r="J2253">
        <v>3437.93</v>
      </c>
      <c r="K2253">
        <v>2</v>
      </c>
      <c r="L2253" t="s">
        <v>36</v>
      </c>
      <c r="M2253" t="s">
        <v>25</v>
      </c>
      <c r="N2253" t="s">
        <v>55</v>
      </c>
      <c r="O2253" t="s">
        <v>37</v>
      </c>
      <c r="P2253" t="s">
        <v>50</v>
      </c>
      <c r="Q2253">
        <v>4</v>
      </c>
      <c r="R2253">
        <v>1371.14</v>
      </c>
      <c r="S2253" t="s">
        <v>29</v>
      </c>
    </row>
    <row r="2254" spans="1:19" x14ac:dyDescent="0.3">
      <c r="A2254" t="s">
        <v>2324</v>
      </c>
      <c r="B2254">
        <v>20</v>
      </c>
      <c r="C2254" t="s">
        <v>19</v>
      </c>
      <c r="D2254" t="s">
        <v>66</v>
      </c>
      <c r="E2254" s="1">
        <v>45424</v>
      </c>
      <c r="F2254" s="3">
        <v>45426</v>
      </c>
      <c r="G2254" t="s">
        <v>93</v>
      </c>
      <c r="H2254" t="s">
        <v>72</v>
      </c>
      <c r="I2254" t="s">
        <v>35</v>
      </c>
      <c r="J2254">
        <v>1865.55</v>
      </c>
      <c r="K2254">
        <v>2</v>
      </c>
      <c r="L2254" t="s">
        <v>24</v>
      </c>
      <c r="M2254" t="s">
        <v>25</v>
      </c>
      <c r="N2254" t="s">
        <v>26</v>
      </c>
      <c r="O2254" t="s">
        <v>27</v>
      </c>
      <c r="P2254" t="s">
        <v>50</v>
      </c>
      <c r="Q2254">
        <v>14</v>
      </c>
      <c r="R2254">
        <v>545.46</v>
      </c>
      <c r="S2254" t="s">
        <v>29</v>
      </c>
    </row>
    <row r="2255" spans="1:19" x14ac:dyDescent="0.3">
      <c r="A2255" t="s">
        <v>2325</v>
      </c>
      <c r="B2255">
        <v>72</v>
      </c>
      <c r="C2255" t="s">
        <v>19</v>
      </c>
      <c r="D2255" t="s">
        <v>79</v>
      </c>
      <c r="E2255" s="1">
        <v>45288</v>
      </c>
      <c r="F2255" s="3">
        <v>45292</v>
      </c>
      <c r="G2255" t="s">
        <v>41</v>
      </c>
      <c r="H2255" t="s">
        <v>42</v>
      </c>
      <c r="I2255" t="s">
        <v>23</v>
      </c>
      <c r="J2255">
        <v>8034.49</v>
      </c>
      <c r="K2255">
        <v>4</v>
      </c>
      <c r="L2255" t="s">
        <v>24</v>
      </c>
      <c r="M2255" t="s">
        <v>25</v>
      </c>
      <c r="N2255" t="s">
        <v>55</v>
      </c>
      <c r="O2255" t="s">
        <v>49</v>
      </c>
      <c r="P2255" t="s">
        <v>38</v>
      </c>
      <c r="Q2255">
        <v>11</v>
      </c>
      <c r="R2255">
        <v>1942.6</v>
      </c>
      <c r="S2255" t="s">
        <v>29</v>
      </c>
    </row>
    <row r="2256" spans="1:19" x14ac:dyDescent="0.3">
      <c r="A2256" t="s">
        <v>2326</v>
      </c>
      <c r="B2256">
        <v>44</v>
      </c>
      <c r="C2256" t="s">
        <v>31</v>
      </c>
      <c r="D2256" t="s">
        <v>89</v>
      </c>
      <c r="E2256" s="1">
        <v>45395</v>
      </c>
      <c r="F2256" s="3">
        <v>45408</v>
      </c>
      <c r="G2256" t="s">
        <v>33</v>
      </c>
      <c r="H2256" t="s">
        <v>34</v>
      </c>
      <c r="I2256" t="s">
        <v>83</v>
      </c>
      <c r="J2256">
        <v>7601.77</v>
      </c>
      <c r="K2256">
        <v>13</v>
      </c>
      <c r="L2256" t="s">
        <v>24</v>
      </c>
      <c r="M2256" t="s">
        <v>25</v>
      </c>
      <c r="N2256" t="s">
        <v>55</v>
      </c>
      <c r="O2256" t="s">
        <v>27</v>
      </c>
      <c r="P2256" t="s">
        <v>28</v>
      </c>
      <c r="Q2256">
        <v>1</v>
      </c>
      <c r="R2256">
        <v>3015.09</v>
      </c>
      <c r="S2256" t="s">
        <v>29</v>
      </c>
    </row>
    <row r="2257" spans="1:19" x14ac:dyDescent="0.3">
      <c r="A2257" t="s">
        <v>2327</v>
      </c>
      <c r="B2257">
        <v>86</v>
      </c>
      <c r="C2257" t="s">
        <v>31</v>
      </c>
      <c r="D2257" t="s">
        <v>20</v>
      </c>
      <c r="E2257" s="1">
        <v>45376</v>
      </c>
      <c r="F2257" s="3">
        <v>45403</v>
      </c>
      <c r="G2257" t="s">
        <v>67</v>
      </c>
      <c r="H2257" t="s">
        <v>42</v>
      </c>
      <c r="I2257" t="s">
        <v>43</v>
      </c>
      <c r="J2257">
        <v>23634.13</v>
      </c>
      <c r="K2257">
        <v>27</v>
      </c>
      <c r="L2257" t="s">
        <v>24</v>
      </c>
      <c r="M2257" t="s">
        <v>25</v>
      </c>
      <c r="N2257" t="s">
        <v>55</v>
      </c>
      <c r="O2257" t="s">
        <v>49</v>
      </c>
      <c r="P2257" t="s">
        <v>38</v>
      </c>
      <c r="Q2257">
        <v>7</v>
      </c>
      <c r="R2257">
        <v>7321.92</v>
      </c>
      <c r="S2257" t="s">
        <v>29</v>
      </c>
    </row>
    <row r="2258" spans="1:19" x14ac:dyDescent="0.3">
      <c r="A2258" t="s">
        <v>2328</v>
      </c>
      <c r="B2258">
        <v>34</v>
      </c>
      <c r="C2258" t="s">
        <v>31</v>
      </c>
      <c r="D2258" t="s">
        <v>70</v>
      </c>
      <c r="E2258" s="1">
        <v>45102</v>
      </c>
      <c r="F2258" s="3">
        <v>45122</v>
      </c>
      <c r="G2258" t="s">
        <v>62</v>
      </c>
      <c r="H2258" t="s">
        <v>63</v>
      </c>
      <c r="I2258" t="s">
        <v>35</v>
      </c>
      <c r="J2258">
        <v>5942.83</v>
      </c>
      <c r="K2258">
        <v>20</v>
      </c>
      <c r="L2258" t="s">
        <v>36</v>
      </c>
      <c r="M2258" t="s">
        <v>25</v>
      </c>
      <c r="N2258" t="s">
        <v>55</v>
      </c>
      <c r="O2258" t="s">
        <v>56</v>
      </c>
      <c r="P2258" t="s">
        <v>50</v>
      </c>
      <c r="Q2258">
        <v>11</v>
      </c>
      <c r="R2258">
        <v>2168.9299999999998</v>
      </c>
      <c r="S2258" t="s">
        <v>29</v>
      </c>
    </row>
    <row r="2259" spans="1:19" x14ac:dyDescent="0.3">
      <c r="A2259" t="s">
        <v>2329</v>
      </c>
      <c r="B2259">
        <v>30</v>
      </c>
      <c r="C2259" t="s">
        <v>31</v>
      </c>
      <c r="D2259" t="s">
        <v>61</v>
      </c>
      <c r="E2259" s="1">
        <v>45072</v>
      </c>
      <c r="F2259" s="3">
        <v>45084</v>
      </c>
      <c r="G2259" t="s">
        <v>33</v>
      </c>
      <c r="H2259" t="s">
        <v>34</v>
      </c>
      <c r="I2259" t="s">
        <v>83</v>
      </c>
      <c r="J2259">
        <v>9131.09</v>
      </c>
      <c r="K2259">
        <v>12</v>
      </c>
      <c r="L2259" t="s">
        <v>36</v>
      </c>
      <c r="M2259" t="s">
        <v>59</v>
      </c>
      <c r="N2259" t="s">
        <v>55</v>
      </c>
      <c r="O2259" t="s">
        <v>27</v>
      </c>
      <c r="P2259" t="s">
        <v>38</v>
      </c>
      <c r="Q2259">
        <v>13</v>
      </c>
      <c r="R2259">
        <v>3555.31</v>
      </c>
      <c r="S2259" t="s">
        <v>29</v>
      </c>
    </row>
    <row r="2260" spans="1:19" x14ac:dyDescent="0.3">
      <c r="A2260" t="s">
        <v>2330</v>
      </c>
      <c r="B2260">
        <v>52</v>
      </c>
      <c r="C2260" t="s">
        <v>31</v>
      </c>
      <c r="D2260" t="s">
        <v>20</v>
      </c>
      <c r="E2260" s="1">
        <v>45060</v>
      </c>
      <c r="F2260" s="3">
        <v>45073</v>
      </c>
      <c r="G2260" t="s">
        <v>33</v>
      </c>
      <c r="H2260" t="s">
        <v>34</v>
      </c>
      <c r="I2260" t="s">
        <v>81</v>
      </c>
      <c r="J2260">
        <v>5668.27</v>
      </c>
      <c r="K2260">
        <v>13</v>
      </c>
      <c r="L2260" t="s">
        <v>36</v>
      </c>
      <c r="M2260" t="s">
        <v>101</v>
      </c>
      <c r="N2260" t="s">
        <v>26</v>
      </c>
      <c r="O2260" t="s">
        <v>27</v>
      </c>
      <c r="P2260" t="s">
        <v>50</v>
      </c>
      <c r="Q2260">
        <v>4</v>
      </c>
      <c r="R2260">
        <v>2079.2199999999998</v>
      </c>
      <c r="S2260" t="s">
        <v>29</v>
      </c>
    </row>
    <row r="2261" spans="1:19" x14ac:dyDescent="0.3">
      <c r="A2261" t="s">
        <v>2331</v>
      </c>
      <c r="B2261">
        <v>65</v>
      </c>
      <c r="C2261" t="s">
        <v>19</v>
      </c>
      <c r="D2261" t="s">
        <v>89</v>
      </c>
      <c r="E2261" s="1">
        <v>45790</v>
      </c>
      <c r="F2261" s="3">
        <v>45792</v>
      </c>
      <c r="G2261" t="s">
        <v>21</v>
      </c>
      <c r="H2261" t="s">
        <v>22</v>
      </c>
      <c r="I2261" t="s">
        <v>54</v>
      </c>
      <c r="J2261">
        <v>3806.68</v>
      </c>
      <c r="K2261">
        <v>2</v>
      </c>
      <c r="L2261" t="s">
        <v>36</v>
      </c>
      <c r="M2261" t="s">
        <v>25</v>
      </c>
      <c r="N2261" t="s">
        <v>55</v>
      </c>
      <c r="O2261" t="s">
        <v>37</v>
      </c>
      <c r="P2261" t="s">
        <v>28</v>
      </c>
      <c r="Q2261">
        <v>12</v>
      </c>
      <c r="R2261">
        <v>1052.96</v>
      </c>
      <c r="S2261" t="s">
        <v>39</v>
      </c>
    </row>
    <row r="2262" spans="1:19" x14ac:dyDescent="0.3">
      <c r="A2262" t="s">
        <v>2332</v>
      </c>
      <c r="B2262">
        <v>63</v>
      </c>
      <c r="C2262" t="s">
        <v>19</v>
      </c>
      <c r="D2262" t="s">
        <v>89</v>
      </c>
      <c r="E2262" s="1">
        <v>45475</v>
      </c>
      <c r="F2262" s="3">
        <v>45493</v>
      </c>
      <c r="G2262" t="s">
        <v>71</v>
      </c>
      <c r="H2262" t="s">
        <v>72</v>
      </c>
      <c r="I2262" t="s">
        <v>81</v>
      </c>
      <c r="J2262">
        <v>11338.24</v>
      </c>
      <c r="K2262">
        <v>18</v>
      </c>
      <c r="L2262" t="s">
        <v>36</v>
      </c>
      <c r="M2262" t="s">
        <v>25</v>
      </c>
      <c r="N2262" t="s">
        <v>44</v>
      </c>
      <c r="O2262" t="s">
        <v>56</v>
      </c>
      <c r="P2262" t="s">
        <v>45</v>
      </c>
      <c r="Q2262">
        <v>4</v>
      </c>
      <c r="R2262">
        <v>4478.46</v>
      </c>
      <c r="S2262" t="s">
        <v>29</v>
      </c>
    </row>
    <row r="2263" spans="1:19" x14ac:dyDescent="0.3">
      <c r="A2263" t="s">
        <v>2333</v>
      </c>
      <c r="B2263">
        <v>31</v>
      </c>
      <c r="C2263" t="s">
        <v>31</v>
      </c>
      <c r="D2263" t="s">
        <v>70</v>
      </c>
      <c r="E2263" s="1">
        <v>45879</v>
      </c>
      <c r="F2263" s="3">
        <v>45882</v>
      </c>
      <c r="G2263" t="s">
        <v>21</v>
      </c>
      <c r="H2263" t="s">
        <v>22</v>
      </c>
      <c r="I2263" t="s">
        <v>91</v>
      </c>
      <c r="J2263">
        <v>3202.28</v>
      </c>
      <c r="K2263">
        <v>3</v>
      </c>
      <c r="L2263" t="s">
        <v>36</v>
      </c>
      <c r="M2263" t="s">
        <v>25</v>
      </c>
      <c r="N2263" t="s">
        <v>55</v>
      </c>
      <c r="O2263" t="s">
        <v>37</v>
      </c>
      <c r="P2263" t="s">
        <v>50</v>
      </c>
      <c r="Q2263">
        <v>1</v>
      </c>
      <c r="R2263">
        <v>1234.1500000000001</v>
      </c>
      <c r="S2263" t="s">
        <v>39</v>
      </c>
    </row>
    <row r="2264" spans="1:19" x14ac:dyDescent="0.3">
      <c r="A2264" t="s">
        <v>2334</v>
      </c>
      <c r="B2264">
        <v>65</v>
      </c>
      <c r="C2264" t="s">
        <v>19</v>
      </c>
      <c r="D2264" t="s">
        <v>79</v>
      </c>
      <c r="E2264" s="1">
        <v>45831</v>
      </c>
      <c r="F2264" s="3">
        <v>45841</v>
      </c>
      <c r="G2264" t="s">
        <v>21</v>
      </c>
      <c r="H2264" t="s">
        <v>22</v>
      </c>
      <c r="I2264" t="s">
        <v>43</v>
      </c>
      <c r="J2264">
        <v>7285.65</v>
      </c>
      <c r="K2264">
        <v>10</v>
      </c>
      <c r="L2264" t="s">
        <v>36</v>
      </c>
      <c r="M2264" t="s">
        <v>25</v>
      </c>
      <c r="N2264" t="s">
        <v>26</v>
      </c>
      <c r="O2264" t="s">
        <v>49</v>
      </c>
      <c r="P2264" t="s">
        <v>38</v>
      </c>
      <c r="Q2264">
        <v>11</v>
      </c>
      <c r="R2264">
        <v>2815.39</v>
      </c>
      <c r="S2264" t="s">
        <v>29</v>
      </c>
    </row>
    <row r="2265" spans="1:19" x14ac:dyDescent="0.3">
      <c r="A2265" t="s">
        <v>2335</v>
      </c>
      <c r="B2265">
        <v>51</v>
      </c>
      <c r="C2265" t="s">
        <v>31</v>
      </c>
      <c r="D2265" t="s">
        <v>66</v>
      </c>
      <c r="E2265" s="1">
        <v>45425</v>
      </c>
      <c r="F2265" s="3">
        <v>45427</v>
      </c>
      <c r="G2265" t="s">
        <v>62</v>
      </c>
      <c r="H2265" t="s">
        <v>63</v>
      </c>
      <c r="I2265" t="s">
        <v>54</v>
      </c>
      <c r="J2265">
        <v>3717.7</v>
      </c>
      <c r="K2265">
        <v>2</v>
      </c>
      <c r="L2265" t="s">
        <v>24</v>
      </c>
      <c r="M2265" t="s">
        <v>25</v>
      </c>
      <c r="N2265" t="s">
        <v>44</v>
      </c>
      <c r="O2265" t="s">
        <v>27</v>
      </c>
      <c r="P2265" t="s">
        <v>28</v>
      </c>
      <c r="Q2265">
        <v>9</v>
      </c>
      <c r="R2265">
        <v>1163.49</v>
      </c>
      <c r="S2265" t="s">
        <v>29</v>
      </c>
    </row>
    <row r="2266" spans="1:19" x14ac:dyDescent="0.3">
      <c r="A2266" t="s">
        <v>2336</v>
      </c>
      <c r="B2266">
        <v>90</v>
      </c>
      <c r="C2266" t="s">
        <v>19</v>
      </c>
      <c r="D2266" t="s">
        <v>66</v>
      </c>
      <c r="E2266" s="1">
        <v>45149</v>
      </c>
      <c r="F2266" s="3">
        <v>45166</v>
      </c>
      <c r="G2266" t="s">
        <v>21</v>
      </c>
      <c r="H2266" t="s">
        <v>22</v>
      </c>
      <c r="I2266" t="s">
        <v>43</v>
      </c>
      <c r="J2266">
        <v>7862.61</v>
      </c>
      <c r="K2266">
        <v>17</v>
      </c>
      <c r="L2266" t="s">
        <v>36</v>
      </c>
      <c r="M2266" t="s">
        <v>25</v>
      </c>
      <c r="N2266" t="s">
        <v>55</v>
      </c>
      <c r="O2266" t="s">
        <v>56</v>
      </c>
      <c r="P2266" t="s">
        <v>45</v>
      </c>
      <c r="Q2266">
        <v>15</v>
      </c>
      <c r="R2266">
        <v>1660.69</v>
      </c>
      <c r="S2266" t="s">
        <v>29</v>
      </c>
    </row>
    <row r="2267" spans="1:19" x14ac:dyDescent="0.3">
      <c r="A2267" t="s">
        <v>2337</v>
      </c>
      <c r="B2267">
        <v>61</v>
      </c>
      <c r="C2267" t="s">
        <v>19</v>
      </c>
      <c r="D2267" t="s">
        <v>61</v>
      </c>
      <c r="E2267" s="1">
        <v>45366</v>
      </c>
      <c r="F2267" s="3">
        <v>45378</v>
      </c>
      <c r="G2267" t="s">
        <v>41</v>
      </c>
      <c r="H2267" t="s">
        <v>42</v>
      </c>
      <c r="I2267" t="s">
        <v>91</v>
      </c>
      <c r="J2267">
        <v>7233.71</v>
      </c>
      <c r="K2267">
        <v>12</v>
      </c>
      <c r="L2267" t="s">
        <v>36</v>
      </c>
      <c r="M2267" t="s">
        <v>101</v>
      </c>
      <c r="N2267" t="s">
        <v>26</v>
      </c>
      <c r="O2267" t="s">
        <v>27</v>
      </c>
      <c r="P2267" t="s">
        <v>45</v>
      </c>
      <c r="Q2267">
        <v>12</v>
      </c>
      <c r="R2267">
        <v>1923.6</v>
      </c>
      <c r="S2267" t="s">
        <v>29</v>
      </c>
    </row>
    <row r="2268" spans="1:19" x14ac:dyDescent="0.3">
      <c r="A2268" t="s">
        <v>2338</v>
      </c>
      <c r="B2268">
        <v>47</v>
      </c>
      <c r="C2268" t="s">
        <v>31</v>
      </c>
      <c r="D2268" t="s">
        <v>20</v>
      </c>
      <c r="E2268" s="1">
        <v>45195</v>
      </c>
      <c r="F2268" s="3">
        <v>45208</v>
      </c>
      <c r="G2268" t="s">
        <v>33</v>
      </c>
      <c r="H2268" t="s">
        <v>34</v>
      </c>
      <c r="I2268" t="s">
        <v>23</v>
      </c>
      <c r="J2268">
        <v>11193.89</v>
      </c>
      <c r="K2268">
        <v>13</v>
      </c>
      <c r="L2268" t="s">
        <v>24</v>
      </c>
      <c r="M2268" t="s">
        <v>25</v>
      </c>
      <c r="N2268" t="s">
        <v>55</v>
      </c>
      <c r="O2268" t="s">
        <v>49</v>
      </c>
      <c r="P2268" t="s">
        <v>45</v>
      </c>
      <c r="Q2268">
        <v>11</v>
      </c>
      <c r="R2268">
        <v>2478.14</v>
      </c>
      <c r="S2268" t="s">
        <v>39</v>
      </c>
    </row>
    <row r="2269" spans="1:19" x14ac:dyDescent="0.3">
      <c r="A2269" t="s">
        <v>2339</v>
      </c>
      <c r="B2269">
        <v>39</v>
      </c>
      <c r="C2269" t="s">
        <v>19</v>
      </c>
      <c r="D2269" t="s">
        <v>20</v>
      </c>
      <c r="E2269" s="1">
        <v>45788</v>
      </c>
      <c r="F2269" s="3">
        <v>45797</v>
      </c>
      <c r="G2269" t="s">
        <v>62</v>
      </c>
      <c r="H2269" t="s">
        <v>63</v>
      </c>
      <c r="I2269" t="s">
        <v>83</v>
      </c>
      <c r="J2269">
        <v>6493.5</v>
      </c>
      <c r="K2269">
        <v>9</v>
      </c>
      <c r="L2269" t="s">
        <v>36</v>
      </c>
      <c r="M2269" t="s">
        <v>25</v>
      </c>
      <c r="N2269" t="s">
        <v>55</v>
      </c>
      <c r="O2269" t="s">
        <v>56</v>
      </c>
      <c r="P2269" t="s">
        <v>28</v>
      </c>
      <c r="Q2269">
        <v>6</v>
      </c>
      <c r="R2269">
        <v>1089.67</v>
      </c>
      <c r="S2269" t="s">
        <v>29</v>
      </c>
    </row>
    <row r="2270" spans="1:19" x14ac:dyDescent="0.3">
      <c r="A2270" t="s">
        <v>2340</v>
      </c>
      <c r="B2270">
        <v>73</v>
      </c>
      <c r="C2270" t="s">
        <v>31</v>
      </c>
      <c r="D2270" t="s">
        <v>79</v>
      </c>
      <c r="E2270" s="1">
        <v>45908</v>
      </c>
      <c r="F2270" s="3">
        <v>45912</v>
      </c>
      <c r="G2270" t="s">
        <v>62</v>
      </c>
      <c r="H2270" t="s">
        <v>63</v>
      </c>
      <c r="I2270" t="s">
        <v>23</v>
      </c>
      <c r="J2270">
        <v>2393.65</v>
      </c>
      <c r="K2270">
        <v>4</v>
      </c>
      <c r="L2270" t="s">
        <v>36</v>
      </c>
      <c r="M2270" t="s">
        <v>25</v>
      </c>
      <c r="N2270" t="s">
        <v>26</v>
      </c>
      <c r="O2270" t="s">
        <v>56</v>
      </c>
      <c r="P2270" t="s">
        <v>45</v>
      </c>
      <c r="Q2270">
        <v>3</v>
      </c>
      <c r="R2270">
        <v>891.05</v>
      </c>
      <c r="S2270" t="s">
        <v>29</v>
      </c>
    </row>
    <row r="2271" spans="1:19" x14ac:dyDescent="0.3">
      <c r="A2271" t="s">
        <v>2341</v>
      </c>
      <c r="B2271">
        <v>67</v>
      </c>
      <c r="C2271" t="s">
        <v>19</v>
      </c>
      <c r="D2271" t="s">
        <v>47</v>
      </c>
      <c r="E2271" s="1">
        <v>44974</v>
      </c>
      <c r="F2271" s="3">
        <v>44983</v>
      </c>
      <c r="G2271" t="s">
        <v>21</v>
      </c>
      <c r="H2271" t="s">
        <v>22</v>
      </c>
      <c r="I2271" t="s">
        <v>83</v>
      </c>
      <c r="J2271">
        <v>7102.37</v>
      </c>
      <c r="K2271">
        <v>9</v>
      </c>
      <c r="L2271" t="s">
        <v>24</v>
      </c>
      <c r="M2271" t="s">
        <v>59</v>
      </c>
      <c r="N2271" t="s">
        <v>55</v>
      </c>
      <c r="O2271" t="s">
        <v>56</v>
      </c>
      <c r="P2271" t="s">
        <v>45</v>
      </c>
      <c r="Q2271">
        <v>4</v>
      </c>
      <c r="R2271">
        <v>2711.98</v>
      </c>
      <c r="S2271" t="s">
        <v>29</v>
      </c>
    </row>
    <row r="2272" spans="1:19" x14ac:dyDescent="0.3">
      <c r="A2272" t="s">
        <v>2342</v>
      </c>
      <c r="B2272">
        <v>80</v>
      </c>
      <c r="C2272" t="s">
        <v>19</v>
      </c>
      <c r="D2272" t="s">
        <v>79</v>
      </c>
      <c r="E2272" s="1">
        <v>45512</v>
      </c>
      <c r="F2272" s="3">
        <v>45518</v>
      </c>
      <c r="G2272" t="s">
        <v>67</v>
      </c>
      <c r="H2272" t="s">
        <v>42</v>
      </c>
      <c r="I2272" t="s">
        <v>54</v>
      </c>
      <c r="J2272">
        <v>9158.08</v>
      </c>
      <c r="K2272">
        <v>6</v>
      </c>
      <c r="L2272" t="s">
        <v>36</v>
      </c>
      <c r="M2272" t="s">
        <v>59</v>
      </c>
      <c r="N2272" t="s">
        <v>26</v>
      </c>
      <c r="O2272" t="s">
        <v>49</v>
      </c>
      <c r="P2272" t="s">
        <v>28</v>
      </c>
      <c r="Q2272">
        <v>11</v>
      </c>
      <c r="R2272">
        <v>1855.69</v>
      </c>
      <c r="S2272" t="s">
        <v>29</v>
      </c>
    </row>
    <row r="2273" spans="1:19" x14ac:dyDescent="0.3">
      <c r="A2273" t="s">
        <v>2343</v>
      </c>
      <c r="B2273">
        <v>27</v>
      </c>
      <c r="C2273" t="s">
        <v>19</v>
      </c>
      <c r="D2273" t="s">
        <v>47</v>
      </c>
      <c r="E2273" s="1">
        <v>45297</v>
      </c>
      <c r="F2273" s="3">
        <v>45311</v>
      </c>
      <c r="G2273" t="s">
        <v>33</v>
      </c>
      <c r="H2273" t="s">
        <v>34</v>
      </c>
      <c r="I2273" t="s">
        <v>81</v>
      </c>
      <c r="J2273">
        <v>16534.900000000001</v>
      </c>
      <c r="K2273">
        <v>14</v>
      </c>
      <c r="L2273" t="s">
        <v>36</v>
      </c>
      <c r="M2273" t="s">
        <v>25</v>
      </c>
      <c r="N2273" t="s">
        <v>44</v>
      </c>
      <c r="O2273" t="s">
        <v>49</v>
      </c>
      <c r="P2273" t="s">
        <v>50</v>
      </c>
      <c r="Q2273">
        <v>9</v>
      </c>
      <c r="R2273">
        <v>6388.09</v>
      </c>
      <c r="S2273" t="s">
        <v>29</v>
      </c>
    </row>
    <row r="2274" spans="1:19" x14ac:dyDescent="0.3">
      <c r="A2274" t="s">
        <v>2344</v>
      </c>
      <c r="B2274">
        <v>38</v>
      </c>
      <c r="C2274" t="s">
        <v>19</v>
      </c>
      <c r="D2274" t="s">
        <v>89</v>
      </c>
      <c r="E2274" s="1">
        <v>45346</v>
      </c>
      <c r="F2274" s="3">
        <v>45353</v>
      </c>
      <c r="G2274" t="s">
        <v>71</v>
      </c>
      <c r="H2274" t="s">
        <v>72</v>
      </c>
      <c r="I2274" t="s">
        <v>54</v>
      </c>
      <c r="J2274">
        <v>4016.05</v>
      </c>
      <c r="K2274">
        <v>7</v>
      </c>
      <c r="L2274" t="s">
        <v>36</v>
      </c>
      <c r="M2274" t="s">
        <v>25</v>
      </c>
      <c r="N2274" t="s">
        <v>44</v>
      </c>
      <c r="O2274" t="s">
        <v>37</v>
      </c>
      <c r="P2274" t="s">
        <v>28</v>
      </c>
      <c r="Q2274">
        <v>9</v>
      </c>
      <c r="R2274">
        <v>1105.93</v>
      </c>
      <c r="S2274" t="s">
        <v>29</v>
      </c>
    </row>
    <row r="2275" spans="1:19" x14ac:dyDescent="0.3">
      <c r="A2275" t="s">
        <v>2345</v>
      </c>
      <c r="B2275">
        <v>41</v>
      </c>
      <c r="C2275" t="s">
        <v>31</v>
      </c>
      <c r="D2275" t="s">
        <v>32</v>
      </c>
      <c r="E2275" s="1">
        <v>45266</v>
      </c>
      <c r="F2275" s="3">
        <v>45273</v>
      </c>
      <c r="G2275" t="s">
        <v>41</v>
      </c>
      <c r="H2275" t="s">
        <v>42</v>
      </c>
      <c r="I2275" t="s">
        <v>58</v>
      </c>
      <c r="J2275">
        <v>5766.8</v>
      </c>
      <c r="K2275">
        <v>7</v>
      </c>
      <c r="L2275" t="s">
        <v>36</v>
      </c>
      <c r="M2275" t="s">
        <v>101</v>
      </c>
      <c r="N2275" t="s">
        <v>26</v>
      </c>
      <c r="O2275" t="s">
        <v>27</v>
      </c>
      <c r="P2275" t="s">
        <v>28</v>
      </c>
      <c r="Q2275">
        <v>15</v>
      </c>
      <c r="R2275">
        <v>2301.65</v>
      </c>
      <c r="S2275" t="s">
        <v>29</v>
      </c>
    </row>
    <row r="2276" spans="1:19" x14ac:dyDescent="0.3">
      <c r="A2276" t="s">
        <v>2346</v>
      </c>
      <c r="B2276">
        <v>26</v>
      </c>
      <c r="C2276" t="s">
        <v>31</v>
      </c>
      <c r="D2276" t="s">
        <v>20</v>
      </c>
      <c r="E2276" s="1">
        <v>45795</v>
      </c>
      <c r="F2276" s="3">
        <v>45814</v>
      </c>
      <c r="G2276" t="s">
        <v>93</v>
      </c>
      <c r="H2276" t="s">
        <v>72</v>
      </c>
      <c r="I2276" t="s">
        <v>81</v>
      </c>
      <c r="J2276">
        <v>10613.09</v>
      </c>
      <c r="K2276">
        <v>19</v>
      </c>
      <c r="L2276" t="s">
        <v>36</v>
      </c>
      <c r="M2276" t="s">
        <v>25</v>
      </c>
      <c r="N2276" t="s">
        <v>55</v>
      </c>
      <c r="O2276" t="s">
        <v>27</v>
      </c>
      <c r="P2276" t="s">
        <v>45</v>
      </c>
      <c r="Q2276">
        <v>3</v>
      </c>
      <c r="R2276">
        <v>2125.19</v>
      </c>
      <c r="S2276" t="s">
        <v>29</v>
      </c>
    </row>
    <row r="2277" spans="1:19" x14ac:dyDescent="0.3">
      <c r="A2277" t="s">
        <v>2347</v>
      </c>
      <c r="B2277">
        <v>44</v>
      </c>
      <c r="C2277" t="s">
        <v>19</v>
      </c>
      <c r="D2277" t="s">
        <v>61</v>
      </c>
      <c r="E2277" s="1">
        <v>45438</v>
      </c>
      <c r="F2277" s="3">
        <v>45455</v>
      </c>
      <c r="G2277" t="s">
        <v>71</v>
      </c>
      <c r="H2277" t="s">
        <v>72</v>
      </c>
      <c r="I2277" t="s">
        <v>23</v>
      </c>
      <c r="J2277">
        <v>19206.29</v>
      </c>
      <c r="K2277">
        <v>17</v>
      </c>
      <c r="L2277" t="s">
        <v>36</v>
      </c>
      <c r="M2277" t="s">
        <v>25</v>
      </c>
      <c r="N2277" t="s">
        <v>26</v>
      </c>
      <c r="O2277" t="s">
        <v>49</v>
      </c>
      <c r="P2277" t="s">
        <v>28</v>
      </c>
      <c r="Q2277">
        <v>7</v>
      </c>
      <c r="R2277">
        <v>5359.76</v>
      </c>
      <c r="S2277" t="s">
        <v>39</v>
      </c>
    </row>
    <row r="2278" spans="1:19" x14ac:dyDescent="0.3">
      <c r="A2278" t="s">
        <v>2348</v>
      </c>
      <c r="B2278">
        <v>36</v>
      </c>
      <c r="C2278" t="s">
        <v>31</v>
      </c>
      <c r="D2278" t="s">
        <v>79</v>
      </c>
      <c r="E2278" s="1">
        <v>45028</v>
      </c>
      <c r="F2278" s="3">
        <v>45045</v>
      </c>
      <c r="G2278" t="s">
        <v>48</v>
      </c>
      <c r="H2278" t="s">
        <v>22</v>
      </c>
      <c r="I2278" t="s">
        <v>23</v>
      </c>
      <c r="J2278">
        <v>10452.02</v>
      </c>
      <c r="K2278">
        <v>17</v>
      </c>
      <c r="L2278" t="s">
        <v>24</v>
      </c>
      <c r="M2278" t="s">
        <v>25</v>
      </c>
      <c r="N2278" t="s">
        <v>26</v>
      </c>
      <c r="O2278" t="s">
        <v>27</v>
      </c>
      <c r="P2278" t="s">
        <v>38</v>
      </c>
      <c r="Q2278">
        <v>8</v>
      </c>
      <c r="R2278">
        <v>3586.24</v>
      </c>
      <c r="S2278" t="s">
        <v>29</v>
      </c>
    </row>
    <row r="2279" spans="1:19" x14ac:dyDescent="0.3">
      <c r="A2279" t="s">
        <v>2349</v>
      </c>
      <c r="B2279">
        <v>64</v>
      </c>
      <c r="C2279" t="s">
        <v>19</v>
      </c>
      <c r="D2279" t="s">
        <v>79</v>
      </c>
      <c r="E2279" s="1">
        <v>45386</v>
      </c>
      <c r="F2279" s="3">
        <v>45402</v>
      </c>
      <c r="G2279" t="s">
        <v>33</v>
      </c>
      <c r="H2279" t="s">
        <v>34</v>
      </c>
      <c r="I2279" t="s">
        <v>91</v>
      </c>
      <c r="J2279">
        <v>9587.26</v>
      </c>
      <c r="K2279">
        <v>16</v>
      </c>
      <c r="L2279" t="s">
        <v>24</v>
      </c>
      <c r="M2279" t="s">
        <v>25</v>
      </c>
      <c r="N2279" t="s">
        <v>44</v>
      </c>
      <c r="O2279" t="s">
        <v>37</v>
      </c>
      <c r="P2279" t="s">
        <v>38</v>
      </c>
      <c r="Q2279">
        <v>5</v>
      </c>
      <c r="R2279">
        <v>2379.75</v>
      </c>
      <c r="S2279" t="s">
        <v>29</v>
      </c>
    </row>
    <row r="2280" spans="1:19" x14ac:dyDescent="0.3">
      <c r="A2280" t="s">
        <v>2350</v>
      </c>
      <c r="B2280">
        <v>59</v>
      </c>
      <c r="C2280" t="s">
        <v>31</v>
      </c>
      <c r="D2280" t="s">
        <v>61</v>
      </c>
      <c r="E2280" s="1">
        <v>45151</v>
      </c>
      <c r="F2280" s="3">
        <v>45152</v>
      </c>
      <c r="G2280" t="s">
        <v>67</v>
      </c>
      <c r="H2280" t="s">
        <v>42</v>
      </c>
      <c r="I2280" t="s">
        <v>91</v>
      </c>
      <c r="J2280">
        <v>1789.47</v>
      </c>
      <c r="K2280">
        <v>1</v>
      </c>
      <c r="L2280" t="s">
        <v>24</v>
      </c>
      <c r="M2280" t="s">
        <v>25</v>
      </c>
      <c r="N2280" t="s">
        <v>44</v>
      </c>
      <c r="O2280" t="s">
        <v>27</v>
      </c>
      <c r="P2280" t="s">
        <v>28</v>
      </c>
      <c r="Q2280">
        <v>3</v>
      </c>
      <c r="R2280">
        <v>275.12</v>
      </c>
      <c r="S2280" t="s">
        <v>29</v>
      </c>
    </row>
    <row r="2281" spans="1:19" x14ac:dyDescent="0.3">
      <c r="A2281" t="s">
        <v>2351</v>
      </c>
      <c r="B2281">
        <v>29</v>
      </c>
      <c r="C2281" t="s">
        <v>19</v>
      </c>
      <c r="D2281" t="s">
        <v>89</v>
      </c>
      <c r="E2281" s="1">
        <v>45916</v>
      </c>
      <c r="F2281" s="3">
        <v>45928</v>
      </c>
      <c r="G2281" t="s">
        <v>21</v>
      </c>
      <c r="H2281" t="s">
        <v>22</v>
      </c>
      <c r="I2281" t="s">
        <v>91</v>
      </c>
      <c r="J2281">
        <v>8702.7900000000009</v>
      </c>
      <c r="K2281">
        <v>12</v>
      </c>
      <c r="L2281" t="s">
        <v>24</v>
      </c>
      <c r="M2281" t="s">
        <v>25</v>
      </c>
      <c r="N2281" t="s">
        <v>44</v>
      </c>
      <c r="O2281" t="s">
        <v>27</v>
      </c>
      <c r="P2281" t="s">
        <v>45</v>
      </c>
      <c r="Q2281">
        <v>12</v>
      </c>
      <c r="R2281">
        <v>2234.9699999999998</v>
      </c>
      <c r="S2281" t="s">
        <v>29</v>
      </c>
    </row>
    <row r="2282" spans="1:19" x14ac:dyDescent="0.3">
      <c r="A2282" t="s">
        <v>2352</v>
      </c>
      <c r="B2282">
        <v>38</v>
      </c>
      <c r="C2282" t="s">
        <v>31</v>
      </c>
      <c r="D2282" t="s">
        <v>66</v>
      </c>
      <c r="E2282" s="1">
        <v>44979</v>
      </c>
      <c r="F2282" s="3">
        <v>44988</v>
      </c>
      <c r="G2282" t="s">
        <v>52</v>
      </c>
      <c r="H2282" t="s">
        <v>53</v>
      </c>
      <c r="I2282" t="s">
        <v>91</v>
      </c>
      <c r="J2282">
        <v>6771.24</v>
      </c>
      <c r="K2282">
        <v>9</v>
      </c>
      <c r="L2282" t="s">
        <v>36</v>
      </c>
      <c r="M2282" t="s">
        <v>59</v>
      </c>
      <c r="N2282" t="s">
        <v>26</v>
      </c>
      <c r="O2282" t="s">
        <v>27</v>
      </c>
      <c r="P2282" t="s">
        <v>38</v>
      </c>
      <c r="Q2282">
        <v>2</v>
      </c>
      <c r="R2282">
        <v>2112.98</v>
      </c>
      <c r="S2282" t="s">
        <v>29</v>
      </c>
    </row>
    <row r="2283" spans="1:19" x14ac:dyDescent="0.3">
      <c r="A2283" t="s">
        <v>2353</v>
      </c>
      <c r="B2283">
        <v>41</v>
      </c>
      <c r="C2283" t="s">
        <v>31</v>
      </c>
      <c r="D2283" t="s">
        <v>61</v>
      </c>
      <c r="E2283" s="1">
        <v>45835</v>
      </c>
      <c r="F2283" s="3">
        <v>45855</v>
      </c>
      <c r="G2283" t="s">
        <v>21</v>
      </c>
      <c r="H2283" t="s">
        <v>22</v>
      </c>
      <c r="I2283" t="s">
        <v>81</v>
      </c>
      <c r="J2283">
        <v>13201.29</v>
      </c>
      <c r="K2283">
        <v>20</v>
      </c>
      <c r="L2283" t="s">
        <v>36</v>
      </c>
      <c r="M2283" t="s">
        <v>76</v>
      </c>
      <c r="N2283" t="s">
        <v>26</v>
      </c>
      <c r="O2283" t="s">
        <v>56</v>
      </c>
      <c r="P2283" t="s">
        <v>50</v>
      </c>
      <c r="Q2283">
        <v>1</v>
      </c>
      <c r="R2283">
        <v>3885.5</v>
      </c>
      <c r="S2283" t="s">
        <v>39</v>
      </c>
    </row>
    <row r="2284" spans="1:19" x14ac:dyDescent="0.3">
      <c r="A2284" t="s">
        <v>2354</v>
      </c>
      <c r="B2284">
        <v>32</v>
      </c>
      <c r="C2284" t="s">
        <v>19</v>
      </c>
      <c r="D2284" t="s">
        <v>66</v>
      </c>
      <c r="E2284" s="1">
        <v>45328</v>
      </c>
      <c r="F2284" s="3">
        <v>45348</v>
      </c>
      <c r="G2284" t="s">
        <v>48</v>
      </c>
      <c r="H2284" t="s">
        <v>22</v>
      </c>
      <c r="I2284" t="s">
        <v>58</v>
      </c>
      <c r="J2284">
        <v>12737</v>
      </c>
      <c r="K2284">
        <v>20</v>
      </c>
      <c r="L2284" t="s">
        <v>36</v>
      </c>
      <c r="M2284" t="s">
        <v>25</v>
      </c>
      <c r="N2284" t="s">
        <v>44</v>
      </c>
      <c r="O2284" t="s">
        <v>56</v>
      </c>
      <c r="P2284" t="s">
        <v>50</v>
      </c>
      <c r="Q2284">
        <v>12</v>
      </c>
      <c r="R2284">
        <v>3430.42</v>
      </c>
      <c r="S2284" t="s">
        <v>29</v>
      </c>
    </row>
    <row r="2285" spans="1:19" x14ac:dyDescent="0.3">
      <c r="A2285" t="s">
        <v>2355</v>
      </c>
      <c r="B2285">
        <v>19</v>
      </c>
      <c r="C2285" t="s">
        <v>19</v>
      </c>
      <c r="D2285" t="s">
        <v>32</v>
      </c>
      <c r="E2285" s="1">
        <v>44978</v>
      </c>
      <c r="F2285" s="3">
        <v>44986</v>
      </c>
      <c r="G2285" t="s">
        <v>52</v>
      </c>
      <c r="H2285" t="s">
        <v>53</v>
      </c>
      <c r="I2285" t="s">
        <v>91</v>
      </c>
      <c r="J2285">
        <v>10425.83</v>
      </c>
      <c r="K2285">
        <v>8</v>
      </c>
      <c r="L2285" t="s">
        <v>36</v>
      </c>
      <c r="M2285" t="s">
        <v>101</v>
      </c>
      <c r="N2285" t="s">
        <v>55</v>
      </c>
      <c r="O2285" t="s">
        <v>49</v>
      </c>
      <c r="P2285" t="s">
        <v>38</v>
      </c>
      <c r="Q2285">
        <v>6</v>
      </c>
      <c r="R2285">
        <v>1703.76</v>
      </c>
      <c r="S2285" t="s">
        <v>29</v>
      </c>
    </row>
    <row r="2286" spans="1:19" x14ac:dyDescent="0.3">
      <c r="A2286" t="s">
        <v>2356</v>
      </c>
      <c r="B2286">
        <v>81</v>
      </c>
      <c r="C2286" t="s">
        <v>31</v>
      </c>
      <c r="D2286" t="s">
        <v>32</v>
      </c>
      <c r="E2286" s="1">
        <v>45361</v>
      </c>
      <c r="F2286" s="3">
        <v>45380</v>
      </c>
      <c r="G2286" t="s">
        <v>41</v>
      </c>
      <c r="H2286" t="s">
        <v>42</v>
      </c>
      <c r="I2286" t="s">
        <v>43</v>
      </c>
      <c r="J2286">
        <v>8065.56</v>
      </c>
      <c r="K2286">
        <v>19</v>
      </c>
      <c r="L2286" t="s">
        <v>36</v>
      </c>
      <c r="M2286" t="s">
        <v>25</v>
      </c>
      <c r="N2286" t="s">
        <v>26</v>
      </c>
      <c r="O2286" t="s">
        <v>27</v>
      </c>
      <c r="P2286" t="s">
        <v>50</v>
      </c>
      <c r="Q2286">
        <v>8</v>
      </c>
      <c r="R2286">
        <v>1311.68</v>
      </c>
      <c r="S2286" t="s">
        <v>29</v>
      </c>
    </row>
    <row r="2287" spans="1:19" x14ac:dyDescent="0.3">
      <c r="A2287" t="s">
        <v>2357</v>
      </c>
      <c r="B2287">
        <v>22</v>
      </c>
      <c r="C2287" t="s">
        <v>31</v>
      </c>
      <c r="D2287" t="s">
        <v>89</v>
      </c>
      <c r="E2287" s="1">
        <v>45193</v>
      </c>
      <c r="F2287" s="3">
        <v>45210</v>
      </c>
      <c r="G2287" t="s">
        <v>41</v>
      </c>
      <c r="H2287" t="s">
        <v>42</v>
      </c>
      <c r="I2287" t="s">
        <v>58</v>
      </c>
      <c r="J2287">
        <v>10556.15</v>
      </c>
      <c r="K2287">
        <v>17</v>
      </c>
      <c r="L2287" t="s">
        <v>36</v>
      </c>
      <c r="M2287" t="s">
        <v>25</v>
      </c>
      <c r="N2287" t="s">
        <v>44</v>
      </c>
      <c r="O2287" t="s">
        <v>27</v>
      </c>
      <c r="P2287" t="s">
        <v>45</v>
      </c>
      <c r="Q2287">
        <v>3</v>
      </c>
      <c r="R2287">
        <v>2656.43</v>
      </c>
      <c r="S2287" t="s">
        <v>29</v>
      </c>
    </row>
    <row r="2288" spans="1:19" x14ac:dyDescent="0.3">
      <c r="A2288" t="s">
        <v>2358</v>
      </c>
      <c r="B2288">
        <v>86</v>
      </c>
      <c r="C2288" t="s">
        <v>19</v>
      </c>
      <c r="D2288" t="s">
        <v>61</v>
      </c>
      <c r="E2288" s="1">
        <v>45088</v>
      </c>
      <c r="F2288" s="3">
        <v>45094</v>
      </c>
      <c r="G2288" t="s">
        <v>93</v>
      </c>
      <c r="H2288" t="s">
        <v>72</v>
      </c>
      <c r="I2288" t="s">
        <v>35</v>
      </c>
      <c r="J2288">
        <v>3230.89</v>
      </c>
      <c r="K2288">
        <v>6</v>
      </c>
      <c r="L2288" t="s">
        <v>36</v>
      </c>
      <c r="M2288" t="s">
        <v>59</v>
      </c>
      <c r="N2288" t="s">
        <v>55</v>
      </c>
      <c r="O2288" t="s">
        <v>37</v>
      </c>
      <c r="P2288" t="s">
        <v>28</v>
      </c>
      <c r="Q2288">
        <v>14</v>
      </c>
      <c r="R2288">
        <v>517.05999999999995</v>
      </c>
      <c r="S2288" t="s">
        <v>29</v>
      </c>
    </row>
    <row r="2289" spans="1:19" x14ac:dyDescent="0.3">
      <c r="A2289" t="s">
        <v>2359</v>
      </c>
      <c r="B2289">
        <v>26</v>
      </c>
      <c r="C2289" t="s">
        <v>19</v>
      </c>
      <c r="D2289" t="s">
        <v>20</v>
      </c>
      <c r="E2289" s="1">
        <v>45400</v>
      </c>
      <c r="F2289" s="3">
        <v>45410</v>
      </c>
      <c r="G2289" t="s">
        <v>41</v>
      </c>
      <c r="H2289" t="s">
        <v>42</v>
      </c>
      <c r="I2289" t="s">
        <v>35</v>
      </c>
      <c r="J2289">
        <v>5647.02</v>
      </c>
      <c r="K2289">
        <v>10</v>
      </c>
      <c r="L2289" t="s">
        <v>36</v>
      </c>
      <c r="M2289" t="s">
        <v>25</v>
      </c>
      <c r="N2289" t="s">
        <v>44</v>
      </c>
      <c r="O2289" t="s">
        <v>27</v>
      </c>
      <c r="P2289" t="s">
        <v>45</v>
      </c>
      <c r="Q2289">
        <v>3</v>
      </c>
      <c r="R2289">
        <v>2076.58</v>
      </c>
      <c r="S2289" t="s">
        <v>29</v>
      </c>
    </row>
    <row r="2290" spans="1:19" x14ac:dyDescent="0.3">
      <c r="A2290" t="s">
        <v>2360</v>
      </c>
      <c r="B2290">
        <v>75</v>
      </c>
      <c r="C2290" t="s">
        <v>19</v>
      </c>
      <c r="D2290" t="s">
        <v>20</v>
      </c>
      <c r="E2290" s="1">
        <v>45823</v>
      </c>
      <c r="F2290" s="3">
        <v>45824</v>
      </c>
      <c r="G2290" t="s">
        <v>41</v>
      </c>
      <c r="H2290" t="s">
        <v>42</v>
      </c>
      <c r="I2290" t="s">
        <v>83</v>
      </c>
      <c r="J2290">
        <v>1773.68</v>
      </c>
      <c r="K2290">
        <v>1</v>
      </c>
      <c r="L2290" t="s">
        <v>24</v>
      </c>
      <c r="M2290" t="s">
        <v>25</v>
      </c>
      <c r="N2290" t="s">
        <v>44</v>
      </c>
      <c r="O2290" t="s">
        <v>37</v>
      </c>
      <c r="P2290" t="s">
        <v>38</v>
      </c>
      <c r="Q2290">
        <v>14</v>
      </c>
      <c r="R2290">
        <v>459.99</v>
      </c>
      <c r="S2290" t="s">
        <v>39</v>
      </c>
    </row>
    <row r="2291" spans="1:19" x14ac:dyDescent="0.3">
      <c r="A2291" t="s">
        <v>2361</v>
      </c>
      <c r="B2291">
        <v>69</v>
      </c>
      <c r="C2291" t="s">
        <v>31</v>
      </c>
      <c r="D2291" t="s">
        <v>20</v>
      </c>
      <c r="E2291" s="1">
        <v>45209</v>
      </c>
      <c r="F2291" s="3">
        <v>45214</v>
      </c>
      <c r="G2291" t="s">
        <v>74</v>
      </c>
      <c r="H2291" t="s">
        <v>75</v>
      </c>
      <c r="I2291" t="s">
        <v>58</v>
      </c>
      <c r="J2291">
        <v>2867.6</v>
      </c>
      <c r="K2291">
        <v>5</v>
      </c>
      <c r="L2291" t="s">
        <v>24</v>
      </c>
      <c r="M2291" t="s">
        <v>25</v>
      </c>
      <c r="N2291" t="s">
        <v>44</v>
      </c>
      <c r="O2291" t="s">
        <v>56</v>
      </c>
      <c r="P2291" t="s">
        <v>38</v>
      </c>
      <c r="Q2291">
        <v>3</v>
      </c>
      <c r="R2291">
        <v>690.45</v>
      </c>
      <c r="S2291" t="s">
        <v>29</v>
      </c>
    </row>
    <row r="2292" spans="1:19" x14ac:dyDescent="0.3">
      <c r="A2292" t="s">
        <v>2362</v>
      </c>
      <c r="B2292">
        <v>52</v>
      </c>
      <c r="C2292" t="s">
        <v>19</v>
      </c>
      <c r="D2292" t="s">
        <v>47</v>
      </c>
      <c r="E2292" s="1">
        <v>45365</v>
      </c>
      <c r="F2292" s="3">
        <v>45366</v>
      </c>
      <c r="G2292" t="s">
        <v>62</v>
      </c>
      <c r="H2292" t="s">
        <v>63</v>
      </c>
      <c r="I2292" t="s">
        <v>23</v>
      </c>
      <c r="J2292">
        <v>1621.37</v>
      </c>
      <c r="K2292">
        <v>1</v>
      </c>
      <c r="L2292" t="s">
        <v>24</v>
      </c>
      <c r="M2292" t="s">
        <v>25</v>
      </c>
      <c r="N2292" t="s">
        <v>26</v>
      </c>
      <c r="O2292" t="s">
        <v>37</v>
      </c>
      <c r="P2292" t="s">
        <v>50</v>
      </c>
      <c r="Q2292">
        <v>10</v>
      </c>
      <c r="R2292">
        <v>443.29</v>
      </c>
      <c r="S2292" t="s">
        <v>29</v>
      </c>
    </row>
    <row r="2293" spans="1:19" x14ac:dyDescent="0.3">
      <c r="A2293" t="s">
        <v>2363</v>
      </c>
      <c r="B2293">
        <v>25</v>
      </c>
      <c r="C2293" t="s">
        <v>19</v>
      </c>
      <c r="D2293" t="s">
        <v>32</v>
      </c>
      <c r="E2293" s="1">
        <v>45229</v>
      </c>
      <c r="F2293" s="3">
        <v>45249</v>
      </c>
      <c r="G2293" t="s">
        <v>67</v>
      </c>
      <c r="H2293" t="s">
        <v>42</v>
      </c>
      <c r="I2293" t="s">
        <v>35</v>
      </c>
      <c r="J2293">
        <v>6556.82</v>
      </c>
      <c r="K2293">
        <v>20</v>
      </c>
      <c r="L2293" t="s">
        <v>36</v>
      </c>
      <c r="M2293" t="s">
        <v>59</v>
      </c>
      <c r="N2293" t="s">
        <v>26</v>
      </c>
      <c r="O2293" t="s">
        <v>27</v>
      </c>
      <c r="P2293" t="s">
        <v>45</v>
      </c>
      <c r="Q2293">
        <v>7</v>
      </c>
      <c r="R2293">
        <v>1089.3399999999999</v>
      </c>
      <c r="S2293" t="s">
        <v>29</v>
      </c>
    </row>
    <row r="2294" spans="1:19" x14ac:dyDescent="0.3">
      <c r="A2294" t="s">
        <v>2364</v>
      </c>
      <c r="B2294">
        <v>20</v>
      </c>
      <c r="C2294" t="s">
        <v>19</v>
      </c>
      <c r="D2294" t="s">
        <v>89</v>
      </c>
      <c r="E2294" s="1">
        <v>45836</v>
      </c>
      <c r="F2294" s="3">
        <v>45857</v>
      </c>
      <c r="G2294" t="s">
        <v>52</v>
      </c>
      <c r="H2294" t="s">
        <v>53</v>
      </c>
      <c r="I2294" t="s">
        <v>83</v>
      </c>
      <c r="J2294">
        <v>20613.84</v>
      </c>
      <c r="K2294">
        <v>21</v>
      </c>
      <c r="L2294" t="s">
        <v>36</v>
      </c>
      <c r="M2294" t="s">
        <v>25</v>
      </c>
      <c r="N2294" t="s">
        <v>44</v>
      </c>
      <c r="O2294" t="s">
        <v>49</v>
      </c>
      <c r="P2294" t="s">
        <v>28</v>
      </c>
      <c r="Q2294">
        <v>11</v>
      </c>
      <c r="R2294">
        <v>7265.66</v>
      </c>
      <c r="S2294" t="s">
        <v>29</v>
      </c>
    </row>
    <row r="2295" spans="1:19" x14ac:dyDescent="0.3">
      <c r="A2295" t="s">
        <v>2365</v>
      </c>
      <c r="B2295">
        <v>73</v>
      </c>
      <c r="C2295" t="s">
        <v>19</v>
      </c>
      <c r="D2295" t="s">
        <v>66</v>
      </c>
      <c r="E2295" s="1">
        <v>45811</v>
      </c>
      <c r="F2295" s="3">
        <v>45832</v>
      </c>
      <c r="G2295" t="s">
        <v>62</v>
      </c>
      <c r="H2295" t="s">
        <v>63</v>
      </c>
      <c r="I2295" t="s">
        <v>43</v>
      </c>
      <c r="J2295">
        <v>18628.21</v>
      </c>
      <c r="K2295">
        <v>21</v>
      </c>
      <c r="L2295" t="s">
        <v>36</v>
      </c>
      <c r="M2295" t="s">
        <v>25</v>
      </c>
      <c r="N2295" t="s">
        <v>26</v>
      </c>
      <c r="O2295" t="s">
        <v>49</v>
      </c>
      <c r="P2295" t="s">
        <v>50</v>
      </c>
      <c r="Q2295">
        <v>10</v>
      </c>
      <c r="R2295">
        <v>3878.91</v>
      </c>
      <c r="S2295" t="s">
        <v>29</v>
      </c>
    </row>
    <row r="2296" spans="1:19" x14ac:dyDescent="0.3">
      <c r="A2296" t="s">
        <v>2366</v>
      </c>
      <c r="B2296">
        <v>31</v>
      </c>
      <c r="C2296" t="s">
        <v>31</v>
      </c>
      <c r="D2296" t="s">
        <v>47</v>
      </c>
      <c r="E2296" s="1">
        <v>45872</v>
      </c>
      <c r="F2296" s="3">
        <v>45882</v>
      </c>
      <c r="G2296" t="s">
        <v>21</v>
      </c>
      <c r="H2296" t="s">
        <v>22</v>
      </c>
      <c r="I2296" t="s">
        <v>23</v>
      </c>
      <c r="J2296">
        <v>5362.7</v>
      </c>
      <c r="K2296">
        <v>10</v>
      </c>
      <c r="L2296" t="s">
        <v>36</v>
      </c>
      <c r="M2296" t="s">
        <v>25</v>
      </c>
      <c r="N2296" t="s">
        <v>44</v>
      </c>
      <c r="O2296" t="s">
        <v>37</v>
      </c>
      <c r="P2296" t="s">
        <v>28</v>
      </c>
      <c r="Q2296">
        <v>3</v>
      </c>
      <c r="R2296">
        <v>1065.72</v>
      </c>
      <c r="S2296" t="s">
        <v>29</v>
      </c>
    </row>
    <row r="2297" spans="1:19" x14ac:dyDescent="0.3">
      <c r="A2297" t="s">
        <v>2367</v>
      </c>
      <c r="B2297">
        <v>46</v>
      </c>
      <c r="C2297" t="s">
        <v>31</v>
      </c>
      <c r="D2297" t="s">
        <v>47</v>
      </c>
      <c r="E2297" s="1">
        <v>45380</v>
      </c>
      <c r="F2297" s="3">
        <v>45389</v>
      </c>
      <c r="G2297" t="s">
        <v>93</v>
      </c>
      <c r="H2297" t="s">
        <v>72</v>
      </c>
      <c r="I2297" t="s">
        <v>23</v>
      </c>
      <c r="J2297">
        <v>7868.55</v>
      </c>
      <c r="K2297">
        <v>9</v>
      </c>
      <c r="L2297" t="s">
        <v>36</v>
      </c>
      <c r="M2297" t="s">
        <v>76</v>
      </c>
      <c r="N2297" t="s">
        <v>44</v>
      </c>
      <c r="O2297" t="s">
        <v>27</v>
      </c>
      <c r="P2297" t="s">
        <v>45</v>
      </c>
      <c r="Q2297">
        <v>5</v>
      </c>
      <c r="R2297">
        <v>1301.5999999999999</v>
      </c>
      <c r="S2297" t="s">
        <v>29</v>
      </c>
    </row>
    <row r="2298" spans="1:19" x14ac:dyDescent="0.3">
      <c r="A2298" t="s">
        <v>2368</v>
      </c>
      <c r="B2298">
        <v>32</v>
      </c>
      <c r="C2298" t="s">
        <v>31</v>
      </c>
      <c r="D2298" t="s">
        <v>70</v>
      </c>
      <c r="E2298" s="1">
        <v>45200</v>
      </c>
      <c r="F2298" s="3">
        <v>45220</v>
      </c>
      <c r="G2298" t="s">
        <v>41</v>
      </c>
      <c r="H2298" t="s">
        <v>42</v>
      </c>
      <c r="I2298" t="s">
        <v>23</v>
      </c>
      <c r="J2298">
        <v>9942</v>
      </c>
      <c r="K2298">
        <v>20</v>
      </c>
      <c r="L2298" t="s">
        <v>36</v>
      </c>
      <c r="M2298" t="s">
        <v>25</v>
      </c>
      <c r="N2298" t="s">
        <v>55</v>
      </c>
      <c r="O2298" t="s">
        <v>27</v>
      </c>
      <c r="P2298" t="s">
        <v>50</v>
      </c>
      <c r="Q2298">
        <v>7</v>
      </c>
      <c r="R2298">
        <v>2034.79</v>
      </c>
      <c r="S2298" t="s">
        <v>29</v>
      </c>
    </row>
    <row r="2299" spans="1:19" x14ac:dyDescent="0.3">
      <c r="A2299" t="s">
        <v>2369</v>
      </c>
      <c r="B2299">
        <v>19</v>
      </c>
      <c r="C2299" t="s">
        <v>31</v>
      </c>
      <c r="D2299" t="s">
        <v>20</v>
      </c>
      <c r="E2299" s="1">
        <v>45087</v>
      </c>
      <c r="F2299" s="3">
        <v>45098</v>
      </c>
      <c r="G2299" t="s">
        <v>71</v>
      </c>
      <c r="H2299" t="s">
        <v>72</v>
      </c>
      <c r="I2299" t="s">
        <v>81</v>
      </c>
      <c r="J2299">
        <v>8788.4</v>
      </c>
      <c r="K2299">
        <v>11</v>
      </c>
      <c r="L2299" t="s">
        <v>36</v>
      </c>
      <c r="M2299" t="s">
        <v>25</v>
      </c>
      <c r="N2299" t="s">
        <v>55</v>
      </c>
      <c r="O2299" t="s">
        <v>56</v>
      </c>
      <c r="P2299" t="s">
        <v>45</v>
      </c>
      <c r="Q2299">
        <v>10</v>
      </c>
      <c r="R2299">
        <v>2224.46</v>
      </c>
      <c r="S2299" t="s">
        <v>29</v>
      </c>
    </row>
    <row r="2300" spans="1:19" x14ac:dyDescent="0.3">
      <c r="A2300" t="s">
        <v>2370</v>
      </c>
      <c r="B2300">
        <v>53</v>
      </c>
      <c r="C2300" t="s">
        <v>19</v>
      </c>
      <c r="D2300" t="s">
        <v>61</v>
      </c>
      <c r="E2300" s="1">
        <v>45614</v>
      </c>
      <c r="F2300" s="3">
        <v>45632</v>
      </c>
      <c r="G2300" t="s">
        <v>71</v>
      </c>
      <c r="H2300" t="s">
        <v>72</v>
      </c>
      <c r="I2300" t="s">
        <v>91</v>
      </c>
      <c r="J2300">
        <v>5352.66</v>
      </c>
      <c r="K2300">
        <v>18</v>
      </c>
      <c r="L2300" t="s">
        <v>24</v>
      </c>
      <c r="M2300" t="s">
        <v>59</v>
      </c>
      <c r="N2300" t="s">
        <v>44</v>
      </c>
      <c r="O2300" t="s">
        <v>27</v>
      </c>
      <c r="P2300" t="s">
        <v>38</v>
      </c>
      <c r="Q2300">
        <v>3</v>
      </c>
      <c r="R2300">
        <v>1701.49</v>
      </c>
      <c r="S2300" t="s">
        <v>29</v>
      </c>
    </row>
    <row r="2301" spans="1:19" x14ac:dyDescent="0.3">
      <c r="A2301" t="s">
        <v>2371</v>
      </c>
      <c r="B2301">
        <v>50</v>
      </c>
      <c r="C2301" t="s">
        <v>19</v>
      </c>
      <c r="D2301" t="s">
        <v>61</v>
      </c>
      <c r="E2301" s="1">
        <v>45916</v>
      </c>
      <c r="F2301" s="3">
        <v>45918</v>
      </c>
      <c r="G2301" t="s">
        <v>71</v>
      </c>
      <c r="H2301" t="s">
        <v>72</v>
      </c>
      <c r="I2301" t="s">
        <v>83</v>
      </c>
      <c r="J2301">
        <v>3215.09</v>
      </c>
      <c r="K2301">
        <v>2</v>
      </c>
      <c r="L2301" t="s">
        <v>24</v>
      </c>
      <c r="M2301" t="s">
        <v>25</v>
      </c>
      <c r="N2301" t="s">
        <v>26</v>
      </c>
      <c r="O2301" t="s">
        <v>56</v>
      </c>
      <c r="P2301" t="s">
        <v>45</v>
      </c>
      <c r="Q2301">
        <v>3</v>
      </c>
      <c r="R2301">
        <v>605.09</v>
      </c>
      <c r="S2301" t="s">
        <v>29</v>
      </c>
    </row>
    <row r="2302" spans="1:19" x14ac:dyDescent="0.3">
      <c r="A2302" t="s">
        <v>2372</v>
      </c>
      <c r="B2302">
        <v>85</v>
      </c>
      <c r="C2302" t="s">
        <v>31</v>
      </c>
      <c r="D2302" t="s">
        <v>79</v>
      </c>
      <c r="E2302" s="1">
        <v>45881</v>
      </c>
      <c r="F2302" s="3">
        <v>45882</v>
      </c>
      <c r="G2302" t="s">
        <v>21</v>
      </c>
      <c r="H2302" t="s">
        <v>22</v>
      </c>
      <c r="I2302" t="s">
        <v>58</v>
      </c>
      <c r="J2302">
        <v>1509.87</v>
      </c>
      <c r="K2302">
        <v>1</v>
      </c>
      <c r="L2302" t="s">
        <v>36</v>
      </c>
      <c r="M2302" t="s">
        <v>25</v>
      </c>
      <c r="N2302" t="s">
        <v>26</v>
      </c>
      <c r="O2302" t="s">
        <v>27</v>
      </c>
      <c r="P2302" t="s">
        <v>50</v>
      </c>
      <c r="Q2302">
        <v>5</v>
      </c>
      <c r="R2302">
        <v>290.55</v>
      </c>
      <c r="S2302" t="s">
        <v>29</v>
      </c>
    </row>
    <row r="2303" spans="1:19" x14ac:dyDescent="0.3">
      <c r="A2303" t="s">
        <v>2373</v>
      </c>
      <c r="B2303">
        <v>88</v>
      </c>
      <c r="C2303" t="s">
        <v>19</v>
      </c>
      <c r="D2303" t="s">
        <v>79</v>
      </c>
      <c r="E2303" s="1">
        <v>45263</v>
      </c>
      <c r="F2303" s="3">
        <v>45267</v>
      </c>
      <c r="G2303" t="s">
        <v>62</v>
      </c>
      <c r="H2303" t="s">
        <v>63</v>
      </c>
      <c r="I2303" t="s">
        <v>35</v>
      </c>
      <c r="J2303">
        <v>3036.7</v>
      </c>
      <c r="K2303">
        <v>4</v>
      </c>
      <c r="L2303" t="s">
        <v>24</v>
      </c>
      <c r="M2303" t="s">
        <v>101</v>
      </c>
      <c r="N2303" t="s">
        <v>26</v>
      </c>
      <c r="O2303" t="s">
        <v>56</v>
      </c>
      <c r="P2303" t="s">
        <v>38</v>
      </c>
      <c r="Q2303">
        <v>4</v>
      </c>
      <c r="R2303">
        <v>1008.31</v>
      </c>
      <c r="S2303" t="s">
        <v>29</v>
      </c>
    </row>
    <row r="2304" spans="1:19" x14ac:dyDescent="0.3">
      <c r="A2304" t="s">
        <v>2374</v>
      </c>
      <c r="B2304">
        <v>73</v>
      </c>
      <c r="C2304" t="s">
        <v>19</v>
      </c>
      <c r="D2304" t="s">
        <v>61</v>
      </c>
      <c r="E2304" s="1">
        <v>44933</v>
      </c>
      <c r="F2304" s="3">
        <v>44941</v>
      </c>
      <c r="G2304" t="s">
        <v>33</v>
      </c>
      <c r="H2304" t="s">
        <v>34</v>
      </c>
      <c r="I2304" t="s">
        <v>83</v>
      </c>
      <c r="J2304">
        <v>7232.46</v>
      </c>
      <c r="K2304">
        <v>8</v>
      </c>
      <c r="L2304" t="s">
        <v>36</v>
      </c>
      <c r="M2304" t="s">
        <v>59</v>
      </c>
      <c r="N2304" t="s">
        <v>55</v>
      </c>
      <c r="O2304" t="s">
        <v>27</v>
      </c>
      <c r="P2304" t="s">
        <v>28</v>
      </c>
      <c r="Q2304">
        <v>11</v>
      </c>
      <c r="R2304">
        <v>2453.7199999999998</v>
      </c>
      <c r="S2304" t="s">
        <v>39</v>
      </c>
    </row>
    <row r="2305" spans="1:19" x14ac:dyDescent="0.3">
      <c r="A2305" t="s">
        <v>2375</v>
      </c>
      <c r="B2305">
        <v>39</v>
      </c>
      <c r="C2305" t="s">
        <v>19</v>
      </c>
      <c r="D2305" t="s">
        <v>20</v>
      </c>
      <c r="E2305" s="1">
        <v>44958</v>
      </c>
      <c r="F2305" s="3">
        <v>44963</v>
      </c>
      <c r="G2305" t="s">
        <v>93</v>
      </c>
      <c r="H2305" t="s">
        <v>72</v>
      </c>
      <c r="I2305" t="s">
        <v>43</v>
      </c>
      <c r="J2305">
        <v>4571.53</v>
      </c>
      <c r="K2305">
        <v>5</v>
      </c>
      <c r="L2305" t="s">
        <v>24</v>
      </c>
      <c r="M2305" t="s">
        <v>25</v>
      </c>
      <c r="N2305" t="s">
        <v>26</v>
      </c>
      <c r="O2305" t="s">
        <v>56</v>
      </c>
      <c r="P2305" t="s">
        <v>38</v>
      </c>
      <c r="Q2305">
        <v>5</v>
      </c>
      <c r="R2305">
        <v>712.31</v>
      </c>
      <c r="S2305" t="s">
        <v>29</v>
      </c>
    </row>
    <row r="2306" spans="1:19" x14ac:dyDescent="0.3">
      <c r="A2306" t="s">
        <v>2376</v>
      </c>
      <c r="B2306">
        <v>18</v>
      </c>
      <c r="C2306" t="s">
        <v>31</v>
      </c>
      <c r="D2306" t="s">
        <v>61</v>
      </c>
      <c r="E2306" s="1">
        <v>45514</v>
      </c>
      <c r="F2306" s="3">
        <v>45523</v>
      </c>
      <c r="G2306" t="s">
        <v>52</v>
      </c>
      <c r="H2306" t="s">
        <v>53</v>
      </c>
      <c r="I2306" t="s">
        <v>43</v>
      </c>
      <c r="J2306">
        <v>5927.05</v>
      </c>
      <c r="K2306">
        <v>9</v>
      </c>
      <c r="L2306" t="s">
        <v>36</v>
      </c>
      <c r="M2306" t="s">
        <v>25</v>
      </c>
      <c r="N2306" t="s">
        <v>44</v>
      </c>
      <c r="O2306" t="s">
        <v>27</v>
      </c>
      <c r="P2306" t="s">
        <v>50</v>
      </c>
      <c r="Q2306">
        <v>1</v>
      </c>
      <c r="R2306">
        <v>1336.64</v>
      </c>
      <c r="S2306" t="s">
        <v>29</v>
      </c>
    </row>
    <row r="2307" spans="1:19" x14ac:dyDescent="0.3">
      <c r="A2307" t="s">
        <v>2377</v>
      </c>
      <c r="B2307">
        <v>22</v>
      </c>
      <c r="C2307" t="s">
        <v>19</v>
      </c>
      <c r="D2307" t="s">
        <v>20</v>
      </c>
      <c r="E2307" s="1">
        <v>45638</v>
      </c>
      <c r="F2307" s="3">
        <v>45642</v>
      </c>
      <c r="G2307" t="s">
        <v>93</v>
      </c>
      <c r="H2307" t="s">
        <v>72</v>
      </c>
      <c r="I2307" t="s">
        <v>54</v>
      </c>
      <c r="J2307">
        <v>3738.84</v>
      </c>
      <c r="K2307">
        <v>4</v>
      </c>
      <c r="L2307" t="s">
        <v>36</v>
      </c>
      <c r="M2307" t="s">
        <v>25</v>
      </c>
      <c r="N2307" t="s">
        <v>44</v>
      </c>
      <c r="O2307" t="s">
        <v>56</v>
      </c>
      <c r="P2307" t="s">
        <v>45</v>
      </c>
      <c r="Q2307">
        <v>15</v>
      </c>
      <c r="R2307">
        <v>1489.89</v>
      </c>
      <c r="S2307" t="s">
        <v>29</v>
      </c>
    </row>
    <row r="2308" spans="1:19" x14ac:dyDescent="0.3">
      <c r="A2308" t="s">
        <v>2378</v>
      </c>
      <c r="B2308">
        <v>63</v>
      </c>
      <c r="C2308" t="s">
        <v>31</v>
      </c>
      <c r="D2308" t="s">
        <v>47</v>
      </c>
      <c r="E2308" s="1">
        <v>45714</v>
      </c>
      <c r="F2308" s="3">
        <v>45724</v>
      </c>
      <c r="G2308" t="s">
        <v>41</v>
      </c>
      <c r="H2308" t="s">
        <v>42</v>
      </c>
      <c r="I2308" t="s">
        <v>81</v>
      </c>
      <c r="J2308">
        <v>5849.18</v>
      </c>
      <c r="K2308">
        <v>10</v>
      </c>
      <c r="L2308" t="s">
        <v>36</v>
      </c>
      <c r="M2308" t="s">
        <v>25</v>
      </c>
      <c r="N2308" t="s">
        <v>44</v>
      </c>
      <c r="O2308" t="s">
        <v>56</v>
      </c>
      <c r="P2308" t="s">
        <v>45</v>
      </c>
      <c r="Q2308">
        <v>2</v>
      </c>
      <c r="R2308">
        <v>1665.98</v>
      </c>
      <c r="S2308" t="s">
        <v>29</v>
      </c>
    </row>
    <row r="2309" spans="1:19" x14ac:dyDescent="0.3">
      <c r="A2309" t="s">
        <v>2379</v>
      </c>
      <c r="B2309">
        <v>42</v>
      </c>
      <c r="C2309" t="s">
        <v>19</v>
      </c>
      <c r="D2309" t="s">
        <v>70</v>
      </c>
      <c r="E2309" s="1">
        <v>45513</v>
      </c>
      <c r="F2309" s="3">
        <v>45527</v>
      </c>
      <c r="G2309" t="s">
        <v>21</v>
      </c>
      <c r="H2309" t="s">
        <v>22</v>
      </c>
      <c r="I2309" t="s">
        <v>43</v>
      </c>
      <c r="J2309">
        <v>5926.17</v>
      </c>
      <c r="K2309">
        <v>14</v>
      </c>
      <c r="L2309" t="s">
        <v>24</v>
      </c>
      <c r="M2309" t="s">
        <v>25</v>
      </c>
      <c r="N2309" t="s">
        <v>44</v>
      </c>
      <c r="O2309" t="s">
        <v>37</v>
      </c>
      <c r="P2309" t="s">
        <v>38</v>
      </c>
      <c r="Q2309">
        <v>5</v>
      </c>
      <c r="R2309">
        <v>1434.57</v>
      </c>
      <c r="S2309" t="s">
        <v>29</v>
      </c>
    </row>
    <row r="2310" spans="1:19" x14ac:dyDescent="0.3">
      <c r="A2310" t="s">
        <v>2380</v>
      </c>
      <c r="B2310">
        <v>39</v>
      </c>
      <c r="C2310" t="s">
        <v>19</v>
      </c>
      <c r="D2310" t="s">
        <v>66</v>
      </c>
      <c r="E2310" s="1">
        <v>45069</v>
      </c>
      <c r="F2310" s="3">
        <v>45089</v>
      </c>
      <c r="G2310" t="s">
        <v>71</v>
      </c>
      <c r="H2310" t="s">
        <v>72</v>
      </c>
      <c r="I2310" t="s">
        <v>83</v>
      </c>
      <c r="J2310">
        <v>13099.55</v>
      </c>
      <c r="K2310">
        <v>20</v>
      </c>
      <c r="L2310" t="s">
        <v>36</v>
      </c>
      <c r="M2310" t="s">
        <v>25</v>
      </c>
      <c r="N2310" t="s">
        <v>26</v>
      </c>
      <c r="O2310" t="s">
        <v>37</v>
      </c>
      <c r="P2310" t="s">
        <v>38</v>
      </c>
      <c r="Q2310">
        <v>6</v>
      </c>
      <c r="R2310">
        <v>3926.35</v>
      </c>
      <c r="S2310" t="s">
        <v>29</v>
      </c>
    </row>
    <row r="2311" spans="1:19" x14ac:dyDescent="0.3">
      <c r="A2311" t="s">
        <v>2381</v>
      </c>
      <c r="B2311">
        <v>19</v>
      </c>
      <c r="C2311" t="s">
        <v>31</v>
      </c>
      <c r="D2311" t="s">
        <v>70</v>
      </c>
      <c r="E2311" s="1">
        <v>45368</v>
      </c>
      <c r="F2311" s="3">
        <v>45380</v>
      </c>
      <c r="G2311" t="s">
        <v>71</v>
      </c>
      <c r="H2311" t="s">
        <v>72</v>
      </c>
      <c r="I2311" t="s">
        <v>81</v>
      </c>
      <c r="J2311">
        <v>8664.6200000000008</v>
      </c>
      <c r="K2311">
        <v>12</v>
      </c>
      <c r="L2311" t="s">
        <v>36</v>
      </c>
      <c r="M2311" t="s">
        <v>25</v>
      </c>
      <c r="N2311" t="s">
        <v>55</v>
      </c>
      <c r="O2311" t="s">
        <v>56</v>
      </c>
      <c r="P2311" t="s">
        <v>45</v>
      </c>
      <c r="Q2311">
        <v>11</v>
      </c>
      <c r="R2311">
        <v>3011.77</v>
      </c>
      <c r="S2311" t="s">
        <v>39</v>
      </c>
    </row>
    <row r="2312" spans="1:19" x14ac:dyDescent="0.3">
      <c r="A2312" t="s">
        <v>2382</v>
      </c>
      <c r="B2312">
        <v>64</v>
      </c>
      <c r="C2312" t="s">
        <v>19</v>
      </c>
      <c r="D2312" t="s">
        <v>47</v>
      </c>
      <c r="E2312" s="1">
        <v>45047</v>
      </c>
      <c r="F2312" s="3">
        <v>45058</v>
      </c>
      <c r="G2312" t="s">
        <v>52</v>
      </c>
      <c r="H2312" t="s">
        <v>53</v>
      </c>
      <c r="I2312" t="s">
        <v>35</v>
      </c>
      <c r="J2312">
        <v>5062.3500000000004</v>
      </c>
      <c r="K2312">
        <v>11</v>
      </c>
      <c r="L2312" t="s">
        <v>24</v>
      </c>
      <c r="M2312" t="s">
        <v>76</v>
      </c>
      <c r="N2312" t="s">
        <v>26</v>
      </c>
      <c r="O2312" t="s">
        <v>37</v>
      </c>
      <c r="P2312" t="s">
        <v>38</v>
      </c>
      <c r="Q2312">
        <v>13</v>
      </c>
      <c r="R2312">
        <v>1579.63</v>
      </c>
      <c r="S2312" t="s">
        <v>29</v>
      </c>
    </row>
    <row r="2313" spans="1:19" x14ac:dyDescent="0.3">
      <c r="A2313" t="s">
        <v>2383</v>
      </c>
      <c r="B2313">
        <v>55</v>
      </c>
      <c r="C2313" t="s">
        <v>31</v>
      </c>
      <c r="D2313" t="s">
        <v>66</v>
      </c>
      <c r="E2313" s="1">
        <v>45561</v>
      </c>
      <c r="F2313" s="3">
        <v>45574</v>
      </c>
      <c r="G2313" t="s">
        <v>21</v>
      </c>
      <c r="H2313" t="s">
        <v>22</v>
      </c>
      <c r="I2313" t="s">
        <v>54</v>
      </c>
      <c r="J2313">
        <v>5571.57</v>
      </c>
      <c r="K2313">
        <v>13</v>
      </c>
      <c r="L2313" t="s">
        <v>36</v>
      </c>
      <c r="M2313" t="s">
        <v>25</v>
      </c>
      <c r="N2313" t="s">
        <v>55</v>
      </c>
      <c r="O2313" t="s">
        <v>37</v>
      </c>
      <c r="P2313" t="s">
        <v>38</v>
      </c>
      <c r="Q2313">
        <v>5</v>
      </c>
      <c r="R2313">
        <v>1533.98</v>
      </c>
      <c r="S2313" t="s">
        <v>29</v>
      </c>
    </row>
    <row r="2314" spans="1:19" x14ac:dyDescent="0.3">
      <c r="A2314" t="s">
        <v>2384</v>
      </c>
      <c r="B2314">
        <v>32</v>
      </c>
      <c r="C2314" t="s">
        <v>19</v>
      </c>
      <c r="D2314" t="s">
        <v>20</v>
      </c>
      <c r="E2314" s="1">
        <v>45718</v>
      </c>
      <c r="F2314" s="3">
        <v>45727</v>
      </c>
      <c r="G2314" t="s">
        <v>74</v>
      </c>
      <c r="H2314" t="s">
        <v>75</v>
      </c>
      <c r="I2314" t="s">
        <v>58</v>
      </c>
      <c r="J2314">
        <v>6904.08</v>
      </c>
      <c r="K2314">
        <v>9</v>
      </c>
      <c r="L2314" t="s">
        <v>24</v>
      </c>
      <c r="M2314" t="s">
        <v>25</v>
      </c>
      <c r="N2314" t="s">
        <v>26</v>
      </c>
      <c r="O2314" t="s">
        <v>37</v>
      </c>
      <c r="P2314" t="s">
        <v>50</v>
      </c>
      <c r="Q2314">
        <v>11</v>
      </c>
      <c r="R2314">
        <v>2296.34</v>
      </c>
      <c r="S2314" t="s">
        <v>29</v>
      </c>
    </row>
    <row r="2315" spans="1:19" x14ac:dyDescent="0.3">
      <c r="A2315" t="s">
        <v>2385</v>
      </c>
      <c r="B2315">
        <v>25</v>
      </c>
      <c r="C2315" t="s">
        <v>19</v>
      </c>
      <c r="D2315" t="s">
        <v>70</v>
      </c>
      <c r="E2315" s="1">
        <v>45590</v>
      </c>
      <c r="F2315" s="3">
        <v>45610</v>
      </c>
      <c r="G2315" t="s">
        <v>74</v>
      </c>
      <c r="H2315" t="s">
        <v>75</v>
      </c>
      <c r="I2315" t="s">
        <v>91</v>
      </c>
      <c r="J2315">
        <v>10834.7</v>
      </c>
      <c r="K2315">
        <v>20</v>
      </c>
      <c r="L2315" t="s">
        <v>36</v>
      </c>
      <c r="M2315" t="s">
        <v>25</v>
      </c>
      <c r="N2315" t="s">
        <v>26</v>
      </c>
      <c r="O2315" t="s">
        <v>27</v>
      </c>
      <c r="P2315" t="s">
        <v>50</v>
      </c>
      <c r="Q2315">
        <v>13</v>
      </c>
      <c r="R2315">
        <v>3435.32</v>
      </c>
      <c r="S2315" t="s">
        <v>29</v>
      </c>
    </row>
    <row r="2316" spans="1:19" x14ac:dyDescent="0.3">
      <c r="A2316" t="s">
        <v>2386</v>
      </c>
      <c r="B2316">
        <v>44</v>
      </c>
      <c r="C2316" t="s">
        <v>31</v>
      </c>
      <c r="D2316" t="s">
        <v>20</v>
      </c>
      <c r="E2316" s="1">
        <v>45857</v>
      </c>
      <c r="F2316" s="3">
        <v>45863</v>
      </c>
      <c r="G2316" t="s">
        <v>93</v>
      </c>
      <c r="H2316" t="s">
        <v>72</v>
      </c>
      <c r="I2316" t="s">
        <v>35</v>
      </c>
      <c r="J2316">
        <v>5287.18</v>
      </c>
      <c r="K2316">
        <v>6</v>
      </c>
      <c r="L2316" t="s">
        <v>36</v>
      </c>
      <c r="M2316" t="s">
        <v>25</v>
      </c>
      <c r="N2316" t="s">
        <v>55</v>
      </c>
      <c r="O2316" t="s">
        <v>27</v>
      </c>
      <c r="P2316" t="s">
        <v>38</v>
      </c>
      <c r="Q2316">
        <v>5</v>
      </c>
      <c r="R2316">
        <v>948.07</v>
      </c>
      <c r="S2316" t="s">
        <v>29</v>
      </c>
    </row>
    <row r="2317" spans="1:19" x14ac:dyDescent="0.3">
      <c r="A2317" t="s">
        <v>2387</v>
      </c>
      <c r="B2317">
        <v>41</v>
      </c>
      <c r="C2317" t="s">
        <v>19</v>
      </c>
      <c r="D2317" t="s">
        <v>89</v>
      </c>
      <c r="E2317" s="1">
        <v>45078</v>
      </c>
      <c r="F2317" s="3">
        <v>45080</v>
      </c>
      <c r="G2317" t="s">
        <v>62</v>
      </c>
      <c r="H2317" t="s">
        <v>63</v>
      </c>
      <c r="I2317" t="s">
        <v>58</v>
      </c>
      <c r="J2317">
        <v>2319.5700000000002</v>
      </c>
      <c r="K2317">
        <v>2</v>
      </c>
      <c r="L2317" t="s">
        <v>36</v>
      </c>
      <c r="M2317" t="s">
        <v>25</v>
      </c>
      <c r="N2317" t="s">
        <v>26</v>
      </c>
      <c r="O2317" t="s">
        <v>27</v>
      </c>
      <c r="P2317" t="s">
        <v>45</v>
      </c>
      <c r="Q2317">
        <v>6</v>
      </c>
      <c r="R2317">
        <v>410.69</v>
      </c>
      <c r="S2317" t="s">
        <v>29</v>
      </c>
    </row>
    <row r="2318" spans="1:19" x14ac:dyDescent="0.3">
      <c r="A2318" t="s">
        <v>2388</v>
      </c>
      <c r="B2318">
        <v>62</v>
      </c>
      <c r="C2318" t="s">
        <v>31</v>
      </c>
      <c r="D2318" t="s">
        <v>61</v>
      </c>
      <c r="E2318" s="1">
        <v>45393</v>
      </c>
      <c r="F2318" s="3">
        <v>45404</v>
      </c>
      <c r="G2318" t="s">
        <v>62</v>
      </c>
      <c r="H2318" t="s">
        <v>63</v>
      </c>
      <c r="I2318" t="s">
        <v>83</v>
      </c>
      <c r="J2318">
        <v>11804.63</v>
      </c>
      <c r="K2318">
        <v>11</v>
      </c>
      <c r="L2318" t="s">
        <v>36</v>
      </c>
      <c r="M2318" t="s">
        <v>59</v>
      </c>
      <c r="N2318" t="s">
        <v>55</v>
      </c>
      <c r="O2318" t="s">
        <v>49</v>
      </c>
      <c r="P2318" t="s">
        <v>38</v>
      </c>
      <c r="Q2318">
        <v>13</v>
      </c>
      <c r="R2318">
        <v>2058.77</v>
      </c>
      <c r="S2318" t="s">
        <v>29</v>
      </c>
    </row>
    <row r="2319" spans="1:19" x14ac:dyDescent="0.3">
      <c r="A2319" t="s">
        <v>2389</v>
      </c>
      <c r="B2319">
        <v>40</v>
      </c>
      <c r="C2319" t="s">
        <v>19</v>
      </c>
      <c r="D2319" t="s">
        <v>89</v>
      </c>
      <c r="E2319" s="1">
        <v>45611</v>
      </c>
      <c r="F2319" s="3">
        <v>45615</v>
      </c>
      <c r="G2319" t="s">
        <v>74</v>
      </c>
      <c r="H2319" t="s">
        <v>75</v>
      </c>
      <c r="I2319" t="s">
        <v>54</v>
      </c>
      <c r="J2319">
        <v>2630.02</v>
      </c>
      <c r="K2319">
        <v>4</v>
      </c>
      <c r="L2319" t="s">
        <v>24</v>
      </c>
      <c r="M2319" t="s">
        <v>25</v>
      </c>
      <c r="N2319" t="s">
        <v>44</v>
      </c>
      <c r="O2319" t="s">
        <v>27</v>
      </c>
      <c r="P2319" t="s">
        <v>28</v>
      </c>
      <c r="Q2319">
        <v>6</v>
      </c>
      <c r="R2319">
        <v>545.01</v>
      </c>
      <c r="S2319" t="s">
        <v>39</v>
      </c>
    </row>
    <row r="2320" spans="1:19" x14ac:dyDescent="0.3">
      <c r="A2320" t="s">
        <v>2390</v>
      </c>
      <c r="B2320">
        <v>52</v>
      </c>
      <c r="C2320" t="s">
        <v>31</v>
      </c>
      <c r="D2320" t="s">
        <v>70</v>
      </c>
      <c r="E2320" s="1">
        <v>45858</v>
      </c>
      <c r="F2320" s="3">
        <v>45876</v>
      </c>
      <c r="G2320" t="s">
        <v>41</v>
      </c>
      <c r="H2320" t="s">
        <v>42</v>
      </c>
      <c r="I2320" t="s">
        <v>91</v>
      </c>
      <c r="J2320">
        <v>17093.8</v>
      </c>
      <c r="K2320">
        <v>18</v>
      </c>
      <c r="L2320" t="s">
        <v>24</v>
      </c>
      <c r="M2320" t="s">
        <v>25</v>
      </c>
      <c r="N2320" t="s">
        <v>44</v>
      </c>
      <c r="O2320" t="s">
        <v>49</v>
      </c>
      <c r="P2320" t="s">
        <v>45</v>
      </c>
      <c r="Q2320">
        <v>1</v>
      </c>
      <c r="R2320">
        <v>4564.74</v>
      </c>
      <c r="S2320" t="s">
        <v>29</v>
      </c>
    </row>
    <row r="2321" spans="1:19" x14ac:dyDescent="0.3">
      <c r="A2321" t="s">
        <v>2391</v>
      </c>
      <c r="B2321">
        <v>44</v>
      </c>
      <c r="C2321" t="s">
        <v>19</v>
      </c>
      <c r="D2321" t="s">
        <v>89</v>
      </c>
      <c r="E2321" s="1">
        <v>45057</v>
      </c>
      <c r="F2321" s="3">
        <v>45061</v>
      </c>
      <c r="G2321" t="s">
        <v>41</v>
      </c>
      <c r="H2321" t="s">
        <v>42</v>
      </c>
      <c r="I2321" t="s">
        <v>35</v>
      </c>
      <c r="J2321">
        <v>7007.28</v>
      </c>
      <c r="K2321">
        <v>4</v>
      </c>
      <c r="L2321" t="s">
        <v>24</v>
      </c>
      <c r="M2321" t="s">
        <v>25</v>
      </c>
      <c r="N2321" t="s">
        <v>44</v>
      </c>
      <c r="O2321" t="s">
        <v>49</v>
      </c>
      <c r="P2321" t="s">
        <v>38</v>
      </c>
      <c r="Q2321">
        <v>8</v>
      </c>
      <c r="R2321">
        <v>1855.11</v>
      </c>
      <c r="S2321" t="s">
        <v>29</v>
      </c>
    </row>
    <row r="2322" spans="1:19" x14ac:dyDescent="0.3">
      <c r="A2322" t="s">
        <v>2392</v>
      </c>
      <c r="B2322">
        <v>54</v>
      </c>
      <c r="C2322" t="s">
        <v>19</v>
      </c>
      <c r="D2322" t="s">
        <v>66</v>
      </c>
      <c r="E2322" s="1">
        <v>45716</v>
      </c>
      <c r="F2322" s="3">
        <v>45720</v>
      </c>
      <c r="G2322" t="s">
        <v>62</v>
      </c>
      <c r="H2322" t="s">
        <v>63</v>
      </c>
      <c r="I2322" t="s">
        <v>23</v>
      </c>
      <c r="J2322">
        <v>2519.35</v>
      </c>
      <c r="K2322">
        <v>4</v>
      </c>
      <c r="L2322" t="s">
        <v>24</v>
      </c>
      <c r="M2322" t="s">
        <v>25</v>
      </c>
      <c r="N2322" t="s">
        <v>44</v>
      </c>
      <c r="O2322" t="s">
        <v>37</v>
      </c>
      <c r="P2322" t="s">
        <v>28</v>
      </c>
      <c r="Q2322">
        <v>9</v>
      </c>
      <c r="R2322">
        <v>826.57</v>
      </c>
      <c r="S2322" t="s">
        <v>39</v>
      </c>
    </row>
    <row r="2323" spans="1:19" x14ac:dyDescent="0.3">
      <c r="A2323" t="s">
        <v>2393</v>
      </c>
      <c r="B2323">
        <v>18</v>
      </c>
      <c r="C2323" t="s">
        <v>31</v>
      </c>
      <c r="D2323" t="s">
        <v>32</v>
      </c>
      <c r="E2323" s="1">
        <v>45841</v>
      </c>
      <c r="F2323" s="3">
        <v>45845</v>
      </c>
      <c r="G2323" t="s">
        <v>67</v>
      </c>
      <c r="H2323" t="s">
        <v>42</v>
      </c>
      <c r="I2323" t="s">
        <v>54</v>
      </c>
      <c r="J2323">
        <v>3875.34</v>
      </c>
      <c r="K2323">
        <v>4</v>
      </c>
      <c r="L2323" t="s">
        <v>36</v>
      </c>
      <c r="M2323" t="s">
        <v>25</v>
      </c>
      <c r="N2323" t="s">
        <v>44</v>
      </c>
      <c r="O2323" t="s">
        <v>56</v>
      </c>
      <c r="P2323" t="s">
        <v>50</v>
      </c>
      <c r="Q2323">
        <v>6</v>
      </c>
      <c r="R2323">
        <v>952.41</v>
      </c>
      <c r="S2323" t="s">
        <v>29</v>
      </c>
    </row>
    <row r="2324" spans="1:19" x14ac:dyDescent="0.3">
      <c r="A2324" t="s">
        <v>2394</v>
      </c>
      <c r="B2324">
        <v>53</v>
      </c>
      <c r="C2324" t="s">
        <v>19</v>
      </c>
      <c r="D2324" t="s">
        <v>61</v>
      </c>
      <c r="E2324" s="1">
        <v>45155</v>
      </c>
      <c r="F2324" s="3">
        <v>45178</v>
      </c>
      <c r="G2324" t="s">
        <v>62</v>
      </c>
      <c r="H2324" t="s">
        <v>63</v>
      </c>
      <c r="I2324" t="s">
        <v>91</v>
      </c>
      <c r="J2324">
        <v>16006.16</v>
      </c>
      <c r="K2324">
        <v>23</v>
      </c>
      <c r="L2324" t="s">
        <v>24</v>
      </c>
      <c r="M2324" t="s">
        <v>59</v>
      </c>
      <c r="N2324" t="s">
        <v>55</v>
      </c>
      <c r="O2324" t="s">
        <v>49</v>
      </c>
      <c r="P2324" t="s">
        <v>38</v>
      </c>
      <c r="Q2324">
        <v>2</v>
      </c>
      <c r="R2324">
        <v>2510.06</v>
      </c>
      <c r="S2324" t="s">
        <v>29</v>
      </c>
    </row>
    <row r="2325" spans="1:19" x14ac:dyDescent="0.3">
      <c r="A2325" t="s">
        <v>2395</v>
      </c>
      <c r="B2325">
        <v>50</v>
      </c>
      <c r="C2325" t="s">
        <v>31</v>
      </c>
      <c r="D2325" t="s">
        <v>70</v>
      </c>
      <c r="E2325" s="1">
        <v>45866</v>
      </c>
      <c r="F2325" s="3">
        <v>45879</v>
      </c>
      <c r="G2325" t="s">
        <v>93</v>
      </c>
      <c r="H2325" t="s">
        <v>72</v>
      </c>
      <c r="I2325" t="s">
        <v>23</v>
      </c>
      <c r="J2325">
        <v>8148.22</v>
      </c>
      <c r="K2325">
        <v>13</v>
      </c>
      <c r="L2325" t="s">
        <v>36</v>
      </c>
      <c r="M2325" t="s">
        <v>25</v>
      </c>
      <c r="N2325" t="s">
        <v>26</v>
      </c>
      <c r="O2325" t="s">
        <v>27</v>
      </c>
      <c r="P2325" t="s">
        <v>50</v>
      </c>
      <c r="Q2325">
        <v>1</v>
      </c>
      <c r="R2325">
        <v>2298.1999999999998</v>
      </c>
      <c r="S2325" t="s">
        <v>29</v>
      </c>
    </row>
    <row r="2326" spans="1:19" x14ac:dyDescent="0.3">
      <c r="A2326" t="s">
        <v>2396</v>
      </c>
      <c r="B2326">
        <v>38</v>
      </c>
      <c r="C2326" t="s">
        <v>19</v>
      </c>
      <c r="D2326" t="s">
        <v>61</v>
      </c>
      <c r="E2326" s="1">
        <v>45128</v>
      </c>
      <c r="F2326" s="3">
        <v>45142</v>
      </c>
      <c r="G2326" t="s">
        <v>67</v>
      </c>
      <c r="H2326" t="s">
        <v>42</v>
      </c>
      <c r="I2326" t="s">
        <v>81</v>
      </c>
      <c r="J2326">
        <v>5944.86</v>
      </c>
      <c r="K2326">
        <v>14</v>
      </c>
      <c r="L2326" t="s">
        <v>24</v>
      </c>
      <c r="M2326" t="s">
        <v>25</v>
      </c>
      <c r="N2326" t="s">
        <v>55</v>
      </c>
      <c r="O2326" t="s">
        <v>56</v>
      </c>
      <c r="P2326" t="s">
        <v>45</v>
      </c>
      <c r="Q2326">
        <v>4</v>
      </c>
      <c r="R2326">
        <v>2349.85</v>
      </c>
      <c r="S2326" t="s">
        <v>29</v>
      </c>
    </row>
    <row r="2327" spans="1:19" x14ac:dyDescent="0.3">
      <c r="A2327" t="s">
        <v>2397</v>
      </c>
      <c r="B2327">
        <v>80</v>
      </c>
      <c r="C2327" t="s">
        <v>31</v>
      </c>
      <c r="D2327" t="s">
        <v>61</v>
      </c>
      <c r="E2327" s="1">
        <v>45839</v>
      </c>
      <c r="F2327" s="3">
        <v>45851</v>
      </c>
      <c r="G2327" t="s">
        <v>74</v>
      </c>
      <c r="H2327" t="s">
        <v>75</v>
      </c>
      <c r="I2327" t="s">
        <v>43</v>
      </c>
      <c r="J2327">
        <v>4517.74</v>
      </c>
      <c r="K2327">
        <v>12</v>
      </c>
      <c r="L2327" t="s">
        <v>36</v>
      </c>
      <c r="M2327" t="s">
        <v>25</v>
      </c>
      <c r="N2327" t="s">
        <v>26</v>
      </c>
      <c r="O2327" t="s">
        <v>37</v>
      </c>
      <c r="P2327" t="s">
        <v>50</v>
      </c>
      <c r="Q2327">
        <v>13</v>
      </c>
      <c r="R2327">
        <v>1200.5999999999999</v>
      </c>
      <c r="S2327" t="s">
        <v>29</v>
      </c>
    </row>
    <row r="2328" spans="1:19" x14ac:dyDescent="0.3">
      <c r="A2328" t="s">
        <v>2398</v>
      </c>
      <c r="B2328">
        <v>70</v>
      </c>
      <c r="C2328" t="s">
        <v>31</v>
      </c>
      <c r="D2328" t="s">
        <v>20</v>
      </c>
      <c r="E2328" s="1">
        <v>45166</v>
      </c>
      <c r="F2328" s="3">
        <v>45172</v>
      </c>
      <c r="G2328" t="s">
        <v>52</v>
      </c>
      <c r="H2328" t="s">
        <v>53</v>
      </c>
      <c r="I2328" t="s">
        <v>43</v>
      </c>
      <c r="J2328">
        <v>5127.1400000000003</v>
      </c>
      <c r="K2328">
        <v>6</v>
      </c>
      <c r="L2328" t="s">
        <v>36</v>
      </c>
      <c r="M2328" t="s">
        <v>25</v>
      </c>
      <c r="N2328" t="s">
        <v>26</v>
      </c>
      <c r="O2328" t="s">
        <v>56</v>
      </c>
      <c r="P2328" t="s">
        <v>45</v>
      </c>
      <c r="Q2328">
        <v>12</v>
      </c>
      <c r="R2328">
        <v>1062.5999999999999</v>
      </c>
      <c r="S2328" t="s">
        <v>29</v>
      </c>
    </row>
    <row r="2329" spans="1:19" x14ac:dyDescent="0.3">
      <c r="A2329" t="s">
        <v>2399</v>
      </c>
      <c r="B2329">
        <v>68</v>
      </c>
      <c r="C2329" t="s">
        <v>31</v>
      </c>
      <c r="D2329" t="s">
        <v>32</v>
      </c>
      <c r="E2329" s="1">
        <v>45715</v>
      </c>
      <c r="F2329" s="3">
        <v>45739</v>
      </c>
      <c r="G2329" t="s">
        <v>48</v>
      </c>
      <c r="H2329" t="s">
        <v>22</v>
      </c>
      <c r="I2329" t="s">
        <v>23</v>
      </c>
      <c r="J2329">
        <v>20586.52</v>
      </c>
      <c r="K2329">
        <v>24</v>
      </c>
      <c r="L2329" t="s">
        <v>24</v>
      </c>
      <c r="M2329" t="s">
        <v>25</v>
      </c>
      <c r="N2329" t="s">
        <v>55</v>
      </c>
      <c r="O2329" t="s">
        <v>49</v>
      </c>
      <c r="P2329" t="s">
        <v>50</v>
      </c>
      <c r="Q2329">
        <v>9</v>
      </c>
      <c r="R2329">
        <v>7144.12</v>
      </c>
      <c r="S2329" t="s">
        <v>29</v>
      </c>
    </row>
    <row r="2330" spans="1:19" x14ac:dyDescent="0.3">
      <c r="A2330" t="s">
        <v>2400</v>
      </c>
      <c r="B2330">
        <v>19</v>
      </c>
      <c r="C2330" t="s">
        <v>19</v>
      </c>
      <c r="D2330" t="s">
        <v>79</v>
      </c>
      <c r="E2330" s="1">
        <v>45115</v>
      </c>
      <c r="F2330" s="3">
        <v>45116</v>
      </c>
      <c r="G2330" t="s">
        <v>93</v>
      </c>
      <c r="H2330" t="s">
        <v>72</v>
      </c>
      <c r="I2330" t="s">
        <v>43</v>
      </c>
      <c r="J2330">
        <v>1134.4100000000001</v>
      </c>
      <c r="K2330">
        <v>1</v>
      </c>
      <c r="L2330" t="s">
        <v>36</v>
      </c>
      <c r="M2330" t="s">
        <v>59</v>
      </c>
      <c r="N2330" t="s">
        <v>26</v>
      </c>
      <c r="O2330" t="s">
        <v>56</v>
      </c>
      <c r="P2330" t="s">
        <v>38</v>
      </c>
      <c r="Q2330">
        <v>10</v>
      </c>
      <c r="R2330">
        <v>307.61</v>
      </c>
      <c r="S2330" t="s">
        <v>29</v>
      </c>
    </row>
    <row r="2331" spans="1:19" x14ac:dyDescent="0.3">
      <c r="A2331" t="s">
        <v>2401</v>
      </c>
      <c r="B2331">
        <v>36</v>
      </c>
      <c r="C2331" t="s">
        <v>19</v>
      </c>
      <c r="D2331" t="s">
        <v>32</v>
      </c>
      <c r="E2331" s="1">
        <v>45821</v>
      </c>
      <c r="F2331" s="3">
        <v>45840</v>
      </c>
      <c r="G2331" t="s">
        <v>74</v>
      </c>
      <c r="H2331" t="s">
        <v>75</v>
      </c>
      <c r="I2331" t="s">
        <v>58</v>
      </c>
      <c r="J2331">
        <v>8160.41</v>
      </c>
      <c r="K2331">
        <v>19</v>
      </c>
      <c r="L2331" t="s">
        <v>24</v>
      </c>
      <c r="M2331" t="s">
        <v>25</v>
      </c>
      <c r="N2331" t="s">
        <v>55</v>
      </c>
      <c r="O2331" t="s">
        <v>56</v>
      </c>
      <c r="P2331" t="s">
        <v>28</v>
      </c>
      <c r="Q2331">
        <v>7</v>
      </c>
      <c r="R2331">
        <v>1744.4</v>
      </c>
      <c r="S2331" t="s">
        <v>29</v>
      </c>
    </row>
    <row r="2332" spans="1:19" x14ac:dyDescent="0.3">
      <c r="A2332" t="s">
        <v>2402</v>
      </c>
      <c r="B2332">
        <v>30</v>
      </c>
      <c r="C2332" t="s">
        <v>19</v>
      </c>
      <c r="D2332" t="s">
        <v>47</v>
      </c>
      <c r="E2332" s="1">
        <v>45430</v>
      </c>
      <c r="F2332" s="3">
        <v>45432</v>
      </c>
      <c r="G2332" t="s">
        <v>71</v>
      </c>
      <c r="H2332" t="s">
        <v>72</v>
      </c>
      <c r="I2332" t="s">
        <v>23</v>
      </c>
      <c r="J2332">
        <v>3685.71</v>
      </c>
      <c r="K2332">
        <v>2</v>
      </c>
      <c r="L2332" t="s">
        <v>36</v>
      </c>
      <c r="M2332" t="s">
        <v>101</v>
      </c>
      <c r="N2332" t="s">
        <v>55</v>
      </c>
      <c r="O2332" t="s">
        <v>37</v>
      </c>
      <c r="P2332" t="s">
        <v>28</v>
      </c>
      <c r="Q2332">
        <v>14</v>
      </c>
      <c r="R2332">
        <v>1337.81</v>
      </c>
      <c r="S2332" t="s">
        <v>29</v>
      </c>
    </row>
    <row r="2333" spans="1:19" x14ac:dyDescent="0.3">
      <c r="A2333" t="s">
        <v>2403</v>
      </c>
      <c r="B2333">
        <v>45</v>
      </c>
      <c r="C2333" t="s">
        <v>19</v>
      </c>
      <c r="D2333" t="s">
        <v>47</v>
      </c>
      <c r="E2333" s="1">
        <v>45074</v>
      </c>
      <c r="F2333" s="3">
        <v>45076</v>
      </c>
      <c r="G2333" t="s">
        <v>62</v>
      </c>
      <c r="H2333" t="s">
        <v>63</v>
      </c>
      <c r="I2333" t="s">
        <v>91</v>
      </c>
      <c r="J2333">
        <v>1647.91</v>
      </c>
      <c r="K2333">
        <v>2</v>
      </c>
      <c r="L2333" t="s">
        <v>36</v>
      </c>
      <c r="M2333" t="s">
        <v>25</v>
      </c>
      <c r="N2333" t="s">
        <v>44</v>
      </c>
      <c r="O2333" t="s">
        <v>56</v>
      </c>
      <c r="P2333" t="s">
        <v>45</v>
      </c>
      <c r="Q2333">
        <v>6</v>
      </c>
      <c r="R2333">
        <v>422.96</v>
      </c>
      <c r="S2333" t="s">
        <v>29</v>
      </c>
    </row>
    <row r="2334" spans="1:19" x14ac:dyDescent="0.3">
      <c r="A2334" t="s">
        <v>2404</v>
      </c>
      <c r="B2334">
        <v>35</v>
      </c>
      <c r="C2334" t="s">
        <v>19</v>
      </c>
      <c r="D2334" t="s">
        <v>32</v>
      </c>
      <c r="E2334" s="1">
        <v>45241</v>
      </c>
      <c r="F2334" s="3">
        <v>45268</v>
      </c>
      <c r="G2334" t="s">
        <v>52</v>
      </c>
      <c r="H2334" t="s">
        <v>53</v>
      </c>
      <c r="I2334" t="s">
        <v>54</v>
      </c>
      <c r="J2334">
        <v>25463.38</v>
      </c>
      <c r="K2334">
        <v>27</v>
      </c>
      <c r="L2334" t="s">
        <v>36</v>
      </c>
      <c r="M2334" t="s">
        <v>59</v>
      </c>
      <c r="N2334" t="s">
        <v>44</v>
      </c>
      <c r="O2334" t="s">
        <v>49</v>
      </c>
      <c r="P2334" t="s">
        <v>50</v>
      </c>
      <c r="Q2334">
        <v>4</v>
      </c>
      <c r="R2334">
        <v>6561.94</v>
      </c>
      <c r="S2334" t="s">
        <v>29</v>
      </c>
    </row>
    <row r="2335" spans="1:19" x14ac:dyDescent="0.3">
      <c r="A2335" t="s">
        <v>2405</v>
      </c>
      <c r="B2335">
        <v>64</v>
      </c>
      <c r="C2335" t="s">
        <v>31</v>
      </c>
      <c r="D2335" t="s">
        <v>20</v>
      </c>
      <c r="E2335" s="1">
        <v>44996</v>
      </c>
      <c r="F2335" s="3">
        <v>45012</v>
      </c>
      <c r="G2335" t="s">
        <v>93</v>
      </c>
      <c r="H2335" t="s">
        <v>72</v>
      </c>
      <c r="I2335" t="s">
        <v>81</v>
      </c>
      <c r="J2335">
        <v>15310.54</v>
      </c>
      <c r="K2335">
        <v>16</v>
      </c>
      <c r="L2335" t="s">
        <v>36</v>
      </c>
      <c r="M2335" t="s">
        <v>25</v>
      </c>
      <c r="N2335" t="s">
        <v>44</v>
      </c>
      <c r="O2335" t="s">
        <v>49</v>
      </c>
      <c r="P2335" t="s">
        <v>45</v>
      </c>
      <c r="Q2335">
        <v>11</v>
      </c>
      <c r="R2335">
        <v>4278.58</v>
      </c>
      <c r="S2335" t="s">
        <v>29</v>
      </c>
    </row>
    <row r="2336" spans="1:19" x14ac:dyDescent="0.3">
      <c r="A2336" t="s">
        <v>2406</v>
      </c>
      <c r="B2336">
        <v>20</v>
      </c>
      <c r="C2336" t="s">
        <v>31</v>
      </c>
      <c r="D2336" t="s">
        <v>70</v>
      </c>
      <c r="E2336" s="1">
        <v>45198</v>
      </c>
      <c r="F2336" s="3">
        <v>45217</v>
      </c>
      <c r="G2336" t="s">
        <v>67</v>
      </c>
      <c r="H2336" t="s">
        <v>42</v>
      </c>
      <c r="I2336" t="s">
        <v>54</v>
      </c>
      <c r="J2336">
        <v>16648.57</v>
      </c>
      <c r="K2336">
        <v>19</v>
      </c>
      <c r="L2336" t="s">
        <v>24</v>
      </c>
      <c r="M2336" t="s">
        <v>25</v>
      </c>
      <c r="N2336" t="s">
        <v>44</v>
      </c>
      <c r="O2336" t="s">
        <v>49</v>
      </c>
      <c r="P2336" t="s">
        <v>38</v>
      </c>
      <c r="Q2336">
        <v>4</v>
      </c>
      <c r="R2336">
        <v>2589.15</v>
      </c>
      <c r="S2336" t="s">
        <v>39</v>
      </c>
    </row>
    <row r="2337" spans="1:19" x14ac:dyDescent="0.3">
      <c r="A2337" t="s">
        <v>2407</v>
      </c>
      <c r="B2337">
        <v>77</v>
      </c>
      <c r="C2337" t="s">
        <v>19</v>
      </c>
      <c r="D2337" t="s">
        <v>70</v>
      </c>
      <c r="E2337" s="1">
        <v>45720</v>
      </c>
      <c r="F2337" s="3">
        <v>45740</v>
      </c>
      <c r="G2337" t="s">
        <v>41</v>
      </c>
      <c r="H2337" t="s">
        <v>42</v>
      </c>
      <c r="I2337" t="s">
        <v>35</v>
      </c>
      <c r="J2337">
        <v>13046.96</v>
      </c>
      <c r="K2337">
        <v>20</v>
      </c>
      <c r="L2337" t="s">
        <v>24</v>
      </c>
      <c r="M2337" t="s">
        <v>25</v>
      </c>
      <c r="N2337" t="s">
        <v>55</v>
      </c>
      <c r="O2337" t="s">
        <v>56</v>
      </c>
      <c r="P2337" t="s">
        <v>50</v>
      </c>
      <c r="Q2337">
        <v>1</v>
      </c>
      <c r="R2337">
        <v>2176.0100000000002</v>
      </c>
      <c r="S2337" t="s">
        <v>29</v>
      </c>
    </row>
    <row r="2338" spans="1:19" x14ac:dyDescent="0.3">
      <c r="A2338" t="s">
        <v>2408</v>
      </c>
      <c r="B2338">
        <v>52</v>
      </c>
      <c r="C2338" t="s">
        <v>31</v>
      </c>
      <c r="D2338" t="s">
        <v>66</v>
      </c>
      <c r="E2338" s="1">
        <v>45632</v>
      </c>
      <c r="F2338" s="3">
        <v>45641</v>
      </c>
      <c r="G2338" t="s">
        <v>74</v>
      </c>
      <c r="H2338" t="s">
        <v>75</v>
      </c>
      <c r="I2338" t="s">
        <v>81</v>
      </c>
      <c r="J2338">
        <v>4672.8999999999996</v>
      </c>
      <c r="K2338">
        <v>9</v>
      </c>
      <c r="L2338" t="s">
        <v>24</v>
      </c>
      <c r="M2338" t="s">
        <v>25</v>
      </c>
      <c r="N2338" t="s">
        <v>55</v>
      </c>
      <c r="O2338" t="s">
        <v>27</v>
      </c>
      <c r="P2338" t="s">
        <v>28</v>
      </c>
      <c r="Q2338">
        <v>3</v>
      </c>
      <c r="R2338">
        <v>718.2</v>
      </c>
      <c r="S2338" t="s">
        <v>29</v>
      </c>
    </row>
    <row r="2339" spans="1:19" x14ac:dyDescent="0.3">
      <c r="A2339" t="s">
        <v>2409</v>
      </c>
      <c r="B2339">
        <v>20</v>
      </c>
      <c r="C2339" t="s">
        <v>19</v>
      </c>
      <c r="D2339" t="s">
        <v>20</v>
      </c>
      <c r="E2339" s="1">
        <v>45084</v>
      </c>
      <c r="F2339" s="3">
        <v>45096</v>
      </c>
      <c r="G2339" t="s">
        <v>62</v>
      </c>
      <c r="H2339" t="s">
        <v>63</v>
      </c>
      <c r="I2339" t="s">
        <v>23</v>
      </c>
      <c r="J2339">
        <v>9343</v>
      </c>
      <c r="K2339">
        <v>12</v>
      </c>
      <c r="L2339" t="s">
        <v>36</v>
      </c>
      <c r="M2339" t="s">
        <v>25</v>
      </c>
      <c r="N2339" t="s">
        <v>44</v>
      </c>
      <c r="O2339" t="s">
        <v>56</v>
      </c>
      <c r="P2339" t="s">
        <v>28</v>
      </c>
      <c r="Q2339">
        <v>1</v>
      </c>
      <c r="R2339">
        <v>2877.42</v>
      </c>
      <c r="S2339" t="s">
        <v>29</v>
      </c>
    </row>
    <row r="2340" spans="1:19" x14ac:dyDescent="0.3">
      <c r="A2340" t="s">
        <v>2410</v>
      </c>
      <c r="B2340">
        <v>19</v>
      </c>
      <c r="C2340" t="s">
        <v>19</v>
      </c>
      <c r="D2340" t="s">
        <v>66</v>
      </c>
      <c r="E2340" s="1">
        <v>45423</v>
      </c>
      <c r="F2340" s="3">
        <v>45434</v>
      </c>
      <c r="G2340" t="s">
        <v>62</v>
      </c>
      <c r="H2340" t="s">
        <v>63</v>
      </c>
      <c r="I2340" t="s">
        <v>23</v>
      </c>
      <c r="J2340">
        <v>7502.57</v>
      </c>
      <c r="K2340">
        <v>11</v>
      </c>
      <c r="L2340" t="s">
        <v>24</v>
      </c>
      <c r="M2340" t="s">
        <v>101</v>
      </c>
      <c r="N2340" t="s">
        <v>26</v>
      </c>
      <c r="O2340" t="s">
        <v>37</v>
      </c>
      <c r="P2340" t="s">
        <v>28</v>
      </c>
      <c r="Q2340">
        <v>3</v>
      </c>
      <c r="R2340">
        <v>2607.98</v>
      </c>
      <c r="S2340" t="s">
        <v>29</v>
      </c>
    </row>
    <row r="2341" spans="1:19" x14ac:dyDescent="0.3">
      <c r="A2341" t="s">
        <v>2411</v>
      </c>
      <c r="B2341">
        <v>90</v>
      </c>
      <c r="C2341" t="s">
        <v>31</v>
      </c>
      <c r="D2341" t="s">
        <v>89</v>
      </c>
      <c r="E2341" s="1">
        <v>45351</v>
      </c>
      <c r="F2341" s="3">
        <v>45353</v>
      </c>
      <c r="G2341" t="s">
        <v>52</v>
      </c>
      <c r="H2341" t="s">
        <v>53</v>
      </c>
      <c r="I2341" t="s">
        <v>35</v>
      </c>
      <c r="J2341">
        <v>1677.54</v>
      </c>
      <c r="K2341">
        <v>2</v>
      </c>
      <c r="L2341" t="s">
        <v>36</v>
      </c>
      <c r="M2341" t="s">
        <v>25</v>
      </c>
      <c r="N2341" t="s">
        <v>26</v>
      </c>
      <c r="O2341" t="s">
        <v>37</v>
      </c>
      <c r="P2341" t="s">
        <v>38</v>
      </c>
      <c r="Q2341">
        <v>12</v>
      </c>
      <c r="R2341">
        <v>505.63</v>
      </c>
      <c r="S2341" t="s">
        <v>29</v>
      </c>
    </row>
    <row r="2342" spans="1:19" x14ac:dyDescent="0.3">
      <c r="A2342" t="s">
        <v>2412</v>
      </c>
      <c r="B2342">
        <v>62</v>
      </c>
      <c r="C2342" t="s">
        <v>31</v>
      </c>
      <c r="D2342" t="s">
        <v>70</v>
      </c>
      <c r="E2342" s="1">
        <v>45117</v>
      </c>
      <c r="F2342" s="3">
        <v>45134</v>
      </c>
      <c r="G2342" t="s">
        <v>41</v>
      </c>
      <c r="H2342" t="s">
        <v>42</v>
      </c>
      <c r="I2342" t="s">
        <v>43</v>
      </c>
      <c r="J2342">
        <v>6047.18</v>
      </c>
      <c r="K2342">
        <v>17</v>
      </c>
      <c r="L2342" t="s">
        <v>24</v>
      </c>
      <c r="M2342" t="s">
        <v>25</v>
      </c>
      <c r="N2342" t="s">
        <v>55</v>
      </c>
      <c r="O2342" t="s">
        <v>56</v>
      </c>
      <c r="P2342" t="s">
        <v>45</v>
      </c>
      <c r="Q2342">
        <v>10</v>
      </c>
      <c r="R2342">
        <v>1012.58</v>
      </c>
      <c r="S2342" t="s">
        <v>39</v>
      </c>
    </row>
    <row r="2343" spans="1:19" x14ac:dyDescent="0.3">
      <c r="A2343" t="s">
        <v>2413</v>
      </c>
      <c r="B2343">
        <v>53</v>
      </c>
      <c r="C2343" t="s">
        <v>19</v>
      </c>
      <c r="D2343" t="s">
        <v>20</v>
      </c>
      <c r="E2343" s="1">
        <v>45391</v>
      </c>
      <c r="F2343" s="3">
        <v>45399</v>
      </c>
      <c r="G2343" t="s">
        <v>21</v>
      </c>
      <c r="H2343" t="s">
        <v>22</v>
      </c>
      <c r="I2343" t="s">
        <v>35</v>
      </c>
      <c r="J2343">
        <v>6316.5</v>
      </c>
      <c r="K2343">
        <v>8</v>
      </c>
      <c r="L2343" t="s">
        <v>36</v>
      </c>
      <c r="M2343" t="s">
        <v>25</v>
      </c>
      <c r="N2343" t="s">
        <v>26</v>
      </c>
      <c r="O2343" t="s">
        <v>37</v>
      </c>
      <c r="P2343" t="s">
        <v>45</v>
      </c>
      <c r="Q2343">
        <v>6</v>
      </c>
      <c r="R2343">
        <v>1142.56</v>
      </c>
      <c r="S2343" t="s">
        <v>29</v>
      </c>
    </row>
    <row r="2344" spans="1:19" x14ac:dyDescent="0.3">
      <c r="A2344" t="s">
        <v>2414</v>
      </c>
      <c r="B2344">
        <v>53</v>
      </c>
      <c r="C2344" t="s">
        <v>19</v>
      </c>
      <c r="D2344" t="s">
        <v>20</v>
      </c>
      <c r="E2344" s="1">
        <v>45137</v>
      </c>
      <c r="F2344" s="3">
        <v>45150</v>
      </c>
      <c r="G2344" t="s">
        <v>52</v>
      </c>
      <c r="H2344" t="s">
        <v>53</v>
      </c>
      <c r="I2344" t="s">
        <v>35</v>
      </c>
      <c r="J2344">
        <v>7912.99</v>
      </c>
      <c r="K2344">
        <v>13</v>
      </c>
      <c r="L2344" t="s">
        <v>36</v>
      </c>
      <c r="M2344" t="s">
        <v>101</v>
      </c>
      <c r="N2344" t="s">
        <v>44</v>
      </c>
      <c r="O2344" t="s">
        <v>49</v>
      </c>
      <c r="P2344" t="s">
        <v>38</v>
      </c>
      <c r="Q2344">
        <v>4</v>
      </c>
      <c r="R2344">
        <v>2480.92</v>
      </c>
      <c r="S2344" t="s">
        <v>29</v>
      </c>
    </row>
    <row r="2345" spans="1:19" x14ac:dyDescent="0.3">
      <c r="A2345" t="s">
        <v>2415</v>
      </c>
      <c r="B2345">
        <v>23</v>
      </c>
      <c r="C2345" t="s">
        <v>19</v>
      </c>
      <c r="D2345" t="s">
        <v>61</v>
      </c>
      <c r="E2345" s="1">
        <v>45085</v>
      </c>
      <c r="F2345" s="3">
        <v>45102</v>
      </c>
      <c r="G2345" t="s">
        <v>52</v>
      </c>
      <c r="H2345" t="s">
        <v>53</v>
      </c>
      <c r="I2345" t="s">
        <v>83</v>
      </c>
      <c r="J2345">
        <v>11619.33</v>
      </c>
      <c r="K2345">
        <v>17</v>
      </c>
      <c r="L2345" t="s">
        <v>36</v>
      </c>
      <c r="M2345" t="s">
        <v>25</v>
      </c>
      <c r="N2345" t="s">
        <v>44</v>
      </c>
      <c r="O2345" t="s">
        <v>27</v>
      </c>
      <c r="P2345" t="s">
        <v>45</v>
      </c>
      <c r="Q2345">
        <v>12</v>
      </c>
      <c r="R2345">
        <v>4321.0200000000004</v>
      </c>
      <c r="S2345" t="s">
        <v>29</v>
      </c>
    </row>
    <row r="2346" spans="1:19" x14ac:dyDescent="0.3">
      <c r="A2346" t="s">
        <v>2416</v>
      </c>
      <c r="B2346">
        <v>76</v>
      </c>
      <c r="C2346" t="s">
        <v>19</v>
      </c>
      <c r="D2346" t="s">
        <v>32</v>
      </c>
      <c r="E2346" s="1">
        <v>45464</v>
      </c>
      <c r="F2346" s="3">
        <v>45472</v>
      </c>
      <c r="G2346" t="s">
        <v>21</v>
      </c>
      <c r="H2346" t="s">
        <v>22</v>
      </c>
      <c r="I2346" t="s">
        <v>81</v>
      </c>
      <c r="J2346">
        <v>3665.68</v>
      </c>
      <c r="K2346">
        <v>8</v>
      </c>
      <c r="L2346" t="s">
        <v>24</v>
      </c>
      <c r="M2346" t="s">
        <v>25</v>
      </c>
      <c r="N2346" t="s">
        <v>26</v>
      </c>
      <c r="O2346" t="s">
        <v>37</v>
      </c>
      <c r="P2346" t="s">
        <v>45</v>
      </c>
      <c r="Q2346">
        <v>9</v>
      </c>
      <c r="R2346">
        <v>1330.02</v>
      </c>
      <c r="S2346" t="s">
        <v>39</v>
      </c>
    </row>
    <row r="2347" spans="1:19" x14ac:dyDescent="0.3">
      <c r="A2347" t="s">
        <v>2417</v>
      </c>
      <c r="B2347">
        <v>69</v>
      </c>
      <c r="C2347" t="s">
        <v>19</v>
      </c>
      <c r="D2347" t="s">
        <v>61</v>
      </c>
      <c r="E2347" s="1">
        <v>45587</v>
      </c>
      <c r="F2347" s="3">
        <v>45607</v>
      </c>
      <c r="G2347" t="s">
        <v>71</v>
      </c>
      <c r="H2347" t="s">
        <v>72</v>
      </c>
      <c r="I2347" t="s">
        <v>83</v>
      </c>
      <c r="J2347">
        <v>15759.65</v>
      </c>
      <c r="K2347">
        <v>20</v>
      </c>
      <c r="L2347" t="s">
        <v>36</v>
      </c>
      <c r="M2347" t="s">
        <v>25</v>
      </c>
      <c r="N2347" t="s">
        <v>55</v>
      </c>
      <c r="O2347" t="s">
        <v>49</v>
      </c>
      <c r="P2347" t="s">
        <v>28</v>
      </c>
      <c r="Q2347">
        <v>10</v>
      </c>
      <c r="R2347">
        <v>5557.04</v>
      </c>
      <c r="S2347" t="s">
        <v>29</v>
      </c>
    </row>
    <row r="2348" spans="1:19" x14ac:dyDescent="0.3">
      <c r="A2348" t="s">
        <v>2418</v>
      </c>
      <c r="B2348">
        <v>20</v>
      </c>
      <c r="C2348" t="s">
        <v>19</v>
      </c>
      <c r="D2348" t="s">
        <v>70</v>
      </c>
      <c r="E2348" s="1">
        <v>45864</v>
      </c>
      <c r="F2348" s="3">
        <v>45878</v>
      </c>
      <c r="G2348" t="s">
        <v>21</v>
      </c>
      <c r="H2348" t="s">
        <v>22</v>
      </c>
      <c r="I2348" t="s">
        <v>54</v>
      </c>
      <c r="J2348">
        <v>7001.7</v>
      </c>
      <c r="K2348">
        <v>14</v>
      </c>
      <c r="L2348" t="s">
        <v>36</v>
      </c>
      <c r="M2348" t="s">
        <v>25</v>
      </c>
      <c r="N2348" t="s">
        <v>55</v>
      </c>
      <c r="O2348" t="s">
        <v>37</v>
      </c>
      <c r="P2348" t="s">
        <v>50</v>
      </c>
      <c r="Q2348">
        <v>6</v>
      </c>
      <c r="R2348">
        <v>1395.02</v>
      </c>
      <c r="S2348" t="s">
        <v>29</v>
      </c>
    </row>
    <row r="2349" spans="1:19" x14ac:dyDescent="0.3">
      <c r="A2349" t="s">
        <v>2419</v>
      </c>
      <c r="B2349">
        <v>77</v>
      </c>
      <c r="C2349" t="s">
        <v>19</v>
      </c>
      <c r="D2349" t="s">
        <v>47</v>
      </c>
      <c r="E2349" s="1">
        <v>44982</v>
      </c>
      <c r="F2349" s="3">
        <v>45002</v>
      </c>
      <c r="G2349" t="s">
        <v>33</v>
      </c>
      <c r="H2349" t="s">
        <v>34</v>
      </c>
      <c r="I2349" t="s">
        <v>23</v>
      </c>
      <c r="J2349">
        <v>6239.61</v>
      </c>
      <c r="K2349">
        <v>20</v>
      </c>
      <c r="L2349" t="s">
        <v>24</v>
      </c>
      <c r="M2349" t="s">
        <v>25</v>
      </c>
      <c r="N2349" t="s">
        <v>55</v>
      </c>
      <c r="O2349" t="s">
        <v>37</v>
      </c>
      <c r="P2349" t="s">
        <v>50</v>
      </c>
      <c r="Q2349">
        <v>13</v>
      </c>
      <c r="R2349">
        <v>2447.17</v>
      </c>
      <c r="S2349" t="s">
        <v>29</v>
      </c>
    </row>
    <row r="2350" spans="1:19" x14ac:dyDescent="0.3">
      <c r="A2350" t="s">
        <v>2420</v>
      </c>
      <c r="B2350">
        <v>79</v>
      </c>
      <c r="C2350" t="s">
        <v>31</v>
      </c>
      <c r="D2350" t="s">
        <v>70</v>
      </c>
      <c r="E2350" s="1">
        <v>45875</v>
      </c>
      <c r="F2350" s="3">
        <v>45882</v>
      </c>
      <c r="G2350" t="s">
        <v>52</v>
      </c>
      <c r="H2350" t="s">
        <v>53</v>
      </c>
      <c r="I2350" t="s">
        <v>91</v>
      </c>
      <c r="J2350">
        <v>10402.82</v>
      </c>
      <c r="K2350">
        <v>7</v>
      </c>
      <c r="L2350" t="s">
        <v>24</v>
      </c>
      <c r="M2350" t="s">
        <v>25</v>
      </c>
      <c r="N2350" t="s">
        <v>44</v>
      </c>
      <c r="O2350" t="s">
        <v>49</v>
      </c>
      <c r="P2350" t="s">
        <v>28</v>
      </c>
      <c r="Q2350">
        <v>4</v>
      </c>
      <c r="R2350">
        <v>3721.65</v>
      </c>
      <c r="S2350" t="s">
        <v>29</v>
      </c>
    </row>
    <row r="2351" spans="1:19" x14ac:dyDescent="0.3">
      <c r="A2351" t="s">
        <v>2421</v>
      </c>
      <c r="B2351">
        <v>30</v>
      </c>
      <c r="C2351" t="s">
        <v>19</v>
      </c>
      <c r="D2351" t="s">
        <v>32</v>
      </c>
      <c r="E2351" s="1">
        <v>45182</v>
      </c>
      <c r="F2351" s="3">
        <v>45188</v>
      </c>
      <c r="G2351" t="s">
        <v>52</v>
      </c>
      <c r="H2351" t="s">
        <v>53</v>
      </c>
      <c r="I2351" t="s">
        <v>91</v>
      </c>
      <c r="J2351">
        <v>3211.65</v>
      </c>
      <c r="K2351">
        <v>6</v>
      </c>
      <c r="L2351" t="s">
        <v>24</v>
      </c>
      <c r="M2351" t="s">
        <v>25</v>
      </c>
      <c r="N2351" t="s">
        <v>55</v>
      </c>
      <c r="O2351" t="s">
        <v>27</v>
      </c>
      <c r="P2351" t="s">
        <v>28</v>
      </c>
      <c r="Q2351">
        <v>8</v>
      </c>
      <c r="R2351">
        <v>627.49</v>
      </c>
      <c r="S2351" t="s">
        <v>29</v>
      </c>
    </row>
    <row r="2352" spans="1:19" x14ac:dyDescent="0.3">
      <c r="A2352" t="s">
        <v>2422</v>
      </c>
      <c r="B2352">
        <v>18</v>
      </c>
      <c r="C2352" t="s">
        <v>31</v>
      </c>
      <c r="D2352" t="s">
        <v>89</v>
      </c>
      <c r="E2352" s="1">
        <v>45629</v>
      </c>
      <c r="F2352" s="3">
        <v>45633</v>
      </c>
      <c r="G2352" t="s">
        <v>21</v>
      </c>
      <c r="H2352" t="s">
        <v>22</v>
      </c>
      <c r="I2352" t="s">
        <v>81</v>
      </c>
      <c r="J2352">
        <v>3471.45</v>
      </c>
      <c r="K2352">
        <v>4</v>
      </c>
      <c r="L2352" t="s">
        <v>36</v>
      </c>
      <c r="M2352" t="s">
        <v>25</v>
      </c>
      <c r="N2352" t="s">
        <v>44</v>
      </c>
      <c r="O2352" t="s">
        <v>56</v>
      </c>
      <c r="P2352" t="s">
        <v>50</v>
      </c>
      <c r="Q2352">
        <v>8</v>
      </c>
      <c r="R2352">
        <v>635.82000000000005</v>
      </c>
      <c r="S2352" t="s">
        <v>29</v>
      </c>
    </row>
    <row r="2353" spans="1:19" x14ac:dyDescent="0.3">
      <c r="A2353" t="s">
        <v>2423</v>
      </c>
      <c r="B2353">
        <v>24</v>
      </c>
      <c r="C2353" t="s">
        <v>31</v>
      </c>
      <c r="D2353" t="s">
        <v>20</v>
      </c>
      <c r="E2353" s="1">
        <v>45142</v>
      </c>
      <c r="F2353" s="3">
        <v>45165</v>
      </c>
      <c r="G2353" t="s">
        <v>74</v>
      </c>
      <c r="H2353" t="s">
        <v>75</v>
      </c>
      <c r="I2353" t="s">
        <v>91</v>
      </c>
      <c r="J2353">
        <v>10870.16</v>
      </c>
      <c r="K2353">
        <v>23</v>
      </c>
      <c r="L2353" t="s">
        <v>36</v>
      </c>
      <c r="M2353" t="s">
        <v>25</v>
      </c>
      <c r="N2353" t="s">
        <v>55</v>
      </c>
      <c r="O2353" t="s">
        <v>49</v>
      </c>
      <c r="P2353" t="s">
        <v>50</v>
      </c>
      <c r="Q2353">
        <v>4</v>
      </c>
      <c r="R2353">
        <v>3099.32</v>
      </c>
      <c r="S2353" t="s">
        <v>29</v>
      </c>
    </row>
    <row r="2354" spans="1:19" x14ac:dyDescent="0.3">
      <c r="A2354" t="s">
        <v>2424</v>
      </c>
      <c r="B2354">
        <v>35</v>
      </c>
      <c r="C2354" t="s">
        <v>31</v>
      </c>
      <c r="D2354" t="s">
        <v>79</v>
      </c>
      <c r="E2354" s="1">
        <v>45600</v>
      </c>
      <c r="F2354" s="3">
        <v>45602</v>
      </c>
      <c r="G2354" t="s">
        <v>67</v>
      </c>
      <c r="H2354" t="s">
        <v>42</v>
      </c>
      <c r="I2354" t="s">
        <v>81</v>
      </c>
      <c r="J2354">
        <v>2656.95</v>
      </c>
      <c r="K2354">
        <v>2</v>
      </c>
      <c r="L2354" t="s">
        <v>24</v>
      </c>
      <c r="M2354" t="s">
        <v>25</v>
      </c>
      <c r="N2354" t="s">
        <v>44</v>
      </c>
      <c r="O2354" t="s">
        <v>27</v>
      </c>
      <c r="P2354" t="s">
        <v>38</v>
      </c>
      <c r="Q2354">
        <v>14</v>
      </c>
      <c r="R2354">
        <v>718.31</v>
      </c>
      <c r="S2354" t="s">
        <v>29</v>
      </c>
    </row>
    <row r="2355" spans="1:19" x14ac:dyDescent="0.3">
      <c r="A2355" t="s">
        <v>2425</v>
      </c>
      <c r="B2355">
        <v>31</v>
      </c>
      <c r="C2355" t="s">
        <v>19</v>
      </c>
      <c r="D2355" t="s">
        <v>61</v>
      </c>
      <c r="E2355" s="1">
        <v>45704</v>
      </c>
      <c r="F2355" s="3">
        <v>45727</v>
      </c>
      <c r="G2355" t="s">
        <v>33</v>
      </c>
      <c r="H2355" t="s">
        <v>34</v>
      </c>
      <c r="I2355" t="s">
        <v>35</v>
      </c>
      <c r="J2355">
        <v>13803.51</v>
      </c>
      <c r="K2355">
        <v>23</v>
      </c>
      <c r="L2355" t="s">
        <v>24</v>
      </c>
      <c r="M2355" t="s">
        <v>25</v>
      </c>
      <c r="N2355" t="s">
        <v>55</v>
      </c>
      <c r="O2355" t="s">
        <v>49</v>
      </c>
      <c r="P2355" t="s">
        <v>50</v>
      </c>
      <c r="Q2355">
        <v>3</v>
      </c>
      <c r="R2355">
        <v>3627.18</v>
      </c>
      <c r="S2355" t="s">
        <v>29</v>
      </c>
    </row>
    <row r="2356" spans="1:19" x14ac:dyDescent="0.3">
      <c r="A2356" t="s">
        <v>2426</v>
      </c>
      <c r="B2356">
        <v>60</v>
      </c>
      <c r="C2356" t="s">
        <v>31</v>
      </c>
      <c r="D2356" t="s">
        <v>66</v>
      </c>
      <c r="E2356" s="1">
        <v>45875</v>
      </c>
      <c r="F2356" s="3">
        <v>45889</v>
      </c>
      <c r="G2356" t="s">
        <v>71</v>
      </c>
      <c r="H2356" t="s">
        <v>72</v>
      </c>
      <c r="I2356" t="s">
        <v>83</v>
      </c>
      <c r="J2356">
        <v>11739.43</v>
      </c>
      <c r="K2356">
        <v>14</v>
      </c>
      <c r="L2356" t="s">
        <v>24</v>
      </c>
      <c r="M2356" t="s">
        <v>25</v>
      </c>
      <c r="N2356" t="s">
        <v>55</v>
      </c>
      <c r="O2356" t="s">
        <v>37</v>
      </c>
      <c r="P2356" t="s">
        <v>45</v>
      </c>
      <c r="Q2356">
        <v>2</v>
      </c>
      <c r="R2356">
        <v>4290</v>
      </c>
      <c r="S2356" t="s">
        <v>29</v>
      </c>
    </row>
    <row r="2357" spans="1:19" x14ac:dyDescent="0.3">
      <c r="A2357" t="s">
        <v>2427</v>
      </c>
      <c r="B2357">
        <v>19</v>
      </c>
      <c r="C2357" t="s">
        <v>19</v>
      </c>
      <c r="D2357" t="s">
        <v>61</v>
      </c>
      <c r="E2357" s="1">
        <v>45007</v>
      </c>
      <c r="F2357" s="3">
        <v>45027</v>
      </c>
      <c r="G2357" t="s">
        <v>71</v>
      </c>
      <c r="H2357" t="s">
        <v>72</v>
      </c>
      <c r="I2357" t="s">
        <v>91</v>
      </c>
      <c r="J2357">
        <v>9803.0499999999993</v>
      </c>
      <c r="K2357">
        <v>20</v>
      </c>
      <c r="L2357" t="s">
        <v>36</v>
      </c>
      <c r="M2357" t="s">
        <v>25</v>
      </c>
      <c r="N2357" t="s">
        <v>26</v>
      </c>
      <c r="O2357" t="s">
        <v>56</v>
      </c>
      <c r="P2357" t="s">
        <v>38</v>
      </c>
      <c r="Q2357">
        <v>4</v>
      </c>
      <c r="R2357">
        <v>2360.4499999999998</v>
      </c>
      <c r="S2357" t="s">
        <v>29</v>
      </c>
    </row>
    <row r="2358" spans="1:19" x14ac:dyDescent="0.3">
      <c r="A2358" t="s">
        <v>2428</v>
      </c>
      <c r="B2358">
        <v>18</v>
      </c>
      <c r="C2358" t="s">
        <v>31</v>
      </c>
      <c r="D2358" t="s">
        <v>47</v>
      </c>
      <c r="E2358" s="1">
        <v>45637</v>
      </c>
      <c r="F2358" s="3">
        <v>45651</v>
      </c>
      <c r="G2358" t="s">
        <v>21</v>
      </c>
      <c r="H2358" t="s">
        <v>22</v>
      </c>
      <c r="I2358" t="s">
        <v>23</v>
      </c>
      <c r="J2358">
        <v>6493.82</v>
      </c>
      <c r="K2358">
        <v>14</v>
      </c>
      <c r="L2358" t="s">
        <v>24</v>
      </c>
      <c r="M2358" t="s">
        <v>25</v>
      </c>
      <c r="N2358" t="s">
        <v>55</v>
      </c>
      <c r="O2358" t="s">
        <v>37</v>
      </c>
      <c r="P2358" t="s">
        <v>28</v>
      </c>
      <c r="Q2358">
        <v>3</v>
      </c>
      <c r="R2358">
        <v>2001.19</v>
      </c>
      <c r="S2358" t="s">
        <v>29</v>
      </c>
    </row>
    <row r="2359" spans="1:19" x14ac:dyDescent="0.3">
      <c r="A2359" t="s">
        <v>2429</v>
      </c>
      <c r="B2359">
        <v>25</v>
      </c>
      <c r="C2359" t="s">
        <v>31</v>
      </c>
      <c r="D2359" t="s">
        <v>70</v>
      </c>
      <c r="E2359" s="1">
        <v>45428</v>
      </c>
      <c r="F2359" s="3">
        <v>45441</v>
      </c>
      <c r="G2359" t="s">
        <v>67</v>
      </c>
      <c r="H2359" t="s">
        <v>42</v>
      </c>
      <c r="I2359" t="s">
        <v>81</v>
      </c>
      <c r="J2359">
        <v>7965.76</v>
      </c>
      <c r="K2359">
        <v>13</v>
      </c>
      <c r="L2359" t="s">
        <v>36</v>
      </c>
      <c r="M2359" t="s">
        <v>25</v>
      </c>
      <c r="N2359" t="s">
        <v>26</v>
      </c>
      <c r="O2359" t="s">
        <v>27</v>
      </c>
      <c r="P2359" t="s">
        <v>38</v>
      </c>
      <c r="Q2359">
        <v>8</v>
      </c>
      <c r="R2359">
        <v>2297.33</v>
      </c>
      <c r="S2359" t="s">
        <v>29</v>
      </c>
    </row>
    <row r="2360" spans="1:19" x14ac:dyDescent="0.3">
      <c r="A2360" t="s">
        <v>2430</v>
      </c>
      <c r="B2360">
        <v>29</v>
      </c>
      <c r="C2360" t="s">
        <v>31</v>
      </c>
      <c r="D2360" t="s">
        <v>20</v>
      </c>
      <c r="E2360" s="1">
        <v>45034</v>
      </c>
      <c r="F2360" s="3">
        <v>45041</v>
      </c>
      <c r="G2360" t="s">
        <v>71</v>
      </c>
      <c r="H2360" t="s">
        <v>72</v>
      </c>
      <c r="I2360" t="s">
        <v>35</v>
      </c>
      <c r="J2360">
        <v>5881.78</v>
      </c>
      <c r="K2360">
        <v>7</v>
      </c>
      <c r="L2360" t="s">
        <v>24</v>
      </c>
      <c r="M2360" t="s">
        <v>101</v>
      </c>
      <c r="N2360" t="s">
        <v>44</v>
      </c>
      <c r="O2360" t="s">
        <v>37</v>
      </c>
      <c r="P2360" t="s">
        <v>38</v>
      </c>
      <c r="Q2360">
        <v>15</v>
      </c>
      <c r="R2360">
        <v>1059.6500000000001</v>
      </c>
      <c r="S2360" t="s">
        <v>29</v>
      </c>
    </row>
    <row r="2361" spans="1:19" x14ac:dyDescent="0.3">
      <c r="A2361" t="s">
        <v>2431</v>
      </c>
      <c r="B2361">
        <v>46</v>
      </c>
      <c r="C2361" t="s">
        <v>19</v>
      </c>
      <c r="D2361" t="s">
        <v>79</v>
      </c>
      <c r="E2361" s="1">
        <v>45556</v>
      </c>
      <c r="F2361" s="3">
        <v>45558</v>
      </c>
      <c r="G2361" t="s">
        <v>52</v>
      </c>
      <c r="H2361" t="s">
        <v>53</v>
      </c>
      <c r="I2361" t="s">
        <v>35</v>
      </c>
      <c r="J2361">
        <v>3339.69</v>
      </c>
      <c r="K2361">
        <v>2</v>
      </c>
      <c r="L2361" t="s">
        <v>36</v>
      </c>
      <c r="M2361" t="s">
        <v>25</v>
      </c>
      <c r="N2361" t="s">
        <v>26</v>
      </c>
      <c r="O2361" t="s">
        <v>27</v>
      </c>
      <c r="P2361" t="s">
        <v>45</v>
      </c>
      <c r="Q2361">
        <v>8</v>
      </c>
      <c r="R2361">
        <v>1061.02</v>
      </c>
      <c r="S2361" t="s">
        <v>29</v>
      </c>
    </row>
    <row r="2362" spans="1:19" x14ac:dyDescent="0.3">
      <c r="A2362" t="s">
        <v>2432</v>
      </c>
      <c r="B2362">
        <v>24</v>
      </c>
      <c r="C2362" t="s">
        <v>19</v>
      </c>
      <c r="D2362" t="s">
        <v>70</v>
      </c>
      <c r="E2362" s="1">
        <v>44953</v>
      </c>
      <c r="F2362" s="3">
        <v>44966</v>
      </c>
      <c r="G2362" t="s">
        <v>93</v>
      </c>
      <c r="H2362" t="s">
        <v>72</v>
      </c>
      <c r="I2362" t="s">
        <v>81</v>
      </c>
      <c r="J2362">
        <v>8224.9599999999991</v>
      </c>
      <c r="K2362">
        <v>13</v>
      </c>
      <c r="L2362" t="s">
        <v>36</v>
      </c>
      <c r="M2362" t="s">
        <v>25</v>
      </c>
      <c r="N2362" t="s">
        <v>44</v>
      </c>
      <c r="O2362" t="s">
        <v>27</v>
      </c>
      <c r="P2362" t="s">
        <v>38</v>
      </c>
      <c r="Q2362">
        <v>7</v>
      </c>
      <c r="R2362">
        <v>2598.38</v>
      </c>
      <c r="S2362" t="s">
        <v>29</v>
      </c>
    </row>
    <row r="2363" spans="1:19" x14ac:dyDescent="0.3">
      <c r="A2363" t="s">
        <v>2433</v>
      </c>
      <c r="B2363">
        <v>73</v>
      </c>
      <c r="C2363" t="s">
        <v>31</v>
      </c>
      <c r="D2363" t="s">
        <v>66</v>
      </c>
      <c r="E2363" s="1">
        <v>45837</v>
      </c>
      <c r="F2363" s="3">
        <v>45849</v>
      </c>
      <c r="G2363" t="s">
        <v>67</v>
      </c>
      <c r="H2363" t="s">
        <v>42</v>
      </c>
      <c r="I2363" t="s">
        <v>83</v>
      </c>
      <c r="J2363">
        <v>8724.2199999999993</v>
      </c>
      <c r="K2363">
        <v>12</v>
      </c>
      <c r="L2363" t="s">
        <v>36</v>
      </c>
      <c r="M2363" t="s">
        <v>25</v>
      </c>
      <c r="N2363" t="s">
        <v>44</v>
      </c>
      <c r="O2363" t="s">
        <v>56</v>
      </c>
      <c r="P2363" t="s">
        <v>28</v>
      </c>
      <c r="Q2363">
        <v>13</v>
      </c>
      <c r="R2363">
        <v>2480.5700000000002</v>
      </c>
      <c r="S2363" t="s">
        <v>29</v>
      </c>
    </row>
    <row r="2364" spans="1:19" x14ac:dyDescent="0.3">
      <c r="A2364" t="s">
        <v>2434</v>
      </c>
      <c r="B2364">
        <v>69</v>
      </c>
      <c r="C2364" t="s">
        <v>19</v>
      </c>
      <c r="D2364" t="s">
        <v>79</v>
      </c>
      <c r="E2364" s="1">
        <v>45126</v>
      </c>
      <c r="F2364" s="3">
        <v>45146</v>
      </c>
      <c r="G2364" t="s">
        <v>62</v>
      </c>
      <c r="H2364" t="s">
        <v>63</v>
      </c>
      <c r="I2364" t="s">
        <v>81</v>
      </c>
      <c r="J2364">
        <v>16499.54</v>
      </c>
      <c r="K2364">
        <v>20</v>
      </c>
      <c r="L2364" t="s">
        <v>24</v>
      </c>
      <c r="M2364" t="s">
        <v>101</v>
      </c>
      <c r="N2364" t="s">
        <v>55</v>
      </c>
      <c r="O2364" t="s">
        <v>37</v>
      </c>
      <c r="P2364" t="s">
        <v>50</v>
      </c>
      <c r="Q2364">
        <v>3</v>
      </c>
      <c r="R2364">
        <v>5010.97</v>
      </c>
      <c r="S2364" t="s">
        <v>39</v>
      </c>
    </row>
    <row r="2365" spans="1:19" x14ac:dyDescent="0.3">
      <c r="A2365" t="s">
        <v>2435</v>
      </c>
      <c r="B2365">
        <v>80</v>
      </c>
      <c r="C2365" t="s">
        <v>31</v>
      </c>
      <c r="D2365" t="s">
        <v>70</v>
      </c>
      <c r="E2365" s="1">
        <v>45609</v>
      </c>
      <c r="F2365" s="3">
        <v>45610</v>
      </c>
      <c r="G2365" t="s">
        <v>21</v>
      </c>
      <c r="H2365" t="s">
        <v>22</v>
      </c>
      <c r="I2365" t="s">
        <v>35</v>
      </c>
      <c r="J2365">
        <v>2242.83</v>
      </c>
      <c r="K2365">
        <v>1</v>
      </c>
      <c r="L2365" t="s">
        <v>36</v>
      </c>
      <c r="M2365" t="s">
        <v>25</v>
      </c>
      <c r="N2365" t="s">
        <v>55</v>
      </c>
      <c r="O2365" t="s">
        <v>27</v>
      </c>
      <c r="P2365" t="s">
        <v>50</v>
      </c>
      <c r="Q2365">
        <v>1</v>
      </c>
      <c r="R2365">
        <v>782.92</v>
      </c>
      <c r="S2365" t="s">
        <v>29</v>
      </c>
    </row>
    <row r="2366" spans="1:19" x14ac:dyDescent="0.3">
      <c r="A2366" t="s">
        <v>2436</v>
      </c>
      <c r="B2366">
        <v>43</v>
      </c>
      <c r="C2366" t="s">
        <v>31</v>
      </c>
      <c r="D2366" t="s">
        <v>32</v>
      </c>
      <c r="E2366" s="1">
        <v>45862</v>
      </c>
      <c r="F2366" s="3">
        <v>45877</v>
      </c>
      <c r="G2366" t="s">
        <v>48</v>
      </c>
      <c r="H2366" t="s">
        <v>22</v>
      </c>
      <c r="I2366" t="s">
        <v>54</v>
      </c>
      <c r="J2366">
        <v>11847.32</v>
      </c>
      <c r="K2366">
        <v>15</v>
      </c>
      <c r="L2366" t="s">
        <v>24</v>
      </c>
      <c r="M2366" t="s">
        <v>25</v>
      </c>
      <c r="N2366" t="s">
        <v>44</v>
      </c>
      <c r="O2366" t="s">
        <v>37</v>
      </c>
      <c r="P2366" t="s">
        <v>45</v>
      </c>
      <c r="Q2366">
        <v>9</v>
      </c>
      <c r="R2366">
        <v>4671.17</v>
      </c>
      <c r="S2366" t="s">
        <v>29</v>
      </c>
    </row>
    <row r="2367" spans="1:19" x14ac:dyDescent="0.3">
      <c r="A2367" t="s">
        <v>2437</v>
      </c>
      <c r="B2367">
        <v>27</v>
      </c>
      <c r="C2367" t="s">
        <v>31</v>
      </c>
      <c r="D2367" t="s">
        <v>47</v>
      </c>
      <c r="E2367" s="1">
        <v>45208</v>
      </c>
      <c r="F2367" s="3">
        <v>45210</v>
      </c>
      <c r="G2367" t="s">
        <v>21</v>
      </c>
      <c r="H2367" t="s">
        <v>22</v>
      </c>
      <c r="I2367" t="s">
        <v>81</v>
      </c>
      <c r="J2367">
        <v>2507.92</v>
      </c>
      <c r="K2367">
        <v>2</v>
      </c>
      <c r="L2367" t="s">
        <v>36</v>
      </c>
      <c r="M2367" t="s">
        <v>25</v>
      </c>
      <c r="N2367" t="s">
        <v>26</v>
      </c>
      <c r="O2367" t="s">
        <v>56</v>
      </c>
      <c r="P2367" t="s">
        <v>50</v>
      </c>
      <c r="Q2367">
        <v>2</v>
      </c>
      <c r="R2367">
        <v>574.78</v>
      </c>
      <c r="S2367" t="s">
        <v>29</v>
      </c>
    </row>
    <row r="2368" spans="1:19" x14ac:dyDescent="0.3">
      <c r="A2368" t="s">
        <v>2438</v>
      </c>
      <c r="B2368">
        <v>24</v>
      </c>
      <c r="C2368" t="s">
        <v>31</v>
      </c>
      <c r="D2368" t="s">
        <v>79</v>
      </c>
      <c r="E2368" s="1">
        <v>45588</v>
      </c>
      <c r="F2368" s="3">
        <v>45605</v>
      </c>
      <c r="G2368" t="s">
        <v>33</v>
      </c>
      <c r="H2368" t="s">
        <v>34</v>
      </c>
      <c r="I2368" t="s">
        <v>81</v>
      </c>
      <c r="J2368">
        <v>6110.6</v>
      </c>
      <c r="K2368">
        <v>17</v>
      </c>
      <c r="L2368" t="s">
        <v>36</v>
      </c>
      <c r="M2368" t="s">
        <v>59</v>
      </c>
      <c r="N2368" t="s">
        <v>55</v>
      </c>
      <c r="O2368" t="s">
        <v>37</v>
      </c>
      <c r="P2368" t="s">
        <v>45</v>
      </c>
      <c r="Q2368">
        <v>9</v>
      </c>
      <c r="R2368">
        <v>989.19</v>
      </c>
      <c r="S2368" t="s">
        <v>29</v>
      </c>
    </row>
    <row r="2369" spans="1:19" x14ac:dyDescent="0.3">
      <c r="A2369" t="s">
        <v>2439</v>
      </c>
      <c r="B2369">
        <v>66</v>
      </c>
      <c r="C2369" t="s">
        <v>19</v>
      </c>
      <c r="D2369" t="s">
        <v>89</v>
      </c>
      <c r="E2369" s="1">
        <v>45270</v>
      </c>
      <c r="F2369" s="3">
        <v>45276</v>
      </c>
      <c r="G2369" t="s">
        <v>93</v>
      </c>
      <c r="H2369" t="s">
        <v>72</v>
      </c>
      <c r="I2369" t="s">
        <v>91</v>
      </c>
      <c r="J2369">
        <v>4072.47</v>
      </c>
      <c r="K2369">
        <v>6</v>
      </c>
      <c r="L2369" t="s">
        <v>24</v>
      </c>
      <c r="M2369" t="s">
        <v>25</v>
      </c>
      <c r="N2369" t="s">
        <v>26</v>
      </c>
      <c r="O2369" t="s">
        <v>27</v>
      </c>
      <c r="P2369" t="s">
        <v>38</v>
      </c>
      <c r="Q2369">
        <v>10</v>
      </c>
      <c r="R2369">
        <v>990.16</v>
      </c>
      <c r="S2369" t="s">
        <v>39</v>
      </c>
    </row>
    <row r="2370" spans="1:19" x14ac:dyDescent="0.3">
      <c r="A2370" t="s">
        <v>2440</v>
      </c>
      <c r="B2370">
        <v>51</v>
      </c>
      <c r="C2370" t="s">
        <v>19</v>
      </c>
      <c r="D2370" t="s">
        <v>32</v>
      </c>
      <c r="E2370" s="1">
        <v>45818</v>
      </c>
      <c r="F2370" s="3">
        <v>45820</v>
      </c>
      <c r="G2370" t="s">
        <v>62</v>
      </c>
      <c r="H2370" t="s">
        <v>63</v>
      </c>
      <c r="I2370" t="s">
        <v>81</v>
      </c>
      <c r="J2370">
        <v>1093.92</v>
      </c>
      <c r="K2370">
        <v>2</v>
      </c>
      <c r="L2370" t="s">
        <v>24</v>
      </c>
      <c r="M2370" t="s">
        <v>76</v>
      </c>
      <c r="N2370" t="s">
        <v>55</v>
      </c>
      <c r="O2370" t="s">
        <v>56</v>
      </c>
      <c r="P2370" t="s">
        <v>45</v>
      </c>
      <c r="Q2370">
        <v>11</v>
      </c>
      <c r="R2370">
        <v>326.48</v>
      </c>
      <c r="S2370" t="s">
        <v>29</v>
      </c>
    </row>
    <row r="2371" spans="1:19" x14ac:dyDescent="0.3">
      <c r="A2371" t="s">
        <v>2441</v>
      </c>
      <c r="B2371">
        <v>19</v>
      </c>
      <c r="C2371" t="s">
        <v>19</v>
      </c>
      <c r="D2371" t="s">
        <v>70</v>
      </c>
      <c r="E2371" s="1">
        <v>45274</v>
      </c>
      <c r="F2371" s="3">
        <v>45290</v>
      </c>
      <c r="G2371" t="s">
        <v>71</v>
      </c>
      <c r="H2371" t="s">
        <v>72</v>
      </c>
      <c r="I2371" t="s">
        <v>43</v>
      </c>
      <c r="J2371">
        <v>8825.25</v>
      </c>
      <c r="K2371">
        <v>16</v>
      </c>
      <c r="L2371" t="s">
        <v>36</v>
      </c>
      <c r="M2371" t="s">
        <v>25</v>
      </c>
      <c r="N2371" t="s">
        <v>44</v>
      </c>
      <c r="O2371" t="s">
        <v>27</v>
      </c>
      <c r="P2371" t="s">
        <v>45</v>
      </c>
      <c r="Q2371">
        <v>3</v>
      </c>
      <c r="R2371">
        <v>3249.43</v>
      </c>
      <c r="S2371" t="s">
        <v>29</v>
      </c>
    </row>
    <row r="2372" spans="1:19" x14ac:dyDescent="0.3">
      <c r="A2372" t="s">
        <v>2442</v>
      </c>
      <c r="B2372">
        <v>72</v>
      </c>
      <c r="C2372" t="s">
        <v>19</v>
      </c>
      <c r="D2372" t="s">
        <v>89</v>
      </c>
      <c r="E2372" s="1">
        <v>45680</v>
      </c>
      <c r="F2372" s="3">
        <v>45687</v>
      </c>
      <c r="G2372" t="s">
        <v>21</v>
      </c>
      <c r="H2372" t="s">
        <v>22</v>
      </c>
      <c r="I2372" t="s">
        <v>81</v>
      </c>
      <c r="J2372">
        <v>6750.65</v>
      </c>
      <c r="K2372">
        <v>7</v>
      </c>
      <c r="L2372" t="s">
        <v>36</v>
      </c>
      <c r="M2372" t="s">
        <v>25</v>
      </c>
      <c r="N2372" t="s">
        <v>44</v>
      </c>
      <c r="O2372" t="s">
        <v>56</v>
      </c>
      <c r="P2372" t="s">
        <v>38</v>
      </c>
      <c r="Q2372">
        <v>9</v>
      </c>
      <c r="R2372">
        <v>1266.6400000000001</v>
      </c>
      <c r="S2372" t="s">
        <v>39</v>
      </c>
    </row>
    <row r="2373" spans="1:19" x14ac:dyDescent="0.3">
      <c r="A2373" t="s">
        <v>2443</v>
      </c>
      <c r="B2373">
        <v>64</v>
      </c>
      <c r="C2373" t="s">
        <v>31</v>
      </c>
      <c r="D2373" t="s">
        <v>47</v>
      </c>
      <c r="E2373" s="1">
        <v>45015</v>
      </c>
      <c r="F2373" s="3">
        <v>45033</v>
      </c>
      <c r="G2373" t="s">
        <v>62</v>
      </c>
      <c r="H2373" t="s">
        <v>63</v>
      </c>
      <c r="I2373" t="s">
        <v>54</v>
      </c>
      <c r="J2373">
        <v>11625.35</v>
      </c>
      <c r="K2373">
        <v>18</v>
      </c>
      <c r="L2373" t="s">
        <v>36</v>
      </c>
      <c r="M2373" t="s">
        <v>25</v>
      </c>
      <c r="N2373" t="s">
        <v>26</v>
      </c>
      <c r="O2373" t="s">
        <v>56</v>
      </c>
      <c r="P2373" t="s">
        <v>38</v>
      </c>
      <c r="Q2373">
        <v>4</v>
      </c>
      <c r="R2373">
        <v>4348.6899999999996</v>
      </c>
      <c r="S2373" t="s">
        <v>29</v>
      </c>
    </row>
    <row r="2374" spans="1:19" x14ac:dyDescent="0.3">
      <c r="A2374" t="s">
        <v>2444</v>
      </c>
      <c r="B2374">
        <v>29</v>
      </c>
      <c r="C2374" t="s">
        <v>19</v>
      </c>
      <c r="D2374" t="s">
        <v>32</v>
      </c>
      <c r="E2374" s="1">
        <v>45081</v>
      </c>
      <c r="F2374" s="3">
        <v>45089</v>
      </c>
      <c r="G2374" t="s">
        <v>74</v>
      </c>
      <c r="H2374" t="s">
        <v>75</v>
      </c>
      <c r="I2374" t="s">
        <v>81</v>
      </c>
      <c r="J2374">
        <v>3838.7</v>
      </c>
      <c r="K2374">
        <v>8</v>
      </c>
      <c r="L2374" t="s">
        <v>24</v>
      </c>
      <c r="M2374" t="s">
        <v>25</v>
      </c>
      <c r="N2374" t="s">
        <v>44</v>
      </c>
      <c r="O2374" t="s">
        <v>37</v>
      </c>
      <c r="P2374" t="s">
        <v>45</v>
      </c>
      <c r="Q2374">
        <v>15</v>
      </c>
      <c r="R2374">
        <v>918.2</v>
      </c>
      <c r="S2374" t="s">
        <v>39</v>
      </c>
    </row>
    <row r="2375" spans="1:19" x14ac:dyDescent="0.3">
      <c r="A2375" t="s">
        <v>2445</v>
      </c>
      <c r="B2375">
        <v>41</v>
      </c>
      <c r="C2375" t="s">
        <v>19</v>
      </c>
      <c r="D2375" t="s">
        <v>61</v>
      </c>
      <c r="E2375" s="1">
        <v>45237</v>
      </c>
      <c r="F2375" s="3">
        <v>45263</v>
      </c>
      <c r="G2375" t="s">
        <v>21</v>
      </c>
      <c r="H2375" t="s">
        <v>22</v>
      </c>
      <c r="I2375" t="s">
        <v>54</v>
      </c>
      <c r="J2375">
        <v>15417.6</v>
      </c>
      <c r="K2375">
        <v>26</v>
      </c>
      <c r="L2375" t="s">
        <v>24</v>
      </c>
      <c r="M2375" t="s">
        <v>25</v>
      </c>
      <c r="N2375" t="s">
        <v>26</v>
      </c>
      <c r="O2375" t="s">
        <v>49</v>
      </c>
      <c r="P2375" t="s">
        <v>28</v>
      </c>
      <c r="Q2375">
        <v>12</v>
      </c>
      <c r="R2375">
        <v>4344.26</v>
      </c>
      <c r="S2375" t="s">
        <v>39</v>
      </c>
    </row>
    <row r="2376" spans="1:19" x14ac:dyDescent="0.3">
      <c r="A2376" t="s">
        <v>2446</v>
      </c>
      <c r="B2376">
        <v>36</v>
      </c>
      <c r="C2376" t="s">
        <v>19</v>
      </c>
      <c r="D2376" t="s">
        <v>20</v>
      </c>
      <c r="E2376" s="1">
        <v>45206</v>
      </c>
      <c r="F2376" s="3">
        <v>45218</v>
      </c>
      <c r="G2376" t="s">
        <v>33</v>
      </c>
      <c r="H2376" t="s">
        <v>34</v>
      </c>
      <c r="I2376" t="s">
        <v>43</v>
      </c>
      <c r="J2376">
        <v>6369.39</v>
      </c>
      <c r="K2376">
        <v>12</v>
      </c>
      <c r="L2376" t="s">
        <v>24</v>
      </c>
      <c r="M2376" t="s">
        <v>25</v>
      </c>
      <c r="N2376" t="s">
        <v>44</v>
      </c>
      <c r="O2376" t="s">
        <v>56</v>
      </c>
      <c r="P2376" t="s">
        <v>45</v>
      </c>
      <c r="Q2376">
        <v>13</v>
      </c>
      <c r="R2376">
        <v>1443.17</v>
      </c>
      <c r="S2376" t="s">
        <v>29</v>
      </c>
    </row>
    <row r="2377" spans="1:19" x14ac:dyDescent="0.3">
      <c r="A2377" t="s">
        <v>2447</v>
      </c>
      <c r="B2377">
        <v>47</v>
      </c>
      <c r="C2377" t="s">
        <v>19</v>
      </c>
      <c r="D2377" t="s">
        <v>32</v>
      </c>
      <c r="E2377" s="1">
        <v>44991</v>
      </c>
      <c r="F2377" s="3">
        <v>45001</v>
      </c>
      <c r="G2377" t="s">
        <v>93</v>
      </c>
      <c r="H2377" t="s">
        <v>72</v>
      </c>
      <c r="I2377" t="s">
        <v>81</v>
      </c>
      <c r="J2377">
        <v>8115.01</v>
      </c>
      <c r="K2377">
        <v>10</v>
      </c>
      <c r="L2377" t="s">
        <v>36</v>
      </c>
      <c r="M2377" t="s">
        <v>25</v>
      </c>
      <c r="N2377" t="s">
        <v>26</v>
      </c>
      <c r="O2377" t="s">
        <v>49</v>
      </c>
      <c r="P2377" t="s">
        <v>50</v>
      </c>
      <c r="Q2377">
        <v>15</v>
      </c>
      <c r="R2377">
        <v>2470.79</v>
      </c>
      <c r="S2377" t="s">
        <v>29</v>
      </c>
    </row>
    <row r="2378" spans="1:19" x14ac:dyDescent="0.3">
      <c r="A2378" t="s">
        <v>2448</v>
      </c>
      <c r="B2378">
        <v>68</v>
      </c>
      <c r="C2378" t="s">
        <v>19</v>
      </c>
      <c r="D2378" t="s">
        <v>20</v>
      </c>
      <c r="E2378" s="1">
        <v>45253</v>
      </c>
      <c r="F2378" s="3">
        <v>45254</v>
      </c>
      <c r="G2378" t="s">
        <v>52</v>
      </c>
      <c r="H2378" t="s">
        <v>53</v>
      </c>
      <c r="I2378" t="s">
        <v>43</v>
      </c>
      <c r="J2378">
        <v>2369.6799999999998</v>
      </c>
      <c r="K2378">
        <v>1</v>
      </c>
      <c r="L2378" t="s">
        <v>24</v>
      </c>
      <c r="M2378" t="s">
        <v>25</v>
      </c>
      <c r="N2378" t="s">
        <v>44</v>
      </c>
      <c r="O2378" t="s">
        <v>37</v>
      </c>
      <c r="P2378" t="s">
        <v>28</v>
      </c>
      <c r="Q2378">
        <v>4</v>
      </c>
      <c r="R2378">
        <v>360.78</v>
      </c>
      <c r="S2378" t="s">
        <v>39</v>
      </c>
    </row>
    <row r="2379" spans="1:19" x14ac:dyDescent="0.3">
      <c r="A2379" t="s">
        <v>2449</v>
      </c>
      <c r="B2379">
        <v>77</v>
      </c>
      <c r="C2379" t="s">
        <v>31</v>
      </c>
      <c r="D2379" t="s">
        <v>79</v>
      </c>
      <c r="E2379" s="1">
        <v>44936</v>
      </c>
      <c r="F2379" s="3">
        <v>44954</v>
      </c>
      <c r="G2379" t="s">
        <v>41</v>
      </c>
      <c r="H2379" t="s">
        <v>42</v>
      </c>
      <c r="I2379" t="s">
        <v>58</v>
      </c>
      <c r="J2379">
        <v>10014.219999999999</v>
      </c>
      <c r="K2379">
        <v>18</v>
      </c>
      <c r="L2379" t="s">
        <v>36</v>
      </c>
      <c r="M2379" t="s">
        <v>25</v>
      </c>
      <c r="N2379" t="s">
        <v>44</v>
      </c>
      <c r="O2379" t="s">
        <v>49</v>
      </c>
      <c r="P2379" t="s">
        <v>50</v>
      </c>
      <c r="Q2379">
        <v>11</v>
      </c>
      <c r="R2379">
        <v>3967.56</v>
      </c>
      <c r="S2379" t="s">
        <v>29</v>
      </c>
    </row>
    <row r="2380" spans="1:19" x14ac:dyDescent="0.3">
      <c r="A2380" t="s">
        <v>2450</v>
      </c>
      <c r="B2380">
        <v>35</v>
      </c>
      <c r="C2380" t="s">
        <v>19</v>
      </c>
      <c r="D2380" t="s">
        <v>89</v>
      </c>
      <c r="E2380" s="1">
        <v>45351</v>
      </c>
      <c r="F2380" s="3">
        <v>45369</v>
      </c>
      <c r="G2380" t="s">
        <v>48</v>
      </c>
      <c r="H2380" t="s">
        <v>22</v>
      </c>
      <c r="I2380" t="s">
        <v>81</v>
      </c>
      <c r="J2380">
        <v>12100.85</v>
      </c>
      <c r="K2380">
        <v>18</v>
      </c>
      <c r="L2380" t="s">
        <v>36</v>
      </c>
      <c r="M2380" t="s">
        <v>59</v>
      </c>
      <c r="N2380" t="s">
        <v>44</v>
      </c>
      <c r="O2380" t="s">
        <v>37</v>
      </c>
      <c r="P2380" t="s">
        <v>28</v>
      </c>
      <c r="Q2380">
        <v>15</v>
      </c>
      <c r="R2380">
        <v>4001.85</v>
      </c>
      <c r="S2380" t="s">
        <v>29</v>
      </c>
    </row>
    <row r="2381" spans="1:19" x14ac:dyDescent="0.3">
      <c r="A2381" t="s">
        <v>2451</v>
      </c>
      <c r="B2381">
        <v>86</v>
      </c>
      <c r="C2381" t="s">
        <v>19</v>
      </c>
      <c r="D2381" t="s">
        <v>89</v>
      </c>
      <c r="E2381" s="1">
        <v>45618</v>
      </c>
      <c r="F2381" s="3">
        <v>45631</v>
      </c>
      <c r="G2381" t="s">
        <v>74</v>
      </c>
      <c r="H2381" t="s">
        <v>75</v>
      </c>
      <c r="I2381" t="s">
        <v>35</v>
      </c>
      <c r="J2381">
        <v>10249.32</v>
      </c>
      <c r="K2381">
        <v>13</v>
      </c>
      <c r="L2381" t="s">
        <v>24</v>
      </c>
      <c r="M2381" t="s">
        <v>59</v>
      </c>
      <c r="N2381" t="s">
        <v>44</v>
      </c>
      <c r="O2381" t="s">
        <v>56</v>
      </c>
      <c r="P2381" t="s">
        <v>38</v>
      </c>
      <c r="Q2381">
        <v>5</v>
      </c>
      <c r="R2381">
        <v>3827.12</v>
      </c>
      <c r="S2381" t="s">
        <v>29</v>
      </c>
    </row>
    <row r="2382" spans="1:19" x14ac:dyDescent="0.3">
      <c r="A2382" t="s">
        <v>2452</v>
      </c>
      <c r="B2382">
        <v>28</v>
      </c>
      <c r="C2382" t="s">
        <v>31</v>
      </c>
      <c r="D2382" t="s">
        <v>66</v>
      </c>
      <c r="E2382" s="1">
        <v>45511</v>
      </c>
      <c r="F2382" s="3">
        <v>45536</v>
      </c>
      <c r="G2382" t="s">
        <v>74</v>
      </c>
      <c r="H2382" t="s">
        <v>75</v>
      </c>
      <c r="I2382" t="s">
        <v>81</v>
      </c>
      <c r="J2382">
        <v>20448.12</v>
      </c>
      <c r="K2382">
        <v>25</v>
      </c>
      <c r="L2382" t="s">
        <v>36</v>
      </c>
      <c r="M2382" t="s">
        <v>25</v>
      </c>
      <c r="N2382" t="s">
        <v>55</v>
      </c>
      <c r="O2382" t="s">
        <v>49</v>
      </c>
      <c r="P2382" t="s">
        <v>28</v>
      </c>
      <c r="Q2382">
        <v>9</v>
      </c>
      <c r="R2382">
        <v>5334.99</v>
      </c>
      <c r="S2382" t="s">
        <v>29</v>
      </c>
    </row>
    <row r="2383" spans="1:19" x14ac:dyDescent="0.3">
      <c r="A2383" t="s">
        <v>2453</v>
      </c>
      <c r="B2383">
        <v>69</v>
      </c>
      <c r="C2383" t="s">
        <v>31</v>
      </c>
      <c r="D2383" t="s">
        <v>79</v>
      </c>
      <c r="E2383" s="1">
        <v>44986</v>
      </c>
      <c r="F2383" s="3">
        <v>45002</v>
      </c>
      <c r="G2383" t="s">
        <v>74</v>
      </c>
      <c r="H2383" t="s">
        <v>75</v>
      </c>
      <c r="I2383" t="s">
        <v>83</v>
      </c>
      <c r="J2383">
        <v>11138.76</v>
      </c>
      <c r="K2383">
        <v>16</v>
      </c>
      <c r="L2383" t="s">
        <v>24</v>
      </c>
      <c r="M2383" t="s">
        <v>76</v>
      </c>
      <c r="N2383" t="s">
        <v>44</v>
      </c>
      <c r="O2383" t="s">
        <v>56</v>
      </c>
      <c r="P2383" t="s">
        <v>45</v>
      </c>
      <c r="Q2383">
        <v>4</v>
      </c>
      <c r="R2383">
        <v>2356.64</v>
      </c>
      <c r="S2383" t="s">
        <v>29</v>
      </c>
    </row>
    <row r="2384" spans="1:19" x14ac:dyDescent="0.3">
      <c r="A2384" t="s">
        <v>2454</v>
      </c>
      <c r="B2384">
        <v>60</v>
      </c>
      <c r="C2384" t="s">
        <v>31</v>
      </c>
      <c r="D2384" t="s">
        <v>79</v>
      </c>
      <c r="E2384" s="1">
        <v>45877</v>
      </c>
      <c r="F2384" s="3">
        <v>45893</v>
      </c>
      <c r="G2384" t="s">
        <v>41</v>
      </c>
      <c r="H2384" t="s">
        <v>42</v>
      </c>
      <c r="I2384" t="s">
        <v>54</v>
      </c>
      <c r="J2384">
        <v>10349.58</v>
      </c>
      <c r="K2384">
        <v>16</v>
      </c>
      <c r="L2384" t="s">
        <v>24</v>
      </c>
      <c r="M2384" t="s">
        <v>25</v>
      </c>
      <c r="N2384" t="s">
        <v>26</v>
      </c>
      <c r="O2384" t="s">
        <v>27</v>
      </c>
      <c r="P2384" t="s">
        <v>28</v>
      </c>
      <c r="Q2384">
        <v>15</v>
      </c>
      <c r="R2384">
        <v>1729.63</v>
      </c>
      <c r="S2384" t="s">
        <v>39</v>
      </c>
    </row>
    <row r="2385" spans="1:19" x14ac:dyDescent="0.3">
      <c r="A2385" t="s">
        <v>2455</v>
      </c>
      <c r="B2385">
        <v>49</v>
      </c>
      <c r="C2385" t="s">
        <v>19</v>
      </c>
      <c r="D2385" t="s">
        <v>20</v>
      </c>
      <c r="E2385" s="1">
        <v>45486</v>
      </c>
      <c r="F2385" s="3">
        <v>45496</v>
      </c>
      <c r="G2385" t="s">
        <v>74</v>
      </c>
      <c r="H2385" t="s">
        <v>75</v>
      </c>
      <c r="I2385" t="s">
        <v>91</v>
      </c>
      <c r="J2385">
        <v>7484.51</v>
      </c>
      <c r="K2385">
        <v>10</v>
      </c>
      <c r="L2385" t="s">
        <v>36</v>
      </c>
      <c r="M2385" t="s">
        <v>25</v>
      </c>
      <c r="N2385" t="s">
        <v>26</v>
      </c>
      <c r="O2385" t="s">
        <v>37</v>
      </c>
      <c r="P2385" t="s">
        <v>50</v>
      </c>
      <c r="Q2385">
        <v>15</v>
      </c>
      <c r="R2385">
        <v>1612.65</v>
      </c>
      <c r="S2385" t="s">
        <v>29</v>
      </c>
    </row>
    <row r="2386" spans="1:19" x14ac:dyDescent="0.3">
      <c r="A2386" t="s">
        <v>2456</v>
      </c>
      <c r="B2386">
        <v>35</v>
      </c>
      <c r="C2386" t="s">
        <v>31</v>
      </c>
      <c r="D2386" t="s">
        <v>70</v>
      </c>
      <c r="E2386" s="1">
        <v>45439</v>
      </c>
      <c r="F2386" s="3">
        <v>45449</v>
      </c>
      <c r="G2386" t="s">
        <v>21</v>
      </c>
      <c r="H2386" t="s">
        <v>22</v>
      </c>
      <c r="I2386" t="s">
        <v>58</v>
      </c>
      <c r="J2386">
        <v>4354.33</v>
      </c>
      <c r="K2386">
        <v>10</v>
      </c>
      <c r="L2386" t="s">
        <v>36</v>
      </c>
      <c r="M2386" t="s">
        <v>25</v>
      </c>
      <c r="N2386" t="s">
        <v>44</v>
      </c>
      <c r="O2386" t="s">
        <v>37</v>
      </c>
      <c r="P2386" t="s">
        <v>28</v>
      </c>
      <c r="Q2386">
        <v>13</v>
      </c>
      <c r="R2386">
        <v>1233.5</v>
      </c>
      <c r="S2386" t="s">
        <v>29</v>
      </c>
    </row>
    <row r="2387" spans="1:19" x14ac:dyDescent="0.3">
      <c r="A2387" t="s">
        <v>2457</v>
      </c>
      <c r="B2387">
        <v>60</v>
      </c>
      <c r="C2387" t="s">
        <v>19</v>
      </c>
      <c r="D2387" t="s">
        <v>61</v>
      </c>
      <c r="E2387" s="1">
        <v>45327</v>
      </c>
      <c r="F2387" s="3">
        <v>45333</v>
      </c>
      <c r="G2387" t="s">
        <v>93</v>
      </c>
      <c r="H2387" t="s">
        <v>72</v>
      </c>
      <c r="I2387" t="s">
        <v>58</v>
      </c>
      <c r="J2387">
        <v>2653.06</v>
      </c>
      <c r="K2387">
        <v>6</v>
      </c>
      <c r="L2387" t="s">
        <v>24</v>
      </c>
      <c r="M2387" t="s">
        <v>25</v>
      </c>
      <c r="N2387" t="s">
        <v>26</v>
      </c>
      <c r="O2387" t="s">
        <v>27</v>
      </c>
      <c r="P2387" t="s">
        <v>28</v>
      </c>
      <c r="Q2387">
        <v>10</v>
      </c>
      <c r="R2387">
        <v>676.69</v>
      </c>
      <c r="S2387" t="s">
        <v>29</v>
      </c>
    </row>
    <row r="2388" spans="1:19" x14ac:dyDescent="0.3">
      <c r="A2388" t="s">
        <v>2458</v>
      </c>
      <c r="B2388">
        <v>81</v>
      </c>
      <c r="C2388" t="s">
        <v>31</v>
      </c>
      <c r="D2388" t="s">
        <v>89</v>
      </c>
      <c r="E2388" s="1">
        <v>45786</v>
      </c>
      <c r="F2388" s="3">
        <v>45799</v>
      </c>
      <c r="G2388" t="s">
        <v>74</v>
      </c>
      <c r="H2388" t="s">
        <v>75</v>
      </c>
      <c r="I2388" t="s">
        <v>35</v>
      </c>
      <c r="J2388">
        <v>4262.01</v>
      </c>
      <c r="K2388">
        <v>13</v>
      </c>
      <c r="L2388" t="s">
        <v>36</v>
      </c>
      <c r="M2388" t="s">
        <v>25</v>
      </c>
      <c r="N2388" t="s">
        <v>44</v>
      </c>
      <c r="O2388" t="s">
        <v>37</v>
      </c>
      <c r="P2388" t="s">
        <v>45</v>
      </c>
      <c r="Q2388">
        <v>3</v>
      </c>
      <c r="R2388">
        <v>853.31</v>
      </c>
      <c r="S2388" t="s">
        <v>29</v>
      </c>
    </row>
    <row r="2389" spans="1:19" x14ac:dyDescent="0.3">
      <c r="A2389" t="s">
        <v>2459</v>
      </c>
      <c r="B2389">
        <v>89</v>
      </c>
      <c r="C2389" t="s">
        <v>19</v>
      </c>
      <c r="D2389" t="s">
        <v>61</v>
      </c>
      <c r="E2389" s="1">
        <v>44950</v>
      </c>
      <c r="F2389" s="3">
        <v>44958</v>
      </c>
      <c r="G2389" t="s">
        <v>62</v>
      </c>
      <c r="H2389" t="s">
        <v>63</v>
      </c>
      <c r="I2389" t="s">
        <v>35</v>
      </c>
      <c r="J2389">
        <v>3872.9</v>
      </c>
      <c r="K2389">
        <v>8</v>
      </c>
      <c r="L2389" t="s">
        <v>24</v>
      </c>
      <c r="M2389" t="s">
        <v>25</v>
      </c>
      <c r="N2389" t="s">
        <v>26</v>
      </c>
      <c r="O2389" t="s">
        <v>27</v>
      </c>
      <c r="P2389" t="s">
        <v>45</v>
      </c>
      <c r="Q2389">
        <v>6</v>
      </c>
      <c r="R2389">
        <v>1190.01</v>
      </c>
      <c r="S2389" t="s">
        <v>29</v>
      </c>
    </row>
    <row r="2390" spans="1:19" x14ac:dyDescent="0.3">
      <c r="A2390" t="s">
        <v>2460</v>
      </c>
      <c r="B2390">
        <v>39</v>
      </c>
      <c r="C2390" t="s">
        <v>31</v>
      </c>
      <c r="D2390" t="s">
        <v>79</v>
      </c>
      <c r="E2390" s="1">
        <v>45429</v>
      </c>
      <c r="F2390" s="3">
        <v>45437</v>
      </c>
      <c r="G2390" t="s">
        <v>48</v>
      </c>
      <c r="H2390" t="s">
        <v>22</v>
      </c>
      <c r="I2390" t="s">
        <v>91</v>
      </c>
      <c r="J2390">
        <v>10410.02</v>
      </c>
      <c r="K2390">
        <v>8</v>
      </c>
      <c r="L2390" t="s">
        <v>24</v>
      </c>
      <c r="M2390" t="s">
        <v>25</v>
      </c>
      <c r="N2390" t="s">
        <v>55</v>
      </c>
      <c r="O2390" t="s">
        <v>49</v>
      </c>
      <c r="P2390" t="s">
        <v>50</v>
      </c>
      <c r="Q2390">
        <v>12</v>
      </c>
      <c r="R2390">
        <v>3123.06</v>
      </c>
      <c r="S2390" t="s">
        <v>39</v>
      </c>
    </row>
    <row r="2391" spans="1:19" x14ac:dyDescent="0.3">
      <c r="A2391" t="s">
        <v>2461</v>
      </c>
      <c r="B2391">
        <v>24</v>
      </c>
      <c r="C2391" t="s">
        <v>31</v>
      </c>
      <c r="D2391" t="s">
        <v>79</v>
      </c>
      <c r="E2391" s="1">
        <v>45391</v>
      </c>
      <c r="F2391" s="3">
        <v>45402</v>
      </c>
      <c r="G2391" t="s">
        <v>93</v>
      </c>
      <c r="H2391" t="s">
        <v>72</v>
      </c>
      <c r="I2391" t="s">
        <v>81</v>
      </c>
      <c r="J2391">
        <v>7858.14</v>
      </c>
      <c r="K2391">
        <v>11</v>
      </c>
      <c r="L2391" t="s">
        <v>36</v>
      </c>
      <c r="M2391" t="s">
        <v>25</v>
      </c>
      <c r="N2391" t="s">
        <v>26</v>
      </c>
      <c r="O2391" t="s">
        <v>27</v>
      </c>
      <c r="P2391" t="s">
        <v>45</v>
      </c>
      <c r="Q2391">
        <v>13</v>
      </c>
      <c r="R2391">
        <v>3066.39</v>
      </c>
      <c r="S2391" t="s">
        <v>29</v>
      </c>
    </row>
    <row r="2392" spans="1:19" x14ac:dyDescent="0.3">
      <c r="A2392" t="s">
        <v>2462</v>
      </c>
      <c r="B2392">
        <v>79</v>
      </c>
      <c r="C2392" t="s">
        <v>31</v>
      </c>
      <c r="D2392" t="s">
        <v>20</v>
      </c>
      <c r="E2392" s="1">
        <v>45752</v>
      </c>
      <c r="F2392" s="3">
        <v>45760</v>
      </c>
      <c r="G2392" t="s">
        <v>41</v>
      </c>
      <c r="H2392" t="s">
        <v>42</v>
      </c>
      <c r="I2392" t="s">
        <v>23</v>
      </c>
      <c r="J2392">
        <v>5141.5</v>
      </c>
      <c r="K2392">
        <v>8</v>
      </c>
      <c r="L2392" t="s">
        <v>36</v>
      </c>
      <c r="M2392" t="s">
        <v>25</v>
      </c>
      <c r="N2392" t="s">
        <v>26</v>
      </c>
      <c r="O2392" t="s">
        <v>27</v>
      </c>
      <c r="P2392" t="s">
        <v>28</v>
      </c>
      <c r="Q2392">
        <v>5</v>
      </c>
      <c r="R2392">
        <v>1440.86</v>
      </c>
      <c r="S2392" t="s">
        <v>29</v>
      </c>
    </row>
    <row r="2393" spans="1:19" x14ac:dyDescent="0.3">
      <c r="A2393" t="s">
        <v>2463</v>
      </c>
      <c r="B2393">
        <v>33</v>
      </c>
      <c r="C2393" t="s">
        <v>31</v>
      </c>
      <c r="D2393" t="s">
        <v>70</v>
      </c>
      <c r="E2393" s="1">
        <v>45548</v>
      </c>
      <c r="F2393" s="3">
        <v>45563</v>
      </c>
      <c r="G2393" t="s">
        <v>74</v>
      </c>
      <c r="H2393" t="s">
        <v>75</v>
      </c>
      <c r="I2393" t="s">
        <v>35</v>
      </c>
      <c r="J2393">
        <v>5678.83</v>
      </c>
      <c r="K2393">
        <v>15</v>
      </c>
      <c r="L2393" t="s">
        <v>24</v>
      </c>
      <c r="M2393" t="s">
        <v>25</v>
      </c>
      <c r="N2393" t="s">
        <v>44</v>
      </c>
      <c r="O2393" t="s">
        <v>37</v>
      </c>
      <c r="P2393" t="s">
        <v>38</v>
      </c>
      <c r="Q2393">
        <v>5</v>
      </c>
      <c r="R2393">
        <v>1466.95</v>
      </c>
      <c r="S2393" t="s">
        <v>29</v>
      </c>
    </row>
    <row r="2394" spans="1:19" x14ac:dyDescent="0.3">
      <c r="A2394" t="s">
        <v>2464</v>
      </c>
      <c r="B2394">
        <v>53</v>
      </c>
      <c r="C2394" t="s">
        <v>19</v>
      </c>
      <c r="D2394" t="s">
        <v>79</v>
      </c>
      <c r="E2394" s="1">
        <v>44989</v>
      </c>
      <c r="F2394" s="3">
        <v>44994</v>
      </c>
      <c r="G2394" t="s">
        <v>67</v>
      </c>
      <c r="H2394" t="s">
        <v>42</v>
      </c>
      <c r="I2394" t="s">
        <v>81</v>
      </c>
      <c r="J2394">
        <v>3374.37</v>
      </c>
      <c r="K2394">
        <v>5</v>
      </c>
      <c r="L2394" t="s">
        <v>24</v>
      </c>
      <c r="M2394" t="s">
        <v>25</v>
      </c>
      <c r="N2394" t="s">
        <v>26</v>
      </c>
      <c r="O2394" t="s">
        <v>37</v>
      </c>
      <c r="P2394" t="s">
        <v>50</v>
      </c>
      <c r="Q2394">
        <v>5</v>
      </c>
      <c r="R2394">
        <v>1171.24</v>
      </c>
      <c r="S2394" t="s">
        <v>29</v>
      </c>
    </row>
    <row r="2395" spans="1:19" x14ac:dyDescent="0.3">
      <c r="A2395" t="s">
        <v>2465</v>
      </c>
      <c r="B2395">
        <v>56</v>
      </c>
      <c r="C2395" t="s">
        <v>31</v>
      </c>
      <c r="D2395" t="s">
        <v>61</v>
      </c>
      <c r="E2395" s="1">
        <v>45886</v>
      </c>
      <c r="F2395" s="3">
        <v>45906</v>
      </c>
      <c r="G2395" t="s">
        <v>74</v>
      </c>
      <c r="H2395" t="s">
        <v>75</v>
      </c>
      <c r="I2395" t="s">
        <v>35</v>
      </c>
      <c r="J2395">
        <v>12080.76</v>
      </c>
      <c r="K2395">
        <v>20</v>
      </c>
      <c r="L2395" t="s">
        <v>36</v>
      </c>
      <c r="M2395" t="s">
        <v>25</v>
      </c>
      <c r="N2395" t="s">
        <v>26</v>
      </c>
      <c r="O2395" t="s">
        <v>49</v>
      </c>
      <c r="P2395" t="s">
        <v>50</v>
      </c>
      <c r="Q2395">
        <v>4</v>
      </c>
      <c r="R2395">
        <v>1903.27</v>
      </c>
      <c r="S2395" t="s">
        <v>29</v>
      </c>
    </row>
    <row r="2396" spans="1:19" x14ac:dyDescent="0.3">
      <c r="A2396" t="s">
        <v>2466</v>
      </c>
      <c r="B2396">
        <v>81</v>
      </c>
      <c r="C2396" t="s">
        <v>19</v>
      </c>
      <c r="D2396" t="s">
        <v>79</v>
      </c>
      <c r="E2396" s="1">
        <v>45137</v>
      </c>
      <c r="F2396" s="3">
        <v>45147</v>
      </c>
      <c r="G2396" t="s">
        <v>93</v>
      </c>
      <c r="H2396" t="s">
        <v>72</v>
      </c>
      <c r="I2396" t="s">
        <v>23</v>
      </c>
      <c r="J2396">
        <v>9850.9599999999991</v>
      </c>
      <c r="K2396">
        <v>10</v>
      </c>
      <c r="L2396" t="s">
        <v>36</v>
      </c>
      <c r="M2396" t="s">
        <v>59</v>
      </c>
      <c r="N2396" t="s">
        <v>55</v>
      </c>
      <c r="O2396" t="s">
        <v>49</v>
      </c>
      <c r="P2396" t="s">
        <v>50</v>
      </c>
      <c r="Q2396">
        <v>10</v>
      </c>
      <c r="R2396">
        <v>2753.77</v>
      </c>
      <c r="S2396" t="s">
        <v>29</v>
      </c>
    </row>
    <row r="2397" spans="1:19" x14ac:dyDescent="0.3">
      <c r="A2397" t="s">
        <v>2467</v>
      </c>
      <c r="B2397">
        <v>75</v>
      </c>
      <c r="C2397" t="s">
        <v>19</v>
      </c>
      <c r="D2397" t="s">
        <v>20</v>
      </c>
      <c r="E2397" s="1">
        <v>45896</v>
      </c>
      <c r="F2397" s="3">
        <v>45912</v>
      </c>
      <c r="G2397" t="s">
        <v>21</v>
      </c>
      <c r="H2397" t="s">
        <v>22</v>
      </c>
      <c r="I2397" t="s">
        <v>83</v>
      </c>
      <c r="J2397">
        <v>11914.24</v>
      </c>
      <c r="K2397">
        <v>16</v>
      </c>
      <c r="L2397" t="s">
        <v>24</v>
      </c>
      <c r="M2397" t="s">
        <v>101</v>
      </c>
      <c r="N2397" t="s">
        <v>44</v>
      </c>
      <c r="O2397" t="s">
        <v>56</v>
      </c>
      <c r="P2397" t="s">
        <v>45</v>
      </c>
      <c r="Q2397">
        <v>8</v>
      </c>
      <c r="R2397">
        <v>3669.07</v>
      </c>
      <c r="S2397" t="s">
        <v>29</v>
      </c>
    </row>
    <row r="2398" spans="1:19" x14ac:dyDescent="0.3">
      <c r="A2398" t="s">
        <v>2468</v>
      </c>
      <c r="B2398">
        <v>38</v>
      </c>
      <c r="C2398" t="s">
        <v>19</v>
      </c>
      <c r="D2398" t="s">
        <v>70</v>
      </c>
      <c r="E2398" s="1">
        <v>45886</v>
      </c>
      <c r="F2398" s="3">
        <v>45906</v>
      </c>
      <c r="G2398" t="s">
        <v>93</v>
      </c>
      <c r="H2398" t="s">
        <v>72</v>
      </c>
      <c r="I2398" t="s">
        <v>83</v>
      </c>
      <c r="J2398">
        <v>9066.31</v>
      </c>
      <c r="K2398">
        <v>20</v>
      </c>
      <c r="L2398" t="s">
        <v>36</v>
      </c>
      <c r="M2398" t="s">
        <v>59</v>
      </c>
      <c r="N2398" t="s">
        <v>55</v>
      </c>
      <c r="O2398" t="s">
        <v>27</v>
      </c>
      <c r="P2398" t="s">
        <v>38</v>
      </c>
      <c r="Q2398">
        <v>14</v>
      </c>
      <c r="R2398">
        <v>2626.97</v>
      </c>
      <c r="S2398" t="s">
        <v>29</v>
      </c>
    </row>
    <row r="2399" spans="1:19" x14ac:dyDescent="0.3">
      <c r="A2399" t="s">
        <v>2469</v>
      </c>
      <c r="B2399">
        <v>60</v>
      </c>
      <c r="C2399" t="s">
        <v>31</v>
      </c>
      <c r="D2399" t="s">
        <v>66</v>
      </c>
      <c r="E2399" s="1">
        <v>44959</v>
      </c>
      <c r="F2399" s="3">
        <v>44960</v>
      </c>
      <c r="G2399" t="s">
        <v>71</v>
      </c>
      <c r="H2399" t="s">
        <v>72</v>
      </c>
      <c r="I2399" t="s">
        <v>23</v>
      </c>
      <c r="J2399">
        <v>3578.24</v>
      </c>
      <c r="K2399">
        <v>1</v>
      </c>
      <c r="L2399" t="s">
        <v>24</v>
      </c>
      <c r="M2399" t="s">
        <v>25</v>
      </c>
      <c r="N2399" t="s">
        <v>55</v>
      </c>
      <c r="O2399" t="s">
        <v>37</v>
      </c>
      <c r="P2399" t="s">
        <v>45</v>
      </c>
      <c r="Q2399">
        <v>7</v>
      </c>
      <c r="R2399">
        <v>1142.98</v>
      </c>
      <c r="S2399" t="s">
        <v>29</v>
      </c>
    </row>
    <row r="2400" spans="1:19" x14ac:dyDescent="0.3">
      <c r="A2400" t="s">
        <v>2470</v>
      </c>
      <c r="B2400">
        <v>87</v>
      </c>
      <c r="C2400" t="s">
        <v>31</v>
      </c>
      <c r="D2400" t="s">
        <v>47</v>
      </c>
      <c r="E2400" s="1">
        <v>45924</v>
      </c>
      <c r="F2400" s="3">
        <v>45928</v>
      </c>
      <c r="G2400" t="s">
        <v>48</v>
      </c>
      <c r="H2400" t="s">
        <v>22</v>
      </c>
      <c r="I2400" t="s">
        <v>58</v>
      </c>
      <c r="J2400">
        <v>1832.9</v>
      </c>
      <c r="K2400">
        <v>4</v>
      </c>
      <c r="L2400" t="s">
        <v>24</v>
      </c>
      <c r="M2400" t="s">
        <v>25</v>
      </c>
      <c r="N2400" t="s">
        <v>26</v>
      </c>
      <c r="O2400" t="s">
        <v>27</v>
      </c>
      <c r="P2400" t="s">
        <v>50</v>
      </c>
      <c r="Q2400">
        <v>9</v>
      </c>
      <c r="R2400">
        <v>563.70000000000005</v>
      </c>
      <c r="S2400" t="s">
        <v>39</v>
      </c>
    </row>
    <row r="2401" spans="1:19" x14ac:dyDescent="0.3">
      <c r="A2401" t="s">
        <v>2471</v>
      </c>
      <c r="B2401">
        <v>25</v>
      </c>
      <c r="C2401" t="s">
        <v>19</v>
      </c>
      <c r="D2401" t="s">
        <v>79</v>
      </c>
      <c r="E2401" s="1">
        <v>44940</v>
      </c>
      <c r="F2401" s="3">
        <v>44952</v>
      </c>
      <c r="G2401" t="s">
        <v>52</v>
      </c>
      <c r="H2401" t="s">
        <v>53</v>
      </c>
      <c r="I2401" t="s">
        <v>83</v>
      </c>
      <c r="J2401">
        <v>4576.5200000000004</v>
      </c>
      <c r="K2401">
        <v>12</v>
      </c>
      <c r="L2401" t="s">
        <v>36</v>
      </c>
      <c r="M2401" t="s">
        <v>25</v>
      </c>
      <c r="N2401" t="s">
        <v>44</v>
      </c>
      <c r="O2401" t="s">
        <v>27</v>
      </c>
      <c r="P2401" t="s">
        <v>50</v>
      </c>
      <c r="Q2401">
        <v>6</v>
      </c>
      <c r="R2401">
        <v>1367.57</v>
      </c>
      <c r="S2401" t="s">
        <v>29</v>
      </c>
    </row>
    <row r="2402" spans="1:19" x14ac:dyDescent="0.3">
      <c r="A2402" t="s">
        <v>2472</v>
      </c>
      <c r="B2402">
        <v>53</v>
      </c>
      <c r="C2402" t="s">
        <v>19</v>
      </c>
      <c r="D2402" t="s">
        <v>47</v>
      </c>
      <c r="E2402" s="1">
        <v>45158</v>
      </c>
      <c r="F2402" s="3">
        <v>45181</v>
      </c>
      <c r="G2402" t="s">
        <v>71</v>
      </c>
      <c r="H2402" t="s">
        <v>72</v>
      </c>
      <c r="I2402" t="s">
        <v>81</v>
      </c>
      <c r="J2402">
        <v>18550.47</v>
      </c>
      <c r="K2402">
        <v>23</v>
      </c>
      <c r="L2402" t="s">
        <v>24</v>
      </c>
      <c r="M2402" t="s">
        <v>25</v>
      </c>
      <c r="N2402" t="s">
        <v>55</v>
      </c>
      <c r="O2402" t="s">
        <v>49</v>
      </c>
      <c r="P2402" t="s">
        <v>50</v>
      </c>
      <c r="Q2402">
        <v>10</v>
      </c>
      <c r="R2402">
        <v>4436.91</v>
      </c>
      <c r="S2402" t="s">
        <v>29</v>
      </c>
    </row>
    <row r="2403" spans="1:19" x14ac:dyDescent="0.3">
      <c r="A2403" t="s">
        <v>2473</v>
      </c>
      <c r="B2403">
        <v>37</v>
      </c>
      <c r="C2403" t="s">
        <v>19</v>
      </c>
      <c r="D2403" t="s">
        <v>66</v>
      </c>
      <c r="E2403" s="1">
        <v>45274</v>
      </c>
      <c r="F2403" s="3">
        <v>45279</v>
      </c>
      <c r="G2403" t="s">
        <v>33</v>
      </c>
      <c r="H2403" t="s">
        <v>34</v>
      </c>
      <c r="I2403" t="s">
        <v>81</v>
      </c>
      <c r="J2403">
        <v>2153.54</v>
      </c>
      <c r="K2403">
        <v>5</v>
      </c>
      <c r="L2403" t="s">
        <v>36</v>
      </c>
      <c r="M2403" t="s">
        <v>25</v>
      </c>
      <c r="N2403" t="s">
        <v>26</v>
      </c>
      <c r="O2403" t="s">
        <v>27</v>
      </c>
      <c r="P2403" t="s">
        <v>38</v>
      </c>
      <c r="Q2403">
        <v>4</v>
      </c>
      <c r="R2403">
        <v>856.08</v>
      </c>
      <c r="S2403" t="s">
        <v>29</v>
      </c>
    </row>
    <row r="2404" spans="1:19" x14ac:dyDescent="0.3">
      <c r="A2404" t="s">
        <v>2474</v>
      </c>
      <c r="B2404">
        <v>24</v>
      </c>
      <c r="C2404" t="s">
        <v>31</v>
      </c>
      <c r="D2404" t="s">
        <v>20</v>
      </c>
      <c r="E2404" s="1">
        <v>45697</v>
      </c>
      <c r="F2404" s="3">
        <v>45723</v>
      </c>
      <c r="G2404" t="s">
        <v>21</v>
      </c>
      <c r="H2404" t="s">
        <v>22</v>
      </c>
      <c r="I2404" t="s">
        <v>58</v>
      </c>
      <c r="J2404">
        <v>23591.599999999999</v>
      </c>
      <c r="K2404">
        <v>26</v>
      </c>
      <c r="L2404" t="s">
        <v>24</v>
      </c>
      <c r="M2404" t="s">
        <v>25</v>
      </c>
      <c r="N2404" t="s">
        <v>26</v>
      </c>
      <c r="O2404" t="s">
        <v>49</v>
      </c>
      <c r="P2404" t="s">
        <v>50</v>
      </c>
      <c r="Q2404">
        <v>1</v>
      </c>
      <c r="R2404">
        <v>3834.38</v>
      </c>
      <c r="S2404" t="s">
        <v>29</v>
      </c>
    </row>
    <row r="2405" spans="1:19" x14ac:dyDescent="0.3">
      <c r="A2405" t="s">
        <v>2475</v>
      </c>
      <c r="B2405">
        <v>69</v>
      </c>
      <c r="C2405" t="s">
        <v>31</v>
      </c>
      <c r="D2405" t="s">
        <v>20</v>
      </c>
      <c r="E2405" s="1">
        <v>45763</v>
      </c>
      <c r="F2405" s="3">
        <v>45775</v>
      </c>
      <c r="G2405" t="s">
        <v>41</v>
      </c>
      <c r="H2405" t="s">
        <v>42</v>
      </c>
      <c r="I2405" t="s">
        <v>83</v>
      </c>
      <c r="J2405">
        <v>7459.27</v>
      </c>
      <c r="K2405">
        <v>12</v>
      </c>
      <c r="L2405" t="s">
        <v>24</v>
      </c>
      <c r="M2405" t="s">
        <v>25</v>
      </c>
      <c r="N2405" t="s">
        <v>26</v>
      </c>
      <c r="O2405" t="s">
        <v>37</v>
      </c>
      <c r="P2405" t="s">
        <v>38</v>
      </c>
      <c r="Q2405">
        <v>6</v>
      </c>
      <c r="R2405">
        <v>2692.47</v>
      </c>
      <c r="S2405" t="s">
        <v>29</v>
      </c>
    </row>
    <row r="2406" spans="1:19" x14ac:dyDescent="0.3">
      <c r="A2406" t="s">
        <v>2476</v>
      </c>
      <c r="B2406">
        <v>69</v>
      </c>
      <c r="C2406" t="s">
        <v>31</v>
      </c>
      <c r="D2406" t="s">
        <v>61</v>
      </c>
      <c r="E2406" s="1">
        <v>45254</v>
      </c>
      <c r="F2406" s="3">
        <v>45273</v>
      </c>
      <c r="G2406" t="s">
        <v>62</v>
      </c>
      <c r="H2406" t="s">
        <v>63</v>
      </c>
      <c r="I2406" t="s">
        <v>23</v>
      </c>
      <c r="J2406">
        <v>6831.24</v>
      </c>
      <c r="K2406">
        <v>19</v>
      </c>
      <c r="L2406" t="s">
        <v>24</v>
      </c>
      <c r="M2406" t="s">
        <v>25</v>
      </c>
      <c r="N2406" t="s">
        <v>44</v>
      </c>
      <c r="O2406" t="s">
        <v>27</v>
      </c>
      <c r="P2406" t="s">
        <v>50</v>
      </c>
      <c r="Q2406">
        <v>14</v>
      </c>
      <c r="R2406">
        <v>1676.27</v>
      </c>
      <c r="S2406" t="s">
        <v>29</v>
      </c>
    </row>
    <row r="2407" spans="1:19" x14ac:dyDescent="0.3">
      <c r="A2407" t="s">
        <v>2477</v>
      </c>
      <c r="B2407">
        <v>87</v>
      </c>
      <c r="C2407" t="s">
        <v>19</v>
      </c>
      <c r="D2407" t="s">
        <v>32</v>
      </c>
      <c r="E2407" s="1">
        <v>45104</v>
      </c>
      <c r="F2407" s="3">
        <v>45117</v>
      </c>
      <c r="G2407" t="s">
        <v>52</v>
      </c>
      <c r="H2407" t="s">
        <v>53</v>
      </c>
      <c r="I2407" t="s">
        <v>43</v>
      </c>
      <c r="J2407">
        <v>9867.9599999999991</v>
      </c>
      <c r="K2407">
        <v>13</v>
      </c>
      <c r="L2407" t="s">
        <v>24</v>
      </c>
      <c r="M2407" t="s">
        <v>25</v>
      </c>
      <c r="N2407" t="s">
        <v>55</v>
      </c>
      <c r="O2407" t="s">
        <v>49</v>
      </c>
      <c r="P2407" t="s">
        <v>38</v>
      </c>
      <c r="Q2407">
        <v>14</v>
      </c>
      <c r="R2407">
        <v>2720.84</v>
      </c>
      <c r="S2407" t="s">
        <v>29</v>
      </c>
    </row>
    <row r="2408" spans="1:19" x14ac:dyDescent="0.3">
      <c r="A2408" t="s">
        <v>2478</v>
      </c>
      <c r="B2408">
        <v>85</v>
      </c>
      <c r="C2408" t="s">
        <v>31</v>
      </c>
      <c r="D2408" t="s">
        <v>47</v>
      </c>
      <c r="E2408" s="1">
        <v>45732</v>
      </c>
      <c r="F2408" s="3">
        <v>45746</v>
      </c>
      <c r="G2408" t="s">
        <v>21</v>
      </c>
      <c r="H2408" t="s">
        <v>22</v>
      </c>
      <c r="I2408" t="s">
        <v>91</v>
      </c>
      <c r="J2408">
        <v>9112.58</v>
      </c>
      <c r="K2408">
        <v>14</v>
      </c>
      <c r="L2408" t="s">
        <v>24</v>
      </c>
      <c r="M2408" t="s">
        <v>25</v>
      </c>
      <c r="N2408" t="s">
        <v>44</v>
      </c>
      <c r="O2408" t="s">
        <v>37</v>
      </c>
      <c r="P2408" t="s">
        <v>38</v>
      </c>
      <c r="Q2408">
        <v>13</v>
      </c>
      <c r="R2408">
        <v>2928.55</v>
      </c>
      <c r="S2408" t="s">
        <v>29</v>
      </c>
    </row>
    <row r="2409" spans="1:19" x14ac:dyDescent="0.3">
      <c r="A2409" t="s">
        <v>2479</v>
      </c>
      <c r="B2409">
        <v>50</v>
      </c>
      <c r="C2409" t="s">
        <v>19</v>
      </c>
      <c r="D2409" t="s">
        <v>79</v>
      </c>
      <c r="E2409" s="1">
        <v>45825</v>
      </c>
      <c r="F2409" s="3">
        <v>45837</v>
      </c>
      <c r="G2409" t="s">
        <v>74</v>
      </c>
      <c r="H2409" t="s">
        <v>75</v>
      </c>
      <c r="I2409" t="s">
        <v>23</v>
      </c>
      <c r="J2409">
        <v>3854.16</v>
      </c>
      <c r="K2409">
        <v>12</v>
      </c>
      <c r="L2409" t="s">
        <v>36</v>
      </c>
      <c r="M2409" t="s">
        <v>25</v>
      </c>
      <c r="N2409" t="s">
        <v>44</v>
      </c>
      <c r="O2409" t="s">
        <v>56</v>
      </c>
      <c r="P2409" t="s">
        <v>45</v>
      </c>
      <c r="Q2409">
        <v>13</v>
      </c>
      <c r="R2409">
        <v>661.75</v>
      </c>
      <c r="S2409" t="s">
        <v>29</v>
      </c>
    </row>
    <row r="2410" spans="1:19" x14ac:dyDescent="0.3">
      <c r="A2410" t="s">
        <v>2480</v>
      </c>
      <c r="B2410">
        <v>78</v>
      </c>
      <c r="C2410" t="s">
        <v>19</v>
      </c>
      <c r="D2410" t="s">
        <v>47</v>
      </c>
      <c r="E2410" s="1">
        <v>45307</v>
      </c>
      <c r="F2410" s="3">
        <v>45324</v>
      </c>
      <c r="G2410" t="s">
        <v>71</v>
      </c>
      <c r="H2410" t="s">
        <v>72</v>
      </c>
      <c r="I2410" t="s">
        <v>83</v>
      </c>
      <c r="J2410">
        <v>10251.129999999999</v>
      </c>
      <c r="K2410">
        <v>17</v>
      </c>
      <c r="L2410" t="s">
        <v>24</v>
      </c>
      <c r="M2410" t="s">
        <v>25</v>
      </c>
      <c r="N2410" t="s">
        <v>26</v>
      </c>
      <c r="O2410" t="s">
        <v>27</v>
      </c>
      <c r="P2410" t="s">
        <v>38</v>
      </c>
      <c r="Q2410">
        <v>15</v>
      </c>
      <c r="R2410">
        <v>2598.1</v>
      </c>
      <c r="S2410" t="s">
        <v>29</v>
      </c>
    </row>
    <row r="2411" spans="1:19" x14ac:dyDescent="0.3">
      <c r="A2411" t="s">
        <v>2481</v>
      </c>
      <c r="B2411">
        <v>20</v>
      </c>
      <c r="C2411" t="s">
        <v>31</v>
      </c>
      <c r="D2411" t="s">
        <v>61</v>
      </c>
      <c r="E2411" s="1">
        <v>45590</v>
      </c>
      <c r="F2411" s="3">
        <v>45608</v>
      </c>
      <c r="G2411" t="s">
        <v>21</v>
      </c>
      <c r="H2411" t="s">
        <v>22</v>
      </c>
      <c r="I2411" t="s">
        <v>91</v>
      </c>
      <c r="J2411">
        <v>11498.31</v>
      </c>
      <c r="K2411">
        <v>18</v>
      </c>
      <c r="L2411" t="s">
        <v>36</v>
      </c>
      <c r="M2411" t="s">
        <v>25</v>
      </c>
      <c r="N2411" t="s">
        <v>26</v>
      </c>
      <c r="O2411" t="s">
        <v>27</v>
      </c>
      <c r="P2411" t="s">
        <v>45</v>
      </c>
      <c r="Q2411">
        <v>3</v>
      </c>
      <c r="R2411">
        <v>2388.9299999999998</v>
      </c>
      <c r="S2411" t="s">
        <v>29</v>
      </c>
    </row>
    <row r="2412" spans="1:19" x14ac:dyDescent="0.3">
      <c r="A2412" t="s">
        <v>2482</v>
      </c>
      <c r="B2412">
        <v>37</v>
      </c>
      <c r="C2412" t="s">
        <v>31</v>
      </c>
      <c r="D2412" t="s">
        <v>89</v>
      </c>
      <c r="E2412" s="1">
        <v>45534</v>
      </c>
      <c r="F2412" s="3">
        <v>45540</v>
      </c>
      <c r="G2412" t="s">
        <v>48</v>
      </c>
      <c r="H2412" t="s">
        <v>22</v>
      </c>
      <c r="I2412" t="s">
        <v>83</v>
      </c>
      <c r="J2412">
        <v>5095.13</v>
      </c>
      <c r="K2412">
        <v>6</v>
      </c>
      <c r="L2412" t="s">
        <v>36</v>
      </c>
      <c r="M2412" t="s">
        <v>25</v>
      </c>
      <c r="N2412" t="s">
        <v>55</v>
      </c>
      <c r="O2412" t="s">
        <v>27</v>
      </c>
      <c r="P2412" t="s">
        <v>45</v>
      </c>
      <c r="Q2412">
        <v>12</v>
      </c>
      <c r="R2412">
        <v>963.74</v>
      </c>
      <c r="S2412" t="s">
        <v>29</v>
      </c>
    </row>
    <row r="2413" spans="1:19" x14ac:dyDescent="0.3">
      <c r="A2413" t="s">
        <v>2483</v>
      </c>
      <c r="B2413">
        <v>31</v>
      </c>
      <c r="C2413" t="s">
        <v>31</v>
      </c>
      <c r="D2413" t="s">
        <v>47</v>
      </c>
      <c r="E2413" s="1">
        <v>45479</v>
      </c>
      <c r="F2413" s="3">
        <v>45480</v>
      </c>
      <c r="G2413" t="s">
        <v>62</v>
      </c>
      <c r="H2413" t="s">
        <v>63</v>
      </c>
      <c r="I2413" t="s">
        <v>43</v>
      </c>
      <c r="J2413">
        <v>2655.87</v>
      </c>
      <c r="K2413">
        <v>1</v>
      </c>
      <c r="L2413" t="s">
        <v>36</v>
      </c>
      <c r="M2413" t="s">
        <v>25</v>
      </c>
      <c r="N2413" t="s">
        <v>44</v>
      </c>
      <c r="O2413" t="s">
        <v>27</v>
      </c>
      <c r="P2413" t="s">
        <v>45</v>
      </c>
      <c r="Q2413">
        <v>9</v>
      </c>
      <c r="R2413">
        <v>423.36</v>
      </c>
      <c r="S2413" t="s">
        <v>39</v>
      </c>
    </row>
    <row r="2414" spans="1:19" x14ac:dyDescent="0.3">
      <c r="A2414" t="s">
        <v>2484</v>
      </c>
      <c r="B2414">
        <v>34</v>
      </c>
      <c r="C2414" t="s">
        <v>31</v>
      </c>
      <c r="D2414" t="s">
        <v>66</v>
      </c>
      <c r="E2414" s="1">
        <v>45299</v>
      </c>
      <c r="F2414" s="3">
        <v>45319</v>
      </c>
      <c r="G2414" t="s">
        <v>71</v>
      </c>
      <c r="H2414" t="s">
        <v>72</v>
      </c>
      <c r="I2414" t="s">
        <v>54</v>
      </c>
      <c r="J2414">
        <v>8205.85</v>
      </c>
      <c r="K2414">
        <v>20</v>
      </c>
      <c r="L2414" t="s">
        <v>36</v>
      </c>
      <c r="M2414" t="s">
        <v>101</v>
      </c>
      <c r="N2414" t="s">
        <v>26</v>
      </c>
      <c r="O2414" t="s">
        <v>27</v>
      </c>
      <c r="P2414" t="s">
        <v>38</v>
      </c>
      <c r="Q2414">
        <v>8</v>
      </c>
      <c r="R2414">
        <v>2056.8000000000002</v>
      </c>
      <c r="S2414" t="s">
        <v>29</v>
      </c>
    </row>
    <row r="2415" spans="1:19" x14ac:dyDescent="0.3">
      <c r="A2415" t="s">
        <v>2485</v>
      </c>
      <c r="B2415">
        <v>50</v>
      </c>
      <c r="C2415" t="s">
        <v>31</v>
      </c>
      <c r="D2415" t="s">
        <v>61</v>
      </c>
      <c r="E2415" s="1">
        <v>45573</v>
      </c>
      <c r="F2415" s="3">
        <v>45591</v>
      </c>
      <c r="G2415" t="s">
        <v>41</v>
      </c>
      <c r="H2415" t="s">
        <v>42</v>
      </c>
      <c r="I2415" t="s">
        <v>54</v>
      </c>
      <c r="J2415">
        <v>11926.51</v>
      </c>
      <c r="K2415">
        <v>18</v>
      </c>
      <c r="L2415" t="s">
        <v>24</v>
      </c>
      <c r="M2415" t="s">
        <v>25</v>
      </c>
      <c r="N2415" t="s">
        <v>55</v>
      </c>
      <c r="O2415" t="s">
        <v>37</v>
      </c>
      <c r="P2415" t="s">
        <v>28</v>
      </c>
      <c r="Q2415">
        <v>3</v>
      </c>
      <c r="R2415">
        <v>3421.29</v>
      </c>
      <c r="S2415" t="s">
        <v>29</v>
      </c>
    </row>
    <row r="2416" spans="1:19" x14ac:dyDescent="0.3">
      <c r="A2416" t="s">
        <v>2486</v>
      </c>
      <c r="B2416">
        <v>21</v>
      </c>
      <c r="C2416" t="s">
        <v>19</v>
      </c>
      <c r="D2416" t="s">
        <v>20</v>
      </c>
      <c r="E2416" s="1">
        <v>45409</v>
      </c>
      <c r="F2416" s="3">
        <v>45410</v>
      </c>
      <c r="G2416" t="s">
        <v>62</v>
      </c>
      <c r="H2416" t="s">
        <v>63</v>
      </c>
      <c r="I2416" t="s">
        <v>91</v>
      </c>
      <c r="J2416">
        <v>1527.62</v>
      </c>
      <c r="K2416">
        <v>1</v>
      </c>
      <c r="L2416" t="s">
        <v>36</v>
      </c>
      <c r="M2416" t="s">
        <v>101</v>
      </c>
      <c r="N2416" t="s">
        <v>55</v>
      </c>
      <c r="O2416" t="s">
        <v>56</v>
      </c>
      <c r="P2416" t="s">
        <v>45</v>
      </c>
      <c r="Q2416">
        <v>12</v>
      </c>
      <c r="R2416">
        <v>440.23</v>
      </c>
      <c r="S2416" t="s">
        <v>29</v>
      </c>
    </row>
    <row r="2417" spans="1:19" x14ac:dyDescent="0.3">
      <c r="A2417" t="s">
        <v>2487</v>
      </c>
      <c r="B2417">
        <v>64</v>
      </c>
      <c r="C2417" t="s">
        <v>31</v>
      </c>
      <c r="D2417" t="s">
        <v>32</v>
      </c>
      <c r="E2417" s="1">
        <v>45581</v>
      </c>
      <c r="F2417" s="3">
        <v>45588</v>
      </c>
      <c r="G2417" t="s">
        <v>21</v>
      </c>
      <c r="H2417" t="s">
        <v>22</v>
      </c>
      <c r="I2417" t="s">
        <v>43</v>
      </c>
      <c r="J2417">
        <v>11290.16</v>
      </c>
      <c r="K2417">
        <v>7</v>
      </c>
      <c r="L2417" t="s">
        <v>24</v>
      </c>
      <c r="M2417" t="s">
        <v>25</v>
      </c>
      <c r="N2417" t="s">
        <v>55</v>
      </c>
      <c r="O2417" t="s">
        <v>49</v>
      </c>
      <c r="P2417" t="s">
        <v>45</v>
      </c>
      <c r="Q2417">
        <v>6</v>
      </c>
      <c r="R2417">
        <v>3313.15</v>
      </c>
      <c r="S2417" t="s">
        <v>29</v>
      </c>
    </row>
    <row r="2418" spans="1:19" x14ac:dyDescent="0.3">
      <c r="A2418" t="s">
        <v>2488</v>
      </c>
      <c r="B2418">
        <v>39</v>
      </c>
      <c r="C2418" t="s">
        <v>19</v>
      </c>
      <c r="D2418" t="s">
        <v>61</v>
      </c>
      <c r="E2418" s="1">
        <v>45904</v>
      </c>
      <c r="F2418" s="3">
        <v>45923</v>
      </c>
      <c r="G2418" t="s">
        <v>62</v>
      </c>
      <c r="H2418" t="s">
        <v>63</v>
      </c>
      <c r="I2418" t="s">
        <v>23</v>
      </c>
      <c r="J2418">
        <v>7525.86</v>
      </c>
      <c r="K2418">
        <v>19</v>
      </c>
      <c r="L2418" t="s">
        <v>24</v>
      </c>
      <c r="M2418" t="s">
        <v>25</v>
      </c>
      <c r="N2418" t="s">
        <v>44</v>
      </c>
      <c r="O2418" t="s">
        <v>27</v>
      </c>
      <c r="P2418" t="s">
        <v>45</v>
      </c>
      <c r="Q2418">
        <v>14</v>
      </c>
      <c r="R2418">
        <v>1631.6</v>
      </c>
      <c r="S2418" t="s">
        <v>29</v>
      </c>
    </row>
    <row r="2419" spans="1:19" x14ac:dyDescent="0.3">
      <c r="A2419" t="s">
        <v>2489</v>
      </c>
      <c r="B2419">
        <v>36</v>
      </c>
      <c r="C2419" t="s">
        <v>31</v>
      </c>
      <c r="D2419" t="s">
        <v>79</v>
      </c>
      <c r="E2419" s="1">
        <v>45223</v>
      </c>
      <c r="F2419" s="3">
        <v>45244</v>
      </c>
      <c r="G2419" t="s">
        <v>93</v>
      </c>
      <c r="H2419" t="s">
        <v>72</v>
      </c>
      <c r="I2419" t="s">
        <v>43</v>
      </c>
      <c r="J2419">
        <v>15869.01</v>
      </c>
      <c r="K2419">
        <v>21</v>
      </c>
      <c r="L2419" t="s">
        <v>36</v>
      </c>
      <c r="M2419" t="s">
        <v>59</v>
      </c>
      <c r="N2419" t="s">
        <v>44</v>
      </c>
      <c r="O2419" t="s">
        <v>49</v>
      </c>
      <c r="P2419" t="s">
        <v>45</v>
      </c>
      <c r="Q2419">
        <v>3</v>
      </c>
      <c r="R2419">
        <v>3587.28</v>
      </c>
      <c r="S2419" t="s">
        <v>29</v>
      </c>
    </row>
    <row r="2420" spans="1:19" x14ac:dyDescent="0.3">
      <c r="A2420" t="s">
        <v>2490</v>
      </c>
      <c r="B2420">
        <v>87</v>
      </c>
      <c r="C2420" t="s">
        <v>19</v>
      </c>
      <c r="D2420" t="s">
        <v>61</v>
      </c>
      <c r="E2420" s="1">
        <v>45725</v>
      </c>
      <c r="F2420" s="3">
        <v>45738</v>
      </c>
      <c r="G2420" t="s">
        <v>74</v>
      </c>
      <c r="H2420" t="s">
        <v>75</v>
      </c>
      <c r="I2420" t="s">
        <v>91</v>
      </c>
      <c r="J2420">
        <v>16121.62</v>
      </c>
      <c r="K2420">
        <v>13</v>
      </c>
      <c r="L2420" t="s">
        <v>24</v>
      </c>
      <c r="M2420" t="s">
        <v>25</v>
      </c>
      <c r="N2420" t="s">
        <v>44</v>
      </c>
      <c r="O2420" t="s">
        <v>49</v>
      </c>
      <c r="P2420" t="s">
        <v>50</v>
      </c>
      <c r="Q2420">
        <v>1</v>
      </c>
      <c r="R2420">
        <v>5977.4</v>
      </c>
      <c r="S2420" t="s">
        <v>29</v>
      </c>
    </row>
    <row r="2421" spans="1:19" x14ac:dyDescent="0.3">
      <c r="A2421" t="s">
        <v>2491</v>
      </c>
      <c r="B2421">
        <v>57</v>
      </c>
      <c r="C2421" t="s">
        <v>19</v>
      </c>
      <c r="D2421" t="s">
        <v>66</v>
      </c>
      <c r="E2421" s="1">
        <v>45015</v>
      </c>
      <c r="F2421" s="3">
        <v>45041</v>
      </c>
      <c r="G2421" t="s">
        <v>74</v>
      </c>
      <c r="H2421" t="s">
        <v>75</v>
      </c>
      <c r="I2421" t="s">
        <v>91</v>
      </c>
      <c r="J2421">
        <v>14749.74</v>
      </c>
      <c r="K2421">
        <v>26</v>
      </c>
      <c r="L2421" t="s">
        <v>24</v>
      </c>
      <c r="M2421" t="s">
        <v>25</v>
      </c>
      <c r="N2421" t="s">
        <v>55</v>
      </c>
      <c r="O2421" t="s">
        <v>49</v>
      </c>
      <c r="P2421" t="s">
        <v>28</v>
      </c>
      <c r="Q2421">
        <v>9</v>
      </c>
      <c r="R2421">
        <v>5346.55</v>
      </c>
      <c r="S2421" t="s">
        <v>29</v>
      </c>
    </row>
    <row r="2422" spans="1:19" x14ac:dyDescent="0.3">
      <c r="A2422" t="s">
        <v>2492</v>
      </c>
      <c r="B2422">
        <v>49</v>
      </c>
      <c r="C2422" t="s">
        <v>31</v>
      </c>
      <c r="D2422" t="s">
        <v>61</v>
      </c>
      <c r="E2422" s="1">
        <v>45798</v>
      </c>
      <c r="F2422" s="3">
        <v>45807</v>
      </c>
      <c r="G2422" t="s">
        <v>62</v>
      </c>
      <c r="H2422" t="s">
        <v>63</v>
      </c>
      <c r="I2422" t="s">
        <v>83</v>
      </c>
      <c r="J2422">
        <v>6770.45</v>
      </c>
      <c r="K2422">
        <v>9</v>
      </c>
      <c r="L2422" t="s">
        <v>36</v>
      </c>
      <c r="M2422" t="s">
        <v>25</v>
      </c>
      <c r="N2422" t="s">
        <v>26</v>
      </c>
      <c r="O2422" t="s">
        <v>27</v>
      </c>
      <c r="P2422" t="s">
        <v>28</v>
      </c>
      <c r="Q2422">
        <v>3</v>
      </c>
      <c r="R2422">
        <v>1258.1400000000001</v>
      </c>
      <c r="S2422" t="s">
        <v>29</v>
      </c>
    </row>
    <row r="2423" spans="1:19" x14ac:dyDescent="0.3">
      <c r="A2423" t="s">
        <v>2493</v>
      </c>
      <c r="B2423">
        <v>18</v>
      </c>
      <c r="C2423" t="s">
        <v>31</v>
      </c>
      <c r="D2423" t="s">
        <v>79</v>
      </c>
      <c r="E2423" s="1">
        <v>45881</v>
      </c>
      <c r="F2423" s="3">
        <v>45896</v>
      </c>
      <c r="G2423" t="s">
        <v>67</v>
      </c>
      <c r="H2423" t="s">
        <v>42</v>
      </c>
      <c r="I2423" t="s">
        <v>54</v>
      </c>
      <c r="J2423">
        <v>8319.06</v>
      </c>
      <c r="K2423">
        <v>15</v>
      </c>
      <c r="L2423" t="s">
        <v>36</v>
      </c>
      <c r="M2423" t="s">
        <v>25</v>
      </c>
      <c r="N2423" t="s">
        <v>44</v>
      </c>
      <c r="O2423" t="s">
        <v>56</v>
      </c>
      <c r="P2423" t="s">
        <v>45</v>
      </c>
      <c r="Q2423">
        <v>14</v>
      </c>
      <c r="R2423">
        <v>1972.18</v>
      </c>
      <c r="S2423" t="s">
        <v>29</v>
      </c>
    </row>
    <row r="2424" spans="1:19" x14ac:dyDescent="0.3">
      <c r="A2424" t="s">
        <v>2494</v>
      </c>
      <c r="B2424">
        <v>54</v>
      </c>
      <c r="C2424" t="s">
        <v>19</v>
      </c>
      <c r="D2424" t="s">
        <v>61</v>
      </c>
      <c r="E2424" s="1">
        <v>45781</v>
      </c>
      <c r="F2424" s="3">
        <v>45801</v>
      </c>
      <c r="G2424" t="s">
        <v>67</v>
      </c>
      <c r="H2424" t="s">
        <v>42</v>
      </c>
      <c r="I2424" t="s">
        <v>58</v>
      </c>
      <c r="J2424">
        <v>4873.2</v>
      </c>
      <c r="K2424">
        <v>20</v>
      </c>
      <c r="L2424" t="s">
        <v>36</v>
      </c>
      <c r="M2424" t="s">
        <v>25</v>
      </c>
      <c r="N2424" t="s">
        <v>44</v>
      </c>
      <c r="O2424" t="s">
        <v>56</v>
      </c>
      <c r="P2424" t="s">
        <v>50</v>
      </c>
      <c r="Q2424">
        <v>9</v>
      </c>
      <c r="R2424">
        <v>902.52</v>
      </c>
      <c r="S2424" t="s">
        <v>29</v>
      </c>
    </row>
    <row r="2425" spans="1:19" x14ac:dyDescent="0.3">
      <c r="A2425" t="s">
        <v>2495</v>
      </c>
      <c r="B2425">
        <v>63</v>
      </c>
      <c r="C2425" t="s">
        <v>31</v>
      </c>
      <c r="D2425" t="s">
        <v>66</v>
      </c>
      <c r="E2425" s="1">
        <v>45537</v>
      </c>
      <c r="F2425" s="3">
        <v>45549</v>
      </c>
      <c r="G2425" t="s">
        <v>67</v>
      </c>
      <c r="H2425" t="s">
        <v>42</v>
      </c>
      <c r="I2425" t="s">
        <v>81</v>
      </c>
      <c r="J2425">
        <v>5309.31</v>
      </c>
      <c r="K2425">
        <v>12</v>
      </c>
      <c r="L2425" t="s">
        <v>36</v>
      </c>
      <c r="M2425" t="s">
        <v>25</v>
      </c>
      <c r="N2425" t="s">
        <v>26</v>
      </c>
      <c r="O2425" t="s">
        <v>37</v>
      </c>
      <c r="P2425" t="s">
        <v>38</v>
      </c>
      <c r="Q2425">
        <v>6</v>
      </c>
      <c r="R2425">
        <v>1984.04</v>
      </c>
      <c r="S2425" t="s">
        <v>29</v>
      </c>
    </row>
    <row r="2426" spans="1:19" x14ac:dyDescent="0.3">
      <c r="A2426" t="s">
        <v>2496</v>
      </c>
      <c r="B2426">
        <v>28</v>
      </c>
      <c r="C2426" t="s">
        <v>31</v>
      </c>
      <c r="D2426" t="s">
        <v>20</v>
      </c>
      <c r="E2426" s="1">
        <v>45787</v>
      </c>
      <c r="F2426" s="3">
        <v>45798</v>
      </c>
      <c r="G2426" t="s">
        <v>41</v>
      </c>
      <c r="H2426" t="s">
        <v>42</v>
      </c>
      <c r="I2426" t="s">
        <v>23</v>
      </c>
      <c r="J2426">
        <v>9500.59</v>
      </c>
      <c r="K2426">
        <v>11</v>
      </c>
      <c r="L2426" t="s">
        <v>36</v>
      </c>
      <c r="M2426" t="s">
        <v>101</v>
      </c>
      <c r="N2426" t="s">
        <v>55</v>
      </c>
      <c r="O2426" t="s">
        <v>49</v>
      </c>
      <c r="P2426" t="s">
        <v>45</v>
      </c>
      <c r="Q2426">
        <v>4</v>
      </c>
      <c r="R2426">
        <v>2288.98</v>
      </c>
      <c r="S2426" t="s">
        <v>29</v>
      </c>
    </row>
    <row r="2427" spans="1:19" x14ac:dyDescent="0.3">
      <c r="A2427" t="s">
        <v>2497</v>
      </c>
      <c r="B2427">
        <v>21</v>
      </c>
      <c r="C2427" t="s">
        <v>19</v>
      </c>
      <c r="D2427" t="s">
        <v>70</v>
      </c>
      <c r="E2427" s="1">
        <v>45090</v>
      </c>
      <c r="F2427" s="3">
        <v>45109</v>
      </c>
      <c r="G2427" t="s">
        <v>41</v>
      </c>
      <c r="H2427" t="s">
        <v>42</v>
      </c>
      <c r="I2427" t="s">
        <v>58</v>
      </c>
      <c r="J2427">
        <v>10906.69</v>
      </c>
      <c r="K2427">
        <v>19</v>
      </c>
      <c r="L2427" t="s">
        <v>36</v>
      </c>
      <c r="M2427" t="s">
        <v>25</v>
      </c>
      <c r="N2427" t="s">
        <v>55</v>
      </c>
      <c r="O2427" t="s">
        <v>27</v>
      </c>
      <c r="P2427" t="s">
        <v>28</v>
      </c>
      <c r="Q2427">
        <v>10</v>
      </c>
      <c r="R2427">
        <v>3261.23</v>
      </c>
      <c r="S2427" t="s">
        <v>29</v>
      </c>
    </row>
    <row r="2428" spans="1:19" x14ac:dyDescent="0.3">
      <c r="A2428" t="s">
        <v>2498</v>
      </c>
      <c r="B2428">
        <v>48</v>
      </c>
      <c r="C2428" t="s">
        <v>31</v>
      </c>
      <c r="D2428" t="s">
        <v>79</v>
      </c>
      <c r="E2428" s="1">
        <v>45057</v>
      </c>
      <c r="F2428" s="3">
        <v>45060</v>
      </c>
      <c r="G2428" t="s">
        <v>74</v>
      </c>
      <c r="H2428" t="s">
        <v>75</v>
      </c>
      <c r="I2428" t="s">
        <v>58</v>
      </c>
      <c r="J2428">
        <v>6551.68</v>
      </c>
      <c r="K2428">
        <v>3</v>
      </c>
      <c r="L2428" t="s">
        <v>36</v>
      </c>
      <c r="M2428" t="s">
        <v>59</v>
      </c>
      <c r="N2428" t="s">
        <v>26</v>
      </c>
      <c r="O2428" t="s">
        <v>49</v>
      </c>
      <c r="P2428" t="s">
        <v>28</v>
      </c>
      <c r="Q2428">
        <v>14</v>
      </c>
      <c r="R2428">
        <v>1376.02</v>
      </c>
      <c r="S2428" t="s">
        <v>29</v>
      </c>
    </row>
    <row r="2429" spans="1:19" x14ac:dyDescent="0.3">
      <c r="A2429" t="s">
        <v>2499</v>
      </c>
      <c r="B2429">
        <v>45</v>
      </c>
      <c r="C2429" t="s">
        <v>31</v>
      </c>
      <c r="D2429" t="s">
        <v>70</v>
      </c>
      <c r="E2429" s="1">
        <v>45225</v>
      </c>
      <c r="F2429" s="3">
        <v>45230</v>
      </c>
      <c r="G2429" t="s">
        <v>62</v>
      </c>
      <c r="H2429" t="s">
        <v>63</v>
      </c>
      <c r="I2429" t="s">
        <v>83</v>
      </c>
      <c r="J2429">
        <v>3411.09</v>
      </c>
      <c r="K2429">
        <v>5</v>
      </c>
      <c r="L2429" t="s">
        <v>36</v>
      </c>
      <c r="M2429" t="s">
        <v>25</v>
      </c>
      <c r="N2429" t="s">
        <v>55</v>
      </c>
      <c r="O2429" t="s">
        <v>56</v>
      </c>
      <c r="P2429" t="s">
        <v>45</v>
      </c>
      <c r="Q2429">
        <v>10</v>
      </c>
      <c r="R2429">
        <v>1033.76</v>
      </c>
      <c r="S2429" t="s">
        <v>29</v>
      </c>
    </row>
    <row r="2430" spans="1:19" x14ac:dyDescent="0.3">
      <c r="A2430" t="s">
        <v>2500</v>
      </c>
      <c r="B2430">
        <v>22</v>
      </c>
      <c r="C2430" t="s">
        <v>19</v>
      </c>
      <c r="D2430" t="s">
        <v>61</v>
      </c>
      <c r="E2430" s="1">
        <v>45015</v>
      </c>
      <c r="F2430" s="3">
        <v>45027</v>
      </c>
      <c r="G2430" t="s">
        <v>74</v>
      </c>
      <c r="H2430" t="s">
        <v>75</v>
      </c>
      <c r="I2430" t="s">
        <v>91</v>
      </c>
      <c r="J2430">
        <v>4353.91</v>
      </c>
      <c r="K2430">
        <v>12</v>
      </c>
      <c r="L2430" t="s">
        <v>36</v>
      </c>
      <c r="M2430" t="s">
        <v>59</v>
      </c>
      <c r="N2430" t="s">
        <v>26</v>
      </c>
      <c r="O2430" t="s">
        <v>27</v>
      </c>
      <c r="P2430" t="s">
        <v>28</v>
      </c>
      <c r="Q2430">
        <v>15</v>
      </c>
      <c r="R2430">
        <v>810.08</v>
      </c>
      <c r="S2430" t="s">
        <v>29</v>
      </c>
    </row>
    <row r="2431" spans="1:19" x14ac:dyDescent="0.3">
      <c r="A2431" t="s">
        <v>2501</v>
      </c>
      <c r="B2431">
        <v>55</v>
      </c>
      <c r="C2431" t="s">
        <v>19</v>
      </c>
      <c r="D2431" t="s">
        <v>66</v>
      </c>
      <c r="E2431" s="1">
        <v>45457</v>
      </c>
      <c r="F2431" s="3">
        <v>45478</v>
      </c>
      <c r="G2431" t="s">
        <v>52</v>
      </c>
      <c r="H2431" t="s">
        <v>53</v>
      </c>
      <c r="I2431" t="s">
        <v>23</v>
      </c>
      <c r="J2431">
        <v>19628.400000000001</v>
      </c>
      <c r="K2431">
        <v>21</v>
      </c>
      <c r="L2431" t="s">
        <v>24</v>
      </c>
      <c r="M2431" t="s">
        <v>25</v>
      </c>
      <c r="N2431" t="s">
        <v>26</v>
      </c>
      <c r="O2431" t="s">
        <v>49</v>
      </c>
      <c r="P2431" t="s">
        <v>28</v>
      </c>
      <c r="Q2431">
        <v>12</v>
      </c>
      <c r="R2431">
        <v>4165.76</v>
      </c>
      <c r="S2431" t="s">
        <v>29</v>
      </c>
    </row>
    <row r="2432" spans="1:19" x14ac:dyDescent="0.3">
      <c r="A2432" t="s">
        <v>2502</v>
      </c>
      <c r="B2432">
        <v>88</v>
      </c>
      <c r="C2432" t="s">
        <v>31</v>
      </c>
      <c r="D2432" t="s">
        <v>61</v>
      </c>
      <c r="E2432" s="1">
        <v>45259</v>
      </c>
      <c r="F2432" s="3">
        <v>45286</v>
      </c>
      <c r="G2432" t="s">
        <v>52</v>
      </c>
      <c r="H2432" t="s">
        <v>53</v>
      </c>
      <c r="I2432" t="s">
        <v>83</v>
      </c>
      <c r="J2432">
        <v>15194.39</v>
      </c>
      <c r="K2432">
        <v>27</v>
      </c>
      <c r="L2432" t="s">
        <v>36</v>
      </c>
      <c r="M2432" t="s">
        <v>25</v>
      </c>
      <c r="N2432" t="s">
        <v>26</v>
      </c>
      <c r="O2432" t="s">
        <v>49</v>
      </c>
      <c r="P2432" t="s">
        <v>38</v>
      </c>
      <c r="Q2432">
        <v>13</v>
      </c>
      <c r="R2432">
        <v>5206.95</v>
      </c>
      <c r="S2432" t="s">
        <v>29</v>
      </c>
    </row>
    <row r="2433" spans="1:19" x14ac:dyDescent="0.3">
      <c r="A2433" t="s">
        <v>2503</v>
      </c>
      <c r="B2433">
        <v>72</v>
      </c>
      <c r="C2433" t="s">
        <v>31</v>
      </c>
      <c r="D2433" t="s">
        <v>89</v>
      </c>
      <c r="E2433" s="1">
        <v>45911</v>
      </c>
      <c r="F2433" s="3">
        <v>45921</v>
      </c>
      <c r="G2433" t="s">
        <v>33</v>
      </c>
      <c r="H2433" t="s">
        <v>34</v>
      </c>
      <c r="I2433" t="s">
        <v>23</v>
      </c>
      <c r="J2433">
        <v>9931.39</v>
      </c>
      <c r="K2433">
        <v>10</v>
      </c>
      <c r="L2433" t="s">
        <v>36</v>
      </c>
      <c r="M2433" t="s">
        <v>25</v>
      </c>
      <c r="N2433" t="s">
        <v>26</v>
      </c>
      <c r="O2433" t="s">
        <v>49</v>
      </c>
      <c r="P2433" t="s">
        <v>38</v>
      </c>
      <c r="Q2433">
        <v>12</v>
      </c>
      <c r="R2433">
        <v>1570.99</v>
      </c>
      <c r="S2433" t="s">
        <v>29</v>
      </c>
    </row>
    <row r="2434" spans="1:19" x14ac:dyDescent="0.3">
      <c r="A2434" t="s">
        <v>2504</v>
      </c>
      <c r="B2434">
        <v>57</v>
      </c>
      <c r="C2434" t="s">
        <v>31</v>
      </c>
      <c r="D2434" t="s">
        <v>89</v>
      </c>
      <c r="E2434" s="1">
        <v>45616</v>
      </c>
      <c r="F2434" s="3">
        <v>45629</v>
      </c>
      <c r="G2434" t="s">
        <v>52</v>
      </c>
      <c r="H2434" t="s">
        <v>53</v>
      </c>
      <c r="I2434" t="s">
        <v>23</v>
      </c>
      <c r="J2434">
        <v>6064.16</v>
      </c>
      <c r="K2434">
        <v>13</v>
      </c>
      <c r="L2434" t="s">
        <v>24</v>
      </c>
      <c r="M2434" t="s">
        <v>59</v>
      </c>
      <c r="N2434" t="s">
        <v>26</v>
      </c>
      <c r="O2434" t="s">
        <v>56</v>
      </c>
      <c r="P2434" t="s">
        <v>50</v>
      </c>
      <c r="Q2434">
        <v>15</v>
      </c>
      <c r="R2434">
        <v>2104.42</v>
      </c>
      <c r="S2434" t="s">
        <v>29</v>
      </c>
    </row>
    <row r="2435" spans="1:19" x14ac:dyDescent="0.3">
      <c r="A2435" t="s">
        <v>2505</v>
      </c>
      <c r="B2435">
        <v>22</v>
      </c>
      <c r="C2435" t="s">
        <v>19</v>
      </c>
      <c r="D2435" t="s">
        <v>47</v>
      </c>
      <c r="E2435" s="1">
        <v>45658</v>
      </c>
      <c r="F2435" s="3">
        <v>45674</v>
      </c>
      <c r="G2435" t="s">
        <v>62</v>
      </c>
      <c r="H2435" t="s">
        <v>63</v>
      </c>
      <c r="I2435" t="s">
        <v>54</v>
      </c>
      <c r="J2435">
        <v>6720.61</v>
      </c>
      <c r="K2435">
        <v>16</v>
      </c>
      <c r="L2435" t="s">
        <v>24</v>
      </c>
      <c r="M2435" t="s">
        <v>59</v>
      </c>
      <c r="N2435" t="s">
        <v>55</v>
      </c>
      <c r="O2435" t="s">
        <v>56</v>
      </c>
      <c r="P2435" t="s">
        <v>50</v>
      </c>
      <c r="Q2435">
        <v>4</v>
      </c>
      <c r="R2435">
        <v>2184.0500000000002</v>
      </c>
      <c r="S2435" t="s">
        <v>39</v>
      </c>
    </row>
    <row r="2436" spans="1:19" x14ac:dyDescent="0.3">
      <c r="A2436" t="s">
        <v>2506</v>
      </c>
      <c r="B2436">
        <v>50</v>
      </c>
      <c r="C2436" t="s">
        <v>31</v>
      </c>
      <c r="D2436" t="s">
        <v>89</v>
      </c>
      <c r="E2436" s="1">
        <v>45243</v>
      </c>
      <c r="F2436" s="3">
        <v>45251</v>
      </c>
      <c r="G2436" t="s">
        <v>74</v>
      </c>
      <c r="H2436" t="s">
        <v>75</v>
      </c>
      <c r="I2436" t="s">
        <v>58</v>
      </c>
      <c r="J2436">
        <v>4239.09</v>
      </c>
      <c r="K2436">
        <v>8</v>
      </c>
      <c r="L2436" t="s">
        <v>36</v>
      </c>
      <c r="M2436" t="s">
        <v>25</v>
      </c>
      <c r="N2436" t="s">
        <v>55</v>
      </c>
      <c r="O2436" t="s">
        <v>37</v>
      </c>
      <c r="P2436" t="s">
        <v>38</v>
      </c>
      <c r="Q2436">
        <v>13</v>
      </c>
      <c r="R2436">
        <v>942.24</v>
      </c>
      <c r="S2436" t="s">
        <v>29</v>
      </c>
    </row>
    <row r="2437" spans="1:19" x14ac:dyDescent="0.3">
      <c r="A2437" t="s">
        <v>2507</v>
      </c>
      <c r="B2437">
        <v>45</v>
      </c>
      <c r="C2437" t="s">
        <v>19</v>
      </c>
      <c r="D2437" t="s">
        <v>32</v>
      </c>
      <c r="E2437" s="1">
        <v>45722</v>
      </c>
      <c r="F2437" s="3">
        <v>45734</v>
      </c>
      <c r="G2437" t="s">
        <v>52</v>
      </c>
      <c r="H2437" t="s">
        <v>53</v>
      </c>
      <c r="I2437" t="s">
        <v>81</v>
      </c>
      <c r="J2437">
        <v>6545.03</v>
      </c>
      <c r="K2437">
        <v>12</v>
      </c>
      <c r="L2437" t="s">
        <v>36</v>
      </c>
      <c r="M2437" t="s">
        <v>101</v>
      </c>
      <c r="N2437" t="s">
        <v>44</v>
      </c>
      <c r="O2437" t="s">
        <v>27</v>
      </c>
      <c r="P2437" t="s">
        <v>28</v>
      </c>
      <c r="Q2437">
        <v>13</v>
      </c>
      <c r="R2437">
        <v>1383.84</v>
      </c>
      <c r="S2437" t="s">
        <v>29</v>
      </c>
    </row>
    <row r="2438" spans="1:19" x14ac:dyDescent="0.3">
      <c r="A2438" t="s">
        <v>2508</v>
      </c>
      <c r="B2438">
        <v>21</v>
      </c>
      <c r="C2438" t="s">
        <v>31</v>
      </c>
      <c r="D2438" t="s">
        <v>79</v>
      </c>
      <c r="E2438" s="1">
        <v>45313</v>
      </c>
      <c r="F2438" s="3">
        <v>45331</v>
      </c>
      <c r="G2438" t="s">
        <v>52</v>
      </c>
      <c r="H2438" t="s">
        <v>53</v>
      </c>
      <c r="I2438" t="s">
        <v>35</v>
      </c>
      <c r="J2438">
        <v>13500.51</v>
      </c>
      <c r="K2438">
        <v>18</v>
      </c>
      <c r="L2438" t="s">
        <v>24</v>
      </c>
      <c r="M2438" t="s">
        <v>25</v>
      </c>
      <c r="N2438" t="s">
        <v>44</v>
      </c>
      <c r="O2438" t="s">
        <v>49</v>
      </c>
      <c r="P2438" t="s">
        <v>28</v>
      </c>
      <c r="Q2438">
        <v>10</v>
      </c>
      <c r="R2438">
        <v>2268.79</v>
      </c>
      <c r="S2438" t="s">
        <v>29</v>
      </c>
    </row>
    <row r="2439" spans="1:19" x14ac:dyDescent="0.3">
      <c r="A2439" t="s">
        <v>2509</v>
      </c>
      <c r="B2439">
        <v>61</v>
      </c>
      <c r="C2439" t="s">
        <v>19</v>
      </c>
      <c r="D2439" t="s">
        <v>20</v>
      </c>
      <c r="E2439" s="1">
        <v>45104</v>
      </c>
      <c r="F2439" s="3">
        <v>45105</v>
      </c>
      <c r="G2439" t="s">
        <v>67</v>
      </c>
      <c r="H2439" t="s">
        <v>42</v>
      </c>
      <c r="I2439" t="s">
        <v>81</v>
      </c>
      <c r="J2439">
        <v>2960.12</v>
      </c>
      <c r="K2439">
        <v>1</v>
      </c>
      <c r="L2439" t="s">
        <v>36</v>
      </c>
      <c r="M2439" t="s">
        <v>25</v>
      </c>
      <c r="N2439" t="s">
        <v>26</v>
      </c>
      <c r="O2439" t="s">
        <v>56</v>
      </c>
      <c r="P2439" t="s">
        <v>50</v>
      </c>
      <c r="Q2439">
        <v>4</v>
      </c>
      <c r="R2439">
        <v>1063.6600000000001</v>
      </c>
      <c r="S2439" t="s">
        <v>29</v>
      </c>
    </row>
    <row r="2440" spans="1:19" x14ac:dyDescent="0.3">
      <c r="A2440" t="s">
        <v>2510</v>
      </c>
      <c r="B2440">
        <v>59</v>
      </c>
      <c r="C2440" t="s">
        <v>31</v>
      </c>
      <c r="D2440" t="s">
        <v>47</v>
      </c>
      <c r="E2440" s="1">
        <v>45222</v>
      </c>
      <c r="F2440" s="3">
        <v>45240</v>
      </c>
      <c r="G2440" t="s">
        <v>71</v>
      </c>
      <c r="H2440" t="s">
        <v>72</v>
      </c>
      <c r="I2440" t="s">
        <v>43</v>
      </c>
      <c r="J2440">
        <v>6124.6</v>
      </c>
      <c r="K2440">
        <v>18</v>
      </c>
      <c r="L2440" t="s">
        <v>24</v>
      </c>
      <c r="M2440" t="s">
        <v>25</v>
      </c>
      <c r="N2440" t="s">
        <v>44</v>
      </c>
      <c r="O2440" t="s">
        <v>56</v>
      </c>
      <c r="P2440" t="s">
        <v>28</v>
      </c>
      <c r="Q2440">
        <v>9</v>
      </c>
      <c r="R2440">
        <v>1956.28</v>
      </c>
      <c r="S2440" t="s">
        <v>39</v>
      </c>
    </row>
    <row r="2441" spans="1:19" x14ac:dyDescent="0.3">
      <c r="A2441" t="s">
        <v>2511</v>
      </c>
      <c r="B2441">
        <v>45</v>
      </c>
      <c r="C2441" t="s">
        <v>31</v>
      </c>
      <c r="D2441" t="s">
        <v>89</v>
      </c>
      <c r="E2441" s="1">
        <v>45130</v>
      </c>
      <c r="F2441" s="3">
        <v>45140</v>
      </c>
      <c r="G2441" t="s">
        <v>67</v>
      </c>
      <c r="H2441" t="s">
        <v>42</v>
      </c>
      <c r="I2441" t="s">
        <v>43</v>
      </c>
      <c r="J2441">
        <v>7836.22</v>
      </c>
      <c r="K2441">
        <v>10</v>
      </c>
      <c r="L2441" t="s">
        <v>36</v>
      </c>
      <c r="M2441" t="s">
        <v>25</v>
      </c>
      <c r="N2441" t="s">
        <v>55</v>
      </c>
      <c r="O2441" t="s">
        <v>37</v>
      </c>
      <c r="P2441" t="s">
        <v>28</v>
      </c>
      <c r="Q2441">
        <v>8</v>
      </c>
      <c r="R2441">
        <v>2609.2800000000002</v>
      </c>
      <c r="S2441" t="s">
        <v>29</v>
      </c>
    </row>
    <row r="2442" spans="1:19" x14ac:dyDescent="0.3">
      <c r="A2442" t="s">
        <v>2512</v>
      </c>
      <c r="B2442">
        <v>25</v>
      </c>
      <c r="C2442" t="s">
        <v>19</v>
      </c>
      <c r="D2442" t="s">
        <v>32</v>
      </c>
      <c r="E2442" s="1">
        <v>44927</v>
      </c>
      <c r="F2442" s="3">
        <v>44937</v>
      </c>
      <c r="G2442" t="s">
        <v>74</v>
      </c>
      <c r="H2442" t="s">
        <v>75</v>
      </c>
      <c r="I2442" t="s">
        <v>81</v>
      </c>
      <c r="J2442">
        <v>2618.64</v>
      </c>
      <c r="K2442">
        <v>10</v>
      </c>
      <c r="L2442" t="s">
        <v>24</v>
      </c>
      <c r="M2442" t="s">
        <v>25</v>
      </c>
      <c r="N2442" t="s">
        <v>55</v>
      </c>
      <c r="O2442" t="s">
        <v>37</v>
      </c>
      <c r="P2442" t="s">
        <v>50</v>
      </c>
      <c r="Q2442">
        <v>10</v>
      </c>
      <c r="R2442">
        <v>833.4</v>
      </c>
      <c r="S2442" t="s">
        <v>39</v>
      </c>
    </row>
    <row r="2443" spans="1:19" x14ac:dyDescent="0.3">
      <c r="A2443" t="s">
        <v>2513</v>
      </c>
      <c r="B2443">
        <v>47</v>
      </c>
      <c r="C2443" t="s">
        <v>31</v>
      </c>
      <c r="D2443" t="s">
        <v>61</v>
      </c>
      <c r="E2443" s="1">
        <v>45552</v>
      </c>
      <c r="F2443" s="3">
        <v>45561</v>
      </c>
      <c r="G2443" t="s">
        <v>71</v>
      </c>
      <c r="H2443" t="s">
        <v>72</v>
      </c>
      <c r="I2443" t="s">
        <v>91</v>
      </c>
      <c r="J2443">
        <v>4109.6899999999996</v>
      </c>
      <c r="K2443">
        <v>9</v>
      </c>
      <c r="L2443" t="s">
        <v>24</v>
      </c>
      <c r="M2443" t="s">
        <v>25</v>
      </c>
      <c r="N2443" t="s">
        <v>26</v>
      </c>
      <c r="O2443" t="s">
        <v>56</v>
      </c>
      <c r="P2443" t="s">
        <v>50</v>
      </c>
      <c r="Q2443">
        <v>14</v>
      </c>
      <c r="R2443">
        <v>658.35</v>
      </c>
      <c r="S2443" t="s">
        <v>29</v>
      </c>
    </row>
    <row r="2444" spans="1:19" x14ac:dyDescent="0.3">
      <c r="A2444" t="s">
        <v>2514</v>
      </c>
      <c r="B2444">
        <v>80</v>
      </c>
      <c r="C2444" t="s">
        <v>19</v>
      </c>
      <c r="D2444" t="s">
        <v>61</v>
      </c>
      <c r="E2444" s="1">
        <v>44985</v>
      </c>
      <c r="F2444" s="3">
        <v>44992</v>
      </c>
      <c r="G2444" t="s">
        <v>33</v>
      </c>
      <c r="H2444" t="s">
        <v>34</v>
      </c>
      <c r="I2444" t="s">
        <v>91</v>
      </c>
      <c r="J2444">
        <v>3954.15</v>
      </c>
      <c r="K2444">
        <v>7</v>
      </c>
      <c r="L2444" t="s">
        <v>24</v>
      </c>
      <c r="M2444" t="s">
        <v>25</v>
      </c>
      <c r="N2444" t="s">
        <v>55</v>
      </c>
      <c r="O2444" t="s">
        <v>56</v>
      </c>
      <c r="P2444" t="s">
        <v>45</v>
      </c>
      <c r="Q2444">
        <v>4</v>
      </c>
      <c r="R2444">
        <v>975.88</v>
      </c>
      <c r="S2444" t="s">
        <v>29</v>
      </c>
    </row>
    <row r="2445" spans="1:19" x14ac:dyDescent="0.3">
      <c r="A2445" t="s">
        <v>2515</v>
      </c>
      <c r="B2445">
        <v>82</v>
      </c>
      <c r="C2445" t="s">
        <v>19</v>
      </c>
      <c r="D2445" t="s">
        <v>89</v>
      </c>
      <c r="E2445" s="1">
        <v>45003</v>
      </c>
      <c r="F2445" s="3">
        <v>45006</v>
      </c>
      <c r="G2445" t="s">
        <v>71</v>
      </c>
      <c r="H2445" t="s">
        <v>72</v>
      </c>
      <c r="I2445" t="s">
        <v>58</v>
      </c>
      <c r="J2445">
        <v>3418.94</v>
      </c>
      <c r="K2445">
        <v>3</v>
      </c>
      <c r="L2445" t="s">
        <v>24</v>
      </c>
      <c r="M2445" t="s">
        <v>25</v>
      </c>
      <c r="N2445" t="s">
        <v>44</v>
      </c>
      <c r="O2445" t="s">
        <v>37</v>
      </c>
      <c r="P2445" t="s">
        <v>50</v>
      </c>
      <c r="Q2445">
        <v>15</v>
      </c>
      <c r="R2445">
        <v>1122.29</v>
      </c>
      <c r="S2445" t="s">
        <v>29</v>
      </c>
    </row>
    <row r="2446" spans="1:19" x14ac:dyDescent="0.3">
      <c r="A2446" t="s">
        <v>2516</v>
      </c>
      <c r="B2446">
        <v>28</v>
      </c>
      <c r="C2446" t="s">
        <v>19</v>
      </c>
      <c r="D2446" t="s">
        <v>66</v>
      </c>
      <c r="E2446" s="1">
        <v>45035</v>
      </c>
      <c r="F2446" s="3">
        <v>45053</v>
      </c>
      <c r="G2446" t="s">
        <v>52</v>
      </c>
      <c r="H2446" t="s">
        <v>53</v>
      </c>
      <c r="I2446" t="s">
        <v>81</v>
      </c>
      <c r="J2446">
        <v>14438.74</v>
      </c>
      <c r="K2446">
        <v>18</v>
      </c>
      <c r="L2446" t="s">
        <v>36</v>
      </c>
      <c r="M2446" t="s">
        <v>59</v>
      </c>
      <c r="N2446" t="s">
        <v>26</v>
      </c>
      <c r="O2446" t="s">
        <v>56</v>
      </c>
      <c r="P2446" t="s">
        <v>45</v>
      </c>
      <c r="Q2446">
        <v>3</v>
      </c>
      <c r="R2446">
        <v>4675.88</v>
      </c>
      <c r="S2446" t="s">
        <v>39</v>
      </c>
    </row>
    <row r="2447" spans="1:19" x14ac:dyDescent="0.3">
      <c r="A2447" t="s">
        <v>2517</v>
      </c>
      <c r="B2447">
        <v>69</v>
      </c>
      <c r="C2447" t="s">
        <v>19</v>
      </c>
      <c r="D2447" t="s">
        <v>20</v>
      </c>
      <c r="E2447" s="1">
        <v>45179</v>
      </c>
      <c r="F2447" s="3">
        <v>45196</v>
      </c>
      <c r="G2447" t="s">
        <v>41</v>
      </c>
      <c r="H2447" t="s">
        <v>42</v>
      </c>
      <c r="I2447" t="s">
        <v>23</v>
      </c>
      <c r="J2447">
        <v>10416.969999999999</v>
      </c>
      <c r="K2447">
        <v>17</v>
      </c>
      <c r="L2447" t="s">
        <v>36</v>
      </c>
      <c r="M2447" t="s">
        <v>25</v>
      </c>
      <c r="N2447" t="s">
        <v>55</v>
      </c>
      <c r="O2447" t="s">
        <v>27</v>
      </c>
      <c r="P2447" t="s">
        <v>50</v>
      </c>
      <c r="Q2447">
        <v>3</v>
      </c>
      <c r="R2447">
        <v>2586.5</v>
      </c>
      <c r="S2447" t="s">
        <v>29</v>
      </c>
    </row>
    <row r="2448" spans="1:19" x14ac:dyDescent="0.3">
      <c r="A2448" t="s">
        <v>2518</v>
      </c>
      <c r="B2448">
        <v>23</v>
      </c>
      <c r="C2448" t="s">
        <v>31</v>
      </c>
      <c r="D2448" t="s">
        <v>32</v>
      </c>
      <c r="E2448" s="1">
        <v>45548</v>
      </c>
      <c r="F2448" s="3">
        <v>45556</v>
      </c>
      <c r="G2448" t="s">
        <v>21</v>
      </c>
      <c r="H2448" t="s">
        <v>22</v>
      </c>
      <c r="I2448" t="s">
        <v>35</v>
      </c>
      <c r="J2448">
        <v>6080.63</v>
      </c>
      <c r="K2448">
        <v>8</v>
      </c>
      <c r="L2448" t="s">
        <v>36</v>
      </c>
      <c r="M2448" t="s">
        <v>25</v>
      </c>
      <c r="N2448" t="s">
        <v>55</v>
      </c>
      <c r="O2448" t="s">
        <v>56</v>
      </c>
      <c r="P2448" t="s">
        <v>28</v>
      </c>
      <c r="Q2448">
        <v>1</v>
      </c>
      <c r="R2448">
        <v>1918.47</v>
      </c>
      <c r="S2448" t="s">
        <v>29</v>
      </c>
    </row>
    <row r="2449" spans="1:19" x14ac:dyDescent="0.3">
      <c r="A2449" t="s">
        <v>2519</v>
      </c>
      <c r="B2449">
        <v>76</v>
      </c>
      <c r="C2449" t="s">
        <v>19</v>
      </c>
      <c r="D2449" t="s">
        <v>32</v>
      </c>
      <c r="E2449" s="1">
        <v>45442</v>
      </c>
      <c r="F2449" s="3">
        <v>45456</v>
      </c>
      <c r="G2449" t="s">
        <v>62</v>
      </c>
      <c r="H2449" t="s">
        <v>63</v>
      </c>
      <c r="I2449" t="s">
        <v>83</v>
      </c>
      <c r="J2449">
        <v>11580.5</v>
      </c>
      <c r="K2449">
        <v>14</v>
      </c>
      <c r="L2449" t="s">
        <v>24</v>
      </c>
      <c r="M2449" t="s">
        <v>76</v>
      </c>
      <c r="N2449" t="s">
        <v>55</v>
      </c>
      <c r="O2449" t="s">
        <v>27</v>
      </c>
      <c r="P2449" t="s">
        <v>50</v>
      </c>
      <c r="Q2449">
        <v>13</v>
      </c>
      <c r="R2449">
        <v>2510.61</v>
      </c>
      <c r="S2449" t="s">
        <v>39</v>
      </c>
    </row>
    <row r="2450" spans="1:19" x14ac:dyDescent="0.3">
      <c r="A2450" t="s">
        <v>2520</v>
      </c>
      <c r="B2450">
        <v>18</v>
      </c>
      <c r="C2450" t="s">
        <v>19</v>
      </c>
      <c r="D2450" t="s">
        <v>70</v>
      </c>
      <c r="E2450" s="1">
        <v>45640</v>
      </c>
      <c r="F2450" s="3">
        <v>45659</v>
      </c>
      <c r="G2450" t="s">
        <v>41</v>
      </c>
      <c r="H2450" t="s">
        <v>42</v>
      </c>
      <c r="I2450" t="s">
        <v>43</v>
      </c>
      <c r="J2450">
        <v>6620.68</v>
      </c>
      <c r="K2450">
        <v>19</v>
      </c>
      <c r="L2450" t="s">
        <v>24</v>
      </c>
      <c r="M2450" t="s">
        <v>25</v>
      </c>
      <c r="N2450" t="s">
        <v>26</v>
      </c>
      <c r="O2450" t="s">
        <v>56</v>
      </c>
      <c r="P2450" t="s">
        <v>28</v>
      </c>
      <c r="Q2450">
        <v>12</v>
      </c>
      <c r="R2450">
        <v>1085.06</v>
      </c>
      <c r="S2450" t="s">
        <v>29</v>
      </c>
    </row>
    <row r="2451" spans="1:19" x14ac:dyDescent="0.3">
      <c r="A2451" t="s">
        <v>2521</v>
      </c>
      <c r="B2451">
        <v>67</v>
      </c>
      <c r="C2451" t="s">
        <v>19</v>
      </c>
      <c r="D2451" t="s">
        <v>32</v>
      </c>
      <c r="E2451" s="1">
        <v>45465</v>
      </c>
      <c r="F2451" s="3">
        <v>45484</v>
      </c>
      <c r="G2451" t="s">
        <v>71</v>
      </c>
      <c r="H2451" t="s">
        <v>72</v>
      </c>
      <c r="I2451" t="s">
        <v>91</v>
      </c>
      <c r="J2451">
        <v>15853.68</v>
      </c>
      <c r="K2451">
        <v>19</v>
      </c>
      <c r="L2451" t="s">
        <v>24</v>
      </c>
      <c r="M2451" t="s">
        <v>25</v>
      </c>
      <c r="N2451" t="s">
        <v>55</v>
      </c>
      <c r="O2451" t="s">
        <v>27</v>
      </c>
      <c r="P2451" t="s">
        <v>45</v>
      </c>
      <c r="Q2451">
        <v>7</v>
      </c>
      <c r="R2451">
        <v>4449.68</v>
      </c>
      <c r="S2451" t="s">
        <v>29</v>
      </c>
    </row>
    <row r="2452" spans="1:19" x14ac:dyDescent="0.3">
      <c r="A2452" t="s">
        <v>2522</v>
      </c>
      <c r="B2452">
        <v>41</v>
      </c>
      <c r="C2452" t="s">
        <v>19</v>
      </c>
      <c r="D2452" t="s">
        <v>89</v>
      </c>
      <c r="E2452" s="1">
        <v>44978</v>
      </c>
      <c r="F2452" s="3">
        <v>44981</v>
      </c>
      <c r="G2452" t="s">
        <v>48</v>
      </c>
      <c r="H2452" t="s">
        <v>22</v>
      </c>
      <c r="I2452" t="s">
        <v>58</v>
      </c>
      <c r="J2452">
        <v>1893.08</v>
      </c>
      <c r="K2452">
        <v>3</v>
      </c>
      <c r="L2452" t="s">
        <v>36</v>
      </c>
      <c r="M2452" t="s">
        <v>25</v>
      </c>
      <c r="N2452" t="s">
        <v>26</v>
      </c>
      <c r="O2452" t="s">
        <v>56</v>
      </c>
      <c r="P2452" t="s">
        <v>45</v>
      </c>
      <c r="Q2452">
        <v>10</v>
      </c>
      <c r="R2452">
        <v>737.44</v>
      </c>
      <c r="S2452" t="s">
        <v>29</v>
      </c>
    </row>
    <row r="2453" spans="1:19" x14ac:dyDescent="0.3">
      <c r="A2453" t="s">
        <v>2523</v>
      </c>
      <c r="B2453">
        <v>89</v>
      </c>
      <c r="C2453" t="s">
        <v>31</v>
      </c>
      <c r="D2453" t="s">
        <v>79</v>
      </c>
      <c r="E2453" s="1">
        <v>44962</v>
      </c>
      <c r="F2453" s="3">
        <v>44966</v>
      </c>
      <c r="G2453" t="s">
        <v>33</v>
      </c>
      <c r="H2453" t="s">
        <v>34</v>
      </c>
      <c r="I2453" t="s">
        <v>54</v>
      </c>
      <c r="J2453">
        <v>1194.82</v>
      </c>
      <c r="K2453">
        <v>4</v>
      </c>
      <c r="L2453" t="s">
        <v>36</v>
      </c>
      <c r="M2453" t="s">
        <v>25</v>
      </c>
      <c r="N2453" t="s">
        <v>55</v>
      </c>
      <c r="O2453" t="s">
        <v>37</v>
      </c>
      <c r="P2453" t="s">
        <v>38</v>
      </c>
      <c r="Q2453">
        <v>2</v>
      </c>
      <c r="R2453">
        <v>404.31</v>
      </c>
      <c r="S2453" t="s">
        <v>29</v>
      </c>
    </row>
    <row r="2454" spans="1:19" x14ac:dyDescent="0.3">
      <c r="A2454" t="s">
        <v>2524</v>
      </c>
      <c r="B2454">
        <v>23</v>
      </c>
      <c r="C2454" t="s">
        <v>31</v>
      </c>
      <c r="D2454" t="s">
        <v>47</v>
      </c>
      <c r="E2454" s="1">
        <v>45058</v>
      </c>
      <c r="F2454" s="3">
        <v>45078</v>
      </c>
      <c r="G2454" t="s">
        <v>67</v>
      </c>
      <c r="H2454" t="s">
        <v>42</v>
      </c>
      <c r="I2454" t="s">
        <v>83</v>
      </c>
      <c r="J2454">
        <v>13306.15</v>
      </c>
      <c r="K2454">
        <v>20</v>
      </c>
      <c r="L2454" t="s">
        <v>36</v>
      </c>
      <c r="M2454" t="s">
        <v>25</v>
      </c>
      <c r="N2454" t="s">
        <v>44</v>
      </c>
      <c r="O2454" t="s">
        <v>56</v>
      </c>
      <c r="P2454" t="s">
        <v>50</v>
      </c>
      <c r="Q2454">
        <v>5</v>
      </c>
      <c r="R2454">
        <v>2398.4299999999998</v>
      </c>
      <c r="S2454" t="s">
        <v>29</v>
      </c>
    </row>
    <row r="2455" spans="1:19" x14ac:dyDescent="0.3">
      <c r="A2455" t="s">
        <v>2525</v>
      </c>
      <c r="B2455">
        <v>86</v>
      </c>
      <c r="C2455" t="s">
        <v>19</v>
      </c>
      <c r="D2455" t="s">
        <v>66</v>
      </c>
      <c r="E2455" s="1">
        <v>45305</v>
      </c>
      <c r="F2455" s="3">
        <v>45324</v>
      </c>
      <c r="G2455" t="s">
        <v>62</v>
      </c>
      <c r="H2455" t="s">
        <v>63</v>
      </c>
      <c r="I2455" t="s">
        <v>83</v>
      </c>
      <c r="J2455">
        <v>13698.04</v>
      </c>
      <c r="K2455">
        <v>19</v>
      </c>
      <c r="L2455" t="s">
        <v>24</v>
      </c>
      <c r="M2455" t="s">
        <v>101</v>
      </c>
      <c r="N2455" t="s">
        <v>26</v>
      </c>
      <c r="O2455" t="s">
        <v>27</v>
      </c>
      <c r="P2455" t="s">
        <v>50</v>
      </c>
      <c r="Q2455">
        <v>7</v>
      </c>
      <c r="R2455">
        <v>3637.02</v>
      </c>
      <c r="S2455" t="s">
        <v>29</v>
      </c>
    </row>
    <row r="2456" spans="1:19" x14ac:dyDescent="0.3">
      <c r="A2456" t="s">
        <v>2526</v>
      </c>
      <c r="B2456">
        <v>77</v>
      </c>
      <c r="C2456" t="s">
        <v>19</v>
      </c>
      <c r="D2456" t="s">
        <v>61</v>
      </c>
      <c r="E2456" s="1">
        <v>45169</v>
      </c>
      <c r="F2456" s="3">
        <v>45189</v>
      </c>
      <c r="G2456" t="s">
        <v>52</v>
      </c>
      <c r="H2456" t="s">
        <v>53</v>
      </c>
      <c r="I2456" t="s">
        <v>58</v>
      </c>
      <c r="J2456">
        <v>13116.41</v>
      </c>
      <c r="K2456">
        <v>20</v>
      </c>
      <c r="L2456" t="s">
        <v>36</v>
      </c>
      <c r="M2456" t="s">
        <v>59</v>
      </c>
      <c r="N2456" t="s">
        <v>26</v>
      </c>
      <c r="O2456" t="s">
        <v>27</v>
      </c>
      <c r="P2456" t="s">
        <v>28</v>
      </c>
      <c r="Q2456">
        <v>5</v>
      </c>
      <c r="R2456">
        <v>3051.24</v>
      </c>
      <c r="S2456" t="s">
        <v>29</v>
      </c>
    </row>
    <row r="2457" spans="1:19" x14ac:dyDescent="0.3">
      <c r="A2457" t="s">
        <v>2527</v>
      </c>
      <c r="B2457">
        <v>37</v>
      </c>
      <c r="C2457" t="s">
        <v>19</v>
      </c>
      <c r="D2457" t="s">
        <v>70</v>
      </c>
      <c r="E2457" s="1">
        <v>45924</v>
      </c>
      <c r="F2457" s="3">
        <v>45934</v>
      </c>
      <c r="G2457" t="s">
        <v>74</v>
      </c>
      <c r="H2457" t="s">
        <v>75</v>
      </c>
      <c r="I2457" t="s">
        <v>81</v>
      </c>
      <c r="J2457">
        <v>7157.21</v>
      </c>
      <c r="K2457">
        <v>10</v>
      </c>
      <c r="L2457" t="s">
        <v>36</v>
      </c>
      <c r="M2457" t="s">
        <v>25</v>
      </c>
      <c r="N2457" t="s">
        <v>26</v>
      </c>
      <c r="O2457" t="s">
        <v>37</v>
      </c>
      <c r="P2457" t="s">
        <v>45</v>
      </c>
      <c r="Q2457">
        <v>7</v>
      </c>
      <c r="R2457">
        <v>1214.27</v>
      </c>
      <c r="S2457" t="s">
        <v>29</v>
      </c>
    </row>
    <row r="2458" spans="1:19" x14ac:dyDescent="0.3">
      <c r="A2458" t="s">
        <v>2528</v>
      </c>
      <c r="B2458">
        <v>22</v>
      </c>
      <c r="C2458" t="s">
        <v>31</v>
      </c>
      <c r="D2458" t="s">
        <v>61</v>
      </c>
      <c r="E2458" s="1">
        <v>45387</v>
      </c>
      <c r="F2458" s="3">
        <v>45404</v>
      </c>
      <c r="G2458" t="s">
        <v>21</v>
      </c>
      <c r="H2458" t="s">
        <v>22</v>
      </c>
      <c r="I2458" t="s">
        <v>54</v>
      </c>
      <c r="J2458">
        <v>10573.23</v>
      </c>
      <c r="K2458">
        <v>17</v>
      </c>
      <c r="L2458" t="s">
        <v>36</v>
      </c>
      <c r="M2458" t="s">
        <v>25</v>
      </c>
      <c r="N2458" t="s">
        <v>55</v>
      </c>
      <c r="O2458" t="s">
        <v>49</v>
      </c>
      <c r="P2458" t="s">
        <v>50</v>
      </c>
      <c r="Q2458">
        <v>14</v>
      </c>
      <c r="R2458">
        <v>2530.21</v>
      </c>
      <c r="S2458" t="s">
        <v>29</v>
      </c>
    </row>
    <row r="2459" spans="1:19" x14ac:dyDescent="0.3">
      <c r="A2459" t="s">
        <v>2529</v>
      </c>
      <c r="B2459">
        <v>34</v>
      </c>
      <c r="C2459" t="s">
        <v>31</v>
      </c>
      <c r="D2459" t="s">
        <v>70</v>
      </c>
      <c r="E2459" s="1">
        <v>45292</v>
      </c>
      <c r="F2459" s="3">
        <v>45298</v>
      </c>
      <c r="G2459" t="s">
        <v>93</v>
      </c>
      <c r="H2459" t="s">
        <v>72</v>
      </c>
      <c r="I2459" t="s">
        <v>58</v>
      </c>
      <c r="J2459">
        <v>4590.1400000000003</v>
      </c>
      <c r="K2459">
        <v>6</v>
      </c>
      <c r="L2459" t="s">
        <v>24</v>
      </c>
      <c r="M2459" t="s">
        <v>25</v>
      </c>
      <c r="N2459" t="s">
        <v>44</v>
      </c>
      <c r="O2459" t="s">
        <v>56</v>
      </c>
      <c r="P2459" t="s">
        <v>38</v>
      </c>
      <c r="Q2459">
        <v>15</v>
      </c>
      <c r="R2459">
        <v>1277.68</v>
      </c>
      <c r="S2459" t="s">
        <v>29</v>
      </c>
    </row>
    <row r="2460" spans="1:19" x14ac:dyDescent="0.3">
      <c r="A2460" t="s">
        <v>2530</v>
      </c>
      <c r="B2460">
        <v>46</v>
      </c>
      <c r="C2460" t="s">
        <v>19</v>
      </c>
      <c r="D2460" t="s">
        <v>20</v>
      </c>
      <c r="E2460" s="1">
        <v>45821</v>
      </c>
      <c r="F2460" s="3">
        <v>45838</v>
      </c>
      <c r="G2460" t="s">
        <v>48</v>
      </c>
      <c r="H2460" t="s">
        <v>22</v>
      </c>
      <c r="I2460" t="s">
        <v>23</v>
      </c>
      <c r="J2460">
        <v>6083.8</v>
      </c>
      <c r="K2460">
        <v>17</v>
      </c>
      <c r="L2460" t="s">
        <v>36</v>
      </c>
      <c r="M2460" t="s">
        <v>25</v>
      </c>
      <c r="N2460" t="s">
        <v>26</v>
      </c>
      <c r="O2460" t="s">
        <v>27</v>
      </c>
      <c r="P2460" t="s">
        <v>38</v>
      </c>
      <c r="Q2460">
        <v>15</v>
      </c>
      <c r="R2460">
        <v>1391.38</v>
      </c>
      <c r="S2460" t="s">
        <v>29</v>
      </c>
    </row>
    <row r="2461" spans="1:19" x14ac:dyDescent="0.3">
      <c r="A2461" t="s">
        <v>2531</v>
      </c>
      <c r="B2461">
        <v>42</v>
      </c>
      <c r="C2461" t="s">
        <v>19</v>
      </c>
      <c r="D2461" t="s">
        <v>20</v>
      </c>
      <c r="E2461" s="1">
        <v>45916</v>
      </c>
      <c r="F2461" s="3">
        <v>45924</v>
      </c>
      <c r="G2461" t="s">
        <v>48</v>
      </c>
      <c r="H2461" t="s">
        <v>22</v>
      </c>
      <c r="I2461" t="s">
        <v>23</v>
      </c>
      <c r="J2461">
        <v>2876.42</v>
      </c>
      <c r="K2461">
        <v>8</v>
      </c>
      <c r="L2461" t="s">
        <v>36</v>
      </c>
      <c r="M2461" t="s">
        <v>25</v>
      </c>
      <c r="N2461" t="s">
        <v>26</v>
      </c>
      <c r="O2461" t="s">
        <v>56</v>
      </c>
      <c r="P2461" t="s">
        <v>38</v>
      </c>
      <c r="Q2461">
        <v>9</v>
      </c>
      <c r="R2461">
        <v>622.47</v>
      </c>
      <c r="S2461" t="s">
        <v>29</v>
      </c>
    </row>
    <row r="2462" spans="1:19" x14ac:dyDescent="0.3">
      <c r="A2462" t="s">
        <v>2532</v>
      </c>
      <c r="B2462">
        <v>43</v>
      </c>
      <c r="C2462" t="s">
        <v>31</v>
      </c>
      <c r="D2462" t="s">
        <v>89</v>
      </c>
      <c r="E2462" s="1">
        <v>45754</v>
      </c>
      <c r="F2462" s="3">
        <v>45770</v>
      </c>
      <c r="G2462" t="s">
        <v>21</v>
      </c>
      <c r="H2462" t="s">
        <v>22</v>
      </c>
      <c r="I2462" t="s">
        <v>58</v>
      </c>
      <c r="J2462">
        <v>12134.92</v>
      </c>
      <c r="K2462">
        <v>16</v>
      </c>
      <c r="L2462" t="s">
        <v>24</v>
      </c>
      <c r="M2462" t="s">
        <v>25</v>
      </c>
      <c r="N2462" t="s">
        <v>44</v>
      </c>
      <c r="O2462" t="s">
        <v>56</v>
      </c>
      <c r="P2462" t="s">
        <v>38</v>
      </c>
      <c r="Q2462">
        <v>11</v>
      </c>
      <c r="R2462">
        <v>3561.67</v>
      </c>
      <c r="S2462" t="s">
        <v>29</v>
      </c>
    </row>
    <row r="2463" spans="1:19" x14ac:dyDescent="0.3">
      <c r="A2463" t="s">
        <v>2533</v>
      </c>
      <c r="B2463">
        <v>81</v>
      </c>
      <c r="C2463" t="s">
        <v>31</v>
      </c>
      <c r="D2463" t="s">
        <v>79</v>
      </c>
      <c r="E2463" s="1">
        <v>45367</v>
      </c>
      <c r="F2463" s="3">
        <v>45369</v>
      </c>
      <c r="G2463" t="s">
        <v>41</v>
      </c>
      <c r="H2463" t="s">
        <v>42</v>
      </c>
      <c r="I2463" t="s">
        <v>58</v>
      </c>
      <c r="J2463">
        <v>3496.75</v>
      </c>
      <c r="K2463">
        <v>2</v>
      </c>
      <c r="L2463" t="s">
        <v>36</v>
      </c>
      <c r="M2463" t="s">
        <v>25</v>
      </c>
      <c r="N2463" t="s">
        <v>44</v>
      </c>
      <c r="O2463" t="s">
        <v>56</v>
      </c>
      <c r="P2463" t="s">
        <v>28</v>
      </c>
      <c r="Q2463">
        <v>12</v>
      </c>
      <c r="R2463">
        <v>1308.0999999999999</v>
      </c>
      <c r="S2463" t="s">
        <v>29</v>
      </c>
    </row>
    <row r="2464" spans="1:19" x14ac:dyDescent="0.3">
      <c r="A2464" t="s">
        <v>2534</v>
      </c>
      <c r="B2464">
        <v>26</v>
      </c>
      <c r="C2464" t="s">
        <v>19</v>
      </c>
      <c r="D2464" t="s">
        <v>89</v>
      </c>
      <c r="E2464" s="1">
        <v>45733</v>
      </c>
      <c r="F2464" s="3">
        <v>45746</v>
      </c>
      <c r="G2464" t="s">
        <v>71</v>
      </c>
      <c r="H2464" t="s">
        <v>72</v>
      </c>
      <c r="I2464" t="s">
        <v>83</v>
      </c>
      <c r="J2464">
        <v>6866</v>
      </c>
      <c r="K2464">
        <v>13</v>
      </c>
      <c r="L2464" t="s">
        <v>24</v>
      </c>
      <c r="M2464" t="s">
        <v>25</v>
      </c>
      <c r="N2464" t="s">
        <v>26</v>
      </c>
      <c r="O2464" t="s">
        <v>27</v>
      </c>
      <c r="P2464" t="s">
        <v>38</v>
      </c>
      <c r="Q2464">
        <v>1</v>
      </c>
      <c r="R2464">
        <v>1923.11</v>
      </c>
      <c r="S2464" t="s">
        <v>29</v>
      </c>
    </row>
    <row r="2465" spans="1:19" x14ac:dyDescent="0.3">
      <c r="A2465" t="s">
        <v>2535</v>
      </c>
      <c r="B2465">
        <v>77</v>
      </c>
      <c r="C2465" t="s">
        <v>31</v>
      </c>
      <c r="D2465" t="s">
        <v>47</v>
      </c>
      <c r="E2465" s="1">
        <v>45301</v>
      </c>
      <c r="F2465" s="3">
        <v>45310</v>
      </c>
      <c r="G2465" t="s">
        <v>71</v>
      </c>
      <c r="H2465" t="s">
        <v>72</v>
      </c>
      <c r="I2465" t="s">
        <v>35</v>
      </c>
      <c r="J2465">
        <v>5997.76</v>
      </c>
      <c r="K2465">
        <v>9</v>
      </c>
      <c r="L2465" t="s">
        <v>24</v>
      </c>
      <c r="M2465" t="s">
        <v>59</v>
      </c>
      <c r="N2465" t="s">
        <v>55</v>
      </c>
      <c r="O2465" t="s">
        <v>27</v>
      </c>
      <c r="P2465" t="s">
        <v>45</v>
      </c>
      <c r="Q2465">
        <v>11</v>
      </c>
      <c r="R2465">
        <v>2274.27</v>
      </c>
      <c r="S2465" t="s">
        <v>39</v>
      </c>
    </row>
    <row r="2466" spans="1:19" x14ac:dyDescent="0.3">
      <c r="A2466" t="s">
        <v>2536</v>
      </c>
      <c r="B2466">
        <v>36</v>
      </c>
      <c r="C2466" t="s">
        <v>31</v>
      </c>
      <c r="D2466" t="s">
        <v>61</v>
      </c>
      <c r="E2466" s="1">
        <v>45619</v>
      </c>
      <c r="F2466" s="3">
        <v>45636</v>
      </c>
      <c r="G2466" t="s">
        <v>67</v>
      </c>
      <c r="H2466" t="s">
        <v>42</v>
      </c>
      <c r="I2466" t="s">
        <v>35</v>
      </c>
      <c r="J2466">
        <v>10045.06</v>
      </c>
      <c r="K2466">
        <v>17</v>
      </c>
      <c r="L2466" t="s">
        <v>36</v>
      </c>
      <c r="M2466" t="s">
        <v>25</v>
      </c>
      <c r="N2466" t="s">
        <v>55</v>
      </c>
      <c r="O2466" t="s">
        <v>56</v>
      </c>
      <c r="P2466" t="s">
        <v>50</v>
      </c>
      <c r="Q2466">
        <v>3</v>
      </c>
      <c r="R2466">
        <v>3079.57</v>
      </c>
      <c r="S2466" t="s">
        <v>29</v>
      </c>
    </row>
    <row r="2467" spans="1:19" x14ac:dyDescent="0.3">
      <c r="A2467" t="s">
        <v>2537</v>
      </c>
      <c r="B2467">
        <v>30</v>
      </c>
      <c r="C2467" t="s">
        <v>31</v>
      </c>
      <c r="D2467" t="s">
        <v>32</v>
      </c>
      <c r="E2467" s="1">
        <v>45817</v>
      </c>
      <c r="F2467" s="3">
        <v>45825</v>
      </c>
      <c r="G2467" t="s">
        <v>52</v>
      </c>
      <c r="H2467" t="s">
        <v>53</v>
      </c>
      <c r="I2467" t="s">
        <v>81</v>
      </c>
      <c r="J2467">
        <v>7150.07</v>
      </c>
      <c r="K2467">
        <v>8</v>
      </c>
      <c r="L2467" t="s">
        <v>36</v>
      </c>
      <c r="M2467" t="s">
        <v>25</v>
      </c>
      <c r="N2467" t="s">
        <v>55</v>
      </c>
      <c r="O2467" t="s">
        <v>49</v>
      </c>
      <c r="P2467" t="s">
        <v>28</v>
      </c>
      <c r="Q2467">
        <v>7</v>
      </c>
      <c r="R2467">
        <v>2826.05</v>
      </c>
      <c r="S2467" t="s">
        <v>29</v>
      </c>
    </row>
    <row r="2468" spans="1:19" x14ac:dyDescent="0.3">
      <c r="A2468" t="s">
        <v>2538</v>
      </c>
      <c r="B2468">
        <v>64</v>
      </c>
      <c r="C2468" t="s">
        <v>31</v>
      </c>
      <c r="D2468" t="s">
        <v>79</v>
      </c>
      <c r="E2468" s="1">
        <v>45889</v>
      </c>
      <c r="F2468" s="3">
        <v>45896</v>
      </c>
      <c r="G2468" t="s">
        <v>41</v>
      </c>
      <c r="H2468" t="s">
        <v>42</v>
      </c>
      <c r="I2468" t="s">
        <v>43</v>
      </c>
      <c r="J2468">
        <v>3944.12</v>
      </c>
      <c r="K2468">
        <v>7</v>
      </c>
      <c r="L2468" t="s">
        <v>24</v>
      </c>
      <c r="M2468" t="s">
        <v>25</v>
      </c>
      <c r="N2468" t="s">
        <v>26</v>
      </c>
      <c r="O2468" t="s">
        <v>37</v>
      </c>
      <c r="P2468" t="s">
        <v>45</v>
      </c>
      <c r="Q2468">
        <v>3</v>
      </c>
      <c r="R2468">
        <v>1179.28</v>
      </c>
      <c r="S2468" t="s">
        <v>29</v>
      </c>
    </row>
    <row r="2469" spans="1:19" x14ac:dyDescent="0.3">
      <c r="A2469" t="s">
        <v>2539</v>
      </c>
      <c r="B2469">
        <v>63</v>
      </c>
      <c r="C2469" t="s">
        <v>31</v>
      </c>
      <c r="D2469" t="s">
        <v>47</v>
      </c>
      <c r="E2469" s="1">
        <v>45453</v>
      </c>
      <c r="F2469" s="3">
        <v>45454</v>
      </c>
      <c r="G2469" t="s">
        <v>52</v>
      </c>
      <c r="H2469" t="s">
        <v>53</v>
      </c>
      <c r="I2469" t="s">
        <v>54</v>
      </c>
      <c r="J2469">
        <v>2281.67</v>
      </c>
      <c r="K2469">
        <v>1</v>
      </c>
      <c r="L2469" t="s">
        <v>36</v>
      </c>
      <c r="M2469" t="s">
        <v>25</v>
      </c>
      <c r="N2469" t="s">
        <v>44</v>
      </c>
      <c r="O2469" t="s">
        <v>27</v>
      </c>
      <c r="P2469" t="s">
        <v>28</v>
      </c>
      <c r="Q2469">
        <v>8</v>
      </c>
      <c r="R2469">
        <v>395.41</v>
      </c>
      <c r="S2469" t="s">
        <v>29</v>
      </c>
    </row>
    <row r="2470" spans="1:19" x14ac:dyDescent="0.3">
      <c r="A2470" t="s">
        <v>2540</v>
      </c>
      <c r="B2470">
        <v>64</v>
      </c>
      <c r="C2470" t="s">
        <v>31</v>
      </c>
      <c r="D2470" t="s">
        <v>70</v>
      </c>
      <c r="E2470" s="1">
        <v>45163</v>
      </c>
      <c r="F2470" s="3">
        <v>45167</v>
      </c>
      <c r="G2470" t="s">
        <v>41</v>
      </c>
      <c r="H2470" t="s">
        <v>42</v>
      </c>
      <c r="I2470" t="s">
        <v>83</v>
      </c>
      <c r="J2470">
        <v>2893.82</v>
      </c>
      <c r="K2470">
        <v>4</v>
      </c>
      <c r="L2470" t="s">
        <v>24</v>
      </c>
      <c r="M2470" t="s">
        <v>25</v>
      </c>
      <c r="N2470" t="s">
        <v>26</v>
      </c>
      <c r="O2470" t="s">
        <v>27</v>
      </c>
      <c r="P2470" t="s">
        <v>28</v>
      </c>
      <c r="Q2470">
        <v>5</v>
      </c>
      <c r="R2470">
        <v>1068.23</v>
      </c>
      <c r="S2470" t="s">
        <v>29</v>
      </c>
    </row>
    <row r="2471" spans="1:19" x14ac:dyDescent="0.3">
      <c r="A2471" t="s">
        <v>2541</v>
      </c>
      <c r="B2471">
        <v>83</v>
      </c>
      <c r="C2471" t="s">
        <v>31</v>
      </c>
      <c r="D2471" t="s">
        <v>32</v>
      </c>
      <c r="E2471" s="1">
        <v>45409</v>
      </c>
      <c r="F2471" s="3">
        <v>45421</v>
      </c>
      <c r="G2471" t="s">
        <v>93</v>
      </c>
      <c r="H2471" t="s">
        <v>72</v>
      </c>
      <c r="I2471" t="s">
        <v>81</v>
      </c>
      <c r="J2471">
        <v>8620.14</v>
      </c>
      <c r="K2471">
        <v>12</v>
      </c>
      <c r="L2471" t="s">
        <v>36</v>
      </c>
      <c r="M2471" t="s">
        <v>25</v>
      </c>
      <c r="N2471" t="s">
        <v>55</v>
      </c>
      <c r="O2471" t="s">
        <v>37</v>
      </c>
      <c r="P2471" t="s">
        <v>38</v>
      </c>
      <c r="Q2471">
        <v>12</v>
      </c>
      <c r="R2471">
        <v>3170.72</v>
      </c>
      <c r="S2471" t="s">
        <v>29</v>
      </c>
    </row>
    <row r="2472" spans="1:19" x14ac:dyDescent="0.3">
      <c r="A2472" t="s">
        <v>2542</v>
      </c>
      <c r="B2472">
        <v>26</v>
      </c>
      <c r="C2472" t="s">
        <v>19</v>
      </c>
      <c r="D2472" t="s">
        <v>47</v>
      </c>
      <c r="E2472" s="1">
        <v>45256</v>
      </c>
      <c r="F2472" s="3">
        <v>45274</v>
      </c>
      <c r="G2472" t="s">
        <v>67</v>
      </c>
      <c r="H2472" t="s">
        <v>42</v>
      </c>
      <c r="I2472" t="s">
        <v>43</v>
      </c>
      <c r="J2472">
        <v>8384.89</v>
      </c>
      <c r="K2472">
        <v>18</v>
      </c>
      <c r="L2472" t="s">
        <v>24</v>
      </c>
      <c r="M2472" t="s">
        <v>101</v>
      </c>
      <c r="N2472" t="s">
        <v>55</v>
      </c>
      <c r="O2472" t="s">
        <v>49</v>
      </c>
      <c r="P2472" t="s">
        <v>28</v>
      </c>
      <c r="Q2472">
        <v>2</v>
      </c>
      <c r="R2472">
        <v>1733.06</v>
      </c>
      <c r="S2472" t="s">
        <v>29</v>
      </c>
    </row>
    <row r="2473" spans="1:19" x14ac:dyDescent="0.3">
      <c r="A2473" t="s">
        <v>2543</v>
      </c>
      <c r="B2473">
        <v>79</v>
      </c>
      <c r="C2473" t="s">
        <v>31</v>
      </c>
      <c r="D2473" t="s">
        <v>47</v>
      </c>
      <c r="E2473" s="1">
        <v>45614</v>
      </c>
      <c r="F2473" s="3">
        <v>45642</v>
      </c>
      <c r="G2473" t="s">
        <v>21</v>
      </c>
      <c r="H2473" t="s">
        <v>22</v>
      </c>
      <c r="I2473" t="s">
        <v>58</v>
      </c>
      <c r="J2473">
        <v>25067.49</v>
      </c>
      <c r="K2473">
        <v>28</v>
      </c>
      <c r="L2473" t="s">
        <v>36</v>
      </c>
      <c r="M2473" t="s">
        <v>59</v>
      </c>
      <c r="N2473" t="s">
        <v>55</v>
      </c>
      <c r="O2473" t="s">
        <v>49</v>
      </c>
      <c r="P2473" t="s">
        <v>45</v>
      </c>
      <c r="Q2473">
        <v>1</v>
      </c>
      <c r="R2473">
        <v>9322.66</v>
      </c>
      <c r="S2473" t="s">
        <v>29</v>
      </c>
    </row>
    <row r="2474" spans="1:19" x14ac:dyDescent="0.3">
      <c r="A2474" t="s">
        <v>2544</v>
      </c>
      <c r="B2474">
        <v>81</v>
      </c>
      <c r="C2474" t="s">
        <v>31</v>
      </c>
      <c r="D2474" t="s">
        <v>47</v>
      </c>
      <c r="E2474" s="1">
        <v>45836</v>
      </c>
      <c r="F2474" s="3">
        <v>45839</v>
      </c>
      <c r="G2474" t="s">
        <v>74</v>
      </c>
      <c r="H2474" t="s">
        <v>75</v>
      </c>
      <c r="I2474" t="s">
        <v>23</v>
      </c>
      <c r="J2474">
        <v>8391.5300000000007</v>
      </c>
      <c r="K2474">
        <v>3</v>
      </c>
      <c r="L2474" t="s">
        <v>24</v>
      </c>
      <c r="M2474" t="s">
        <v>25</v>
      </c>
      <c r="N2474" t="s">
        <v>26</v>
      </c>
      <c r="O2474" t="s">
        <v>49</v>
      </c>
      <c r="P2474" t="s">
        <v>50</v>
      </c>
      <c r="Q2474">
        <v>10</v>
      </c>
      <c r="R2474">
        <v>1713.78</v>
      </c>
      <c r="S2474" t="s">
        <v>29</v>
      </c>
    </row>
    <row r="2475" spans="1:19" x14ac:dyDescent="0.3">
      <c r="A2475" t="s">
        <v>2545</v>
      </c>
      <c r="B2475">
        <v>62</v>
      </c>
      <c r="C2475" t="s">
        <v>19</v>
      </c>
      <c r="D2475" t="s">
        <v>20</v>
      </c>
      <c r="E2475" s="1">
        <v>44963</v>
      </c>
      <c r="F2475" s="3">
        <v>44965</v>
      </c>
      <c r="G2475" t="s">
        <v>41</v>
      </c>
      <c r="H2475" t="s">
        <v>42</v>
      </c>
      <c r="I2475" t="s">
        <v>81</v>
      </c>
      <c r="J2475">
        <v>3124.27</v>
      </c>
      <c r="K2475">
        <v>2</v>
      </c>
      <c r="L2475" t="s">
        <v>24</v>
      </c>
      <c r="M2475" t="s">
        <v>25</v>
      </c>
      <c r="N2475" t="s">
        <v>44</v>
      </c>
      <c r="O2475" t="s">
        <v>37</v>
      </c>
      <c r="P2475" t="s">
        <v>50</v>
      </c>
      <c r="Q2475">
        <v>15</v>
      </c>
      <c r="R2475">
        <v>986.17</v>
      </c>
      <c r="S2475" t="s">
        <v>29</v>
      </c>
    </row>
    <row r="2476" spans="1:19" x14ac:dyDescent="0.3">
      <c r="A2476" t="s">
        <v>2546</v>
      </c>
      <c r="B2476">
        <v>88</v>
      </c>
      <c r="C2476" t="s">
        <v>31</v>
      </c>
      <c r="D2476" t="s">
        <v>61</v>
      </c>
      <c r="E2476" s="1">
        <v>45016</v>
      </c>
      <c r="F2476" s="3">
        <v>45020</v>
      </c>
      <c r="G2476" t="s">
        <v>93</v>
      </c>
      <c r="H2476" t="s">
        <v>72</v>
      </c>
      <c r="I2476" t="s">
        <v>91</v>
      </c>
      <c r="J2476">
        <v>2185.2800000000002</v>
      </c>
      <c r="K2476">
        <v>4</v>
      </c>
      <c r="L2476" t="s">
        <v>36</v>
      </c>
      <c r="M2476" t="s">
        <v>59</v>
      </c>
      <c r="N2476" t="s">
        <v>44</v>
      </c>
      <c r="O2476" t="s">
        <v>56</v>
      </c>
      <c r="P2476" t="s">
        <v>38</v>
      </c>
      <c r="Q2476">
        <v>5</v>
      </c>
      <c r="R2476">
        <v>353.32</v>
      </c>
      <c r="S2476" t="s">
        <v>29</v>
      </c>
    </row>
    <row r="2477" spans="1:19" x14ac:dyDescent="0.3">
      <c r="A2477" t="s">
        <v>2547</v>
      </c>
      <c r="B2477">
        <v>50</v>
      </c>
      <c r="C2477" t="s">
        <v>19</v>
      </c>
      <c r="D2477" t="s">
        <v>79</v>
      </c>
      <c r="E2477" s="1">
        <v>45050</v>
      </c>
      <c r="F2477" s="3">
        <v>45067</v>
      </c>
      <c r="G2477" t="s">
        <v>67</v>
      </c>
      <c r="H2477" t="s">
        <v>42</v>
      </c>
      <c r="I2477" t="s">
        <v>58</v>
      </c>
      <c r="J2477">
        <v>5171.78</v>
      </c>
      <c r="K2477">
        <v>17</v>
      </c>
      <c r="L2477" t="s">
        <v>24</v>
      </c>
      <c r="M2477" t="s">
        <v>25</v>
      </c>
      <c r="N2477" t="s">
        <v>26</v>
      </c>
      <c r="O2477" t="s">
        <v>56</v>
      </c>
      <c r="P2477" t="s">
        <v>38</v>
      </c>
      <c r="Q2477">
        <v>11</v>
      </c>
      <c r="R2477">
        <v>1234.42</v>
      </c>
      <c r="S2477" t="s">
        <v>29</v>
      </c>
    </row>
    <row r="2478" spans="1:19" x14ac:dyDescent="0.3">
      <c r="A2478" t="s">
        <v>2548</v>
      </c>
      <c r="B2478">
        <v>46</v>
      </c>
      <c r="C2478" t="s">
        <v>19</v>
      </c>
      <c r="D2478" t="s">
        <v>47</v>
      </c>
      <c r="E2478" s="1">
        <v>45335</v>
      </c>
      <c r="F2478" s="3">
        <v>45352</v>
      </c>
      <c r="G2478" t="s">
        <v>21</v>
      </c>
      <c r="H2478" t="s">
        <v>22</v>
      </c>
      <c r="I2478" t="s">
        <v>35</v>
      </c>
      <c r="J2478">
        <v>11157.16</v>
      </c>
      <c r="K2478">
        <v>17</v>
      </c>
      <c r="L2478" t="s">
        <v>36</v>
      </c>
      <c r="M2478" t="s">
        <v>25</v>
      </c>
      <c r="N2478" t="s">
        <v>26</v>
      </c>
      <c r="O2478" t="s">
        <v>27</v>
      </c>
      <c r="P2478" t="s">
        <v>28</v>
      </c>
      <c r="Q2478">
        <v>3</v>
      </c>
      <c r="R2478">
        <v>2242.6</v>
      </c>
      <c r="S2478" t="s">
        <v>29</v>
      </c>
    </row>
    <row r="2479" spans="1:19" x14ac:dyDescent="0.3">
      <c r="A2479" t="s">
        <v>2549</v>
      </c>
      <c r="B2479">
        <v>74</v>
      </c>
      <c r="C2479" t="s">
        <v>19</v>
      </c>
      <c r="D2479" t="s">
        <v>20</v>
      </c>
      <c r="E2479" s="1">
        <v>45829</v>
      </c>
      <c r="F2479" s="3">
        <v>45844</v>
      </c>
      <c r="G2479" t="s">
        <v>33</v>
      </c>
      <c r="H2479" t="s">
        <v>34</v>
      </c>
      <c r="I2479" t="s">
        <v>81</v>
      </c>
      <c r="J2479">
        <v>8333.75</v>
      </c>
      <c r="K2479">
        <v>15</v>
      </c>
      <c r="L2479" t="s">
        <v>24</v>
      </c>
      <c r="M2479" t="s">
        <v>25</v>
      </c>
      <c r="N2479" t="s">
        <v>55</v>
      </c>
      <c r="O2479" t="s">
        <v>37</v>
      </c>
      <c r="P2479" t="s">
        <v>28</v>
      </c>
      <c r="Q2479">
        <v>12</v>
      </c>
      <c r="R2479">
        <v>3257.63</v>
      </c>
      <c r="S2479" t="s">
        <v>29</v>
      </c>
    </row>
    <row r="2480" spans="1:19" x14ac:dyDescent="0.3">
      <c r="A2480" t="s">
        <v>2550</v>
      </c>
      <c r="B2480">
        <v>69</v>
      </c>
      <c r="C2480" t="s">
        <v>31</v>
      </c>
      <c r="D2480" t="s">
        <v>66</v>
      </c>
      <c r="E2480" s="1">
        <v>45621</v>
      </c>
      <c r="F2480" s="3">
        <v>45635</v>
      </c>
      <c r="G2480" t="s">
        <v>21</v>
      </c>
      <c r="H2480" t="s">
        <v>22</v>
      </c>
      <c r="I2480" t="s">
        <v>43</v>
      </c>
      <c r="J2480">
        <v>6435.93</v>
      </c>
      <c r="K2480">
        <v>14</v>
      </c>
      <c r="L2480" t="s">
        <v>24</v>
      </c>
      <c r="M2480" t="s">
        <v>25</v>
      </c>
      <c r="N2480" t="s">
        <v>55</v>
      </c>
      <c r="O2480" t="s">
        <v>27</v>
      </c>
      <c r="P2480" t="s">
        <v>50</v>
      </c>
      <c r="Q2480">
        <v>8</v>
      </c>
      <c r="R2480">
        <v>1503.27</v>
      </c>
      <c r="S2480" t="s">
        <v>29</v>
      </c>
    </row>
    <row r="2481" spans="1:19" x14ac:dyDescent="0.3">
      <c r="A2481" t="s">
        <v>2551</v>
      </c>
      <c r="B2481">
        <v>89</v>
      </c>
      <c r="C2481" t="s">
        <v>19</v>
      </c>
      <c r="D2481" t="s">
        <v>70</v>
      </c>
      <c r="E2481" s="1">
        <v>45672</v>
      </c>
      <c r="F2481" s="3">
        <v>45681</v>
      </c>
      <c r="G2481" t="s">
        <v>71</v>
      </c>
      <c r="H2481" t="s">
        <v>72</v>
      </c>
      <c r="I2481" t="s">
        <v>43</v>
      </c>
      <c r="J2481">
        <v>4985.51</v>
      </c>
      <c r="K2481">
        <v>9</v>
      </c>
      <c r="L2481" t="s">
        <v>36</v>
      </c>
      <c r="M2481" t="s">
        <v>59</v>
      </c>
      <c r="N2481" t="s">
        <v>26</v>
      </c>
      <c r="O2481" t="s">
        <v>56</v>
      </c>
      <c r="P2481" t="s">
        <v>45</v>
      </c>
      <c r="Q2481">
        <v>10</v>
      </c>
      <c r="R2481">
        <v>1867.12</v>
      </c>
      <c r="S2481" t="s">
        <v>29</v>
      </c>
    </row>
    <row r="2482" spans="1:19" x14ac:dyDescent="0.3">
      <c r="A2482" t="s">
        <v>2552</v>
      </c>
      <c r="B2482">
        <v>33</v>
      </c>
      <c r="C2482" t="s">
        <v>19</v>
      </c>
      <c r="D2482" t="s">
        <v>70</v>
      </c>
      <c r="E2482" s="1">
        <v>45823</v>
      </c>
      <c r="F2482" s="3">
        <v>45828</v>
      </c>
      <c r="G2482" t="s">
        <v>33</v>
      </c>
      <c r="H2482" t="s">
        <v>34</v>
      </c>
      <c r="I2482" t="s">
        <v>91</v>
      </c>
      <c r="J2482">
        <v>3742.79</v>
      </c>
      <c r="K2482">
        <v>5</v>
      </c>
      <c r="L2482" t="s">
        <v>36</v>
      </c>
      <c r="M2482" t="s">
        <v>101</v>
      </c>
      <c r="N2482" t="s">
        <v>55</v>
      </c>
      <c r="O2482" t="s">
        <v>27</v>
      </c>
      <c r="P2482" t="s">
        <v>28</v>
      </c>
      <c r="Q2482">
        <v>10</v>
      </c>
      <c r="R2482">
        <v>709.77</v>
      </c>
      <c r="S2482" t="s">
        <v>29</v>
      </c>
    </row>
    <row r="2483" spans="1:19" x14ac:dyDescent="0.3">
      <c r="A2483" t="s">
        <v>2553</v>
      </c>
      <c r="B2483">
        <v>27</v>
      </c>
      <c r="C2483" t="s">
        <v>19</v>
      </c>
      <c r="D2483" t="s">
        <v>20</v>
      </c>
      <c r="E2483" s="1">
        <v>45389</v>
      </c>
      <c r="F2483" s="3">
        <v>45403</v>
      </c>
      <c r="G2483" t="s">
        <v>52</v>
      </c>
      <c r="H2483" t="s">
        <v>53</v>
      </c>
      <c r="I2483" t="s">
        <v>43</v>
      </c>
      <c r="J2483">
        <v>4688.32</v>
      </c>
      <c r="K2483">
        <v>14</v>
      </c>
      <c r="L2483" t="s">
        <v>36</v>
      </c>
      <c r="M2483" t="s">
        <v>25</v>
      </c>
      <c r="N2483" t="s">
        <v>26</v>
      </c>
      <c r="O2483" t="s">
        <v>56</v>
      </c>
      <c r="P2483" t="s">
        <v>38</v>
      </c>
      <c r="Q2483">
        <v>9</v>
      </c>
      <c r="R2483">
        <v>1705.03</v>
      </c>
      <c r="S2483" t="s">
        <v>29</v>
      </c>
    </row>
    <row r="2484" spans="1:19" x14ac:dyDescent="0.3">
      <c r="A2484" t="s">
        <v>2554</v>
      </c>
      <c r="B2484">
        <v>71</v>
      </c>
      <c r="C2484" t="s">
        <v>19</v>
      </c>
      <c r="D2484" t="s">
        <v>89</v>
      </c>
      <c r="E2484" s="1">
        <v>45726</v>
      </c>
      <c r="F2484" s="3">
        <v>45735</v>
      </c>
      <c r="G2484" t="s">
        <v>48</v>
      </c>
      <c r="H2484" t="s">
        <v>22</v>
      </c>
      <c r="I2484" t="s">
        <v>81</v>
      </c>
      <c r="J2484">
        <v>5647.25</v>
      </c>
      <c r="K2484">
        <v>9</v>
      </c>
      <c r="L2484" t="s">
        <v>24</v>
      </c>
      <c r="M2484" t="s">
        <v>25</v>
      </c>
      <c r="N2484" t="s">
        <v>26</v>
      </c>
      <c r="O2484" t="s">
        <v>56</v>
      </c>
      <c r="P2484" t="s">
        <v>28</v>
      </c>
      <c r="Q2484">
        <v>12</v>
      </c>
      <c r="R2484">
        <v>922.01</v>
      </c>
      <c r="S2484" t="s">
        <v>29</v>
      </c>
    </row>
    <row r="2485" spans="1:19" x14ac:dyDescent="0.3">
      <c r="A2485" t="s">
        <v>2555</v>
      </c>
      <c r="B2485">
        <v>52</v>
      </c>
      <c r="C2485" t="s">
        <v>31</v>
      </c>
      <c r="D2485" t="s">
        <v>79</v>
      </c>
      <c r="E2485" s="1">
        <v>45396</v>
      </c>
      <c r="F2485" s="3">
        <v>45414</v>
      </c>
      <c r="G2485" t="s">
        <v>21</v>
      </c>
      <c r="H2485" t="s">
        <v>22</v>
      </c>
      <c r="I2485" t="s">
        <v>35</v>
      </c>
      <c r="J2485">
        <v>7152.53</v>
      </c>
      <c r="K2485">
        <v>18</v>
      </c>
      <c r="L2485" t="s">
        <v>36</v>
      </c>
      <c r="M2485" t="s">
        <v>25</v>
      </c>
      <c r="N2485" t="s">
        <v>26</v>
      </c>
      <c r="O2485" t="s">
        <v>27</v>
      </c>
      <c r="P2485" t="s">
        <v>28</v>
      </c>
      <c r="Q2485">
        <v>11</v>
      </c>
      <c r="R2485">
        <v>2032.02</v>
      </c>
      <c r="S2485" t="s">
        <v>29</v>
      </c>
    </row>
    <row r="2486" spans="1:19" x14ac:dyDescent="0.3">
      <c r="A2486" t="s">
        <v>2556</v>
      </c>
      <c r="B2486">
        <v>68</v>
      </c>
      <c r="C2486" t="s">
        <v>19</v>
      </c>
      <c r="D2486" t="s">
        <v>66</v>
      </c>
      <c r="E2486" s="1">
        <v>45336</v>
      </c>
      <c r="F2486" s="3">
        <v>45338</v>
      </c>
      <c r="G2486" t="s">
        <v>41</v>
      </c>
      <c r="H2486" t="s">
        <v>42</v>
      </c>
      <c r="I2486" t="s">
        <v>83</v>
      </c>
      <c r="J2486">
        <v>2209.2800000000002</v>
      </c>
      <c r="K2486">
        <v>2</v>
      </c>
      <c r="L2486" t="s">
        <v>24</v>
      </c>
      <c r="M2486" t="s">
        <v>25</v>
      </c>
      <c r="N2486" t="s">
        <v>26</v>
      </c>
      <c r="O2486" t="s">
        <v>37</v>
      </c>
      <c r="P2486" t="s">
        <v>50</v>
      </c>
      <c r="Q2486">
        <v>4</v>
      </c>
      <c r="R2486">
        <v>349.95</v>
      </c>
      <c r="S2486" t="s">
        <v>29</v>
      </c>
    </row>
    <row r="2487" spans="1:19" x14ac:dyDescent="0.3">
      <c r="A2487" t="s">
        <v>2557</v>
      </c>
      <c r="B2487">
        <v>77</v>
      </c>
      <c r="C2487" t="s">
        <v>19</v>
      </c>
      <c r="D2487" t="s">
        <v>89</v>
      </c>
      <c r="E2487" s="1">
        <v>45402</v>
      </c>
      <c r="F2487" s="3">
        <v>45419</v>
      </c>
      <c r="G2487" t="s">
        <v>62</v>
      </c>
      <c r="H2487" t="s">
        <v>63</v>
      </c>
      <c r="I2487" t="s">
        <v>83</v>
      </c>
      <c r="J2487">
        <v>5586.11</v>
      </c>
      <c r="K2487">
        <v>17</v>
      </c>
      <c r="L2487" t="s">
        <v>36</v>
      </c>
      <c r="M2487" t="s">
        <v>25</v>
      </c>
      <c r="N2487" t="s">
        <v>55</v>
      </c>
      <c r="O2487" t="s">
        <v>56</v>
      </c>
      <c r="P2487" t="s">
        <v>45</v>
      </c>
      <c r="Q2487">
        <v>7</v>
      </c>
      <c r="R2487">
        <v>1301.5</v>
      </c>
      <c r="S2487" t="s">
        <v>29</v>
      </c>
    </row>
    <row r="2488" spans="1:19" x14ac:dyDescent="0.3">
      <c r="A2488" t="s">
        <v>2558</v>
      </c>
      <c r="B2488">
        <v>43</v>
      </c>
      <c r="C2488" t="s">
        <v>19</v>
      </c>
      <c r="D2488" t="s">
        <v>47</v>
      </c>
      <c r="E2488" s="1">
        <v>44935</v>
      </c>
      <c r="F2488" s="3">
        <v>44944</v>
      </c>
      <c r="G2488" t="s">
        <v>21</v>
      </c>
      <c r="H2488" t="s">
        <v>22</v>
      </c>
      <c r="I2488" t="s">
        <v>23</v>
      </c>
      <c r="J2488">
        <v>7145.9</v>
      </c>
      <c r="K2488">
        <v>9</v>
      </c>
      <c r="L2488" t="s">
        <v>36</v>
      </c>
      <c r="M2488" t="s">
        <v>76</v>
      </c>
      <c r="N2488" t="s">
        <v>26</v>
      </c>
      <c r="O2488" t="s">
        <v>37</v>
      </c>
      <c r="P2488" t="s">
        <v>50</v>
      </c>
      <c r="Q2488">
        <v>10</v>
      </c>
      <c r="R2488">
        <v>2027.47</v>
      </c>
      <c r="S2488" t="s">
        <v>29</v>
      </c>
    </row>
    <row r="2489" spans="1:19" x14ac:dyDescent="0.3">
      <c r="A2489" t="s">
        <v>2559</v>
      </c>
      <c r="B2489">
        <v>51</v>
      </c>
      <c r="C2489" t="s">
        <v>19</v>
      </c>
      <c r="D2489" t="s">
        <v>32</v>
      </c>
      <c r="E2489" s="1">
        <v>45236</v>
      </c>
      <c r="F2489" s="3">
        <v>45252</v>
      </c>
      <c r="G2489" t="s">
        <v>74</v>
      </c>
      <c r="H2489" t="s">
        <v>75</v>
      </c>
      <c r="I2489" t="s">
        <v>54</v>
      </c>
      <c r="J2489">
        <v>10192.049999999999</v>
      </c>
      <c r="K2489">
        <v>16</v>
      </c>
      <c r="L2489" t="s">
        <v>24</v>
      </c>
      <c r="M2489" t="s">
        <v>101</v>
      </c>
      <c r="N2489" t="s">
        <v>55</v>
      </c>
      <c r="O2489" t="s">
        <v>56</v>
      </c>
      <c r="P2489" t="s">
        <v>28</v>
      </c>
      <c r="Q2489">
        <v>9</v>
      </c>
      <c r="R2489">
        <v>2931.94</v>
      </c>
      <c r="S2489" t="s">
        <v>29</v>
      </c>
    </row>
    <row r="2490" spans="1:19" x14ac:dyDescent="0.3">
      <c r="A2490" t="s">
        <v>2560</v>
      </c>
      <c r="B2490">
        <v>19</v>
      </c>
      <c r="C2490" t="s">
        <v>31</v>
      </c>
      <c r="D2490" t="s">
        <v>66</v>
      </c>
      <c r="E2490" s="1">
        <v>45017</v>
      </c>
      <c r="F2490" s="3">
        <v>45028</v>
      </c>
      <c r="G2490" t="s">
        <v>71</v>
      </c>
      <c r="H2490" t="s">
        <v>72</v>
      </c>
      <c r="I2490" t="s">
        <v>23</v>
      </c>
      <c r="J2490">
        <v>5515.35</v>
      </c>
      <c r="K2490">
        <v>11</v>
      </c>
      <c r="L2490" t="s">
        <v>24</v>
      </c>
      <c r="M2490" t="s">
        <v>25</v>
      </c>
      <c r="N2490" t="s">
        <v>26</v>
      </c>
      <c r="O2490" t="s">
        <v>27</v>
      </c>
      <c r="P2490" t="s">
        <v>50</v>
      </c>
      <c r="Q2490">
        <v>14</v>
      </c>
      <c r="R2490">
        <v>1416.66</v>
      </c>
      <c r="S2490" t="s">
        <v>29</v>
      </c>
    </row>
    <row r="2491" spans="1:19" x14ac:dyDescent="0.3">
      <c r="A2491" t="s">
        <v>2561</v>
      </c>
      <c r="B2491">
        <v>40</v>
      </c>
      <c r="C2491" t="s">
        <v>19</v>
      </c>
      <c r="D2491" t="s">
        <v>61</v>
      </c>
      <c r="E2491" s="1">
        <v>45523</v>
      </c>
      <c r="F2491" s="3">
        <v>45528</v>
      </c>
      <c r="G2491" t="s">
        <v>33</v>
      </c>
      <c r="H2491" t="s">
        <v>34</v>
      </c>
      <c r="I2491" t="s">
        <v>43</v>
      </c>
      <c r="J2491">
        <v>6136.48</v>
      </c>
      <c r="K2491">
        <v>5</v>
      </c>
      <c r="L2491" t="s">
        <v>36</v>
      </c>
      <c r="M2491" t="s">
        <v>25</v>
      </c>
      <c r="N2491" t="s">
        <v>26</v>
      </c>
      <c r="O2491" t="s">
        <v>56</v>
      </c>
      <c r="P2491" t="s">
        <v>50</v>
      </c>
      <c r="Q2491">
        <v>11</v>
      </c>
      <c r="R2491">
        <v>2152.54</v>
      </c>
      <c r="S2491" t="s">
        <v>39</v>
      </c>
    </row>
    <row r="2492" spans="1:19" x14ac:dyDescent="0.3">
      <c r="A2492" t="s">
        <v>2562</v>
      </c>
      <c r="B2492">
        <v>74</v>
      </c>
      <c r="C2492" t="s">
        <v>19</v>
      </c>
      <c r="D2492" t="s">
        <v>47</v>
      </c>
      <c r="E2492" s="1">
        <v>45132</v>
      </c>
      <c r="F2492" s="3">
        <v>45153</v>
      </c>
      <c r="G2492" t="s">
        <v>48</v>
      </c>
      <c r="H2492" t="s">
        <v>22</v>
      </c>
      <c r="I2492" t="s">
        <v>81</v>
      </c>
      <c r="J2492">
        <v>17987.43</v>
      </c>
      <c r="K2492">
        <v>21</v>
      </c>
      <c r="L2492" t="s">
        <v>24</v>
      </c>
      <c r="M2492" t="s">
        <v>25</v>
      </c>
      <c r="N2492" t="s">
        <v>44</v>
      </c>
      <c r="O2492" t="s">
        <v>49</v>
      </c>
      <c r="P2492" t="s">
        <v>38</v>
      </c>
      <c r="Q2492">
        <v>15</v>
      </c>
      <c r="R2492">
        <v>4165.8</v>
      </c>
      <c r="S2492" t="s">
        <v>29</v>
      </c>
    </row>
    <row r="2493" spans="1:19" x14ac:dyDescent="0.3">
      <c r="A2493" t="s">
        <v>2563</v>
      </c>
      <c r="B2493">
        <v>79</v>
      </c>
      <c r="C2493" t="s">
        <v>19</v>
      </c>
      <c r="D2493" t="s">
        <v>79</v>
      </c>
      <c r="E2493" s="1">
        <v>45648</v>
      </c>
      <c r="F2493" s="3">
        <v>45657</v>
      </c>
      <c r="G2493" t="s">
        <v>74</v>
      </c>
      <c r="H2493" t="s">
        <v>75</v>
      </c>
      <c r="I2493" t="s">
        <v>23</v>
      </c>
      <c r="J2493">
        <v>4635.25</v>
      </c>
      <c r="K2493">
        <v>9</v>
      </c>
      <c r="L2493" t="s">
        <v>24</v>
      </c>
      <c r="M2493" t="s">
        <v>101</v>
      </c>
      <c r="N2493" t="s">
        <v>55</v>
      </c>
      <c r="O2493" t="s">
        <v>27</v>
      </c>
      <c r="P2493" t="s">
        <v>28</v>
      </c>
      <c r="Q2493">
        <v>9</v>
      </c>
      <c r="R2493">
        <v>1847.27</v>
      </c>
      <c r="S2493" t="s">
        <v>29</v>
      </c>
    </row>
    <row r="2494" spans="1:19" x14ac:dyDescent="0.3">
      <c r="A2494" t="s">
        <v>2564</v>
      </c>
      <c r="B2494">
        <v>20</v>
      </c>
      <c r="C2494" t="s">
        <v>31</v>
      </c>
      <c r="D2494" t="s">
        <v>61</v>
      </c>
      <c r="E2494" s="1">
        <v>45017</v>
      </c>
      <c r="F2494" s="3">
        <v>45029</v>
      </c>
      <c r="G2494" t="s">
        <v>71</v>
      </c>
      <c r="H2494" t="s">
        <v>72</v>
      </c>
      <c r="I2494" t="s">
        <v>23</v>
      </c>
      <c r="J2494">
        <v>10928.81</v>
      </c>
      <c r="K2494">
        <v>12</v>
      </c>
      <c r="L2494" t="s">
        <v>36</v>
      </c>
      <c r="M2494" t="s">
        <v>25</v>
      </c>
      <c r="N2494" t="s">
        <v>44</v>
      </c>
      <c r="O2494" t="s">
        <v>49</v>
      </c>
      <c r="P2494" t="s">
        <v>28</v>
      </c>
      <c r="Q2494">
        <v>6</v>
      </c>
      <c r="R2494">
        <v>3067.26</v>
      </c>
      <c r="S2494" t="s">
        <v>29</v>
      </c>
    </row>
    <row r="2495" spans="1:19" x14ac:dyDescent="0.3">
      <c r="A2495" t="s">
        <v>2565</v>
      </c>
      <c r="B2495">
        <v>79</v>
      </c>
      <c r="C2495" t="s">
        <v>19</v>
      </c>
      <c r="D2495" t="s">
        <v>47</v>
      </c>
      <c r="E2495" s="1">
        <v>45015</v>
      </c>
      <c r="F2495" s="3">
        <v>45033</v>
      </c>
      <c r="G2495" t="s">
        <v>48</v>
      </c>
      <c r="H2495" t="s">
        <v>22</v>
      </c>
      <c r="I2495" t="s">
        <v>54</v>
      </c>
      <c r="J2495">
        <v>7045.47</v>
      </c>
      <c r="K2495">
        <v>18</v>
      </c>
      <c r="L2495" t="s">
        <v>24</v>
      </c>
      <c r="M2495" t="s">
        <v>59</v>
      </c>
      <c r="N2495" t="s">
        <v>44</v>
      </c>
      <c r="O2495" t="s">
        <v>27</v>
      </c>
      <c r="P2495" t="s">
        <v>28</v>
      </c>
      <c r="Q2495">
        <v>15</v>
      </c>
      <c r="R2495">
        <v>2352.75</v>
      </c>
      <c r="S2495" t="s">
        <v>29</v>
      </c>
    </row>
    <row r="2496" spans="1:19" x14ac:dyDescent="0.3">
      <c r="A2496" t="s">
        <v>2566</v>
      </c>
      <c r="B2496">
        <v>45</v>
      </c>
      <c r="C2496" t="s">
        <v>19</v>
      </c>
      <c r="D2496" t="s">
        <v>20</v>
      </c>
      <c r="E2496" s="1">
        <v>45534</v>
      </c>
      <c r="F2496" s="3">
        <v>45547</v>
      </c>
      <c r="G2496" t="s">
        <v>62</v>
      </c>
      <c r="H2496" t="s">
        <v>63</v>
      </c>
      <c r="I2496" t="s">
        <v>54</v>
      </c>
      <c r="J2496">
        <v>4519.5600000000004</v>
      </c>
      <c r="K2496">
        <v>13</v>
      </c>
      <c r="L2496" t="s">
        <v>24</v>
      </c>
      <c r="M2496" t="s">
        <v>101</v>
      </c>
      <c r="N2496" t="s">
        <v>55</v>
      </c>
      <c r="O2496" t="s">
        <v>37</v>
      </c>
      <c r="P2496" t="s">
        <v>28</v>
      </c>
      <c r="Q2496">
        <v>4</v>
      </c>
      <c r="R2496">
        <v>1713.81</v>
      </c>
      <c r="S2496" t="s">
        <v>29</v>
      </c>
    </row>
    <row r="2497" spans="1:19" x14ac:dyDescent="0.3">
      <c r="A2497" t="s">
        <v>2567</v>
      </c>
      <c r="B2497">
        <v>30</v>
      </c>
      <c r="C2497" t="s">
        <v>31</v>
      </c>
      <c r="D2497" t="s">
        <v>70</v>
      </c>
      <c r="E2497" s="1">
        <v>45098</v>
      </c>
      <c r="F2497" s="3">
        <v>45110</v>
      </c>
      <c r="G2497" t="s">
        <v>74</v>
      </c>
      <c r="H2497" t="s">
        <v>75</v>
      </c>
      <c r="I2497" t="s">
        <v>81</v>
      </c>
      <c r="J2497">
        <v>5495.75</v>
      </c>
      <c r="K2497">
        <v>12</v>
      </c>
      <c r="L2497" t="s">
        <v>24</v>
      </c>
      <c r="M2497" t="s">
        <v>25</v>
      </c>
      <c r="N2497" t="s">
        <v>26</v>
      </c>
      <c r="O2497" t="s">
        <v>56</v>
      </c>
      <c r="P2497" t="s">
        <v>38</v>
      </c>
      <c r="Q2497">
        <v>1</v>
      </c>
      <c r="R2497">
        <v>1641.91</v>
      </c>
      <c r="S2497" t="s">
        <v>29</v>
      </c>
    </row>
    <row r="2498" spans="1:19" x14ac:dyDescent="0.3">
      <c r="A2498" t="s">
        <v>2568</v>
      </c>
      <c r="B2498">
        <v>88</v>
      </c>
      <c r="C2498" t="s">
        <v>31</v>
      </c>
      <c r="D2498" t="s">
        <v>70</v>
      </c>
      <c r="E2498" s="1">
        <v>45453</v>
      </c>
      <c r="F2498" s="3">
        <v>45457</v>
      </c>
      <c r="G2498" t="s">
        <v>48</v>
      </c>
      <c r="H2498" t="s">
        <v>22</v>
      </c>
      <c r="I2498" t="s">
        <v>81</v>
      </c>
      <c r="J2498">
        <v>1437.07</v>
      </c>
      <c r="K2498">
        <v>4</v>
      </c>
      <c r="L2498" t="s">
        <v>24</v>
      </c>
      <c r="M2498" t="s">
        <v>25</v>
      </c>
      <c r="N2498" t="s">
        <v>26</v>
      </c>
      <c r="O2498" t="s">
        <v>37</v>
      </c>
      <c r="P2498" t="s">
        <v>50</v>
      </c>
      <c r="Q2498">
        <v>9</v>
      </c>
      <c r="R2498">
        <v>482.59</v>
      </c>
      <c r="S2498" t="s">
        <v>29</v>
      </c>
    </row>
    <row r="2499" spans="1:19" x14ac:dyDescent="0.3">
      <c r="A2499" t="s">
        <v>2569</v>
      </c>
      <c r="B2499">
        <v>54</v>
      </c>
      <c r="C2499" t="s">
        <v>19</v>
      </c>
      <c r="D2499" t="s">
        <v>89</v>
      </c>
      <c r="E2499" s="1">
        <v>45770</v>
      </c>
      <c r="F2499" s="3">
        <v>45784</v>
      </c>
      <c r="G2499" t="s">
        <v>93</v>
      </c>
      <c r="H2499" t="s">
        <v>72</v>
      </c>
      <c r="I2499" t="s">
        <v>81</v>
      </c>
      <c r="J2499">
        <v>4317.8500000000004</v>
      </c>
      <c r="K2499">
        <v>14</v>
      </c>
      <c r="L2499" t="s">
        <v>36</v>
      </c>
      <c r="M2499" t="s">
        <v>25</v>
      </c>
      <c r="N2499" t="s">
        <v>55</v>
      </c>
      <c r="O2499" t="s">
        <v>27</v>
      </c>
      <c r="P2499" t="s">
        <v>38</v>
      </c>
      <c r="Q2499">
        <v>8</v>
      </c>
      <c r="R2499">
        <v>1022.84</v>
      </c>
      <c r="S2499" t="s">
        <v>29</v>
      </c>
    </row>
    <row r="2500" spans="1:19" x14ac:dyDescent="0.3">
      <c r="A2500" t="s">
        <v>2570</v>
      </c>
      <c r="B2500">
        <v>19</v>
      </c>
      <c r="C2500" t="s">
        <v>19</v>
      </c>
      <c r="D2500" t="s">
        <v>47</v>
      </c>
      <c r="E2500" s="1">
        <v>45529</v>
      </c>
      <c r="F2500" s="3">
        <v>45551</v>
      </c>
      <c r="G2500" t="s">
        <v>21</v>
      </c>
      <c r="H2500" t="s">
        <v>22</v>
      </c>
      <c r="I2500" t="s">
        <v>81</v>
      </c>
      <c r="J2500">
        <v>18634.32</v>
      </c>
      <c r="K2500">
        <v>22</v>
      </c>
      <c r="L2500" t="s">
        <v>24</v>
      </c>
      <c r="M2500" t="s">
        <v>25</v>
      </c>
      <c r="N2500" t="s">
        <v>55</v>
      </c>
      <c r="O2500" t="s">
        <v>49</v>
      </c>
      <c r="P2500" t="s">
        <v>45</v>
      </c>
      <c r="Q2500">
        <v>7</v>
      </c>
      <c r="R2500">
        <v>6442.63</v>
      </c>
      <c r="S2500" t="s">
        <v>39</v>
      </c>
    </row>
    <row r="2501" spans="1:19" x14ac:dyDescent="0.3">
      <c r="A2501" t="s">
        <v>2571</v>
      </c>
      <c r="B2501">
        <v>80</v>
      </c>
      <c r="C2501" t="s">
        <v>31</v>
      </c>
      <c r="D2501" t="s">
        <v>89</v>
      </c>
      <c r="E2501" s="1">
        <v>45291</v>
      </c>
      <c r="F2501" s="3">
        <v>45311</v>
      </c>
      <c r="G2501" t="s">
        <v>48</v>
      </c>
      <c r="H2501" t="s">
        <v>22</v>
      </c>
      <c r="I2501" t="s">
        <v>43</v>
      </c>
      <c r="J2501">
        <v>15316.56</v>
      </c>
      <c r="K2501">
        <v>20</v>
      </c>
      <c r="L2501" t="s">
        <v>24</v>
      </c>
      <c r="M2501" t="s">
        <v>25</v>
      </c>
      <c r="N2501" t="s">
        <v>26</v>
      </c>
      <c r="O2501" t="s">
        <v>27</v>
      </c>
      <c r="P2501" t="s">
        <v>28</v>
      </c>
      <c r="Q2501">
        <v>15</v>
      </c>
      <c r="R2501">
        <v>4026.48</v>
      </c>
      <c r="S2501" t="s">
        <v>29</v>
      </c>
    </row>
    <row r="2502" spans="1:19" x14ac:dyDescent="0.3">
      <c r="A2502" t="s">
        <v>2572</v>
      </c>
      <c r="B2502">
        <v>66</v>
      </c>
      <c r="C2502" t="s">
        <v>19</v>
      </c>
      <c r="D2502" t="s">
        <v>20</v>
      </c>
      <c r="E2502" s="1">
        <v>45723</v>
      </c>
      <c r="F2502" s="3">
        <v>45732</v>
      </c>
      <c r="G2502" t="s">
        <v>93</v>
      </c>
      <c r="H2502" t="s">
        <v>72</v>
      </c>
      <c r="I2502" t="s">
        <v>54</v>
      </c>
      <c r="J2502">
        <v>7067.36</v>
      </c>
      <c r="K2502">
        <v>9</v>
      </c>
      <c r="L2502" t="s">
        <v>24</v>
      </c>
      <c r="M2502" t="s">
        <v>25</v>
      </c>
      <c r="N2502" t="s">
        <v>55</v>
      </c>
      <c r="O2502" t="s">
        <v>56</v>
      </c>
      <c r="P2502" t="s">
        <v>28</v>
      </c>
      <c r="Q2502">
        <v>5</v>
      </c>
      <c r="R2502">
        <v>1712.69</v>
      </c>
      <c r="S2502" t="s">
        <v>29</v>
      </c>
    </row>
    <row r="2503" spans="1:19" x14ac:dyDescent="0.3">
      <c r="A2503" t="s">
        <v>2573</v>
      </c>
      <c r="B2503">
        <v>40</v>
      </c>
      <c r="C2503" t="s">
        <v>19</v>
      </c>
      <c r="D2503" t="s">
        <v>61</v>
      </c>
      <c r="E2503" s="1">
        <v>44929</v>
      </c>
      <c r="F2503" s="3">
        <v>44931</v>
      </c>
      <c r="G2503" t="s">
        <v>41</v>
      </c>
      <c r="H2503" t="s">
        <v>42</v>
      </c>
      <c r="I2503" t="s">
        <v>58</v>
      </c>
      <c r="J2503">
        <v>2158.09</v>
      </c>
      <c r="K2503">
        <v>2</v>
      </c>
      <c r="L2503" t="s">
        <v>36</v>
      </c>
      <c r="M2503" t="s">
        <v>101</v>
      </c>
      <c r="N2503" t="s">
        <v>44</v>
      </c>
      <c r="O2503" t="s">
        <v>56</v>
      </c>
      <c r="P2503" t="s">
        <v>38</v>
      </c>
      <c r="Q2503">
        <v>4</v>
      </c>
      <c r="R2503">
        <v>518.33000000000004</v>
      </c>
      <c r="S2503" t="s">
        <v>29</v>
      </c>
    </row>
    <row r="2504" spans="1:19" x14ac:dyDescent="0.3">
      <c r="A2504" t="s">
        <v>2574</v>
      </c>
      <c r="B2504">
        <v>27</v>
      </c>
      <c r="C2504" t="s">
        <v>31</v>
      </c>
      <c r="D2504" t="s">
        <v>79</v>
      </c>
      <c r="E2504" s="1">
        <v>45181</v>
      </c>
      <c r="F2504" s="3">
        <v>45182</v>
      </c>
      <c r="G2504" t="s">
        <v>62</v>
      </c>
      <c r="H2504" t="s">
        <v>63</v>
      </c>
      <c r="I2504" t="s">
        <v>43</v>
      </c>
      <c r="J2504">
        <v>2032.5</v>
      </c>
      <c r="K2504">
        <v>1</v>
      </c>
      <c r="L2504" t="s">
        <v>24</v>
      </c>
      <c r="M2504" t="s">
        <v>25</v>
      </c>
      <c r="N2504" t="s">
        <v>26</v>
      </c>
      <c r="O2504" t="s">
        <v>27</v>
      </c>
      <c r="P2504" t="s">
        <v>38</v>
      </c>
      <c r="Q2504">
        <v>2</v>
      </c>
      <c r="R2504">
        <v>331.13</v>
      </c>
      <c r="S2504" t="s">
        <v>29</v>
      </c>
    </row>
    <row r="2505" spans="1:19" x14ac:dyDescent="0.3">
      <c r="A2505" t="s">
        <v>2575</v>
      </c>
      <c r="B2505">
        <v>74</v>
      </c>
      <c r="C2505" t="s">
        <v>31</v>
      </c>
      <c r="D2505" t="s">
        <v>79</v>
      </c>
      <c r="E2505" s="1">
        <v>45078</v>
      </c>
      <c r="F2505" s="3">
        <v>45098</v>
      </c>
      <c r="G2505" t="s">
        <v>74</v>
      </c>
      <c r="H2505" t="s">
        <v>75</v>
      </c>
      <c r="I2505" t="s">
        <v>81</v>
      </c>
      <c r="J2505">
        <v>10918.12</v>
      </c>
      <c r="K2505">
        <v>20</v>
      </c>
      <c r="L2505" t="s">
        <v>36</v>
      </c>
      <c r="M2505" t="s">
        <v>25</v>
      </c>
      <c r="N2505" t="s">
        <v>26</v>
      </c>
      <c r="O2505" t="s">
        <v>56</v>
      </c>
      <c r="P2505" t="s">
        <v>50</v>
      </c>
      <c r="Q2505">
        <v>1</v>
      </c>
      <c r="R2505">
        <v>2776.44</v>
      </c>
      <c r="S2505" t="s">
        <v>29</v>
      </c>
    </row>
    <row r="2506" spans="1:19" x14ac:dyDescent="0.3">
      <c r="A2506" t="s">
        <v>2576</v>
      </c>
      <c r="B2506">
        <v>87</v>
      </c>
      <c r="C2506" t="s">
        <v>19</v>
      </c>
      <c r="D2506" t="s">
        <v>32</v>
      </c>
      <c r="E2506" s="1">
        <v>45561</v>
      </c>
      <c r="F2506" s="3">
        <v>45578</v>
      </c>
      <c r="G2506" t="s">
        <v>41</v>
      </c>
      <c r="H2506" t="s">
        <v>42</v>
      </c>
      <c r="I2506" t="s">
        <v>54</v>
      </c>
      <c r="J2506">
        <v>5013.74</v>
      </c>
      <c r="K2506">
        <v>17</v>
      </c>
      <c r="L2506" t="s">
        <v>36</v>
      </c>
      <c r="M2506" t="s">
        <v>25</v>
      </c>
      <c r="N2506" t="s">
        <v>55</v>
      </c>
      <c r="O2506" t="s">
        <v>37</v>
      </c>
      <c r="P2506" t="s">
        <v>50</v>
      </c>
      <c r="Q2506">
        <v>4</v>
      </c>
      <c r="R2506">
        <v>1787.31</v>
      </c>
      <c r="S2506" t="s">
        <v>29</v>
      </c>
    </row>
    <row r="2507" spans="1:19" x14ac:dyDescent="0.3">
      <c r="A2507" t="s">
        <v>2577</v>
      </c>
      <c r="B2507">
        <v>27</v>
      </c>
      <c r="C2507" t="s">
        <v>31</v>
      </c>
      <c r="D2507" t="s">
        <v>32</v>
      </c>
      <c r="E2507" s="1">
        <v>45289</v>
      </c>
      <c r="F2507" s="3">
        <v>45291</v>
      </c>
      <c r="G2507" t="s">
        <v>93</v>
      </c>
      <c r="H2507" t="s">
        <v>72</v>
      </c>
      <c r="I2507" t="s">
        <v>54</v>
      </c>
      <c r="J2507">
        <v>1668.76</v>
      </c>
      <c r="K2507">
        <v>2</v>
      </c>
      <c r="L2507" t="s">
        <v>24</v>
      </c>
      <c r="M2507" t="s">
        <v>59</v>
      </c>
      <c r="N2507" t="s">
        <v>55</v>
      </c>
      <c r="O2507" t="s">
        <v>37</v>
      </c>
      <c r="P2507" t="s">
        <v>28</v>
      </c>
      <c r="Q2507">
        <v>1</v>
      </c>
      <c r="R2507">
        <v>532.28</v>
      </c>
      <c r="S2507" t="s">
        <v>29</v>
      </c>
    </row>
    <row r="2508" spans="1:19" x14ac:dyDescent="0.3">
      <c r="A2508" t="s">
        <v>2578</v>
      </c>
      <c r="B2508">
        <v>83</v>
      </c>
      <c r="C2508" t="s">
        <v>31</v>
      </c>
      <c r="D2508" t="s">
        <v>66</v>
      </c>
      <c r="E2508" s="1">
        <v>45577</v>
      </c>
      <c r="F2508" s="3">
        <v>45597</v>
      </c>
      <c r="G2508" t="s">
        <v>71</v>
      </c>
      <c r="H2508" t="s">
        <v>72</v>
      </c>
      <c r="I2508" t="s">
        <v>54</v>
      </c>
      <c r="J2508">
        <v>13185.73</v>
      </c>
      <c r="K2508">
        <v>20</v>
      </c>
      <c r="L2508" t="s">
        <v>36</v>
      </c>
      <c r="M2508" t="s">
        <v>25</v>
      </c>
      <c r="N2508" t="s">
        <v>44</v>
      </c>
      <c r="O2508" t="s">
        <v>27</v>
      </c>
      <c r="P2508" t="s">
        <v>45</v>
      </c>
      <c r="Q2508">
        <v>1</v>
      </c>
      <c r="R2508">
        <v>5110.75</v>
      </c>
      <c r="S2508" t="s">
        <v>29</v>
      </c>
    </row>
    <row r="2509" spans="1:19" x14ac:dyDescent="0.3">
      <c r="A2509" t="s">
        <v>2579</v>
      </c>
      <c r="B2509">
        <v>42</v>
      </c>
      <c r="C2509" t="s">
        <v>31</v>
      </c>
      <c r="D2509" t="s">
        <v>47</v>
      </c>
      <c r="E2509" s="1">
        <v>45166</v>
      </c>
      <c r="F2509" s="3">
        <v>45185</v>
      </c>
      <c r="G2509" t="s">
        <v>93</v>
      </c>
      <c r="H2509" t="s">
        <v>72</v>
      </c>
      <c r="I2509" t="s">
        <v>91</v>
      </c>
      <c r="J2509">
        <v>8231.83</v>
      </c>
      <c r="K2509">
        <v>19</v>
      </c>
      <c r="L2509" t="s">
        <v>24</v>
      </c>
      <c r="M2509" t="s">
        <v>25</v>
      </c>
      <c r="N2509" t="s">
        <v>44</v>
      </c>
      <c r="O2509" t="s">
        <v>37</v>
      </c>
      <c r="P2509" t="s">
        <v>28</v>
      </c>
      <c r="Q2509">
        <v>12</v>
      </c>
      <c r="R2509">
        <v>1959.72</v>
      </c>
      <c r="S2509" t="s">
        <v>29</v>
      </c>
    </row>
    <row r="2510" spans="1:19" x14ac:dyDescent="0.3">
      <c r="A2510" t="s">
        <v>2580</v>
      </c>
      <c r="B2510">
        <v>23</v>
      </c>
      <c r="C2510" t="s">
        <v>31</v>
      </c>
      <c r="D2510" t="s">
        <v>47</v>
      </c>
      <c r="E2510" s="1">
        <v>45418</v>
      </c>
      <c r="F2510" s="3">
        <v>45428</v>
      </c>
      <c r="G2510" t="s">
        <v>41</v>
      </c>
      <c r="H2510" t="s">
        <v>42</v>
      </c>
      <c r="I2510" t="s">
        <v>83</v>
      </c>
      <c r="J2510">
        <v>10858.47</v>
      </c>
      <c r="K2510">
        <v>10</v>
      </c>
      <c r="L2510" t="s">
        <v>36</v>
      </c>
      <c r="M2510" t="s">
        <v>76</v>
      </c>
      <c r="N2510" t="s">
        <v>55</v>
      </c>
      <c r="O2510" t="s">
        <v>49</v>
      </c>
      <c r="P2510" t="s">
        <v>38</v>
      </c>
      <c r="Q2510">
        <v>1</v>
      </c>
      <c r="R2510">
        <v>3289.77</v>
      </c>
      <c r="S2510" t="s">
        <v>29</v>
      </c>
    </row>
    <row r="2511" spans="1:19" x14ac:dyDescent="0.3">
      <c r="A2511" t="s">
        <v>2581</v>
      </c>
      <c r="B2511">
        <v>37</v>
      </c>
      <c r="C2511" t="s">
        <v>31</v>
      </c>
      <c r="D2511" t="s">
        <v>66</v>
      </c>
      <c r="E2511" s="1">
        <v>45725</v>
      </c>
      <c r="F2511" s="3">
        <v>45739</v>
      </c>
      <c r="G2511" t="s">
        <v>93</v>
      </c>
      <c r="H2511" t="s">
        <v>72</v>
      </c>
      <c r="I2511" t="s">
        <v>91</v>
      </c>
      <c r="J2511">
        <v>8583.42</v>
      </c>
      <c r="K2511">
        <v>14</v>
      </c>
      <c r="L2511" t="s">
        <v>36</v>
      </c>
      <c r="M2511" t="s">
        <v>101</v>
      </c>
      <c r="N2511" t="s">
        <v>44</v>
      </c>
      <c r="O2511" t="s">
        <v>49</v>
      </c>
      <c r="P2511" t="s">
        <v>28</v>
      </c>
      <c r="Q2511">
        <v>1</v>
      </c>
      <c r="R2511">
        <v>2715.58</v>
      </c>
      <c r="S2511" t="s">
        <v>29</v>
      </c>
    </row>
    <row r="2512" spans="1:19" x14ac:dyDescent="0.3">
      <c r="A2512" t="s">
        <v>2582</v>
      </c>
      <c r="B2512">
        <v>21</v>
      </c>
      <c r="C2512" t="s">
        <v>31</v>
      </c>
      <c r="D2512" t="s">
        <v>66</v>
      </c>
      <c r="E2512" s="1">
        <v>44984</v>
      </c>
      <c r="F2512" s="3">
        <v>44990</v>
      </c>
      <c r="G2512" t="s">
        <v>67</v>
      </c>
      <c r="H2512" t="s">
        <v>42</v>
      </c>
      <c r="I2512" t="s">
        <v>58</v>
      </c>
      <c r="J2512">
        <v>5249.46</v>
      </c>
      <c r="K2512">
        <v>6</v>
      </c>
      <c r="L2512" t="s">
        <v>36</v>
      </c>
      <c r="M2512" t="s">
        <v>25</v>
      </c>
      <c r="N2512" t="s">
        <v>26</v>
      </c>
      <c r="O2512" t="s">
        <v>27</v>
      </c>
      <c r="P2512" t="s">
        <v>45</v>
      </c>
      <c r="Q2512">
        <v>15</v>
      </c>
      <c r="R2512">
        <v>1194.48</v>
      </c>
      <c r="S2512" t="s">
        <v>29</v>
      </c>
    </row>
    <row r="2513" spans="1:19" x14ac:dyDescent="0.3">
      <c r="A2513" t="s">
        <v>2583</v>
      </c>
      <c r="B2513">
        <v>61</v>
      </c>
      <c r="C2513" t="s">
        <v>19</v>
      </c>
      <c r="D2513" t="s">
        <v>70</v>
      </c>
      <c r="E2513" s="1">
        <v>45396</v>
      </c>
      <c r="F2513" s="3">
        <v>45415</v>
      </c>
      <c r="G2513" t="s">
        <v>48</v>
      </c>
      <c r="H2513" t="s">
        <v>22</v>
      </c>
      <c r="I2513" t="s">
        <v>23</v>
      </c>
      <c r="J2513">
        <v>12293.34</v>
      </c>
      <c r="K2513">
        <v>19</v>
      </c>
      <c r="L2513" t="s">
        <v>24</v>
      </c>
      <c r="M2513" t="s">
        <v>25</v>
      </c>
      <c r="N2513" t="s">
        <v>26</v>
      </c>
      <c r="O2513" t="s">
        <v>27</v>
      </c>
      <c r="P2513" t="s">
        <v>45</v>
      </c>
      <c r="Q2513">
        <v>5</v>
      </c>
      <c r="R2513">
        <v>2745.83</v>
      </c>
      <c r="S2513" t="s">
        <v>29</v>
      </c>
    </row>
    <row r="2514" spans="1:19" x14ac:dyDescent="0.3">
      <c r="A2514" t="s">
        <v>2584</v>
      </c>
      <c r="B2514">
        <v>34</v>
      </c>
      <c r="C2514" t="s">
        <v>19</v>
      </c>
      <c r="D2514" t="s">
        <v>61</v>
      </c>
      <c r="E2514" s="1">
        <v>45411</v>
      </c>
      <c r="F2514" s="3">
        <v>45426</v>
      </c>
      <c r="G2514" t="s">
        <v>48</v>
      </c>
      <c r="H2514" t="s">
        <v>22</v>
      </c>
      <c r="I2514" t="s">
        <v>23</v>
      </c>
      <c r="J2514">
        <v>7084.55</v>
      </c>
      <c r="K2514">
        <v>15</v>
      </c>
      <c r="L2514" t="s">
        <v>24</v>
      </c>
      <c r="M2514" t="s">
        <v>25</v>
      </c>
      <c r="N2514" t="s">
        <v>55</v>
      </c>
      <c r="O2514" t="s">
        <v>27</v>
      </c>
      <c r="P2514" t="s">
        <v>38</v>
      </c>
      <c r="Q2514">
        <v>14</v>
      </c>
      <c r="R2514">
        <v>2650.81</v>
      </c>
      <c r="S2514" t="s">
        <v>29</v>
      </c>
    </row>
    <row r="2515" spans="1:19" x14ac:dyDescent="0.3">
      <c r="A2515" t="s">
        <v>2585</v>
      </c>
      <c r="B2515">
        <v>21</v>
      </c>
      <c r="C2515" t="s">
        <v>19</v>
      </c>
      <c r="D2515" t="s">
        <v>32</v>
      </c>
      <c r="E2515" s="1">
        <v>45679</v>
      </c>
      <c r="F2515" s="3">
        <v>45688</v>
      </c>
      <c r="G2515" t="s">
        <v>74</v>
      </c>
      <c r="H2515" t="s">
        <v>75</v>
      </c>
      <c r="I2515" t="s">
        <v>91</v>
      </c>
      <c r="J2515">
        <v>6553.66</v>
      </c>
      <c r="K2515">
        <v>9</v>
      </c>
      <c r="L2515" t="s">
        <v>24</v>
      </c>
      <c r="M2515" t="s">
        <v>25</v>
      </c>
      <c r="N2515" t="s">
        <v>55</v>
      </c>
      <c r="O2515" t="s">
        <v>37</v>
      </c>
      <c r="P2515" t="s">
        <v>50</v>
      </c>
      <c r="Q2515">
        <v>8</v>
      </c>
      <c r="R2515">
        <v>1613.71</v>
      </c>
      <c r="S2515" t="s">
        <v>29</v>
      </c>
    </row>
    <row r="2516" spans="1:19" x14ac:dyDescent="0.3">
      <c r="A2516" t="s">
        <v>2586</v>
      </c>
      <c r="B2516">
        <v>32</v>
      </c>
      <c r="C2516" t="s">
        <v>31</v>
      </c>
      <c r="D2516" t="s">
        <v>47</v>
      </c>
      <c r="E2516" s="1">
        <v>45527</v>
      </c>
      <c r="F2516" s="3">
        <v>45529</v>
      </c>
      <c r="G2516" t="s">
        <v>93</v>
      </c>
      <c r="H2516" t="s">
        <v>72</v>
      </c>
      <c r="I2516" t="s">
        <v>58</v>
      </c>
      <c r="J2516">
        <v>1425.21</v>
      </c>
      <c r="K2516">
        <v>2</v>
      </c>
      <c r="L2516" t="s">
        <v>36</v>
      </c>
      <c r="M2516" t="s">
        <v>25</v>
      </c>
      <c r="N2516" t="s">
        <v>44</v>
      </c>
      <c r="O2516" t="s">
        <v>56</v>
      </c>
      <c r="P2516" t="s">
        <v>45</v>
      </c>
      <c r="Q2516">
        <v>10</v>
      </c>
      <c r="R2516">
        <v>462.83</v>
      </c>
      <c r="S2516" t="s">
        <v>29</v>
      </c>
    </row>
    <row r="2517" spans="1:19" x14ac:dyDescent="0.3">
      <c r="A2517" t="s">
        <v>2587</v>
      </c>
      <c r="B2517">
        <v>67</v>
      </c>
      <c r="C2517" t="s">
        <v>19</v>
      </c>
      <c r="D2517" t="s">
        <v>89</v>
      </c>
      <c r="E2517" s="1">
        <v>45170</v>
      </c>
      <c r="F2517" s="3">
        <v>45185</v>
      </c>
      <c r="G2517" t="s">
        <v>33</v>
      </c>
      <c r="H2517" t="s">
        <v>34</v>
      </c>
      <c r="I2517" t="s">
        <v>58</v>
      </c>
      <c r="J2517">
        <v>11810.55</v>
      </c>
      <c r="K2517">
        <v>15</v>
      </c>
      <c r="L2517" t="s">
        <v>24</v>
      </c>
      <c r="M2517" t="s">
        <v>25</v>
      </c>
      <c r="N2517" t="s">
        <v>26</v>
      </c>
      <c r="O2517" t="s">
        <v>37</v>
      </c>
      <c r="P2517" t="s">
        <v>38</v>
      </c>
      <c r="Q2517">
        <v>12</v>
      </c>
      <c r="R2517">
        <v>3287.81</v>
      </c>
      <c r="S2517" t="s">
        <v>29</v>
      </c>
    </row>
    <row r="2518" spans="1:19" x14ac:dyDescent="0.3">
      <c r="A2518" t="s">
        <v>2588</v>
      </c>
      <c r="B2518">
        <v>37</v>
      </c>
      <c r="C2518" t="s">
        <v>31</v>
      </c>
      <c r="D2518" t="s">
        <v>89</v>
      </c>
      <c r="E2518" s="1">
        <v>45405</v>
      </c>
      <c r="F2518" s="3">
        <v>45423</v>
      </c>
      <c r="G2518" t="s">
        <v>62</v>
      </c>
      <c r="H2518" t="s">
        <v>63</v>
      </c>
      <c r="I2518" t="s">
        <v>54</v>
      </c>
      <c r="J2518">
        <v>8248.8700000000008</v>
      </c>
      <c r="K2518">
        <v>18</v>
      </c>
      <c r="L2518" t="s">
        <v>36</v>
      </c>
      <c r="M2518" t="s">
        <v>101</v>
      </c>
      <c r="N2518" t="s">
        <v>44</v>
      </c>
      <c r="O2518" t="s">
        <v>27</v>
      </c>
      <c r="P2518" t="s">
        <v>45</v>
      </c>
      <c r="Q2518">
        <v>6</v>
      </c>
      <c r="R2518">
        <v>3159.38</v>
      </c>
      <c r="S2518" t="s">
        <v>29</v>
      </c>
    </row>
    <row r="2519" spans="1:19" x14ac:dyDescent="0.3">
      <c r="A2519" t="s">
        <v>2589</v>
      </c>
      <c r="B2519">
        <v>41</v>
      </c>
      <c r="C2519" t="s">
        <v>19</v>
      </c>
      <c r="D2519" t="s">
        <v>47</v>
      </c>
      <c r="E2519" s="1">
        <v>45711</v>
      </c>
      <c r="F2519" s="3">
        <v>45712</v>
      </c>
      <c r="G2519" t="s">
        <v>67</v>
      </c>
      <c r="H2519" t="s">
        <v>42</v>
      </c>
      <c r="I2519" t="s">
        <v>91</v>
      </c>
      <c r="J2519">
        <v>880.22</v>
      </c>
      <c r="K2519">
        <v>1</v>
      </c>
      <c r="L2519" t="s">
        <v>36</v>
      </c>
      <c r="M2519" t="s">
        <v>25</v>
      </c>
      <c r="N2519" t="s">
        <v>26</v>
      </c>
      <c r="O2519" t="s">
        <v>56</v>
      </c>
      <c r="P2519" t="s">
        <v>28</v>
      </c>
      <c r="Q2519">
        <v>5</v>
      </c>
      <c r="R2519">
        <v>203.1</v>
      </c>
      <c r="S2519" t="s">
        <v>29</v>
      </c>
    </row>
    <row r="2520" spans="1:19" x14ac:dyDescent="0.3">
      <c r="A2520" t="s">
        <v>2590</v>
      </c>
      <c r="B2520">
        <v>46</v>
      </c>
      <c r="C2520" t="s">
        <v>19</v>
      </c>
      <c r="D2520" t="s">
        <v>47</v>
      </c>
      <c r="E2520" s="1">
        <v>45156</v>
      </c>
      <c r="F2520" s="3">
        <v>45162</v>
      </c>
      <c r="G2520" t="s">
        <v>33</v>
      </c>
      <c r="H2520" t="s">
        <v>34</v>
      </c>
      <c r="I2520" t="s">
        <v>81</v>
      </c>
      <c r="J2520">
        <v>5210.6499999999996</v>
      </c>
      <c r="K2520">
        <v>6</v>
      </c>
      <c r="L2520" t="s">
        <v>36</v>
      </c>
      <c r="M2520" t="s">
        <v>101</v>
      </c>
      <c r="N2520" t="s">
        <v>26</v>
      </c>
      <c r="O2520" t="s">
        <v>27</v>
      </c>
      <c r="P2520" t="s">
        <v>28</v>
      </c>
      <c r="Q2520">
        <v>9</v>
      </c>
      <c r="R2520">
        <v>1807.22</v>
      </c>
      <c r="S2520" t="s">
        <v>29</v>
      </c>
    </row>
    <row r="2521" spans="1:19" x14ac:dyDescent="0.3">
      <c r="A2521" t="s">
        <v>2591</v>
      </c>
      <c r="B2521">
        <v>30</v>
      </c>
      <c r="C2521" t="s">
        <v>19</v>
      </c>
      <c r="D2521" t="s">
        <v>32</v>
      </c>
      <c r="E2521" s="1">
        <v>45705</v>
      </c>
      <c r="F2521" s="3">
        <v>45725</v>
      </c>
      <c r="G2521" t="s">
        <v>71</v>
      </c>
      <c r="H2521" t="s">
        <v>72</v>
      </c>
      <c r="I2521" t="s">
        <v>43</v>
      </c>
      <c r="J2521">
        <v>7833.49</v>
      </c>
      <c r="K2521">
        <v>20</v>
      </c>
      <c r="L2521" t="s">
        <v>24</v>
      </c>
      <c r="M2521" t="s">
        <v>59</v>
      </c>
      <c r="N2521" t="s">
        <v>55</v>
      </c>
      <c r="O2521" t="s">
        <v>56</v>
      </c>
      <c r="P2521" t="s">
        <v>50</v>
      </c>
      <c r="Q2521">
        <v>5</v>
      </c>
      <c r="R2521">
        <v>2523.25</v>
      </c>
      <c r="S2521" t="s">
        <v>29</v>
      </c>
    </row>
    <row r="2522" spans="1:19" x14ac:dyDescent="0.3">
      <c r="A2522" t="s">
        <v>2592</v>
      </c>
      <c r="B2522">
        <v>73</v>
      </c>
      <c r="C2522" t="s">
        <v>19</v>
      </c>
      <c r="D2522" t="s">
        <v>66</v>
      </c>
      <c r="E2522" s="1">
        <v>45622</v>
      </c>
      <c r="F2522" s="3">
        <v>45631</v>
      </c>
      <c r="G2522" t="s">
        <v>62</v>
      </c>
      <c r="H2522" t="s">
        <v>63</v>
      </c>
      <c r="I2522" t="s">
        <v>81</v>
      </c>
      <c r="J2522">
        <v>7726.66</v>
      </c>
      <c r="K2522">
        <v>9</v>
      </c>
      <c r="L2522" t="s">
        <v>36</v>
      </c>
      <c r="M2522" t="s">
        <v>25</v>
      </c>
      <c r="N2522" t="s">
        <v>44</v>
      </c>
      <c r="O2522" t="s">
        <v>27</v>
      </c>
      <c r="P2522" t="s">
        <v>50</v>
      </c>
      <c r="Q2522">
        <v>13</v>
      </c>
      <c r="R2522">
        <v>2729.68</v>
      </c>
      <c r="S2522" t="s">
        <v>29</v>
      </c>
    </row>
    <row r="2523" spans="1:19" x14ac:dyDescent="0.3">
      <c r="A2523" t="s">
        <v>2593</v>
      </c>
      <c r="B2523">
        <v>89</v>
      </c>
      <c r="C2523" t="s">
        <v>19</v>
      </c>
      <c r="D2523" t="s">
        <v>20</v>
      </c>
      <c r="E2523" s="1">
        <v>45346</v>
      </c>
      <c r="F2523" s="3">
        <v>45351</v>
      </c>
      <c r="G2523" t="s">
        <v>74</v>
      </c>
      <c r="H2523" t="s">
        <v>75</v>
      </c>
      <c r="I2523" t="s">
        <v>58</v>
      </c>
      <c r="J2523">
        <v>3252.95</v>
      </c>
      <c r="K2523">
        <v>5</v>
      </c>
      <c r="L2523" t="s">
        <v>36</v>
      </c>
      <c r="M2523" t="s">
        <v>25</v>
      </c>
      <c r="N2523" t="s">
        <v>44</v>
      </c>
      <c r="O2523" t="s">
        <v>56</v>
      </c>
      <c r="P2523" t="s">
        <v>38</v>
      </c>
      <c r="Q2523">
        <v>10</v>
      </c>
      <c r="R2523">
        <v>724.3</v>
      </c>
      <c r="S2523" t="s">
        <v>29</v>
      </c>
    </row>
    <row r="2524" spans="1:19" x14ac:dyDescent="0.3">
      <c r="A2524" t="s">
        <v>2594</v>
      </c>
      <c r="B2524">
        <v>63</v>
      </c>
      <c r="C2524" t="s">
        <v>19</v>
      </c>
      <c r="D2524" t="s">
        <v>47</v>
      </c>
      <c r="E2524" s="1">
        <v>45155</v>
      </c>
      <c r="F2524" s="3">
        <v>45171</v>
      </c>
      <c r="G2524" t="s">
        <v>52</v>
      </c>
      <c r="H2524" t="s">
        <v>53</v>
      </c>
      <c r="I2524" t="s">
        <v>35</v>
      </c>
      <c r="J2524">
        <v>9067.0400000000009</v>
      </c>
      <c r="K2524">
        <v>16</v>
      </c>
      <c r="L2524" t="s">
        <v>24</v>
      </c>
      <c r="M2524" t="s">
        <v>25</v>
      </c>
      <c r="N2524" t="s">
        <v>26</v>
      </c>
      <c r="O2524" t="s">
        <v>56</v>
      </c>
      <c r="P2524" t="s">
        <v>50</v>
      </c>
      <c r="Q2524">
        <v>3</v>
      </c>
      <c r="R2524">
        <v>1445.1</v>
      </c>
      <c r="S2524" t="s">
        <v>29</v>
      </c>
    </row>
    <row r="2525" spans="1:19" x14ac:dyDescent="0.3">
      <c r="A2525" t="s">
        <v>2595</v>
      </c>
      <c r="B2525">
        <v>56</v>
      </c>
      <c r="C2525" t="s">
        <v>19</v>
      </c>
      <c r="D2525" t="s">
        <v>66</v>
      </c>
      <c r="E2525" s="1">
        <v>44989</v>
      </c>
      <c r="F2525" s="3">
        <v>44991</v>
      </c>
      <c r="G2525" t="s">
        <v>48</v>
      </c>
      <c r="H2525" t="s">
        <v>22</v>
      </c>
      <c r="I2525" t="s">
        <v>35</v>
      </c>
      <c r="J2525">
        <v>1513.12</v>
      </c>
      <c r="K2525">
        <v>2</v>
      </c>
      <c r="L2525" t="s">
        <v>36</v>
      </c>
      <c r="M2525" t="s">
        <v>25</v>
      </c>
      <c r="N2525" t="s">
        <v>26</v>
      </c>
      <c r="O2525" t="s">
        <v>37</v>
      </c>
      <c r="P2525" t="s">
        <v>38</v>
      </c>
      <c r="Q2525">
        <v>5</v>
      </c>
      <c r="R2525">
        <v>402.22</v>
      </c>
      <c r="S2525" t="s">
        <v>29</v>
      </c>
    </row>
    <row r="2526" spans="1:19" x14ac:dyDescent="0.3">
      <c r="A2526" t="s">
        <v>2596</v>
      </c>
      <c r="B2526">
        <v>53</v>
      </c>
      <c r="C2526" t="s">
        <v>19</v>
      </c>
      <c r="D2526" t="s">
        <v>66</v>
      </c>
      <c r="E2526" s="1">
        <v>45339</v>
      </c>
      <c r="F2526" s="3">
        <v>45367</v>
      </c>
      <c r="G2526" t="s">
        <v>74</v>
      </c>
      <c r="H2526" t="s">
        <v>75</v>
      </c>
      <c r="I2526" t="s">
        <v>43</v>
      </c>
      <c r="J2526">
        <v>15968.7</v>
      </c>
      <c r="K2526">
        <v>28</v>
      </c>
      <c r="L2526" t="s">
        <v>24</v>
      </c>
      <c r="M2526" t="s">
        <v>59</v>
      </c>
      <c r="N2526" t="s">
        <v>44</v>
      </c>
      <c r="O2526" t="s">
        <v>49</v>
      </c>
      <c r="P2526" t="s">
        <v>28</v>
      </c>
      <c r="Q2526">
        <v>3</v>
      </c>
      <c r="R2526">
        <v>3024.05</v>
      </c>
      <c r="S2526" t="s">
        <v>29</v>
      </c>
    </row>
    <row r="2527" spans="1:19" x14ac:dyDescent="0.3">
      <c r="A2527" t="s">
        <v>2597</v>
      </c>
      <c r="B2527">
        <v>87</v>
      </c>
      <c r="C2527" t="s">
        <v>19</v>
      </c>
      <c r="D2527" t="s">
        <v>32</v>
      </c>
      <c r="E2527" s="1">
        <v>45501</v>
      </c>
      <c r="F2527" s="3">
        <v>45515</v>
      </c>
      <c r="G2527" t="s">
        <v>21</v>
      </c>
      <c r="H2527" t="s">
        <v>22</v>
      </c>
      <c r="I2527" t="s">
        <v>23</v>
      </c>
      <c r="J2527">
        <v>5002.33</v>
      </c>
      <c r="K2527">
        <v>14</v>
      </c>
      <c r="L2527" t="s">
        <v>36</v>
      </c>
      <c r="M2527" t="s">
        <v>59</v>
      </c>
      <c r="N2527" t="s">
        <v>44</v>
      </c>
      <c r="O2527" t="s">
        <v>37</v>
      </c>
      <c r="P2527" t="s">
        <v>45</v>
      </c>
      <c r="Q2527">
        <v>7</v>
      </c>
      <c r="R2527">
        <v>987.36</v>
      </c>
      <c r="S2527" t="s">
        <v>29</v>
      </c>
    </row>
    <row r="2528" spans="1:19" x14ac:dyDescent="0.3">
      <c r="A2528" t="s">
        <v>2598</v>
      </c>
      <c r="B2528">
        <v>85</v>
      </c>
      <c r="C2528" t="s">
        <v>19</v>
      </c>
      <c r="D2528" t="s">
        <v>61</v>
      </c>
      <c r="E2528" s="1">
        <v>45731</v>
      </c>
      <c r="F2528" s="3">
        <v>45758</v>
      </c>
      <c r="G2528" t="s">
        <v>41</v>
      </c>
      <c r="H2528" t="s">
        <v>42</v>
      </c>
      <c r="I2528" t="s">
        <v>83</v>
      </c>
      <c r="J2528">
        <v>23821.5</v>
      </c>
      <c r="K2528">
        <v>27</v>
      </c>
      <c r="L2528" t="s">
        <v>24</v>
      </c>
      <c r="M2528" t="s">
        <v>25</v>
      </c>
      <c r="N2528" t="s">
        <v>55</v>
      </c>
      <c r="O2528" t="s">
        <v>49</v>
      </c>
      <c r="P2528" t="s">
        <v>38</v>
      </c>
      <c r="Q2528">
        <v>7</v>
      </c>
      <c r="R2528">
        <v>7246.26</v>
      </c>
      <c r="S2528" t="s">
        <v>29</v>
      </c>
    </row>
    <row r="2529" spans="1:19" x14ac:dyDescent="0.3">
      <c r="A2529" t="s">
        <v>2599</v>
      </c>
      <c r="B2529">
        <v>63</v>
      </c>
      <c r="C2529" t="s">
        <v>19</v>
      </c>
      <c r="D2529" t="s">
        <v>32</v>
      </c>
      <c r="E2529" s="1">
        <v>45775</v>
      </c>
      <c r="F2529" s="3">
        <v>45787</v>
      </c>
      <c r="G2529" t="s">
        <v>41</v>
      </c>
      <c r="H2529" t="s">
        <v>42</v>
      </c>
      <c r="I2529" t="s">
        <v>91</v>
      </c>
      <c r="J2529">
        <v>9492.4599999999991</v>
      </c>
      <c r="K2529">
        <v>12</v>
      </c>
      <c r="L2529" t="s">
        <v>24</v>
      </c>
      <c r="M2529" t="s">
        <v>25</v>
      </c>
      <c r="N2529" t="s">
        <v>44</v>
      </c>
      <c r="O2529" t="s">
        <v>27</v>
      </c>
      <c r="P2529" t="s">
        <v>28</v>
      </c>
      <c r="Q2529">
        <v>1</v>
      </c>
      <c r="R2529">
        <v>3107.91</v>
      </c>
      <c r="S2529" t="s">
        <v>29</v>
      </c>
    </row>
    <row r="2530" spans="1:19" x14ac:dyDescent="0.3">
      <c r="A2530" t="s">
        <v>2600</v>
      </c>
      <c r="B2530">
        <v>21</v>
      </c>
      <c r="C2530" t="s">
        <v>31</v>
      </c>
      <c r="D2530" t="s">
        <v>61</v>
      </c>
      <c r="E2530" s="1">
        <v>45312</v>
      </c>
      <c r="F2530" s="3">
        <v>45338</v>
      </c>
      <c r="G2530" t="s">
        <v>48</v>
      </c>
      <c r="H2530" t="s">
        <v>22</v>
      </c>
      <c r="I2530" t="s">
        <v>81</v>
      </c>
      <c r="J2530">
        <v>9986.44</v>
      </c>
      <c r="K2530">
        <v>26</v>
      </c>
      <c r="L2530" t="s">
        <v>36</v>
      </c>
      <c r="M2530" t="s">
        <v>25</v>
      </c>
      <c r="N2530" t="s">
        <v>26</v>
      </c>
      <c r="O2530" t="s">
        <v>49</v>
      </c>
      <c r="P2530" t="s">
        <v>28</v>
      </c>
      <c r="Q2530">
        <v>8</v>
      </c>
      <c r="R2530">
        <v>2934.15</v>
      </c>
      <c r="S2530" t="s">
        <v>29</v>
      </c>
    </row>
    <row r="2531" spans="1:19" x14ac:dyDescent="0.3">
      <c r="A2531" t="s">
        <v>2601</v>
      </c>
      <c r="B2531">
        <v>71</v>
      </c>
      <c r="C2531" t="s">
        <v>31</v>
      </c>
      <c r="D2531" t="s">
        <v>61</v>
      </c>
      <c r="E2531" s="1">
        <v>45604</v>
      </c>
      <c r="F2531" s="3">
        <v>45607</v>
      </c>
      <c r="G2531" t="s">
        <v>93</v>
      </c>
      <c r="H2531" t="s">
        <v>72</v>
      </c>
      <c r="I2531" t="s">
        <v>58</v>
      </c>
      <c r="J2531">
        <v>8924.2999999999993</v>
      </c>
      <c r="K2531">
        <v>3</v>
      </c>
      <c r="L2531" t="s">
        <v>36</v>
      </c>
      <c r="M2531" t="s">
        <v>25</v>
      </c>
      <c r="N2531" t="s">
        <v>26</v>
      </c>
      <c r="O2531" t="s">
        <v>49</v>
      </c>
      <c r="P2531" t="s">
        <v>38</v>
      </c>
      <c r="Q2531">
        <v>5</v>
      </c>
      <c r="R2531">
        <v>3544.59</v>
      </c>
      <c r="S2531" t="s">
        <v>29</v>
      </c>
    </row>
    <row r="2532" spans="1:19" x14ac:dyDescent="0.3">
      <c r="A2532" t="s">
        <v>2602</v>
      </c>
      <c r="B2532">
        <v>40</v>
      </c>
      <c r="C2532" t="s">
        <v>19</v>
      </c>
      <c r="D2532" t="s">
        <v>61</v>
      </c>
      <c r="E2532" s="1">
        <v>45440</v>
      </c>
      <c r="F2532" s="3">
        <v>45445</v>
      </c>
      <c r="G2532" t="s">
        <v>21</v>
      </c>
      <c r="H2532" t="s">
        <v>22</v>
      </c>
      <c r="I2532" t="s">
        <v>23</v>
      </c>
      <c r="J2532">
        <v>2871.59</v>
      </c>
      <c r="K2532">
        <v>5</v>
      </c>
      <c r="L2532" t="s">
        <v>36</v>
      </c>
      <c r="M2532" t="s">
        <v>76</v>
      </c>
      <c r="N2532" t="s">
        <v>55</v>
      </c>
      <c r="O2532" t="s">
        <v>37</v>
      </c>
      <c r="P2532" t="s">
        <v>28</v>
      </c>
      <c r="Q2532">
        <v>14</v>
      </c>
      <c r="R2532">
        <v>1052.94</v>
      </c>
      <c r="S2532" t="s">
        <v>29</v>
      </c>
    </row>
    <row r="2533" spans="1:19" x14ac:dyDescent="0.3">
      <c r="A2533" t="s">
        <v>2603</v>
      </c>
      <c r="B2533">
        <v>62</v>
      </c>
      <c r="C2533" t="s">
        <v>31</v>
      </c>
      <c r="D2533" t="s">
        <v>70</v>
      </c>
      <c r="E2533" s="1">
        <v>45512</v>
      </c>
      <c r="F2533" s="3">
        <v>45524</v>
      </c>
      <c r="G2533" t="s">
        <v>52</v>
      </c>
      <c r="H2533" t="s">
        <v>53</v>
      </c>
      <c r="I2533" t="s">
        <v>54</v>
      </c>
      <c r="J2533">
        <v>4228.01</v>
      </c>
      <c r="K2533">
        <v>12</v>
      </c>
      <c r="L2533" t="s">
        <v>24</v>
      </c>
      <c r="M2533" t="s">
        <v>25</v>
      </c>
      <c r="N2533" t="s">
        <v>55</v>
      </c>
      <c r="O2533" t="s">
        <v>37</v>
      </c>
      <c r="P2533" t="s">
        <v>45</v>
      </c>
      <c r="Q2533">
        <v>9</v>
      </c>
      <c r="R2533">
        <v>1583.34</v>
      </c>
      <c r="S2533" t="s">
        <v>29</v>
      </c>
    </row>
    <row r="2534" spans="1:19" x14ac:dyDescent="0.3">
      <c r="A2534" t="s">
        <v>2604</v>
      </c>
      <c r="B2534">
        <v>31</v>
      </c>
      <c r="C2534" t="s">
        <v>31</v>
      </c>
      <c r="D2534" t="s">
        <v>20</v>
      </c>
      <c r="E2534" s="1">
        <v>45548</v>
      </c>
      <c r="F2534" s="3">
        <v>45558</v>
      </c>
      <c r="G2534" t="s">
        <v>62</v>
      </c>
      <c r="H2534" t="s">
        <v>63</v>
      </c>
      <c r="I2534" t="s">
        <v>83</v>
      </c>
      <c r="J2534">
        <v>7902.47</v>
      </c>
      <c r="K2534">
        <v>10</v>
      </c>
      <c r="L2534" t="s">
        <v>36</v>
      </c>
      <c r="M2534" t="s">
        <v>25</v>
      </c>
      <c r="N2534" t="s">
        <v>26</v>
      </c>
      <c r="O2534" t="s">
        <v>56</v>
      </c>
      <c r="P2534" t="s">
        <v>50</v>
      </c>
      <c r="Q2534">
        <v>1</v>
      </c>
      <c r="R2534">
        <v>2487.46</v>
      </c>
      <c r="S2534" t="s">
        <v>29</v>
      </c>
    </row>
    <row r="2535" spans="1:19" x14ac:dyDescent="0.3">
      <c r="A2535" t="s">
        <v>2605</v>
      </c>
      <c r="B2535">
        <v>27</v>
      </c>
      <c r="C2535" t="s">
        <v>19</v>
      </c>
      <c r="D2535" t="s">
        <v>79</v>
      </c>
      <c r="E2535" s="1">
        <v>45643</v>
      </c>
      <c r="F2535" s="3">
        <v>45663</v>
      </c>
      <c r="G2535" t="s">
        <v>41</v>
      </c>
      <c r="H2535" t="s">
        <v>42</v>
      </c>
      <c r="I2535" t="s">
        <v>23</v>
      </c>
      <c r="J2535">
        <v>7650.99</v>
      </c>
      <c r="K2535">
        <v>20</v>
      </c>
      <c r="L2535" t="s">
        <v>36</v>
      </c>
      <c r="M2535" t="s">
        <v>25</v>
      </c>
      <c r="N2535" t="s">
        <v>44</v>
      </c>
      <c r="O2535" t="s">
        <v>37</v>
      </c>
      <c r="P2535" t="s">
        <v>38</v>
      </c>
      <c r="Q2535">
        <v>13</v>
      </c>
      <c r="R2535">
        <v>1465.39</v>
      </c>
      <c r="S2535" t="s">
        <v>29</v>
      </c>
    </row>
    <row r="2536" spans="1:19" x14ac:dyDescent="0.3">
      <c r="A2536" t="s">
        <v>2606</v>
      </c>
      <c r="B2536">
        <v>45</v>
      </c>
      <c r="C2536" t="s">
        <v>31</v>
      </c>
      <c r="D2536" t="s">
        <v>32</v>
      </c>
      <c r="E2536" s="1">
        <v>45286</v>
      </c>
      <c r="F2536" s="3">
        <v>45299</v>
      </c>
      <c r="G2536" t="s">
        <v>74</v>
      </c>
      <c r="H2536" t="s">
        <v>75</v>
      </c>
      <c r="I2536" t="s">
        <v>54</v>
      </c>
      <c r="J2536">
        <v>5501.01</v>
      </c>
      <c r="K2536">
        <v>13</v>
      </c>
      <c r="L2536" t="s">
        <v>36</v>
      </c>
      <c r="M2536" t="s">
        <v>59</v>
      </c>
      <c r="N2536" t="s">
        <v>26</v>
      </c>
      <c r="O2536" t="s">
        <v>27</v>
      </c>
      <c r="P2536" t="s">
        <v>38</v>
      </c>
      <c r="Q2536">
        <v>9</v>
      </c>
      <c r="R2536">
        <v>1078.8399999999999</v>
      </c>
      <c r="S2536" t="s">
        <v>29</v>
      </c>
    </row>
    <row r="2537" spans="1:19" x14ac:dyDescent="0.3">
      <c r="A2537" t="s">
        <v>2607</v>
      </c>
      <c r="B2537">
        <v>82</v>
      </c>
      <c r="C2537" t="s">
        <v>19</v>
      </c>
      <c r="D2537" t="s">
        <v>47</v>
      </c>
      <c r="E2537" s="1">
        <v>45129</v>
      </c>
      <c r="F2537" s="3">
        <v>45142</v>
      </c>
      <c r="G2537" t="s">
        <v>71</v>
      </c>
      <c r="H2537" t="s">
        <v>72</v>
      </c>
      <c r="I2537" t="s">
        <v>81</v>
      </c>
      <c r="J2537">
        <v>9192.89</v>
      </c>
      <c r="K2537">
        <v>13</v>
      </c>
      <c r="L2537" t="s">
        <v>24</v>
      </c>
      <c r="M2537" t="s">
        <v>25</v>
      </c>
      <c r="N2537" t="s">
        <v>44</v>
      </c>
      <c r="O2537" t="s">
        <v>27</v>
      </c>
      <c r="P2537" t="s">
        <v>50</v>
      </c>
      <c r="Q2537">
        <v>6</v>
      </c>
      <c r="R2537">
        <v>2566.33</v>
      </c>
      <c r="S2537" t="s">
        <v>29</v>
      </c>
    </row>
    <row r="2538" spans="1:19" x14ac:dyDescent="0.3">
      <c r="A2538" t="s">
        <v>2608</v>
      </c>
      <c r="B2538">
        <v>69</v>
      </c>
      <c r="C2538" t="s">
        <v>19</v>
      </c>
      <c r="D2538" t="s">
        <v>20</v>
      </c>
      <c r="E2538" s="1">
        <v>45178</v>
      </c>
      <c r="F2538" s="3">
        <v>45198</v>
      </c>
      <c r="G2538" t="s">
        <v>93</v>
      </c>
      <c r="H2538" t="s">
        <v>72</v>
      </c>
      <c r="I2538" t="s">
        <v>23</v>
      </c>
      <c r="J2538">
        <v>15599.6</v>
      </c>
      <c r="K2538">
        <v>20</v>
      </c>
      <c r="L2538" t="s">
        <v>36</v>
      </c>
      <c r="M2538" t="s">
        <v>25</v>
      </c>
      <c r="N2538" t="s">
        <v>44</v>
      </c>
      <c r="O2538" t="s">
        <v>56</v>
      </c>
      <c r="P2538" t="s">
        <v>28</v>
      </c>
      <c r="Q2538">
        <v>4</v>
      </c>
      <c r="R2538">
        <v>3760.78</v>
      </c>
      <c r="S2538" t="s">
        <v>29</v>
      </c>
    </row>
    <row r="2539" spans="1:19" x14ac:dyDescent="0.3">
      <c r="A2539" t="s">
        <v>2609</v>
      </c>
      <c r="B2539">
        <v>42</v>
      </c>
      <c r="C2539" t="s">
        <v>19</v>
      </c>
      <c r="D2539" t="s">
        <v>47</v>
      </c>
      <c r="E2539" s="1">
        <v>45213</v>
      </c>
      <c r="F2539" s="3">
        <v>45218</v>
      </c>
      <c r="G2539" t="s">
        <v>71</v>
      </c>
      <c r="H2539" t="s">
        <v>72</v>
      </c>
      <c r="I2539" t="s">
        <v>23</v>
      </c>
      <c r="J2539">
        <v>5485.45</v>
      </c>
      <c r="K2539">
        <v>5</v>
      </c>
      <c r="L2539" t="s">
        <v>24</v>
      </c>
      <c r="M2539" t="s">
        <v>25</v>
      </c>
      <c r="N2539" t="s">
        <v>55</v>
      </c>
      <c r="O2539" t="s">
        <v>56</v>
      </c>
      <c r="P2539" t="s">
        <v>38</v>
      </c>
      <c r="Q2539">
        <v>6</v>
      </c>
      <c r="R2539">
        <v>1996.16</v>
      </c>
      <c r="S2539" t="s">
        <v>29</v>
      </c>
    </row>
    <row r="2540" spans="1:19" x14ac:dyDescent="0.3">
      <c r="A2540" t="s">
        <v>2610</v>
      </c>
      <c r="B2540">
        <v>47</v>
      </c>
      <c r="C2540" t="s">
        <v>19</v>
      </c>
      <c r="D2540" t="s">
        <v>61</v>
      </c>
      <c r="E2540" s="1">
        <v>45427</v>
      </c>
      <c r="F2540" s="3">
        <v>45434</v>
      </c>
      <c r="G2540" t="s">
        <v>93</v>
      </c>
      <c r="H2540" t="s">
        <v>72</v>
      </c>
      <c r="I2540" t="s">
        <v>54</v>
      </c>
      <c r="J2540">
        <v>5071.3900000000003</v>
      </c>
      <c r="K2540">
        <v>7</v>
      </c>
      <c r="L2540" t="s">
        <v>24</v>
      </c>
      <c r="M2540" t="s">
        <v>25</v>
      </c>
      <c r="N2540" t="s">
        <v>26</v>
      </c>
      <c r="O2540" t="s">
        <v>37</v>
      </c>
      <c r="P2540" t="s">
        <v>28</v>
      </c>
      <c r="Q2540">
        <v>3</v>
      </c>
      <c r="R2540">
        <v>902.82</v>
      </c>
      <c r="S2540" t="s">
        <v>29</v>
      </c>
    </row>
    <row r="2541" spans="1:19" x14ac:dyDescent="0.3">
      <c r="A2541" t="s">
        <v>2611</v>
      </c>
      <c r="B2541">
        <v>86</v>
      </c>
      <c r="C2541" t="s">
        <v>31</v>
      </c>
      <c r="D2541" t="s">
        <v>79</v>
      </c>
      <c r="E2541" s="1">
        <v>45162</v>
      </c>
      <c r="F2541" s="3">
        <v>45192</v>
      </c>
      <c r="G2541" t="s">
        <v>93</v>
      </c>
      <c r="H2541" t="s">
        <v>72</v>
      </c>
      <c r="I2541" t="s">
        <v>91</v>
      </c>
      <c r="J2541">
        <v>23462.720000000001</v>
      </c>
      <c r="K2541">
        <v>30</v>
      </c>
      <c r="L2541" t="s">
        <v>24</v>
      </c>
      <c r="M2541" t="s">
        <v>59</v>
      </c>
      <c r="N2541" t="s">
        <v>44</v>
      </c>
      <c r="O2541" t="s">
        <v>49</v>
      </c>
      <c r="P2541" t="s">
        <v>28</v>
      </c>
      <c r="Q2541">
        <v>10</v>
      </c>
      <c r="R2541">
        <v>5842.99</v>
      </c>
      <c r="S2541" t="s">
        <v>29</v>
      </c>
    </row>
    <row r="2542" spans="1:19" x14ac:dyDescent="0.3">
      <c r="A2542" t="s">
        <v>2612</v>
      </c>
      <c r="B2542">
        <v>49</v>
      </c>
      <c r="C2542" t="s">
        <v>19</v>
      </c>
      <c r="D2542" t="s">
        <v>79</v>
      </c>
      <c r="E2542" s="1">
        <v>45639</v>
      </c>
      <c r="F2542" s="3">
        <v>45649</v>
      </c>
      <c r="G2542" t="s">
        <v>41</v>
      </c>
      <c r="H2542" t="s">
        <v>42</v>
      </c>
      <c r="I2542" t="s">
        <v>43</v>
      </c>
      <c r="J2542">
        <v>2847.85</v>
      </c>
      <c r="K2542">
        <v>10</v>
      </c>
      <c r="L2542" t="s">
        <v>24</v>
      </c>
      <c r="M2542" t="s">
        <v>25</v>
      </c>
      <c r="N2542" t="s">
        <v>44</v>
      </c>
      <c r="O2542" t="s">
        <v>37</v>
      </c>
      <c r="P2542" t="s">
        <v>50</v>
      </c>
      <c r="Q2542">
        <v>11</v>
      </c>
      <c r="R2542">
        <v>952.04</v>
      </c>
      <c r="S2542" t="s">
        <v>29</v>
      </c>
    </row>
    <row r="2543" spans="1:19" x14ac:dyDescent="0.3">
      <c r="A2543" t="s">
        <v>2613</v>
      </c>
      <c r="B2543">
        <v>48</v>
      </c>
      <c r="C2543" t="s">
        <v>19</v>
      </c>
      <c r="D2543" t="s">
        <v>47</v>
      </c>
      <c r="E2543" s="1">
        <v>45281</v>
      </c>
      <c r="F2543" s="3">
        <v>45295</v>
      </c>
      <c r="G2543" t="s">
        <v>48</v>
      </c>
      <c r="H2543" t="s">
        <v>22</v>
      </c>
      <c r="I2543" t="s">
        <v>58</v>
      </c>
      <c r="J2543">
        <v>2605.13</v>
      </c>
      <c r="K2543">
        <v>14</v>
      </c>
      <c r="L2543" t="s">
        <v>36</v>
      </c>
      <c r="M2543" t="s">
        <v>25</v>
      </c>
      <c r="N2543" t="s">
        <v>26</v>
      </c>
      <c r="O2543" t="s">
        <v>27</v>
      </c>
      <c r="P2543" t="s">
        <v>28</v>
      </c>
      <c r="Q2543">
        <v>4</v>
      </c>
      <c r="R2543">
        <v>673.75</v>
      </c>
      <c r="S2543" t="s">
        <v>29</v>
      </c>
    </row>
    <row r="2544" spans="1:19" x14ac:dyDescent="0.3">
      <c r="A2544" t="s">
        <v>2614</v>
      </c>
      <c r="B2544">
        <v>78</v>
      </c>
      <c r="C2544" t="s">
        <v>19</v>
      </c>
      <c r="D2544" t="s">
        <v>89</v>
      </c>
      <c r="E2544" s="1">
        <v>45146</v>
      </c>
      <c r="F2544" s="3">
        <v>45163</v>
      </c>
      <c r="G2544" t="s">
        <v>93</v>
      </c>
      <c r="H2544" t="s">
        <v>72</v>
      </c>
      <c r="I2544" t="s">
        <v>83</v>
      </c>
      <c r="J2544">
        <v>8389.11</v>
      </c>
      <c r="K2544">
        <v>17</v>
      </c>
      <c r="L2544" t="s">
        <v>36</v>
      </c>
      <c r="M2544" t="s">
        <v>25</v>
      </c>
      <c r="N2544" t="s">
        <v>44</v>
      </c>
      <c r="O2544" t="s">
        <v>27</v>
      </c>
      <c r="P2544" t="s">
        <v>45</v>
      </c>
      <c r="Q2544">
        <v>11</v>
      </c>
      <c r="R2544">
        <v>2917.72</v>
      </c>
      <c r="S2544" t="s">
        <v>29</v>
      </c>
    </row>
    <row r="2545" spans="1:19" x14ac:dyDescent="0.3">
      <c r="A2545" t="s">
        <v>2615</v>
      </c>
      <c r="B2545">
        <v>72</v>
      </c>
      <c r="C2545" t="s">
        <v>19</v>
      </c>
      <c r="D2545" t="s">
        <v>70</v>
      </c>
      <c r="E2545" s="1">
        <v>45474</v>
      </c>
      <c r="F2545" s="3">
        <v>45488</v>
      </c>
      <c r="G2545" t="s">
        <v>93</v>
      </c>
      <c r="H2545" t="s">
        <v>72</v>
      </c>
      <c r="I2545" t="s">
        <v>54</v>
      </c>
      <c r="J2545">
        <v>8891.15</v>
      </c>
      <c r="K2545">
        <v>14</v>
      </c>
      <c r="L2545" t="s">
        <v>24</v>
      </c>
      <c r="M2545" t="s">
        <v>25</v>
      </c>
      <c r="N2545" t="s">
        <v>26</v>
      </c>
      <c r="O2545" t="s">
        <v>56</v>
      </c>
      <c r="P2545" t="s">
        <v>28</v>
      </c>
      <c r="Q2545">
        <v>15</v>
      </c>
      <c r="R2545">
        <v>2007</v>
      </c>
      <c r="S2545" t="s">
        <v>39</v>
      </c>
    </row>
    <row r="2546" spans="1:19" x14ac:dyDescent="0.3">
      <c r="A2546" t="s">
        <v>2616</v>
      </c>
      <c r="B2546">
        <v>22</v>
      </c>
      <c r="C2546" t="s">
        <v>19</v>
      </c>
      <c r="D2546" t="s">
        <v>70</v>
      </c>
      <c r="E2546" s="1">
        <v>45069</v>
      </c>
      <c r="F2546" s="3">
        <v>45072</v>
      </c>
      <c r="G2546" t="s">
        <v>21</v>
      </c>
      <c r="H2546" t="s">
        <v>22</v>
      </c>
      <c r="I2546" t="s">
        <v>35</v>
      </c>
      <c r="J2546">
        <v>1840.62</v>
      </c>
      <c r="K2546">
        <v>3</v>
      </c>
      <c r="L2546" t="s">
        <v>24</v>
      </c>
      <c r="M2546" t="s">
        <v>59</v>
      </c>
      <c r="N2546" t="s">
        <v>44</v>
      </c>
      <c r="O2546" t="s">
        <v>37</v>
      </c>
      <c r="P2546" t="s">
        <v>50</v>
      </c>
      <c r="Q2546">
        <v>9</v>
      </c>
      <c r="R2546">
        <v>625.21</v>
      </c>
      <c r="S2546" t="s">
        <v>29</v>
      </c>
    </row>
    <row r="2547" spans="1:19" x14ac:dyDescent="0.3">
      <c r="A2547" t="s">
        <v>2617</v>
      </c>
      <c r="B2547">
        <v>42</v>
      </c>
      <c r="C2547" t="s">
        <v>19</v>
      </c>
      <c r="D2547" t="s">
        <v>32</v>
      </c>
      <c r="E2547" s="1">
        <v>45126</v>
      </c>
      <c r="F2547" s="3">
        <v>45136</v>
      </c>
      <c r="G2547" t="s">
        <v>67</v>
      </c>
      <c r="H2547" t="s">
        <v>42</v>
      </c>
      <c r="I2547" t="s">
        <v>23</v>
      </c>
      <c r="J2547">
        <v>14701.79</v>
      </c>
      <c r="K2547">
        <v>10</v>
      </c>
      <c r="L2547" t="s">
        <v>24</v>
      </c>
      <c r="M2547" t="s">
        <v>25</v>
      </c>
      <c r="N2547" t="s">
        <v>44</v>
      </c>
      <c r="O2547" t="s">
        <v>49</v>
      </c>
      <c r="P2547" t="s">
        <v>38</v>
      </c>
      <c r="Q2547">
        <v>10</v>
      </c>
      <c r="R2547">
        <v>3548.5</v>
      </c>
      <c r="S2547" t="s">
        <v>29</v>
      </c>
    </row>
    <row r="2548" spans="1:19" x14ac:dyDescent="0.3">
      <c r="A2548" t="s">
        <v>2618</v>
      </c>
      <c r="B2548">
        <v>82</v>
      </c>
      <c r="C2548" t="s">
        <v>31</v>
      </c>
      <c r="D2548" t="s">
        <v>70</v>
      </c>
      <c r="E2548" s="1">
        <v>45344</v>
      </c>
      <c r="F2548" s="3">
        <v>45354</v>
      </c>
      <c r="G2548" t="s">
        <v>67</v>
      </c>
      <c r="H2548" t="s">
        <v>42</v>
      </c>
      <c r="I2548" t="s">
        <v>23</v>
      </c>
      <c r="J2548">
        <v>3107.81</v>
      </c>
      <c r="K2548">
        <v>10</v>
      </c>
      <c r="L2548" t="s">
        <v>24</v>
      </c>
      <c r="M2548" t="s">
        <v>25</v>
      </c>
      <c r="N2548" t="s">
        <v>26</v>
      </c>
      <c r="O2548" t="s">
        <v>27</v>
      </c>
      <c r="P2548" t="s">
        <v>38</v>
      </c>
      <c r="Q2548">
        <v>14</v>
      </c>
      <c r="R2548">
        <v>1227.83</v>
      </c>
      <c r="S2548" t="s">
        <v>29</v>
      </c>
    </row>
    <row r="2549" spans="1:19" x14ac:dyDescent="0.3">
      <c r="A2549" t="s">
        <v>2619</v>
      </c>
      <c r="B2549">
        <v>89</v>
      </c>
      <c r="C2549" t="s">
        <v>19</v>
      </c>
      <c r="D2549" t="s">
        <v>47</v>
      </c>
      <c r="E2549" s="1">
        <v>45239</v>
      </c>
      <c r="F2549" s="3">
        <v>45240</v>
      </c>
      <c r="G2549" t="s">
        <v>33</v>
      </c>
      <c r="H2549" t="s">
        <v>34</v>
      </c>
      <c r="I2549" t="s">
        <v>81</v>
      </c>
      <c r="J2549">
        <v>3194.39</v>
      </c>
      <c r="K2549">
        <v>1</v>
      </c>
      <c r="L2549" t="s">
        <v>36</v>
      </c>
      <c r="M2549" t="s">
        <v>25</v>
      </c>
      <c r="N2549" t="s">
        <v>55</v>
      </c>
      <c r="O2549" t="s">
        <v>56</v>
      </c>
      <c r="P2549" t="s">
        <v>45</v>
      </c>
      <c r="Q2549">
        <v>1</v>
      </c>
      <c r="R2549">
        <v>598.20000000000005</v>
      </c>
      <c r="S2549" t="s">
        <v>29</v>
      </c>
    </row>
    <row r="2550" spans="1:19" x14ac:dyDescent="0.3">
      <c r="A2550" t="s">
        <v>2620</v>
      </c>
      <c r="B2550">
        <v>78</v>
      </c>
      <c r="C2550" t="s">
        <v>19</v>
      </c>
      <c r="D2550" t="s">
        <v>89</v>
      </c>
      <c r="E2550" s="1">
        <v>45308</v>
      </c>
      <c r="F2550" s="3">
        <v>45318</v>
      </c>
      <c r="G2550" t="s">
        <v>74</v>
      </c>
      <c r="H2550" t="s">
        <v>75</v>
      </c>
      <c r="I2550" t="s">
        <v>23</v>
      </c>
      <c r="J2550">
        <v>2363.85</v>
      </c>
      <c r="K2550">
        <v>10</v>
      </c>
      <c r="L2550" t="s">
        <v>24</v>
      </c>
      <c r="M2550" t="s">
        <v>59</v>
      </c>
      <c r="N2550" t="s">
        <v>55</v>
      </c>
      <c r="O2550" t="s">
        <v>27</v>
      </c>
      <c r="P2550" t="s">
        <v>45</v>
      </c>
      <c r="Q2550">
        <v>9</v>
      </c>
      <c r="R2550">
        <v>746.07</v>
      </c>
      <c r="S2550" t="s">
        <v>29</v>
      </c>
    </row>
    <row r="2551" spans="1:19" x14ac:dyDescent="0.3">
      <c r="A2551" t="s">
        <v>2621</v>
      </c>
      <c r="B2551">
        <v>32</v>
      </c>
      <c r="C2551" t="s">
        <v>19</v>
      </c>
      <c r="D2551" t="s">
        <v>89</v>
      </c>
      <c r="E2551" s="1">
        <v>45076</v>
      </c>
      <c r="F2551" s="3">
        <v>45095</v>
      </c>
      <c r="G2551" t="s">
        <v>62</v>
      </c>
      <c r="H2551" t="s">
        <v>63</v>
      </c>
      <c r="I2551" t="s">
        <v>58</v>
      </c>
      <c r="J2551">
        <v>5057.33</v>
      </c>
      <c r="K2551">
        <v>19</v>
      </c>
      <c r="L2551" t="s">
        <v>24</v>
      </c>
      <c r="M2551" t="s">
        <v>59</v>
      </c>
      <c r="N2551" t="s">
        <v>26</v>
      </c>
      <c r="O2551" t="s">
        <v>37</v>
      </c>
      <c r="P2551" t="s">
        <v>50</v>
      </c>
      <c r="Q2551">
        <v>14</v>
      </c>
      <c r="R2551">
        <v>1716.6</v>
      </c>
      <c r="S2551" t="s">
        <v>29</v>
      </c>
    </row>
    <row r="2552" spans="1:19" x14ac:dyDescent="0.3">
      <c r="A2552" t="s">
        <v>2622</v>
      </c>
      <c r="B2552">
        <v>66</v>
      </c>
      <c r="C2552" t="s">
        <v>19</v>
      </c>
      <c r="D2552" t="s">
        <v>47</v>
      </c>
      <c r="E2552" s="1">
        <v>45407</v>
      </c>
      <c r="F2552" s="3">
        <v>45421</v>
      </c>
      <c r="G2552" t="s">
        <v>33</v>
      </c>
      <c r="H2552" t="s">
        <v>34</v>
      </c>
      <c r="I2552" t="s">
        <v>35</v>
      </c>
      <c r="J2552">
        <v>7280.22</v>
      </c>
      <c r="K2552">
        <v>14</v>
      </c>
      <c r="L2552" t="s">
        <v>36</v>
      </c>
      <c r="M2552" t="s">
        <v>25</v>
      </c>
      <c r="N2552" t="s">
        <v>26</v>
      </c>
      <c r="O2552" t="s">
        <v>27</v>
      </c>
      <c r="P2552" t="s">
        <v>45</v>
      </c>
      <c r="Q2552">
        <v>2</v>
      </c>
      <c r="R2552">
        <v>1755.97</v>
      </c>
      <c r="S2552" t="s">
        <v>29</v>
      </c>
    </row>
    <row r="2553" spans="1:19" x14ac:dyDescent="0.3">
      <c r="A2553" t="s">
        <v>2623</v>
      </c>
      <c r="B2553">
        <v>76</v>
      </c>
      <c r="C2553" t="s">
        <v>31</v>
      </c>
      <c r="D2553" t="s">
        <v>20</v>
      </c>
      <c r="E2553" s="1">
        <v>45479</v>
      </c>
      <c r="F2553" s="3">
        <v>45486</v>
      </c>
      <c r="G2553" t="s">
        <v>93</v>
      </c>
      <c r="H2553" t="s">
        <v>72</v>
      </c>
      <c r="I2553" t="s">
        <v>58</v>
      </c>
      <c r="J2553">
        <v>3582.03</v>
      </c>
      <c r="K2553">
        <v>7</v>
      </c>
      <c r="L2553" t="s">
        <v>36</v>
      </c>
      <c r="M2553" t="s">
        <v>25</v>
      </c>
      <c r="N2553" t="s">
        <v>55</v>
      </c>
      <c r="O2553" t="s">
        <v>56</v>
      </c>
      <c r="P2553" t="s">
        <v>45</v>
      </c>
      <c r="Q2553">
        <v>5</v>
      </c>
      <c r="R2553">
        <v>844.48</v>
      </c>
      <c r="S2553" t="s">
        <v>29</v>
      </c>
    </row>
    <row r="2554" spans="1:19" x14ac:dyDescent="0.3">
      <c r="A2554" t="s">
        <v>2624</v>
      </c>
      <c r="B2554">
        <v>49</v>
      </c>
      <c r="C2554" t="s">
        <v>19</v>
      </c>
      <c r="D2554" t="s">
        <v>20</v>
      </c>
      <c r="E2554" s="1">
        <v>45229</v>
      </c>
      <c r="F2554" s="3">
        <v>45240</v>
      </c>
      <c r="G2554" t="s">
        <v>41</v>
      </c>
      <c r="H2554" t="s">
        <v>42</v>
      </c>
      <c r="I2554" t="s">
        <v>91</v>
      </c>
      <c r="J2554">
        <v>6413.14</v>
      </c>
      <c r="K2554">
        <v>11</v>
      </c>
      <c r="L2554" t="s">
        <v>36</v>
      </c>
      <c r="M2554" t="s">
        <v>25</v>
      </c>
      <c r="N2554" t="s">
        <v>55</v>
      </c>
      <c r="O2554" t="s">
        <v>56</v>
      </c>
      <c r="P2554" t="s">
        <v>28</v>
      </c>
      <c r="Q2554">
        <v>10</v>
      </c>
      <c r="R2554">
        <v>2334.3000000000002</v>
      </c>
      <c r="S2554" t="s">
        <v>29</v>
      </c>
    </row>
    <row r="2555" spans="1:19" x14ac:dyDescent="0.3">
      <c r="A2555" t="s">
        <v>2625</v>
      </c>
      <c r="B2555">
        <v>27</v>
      </c>
      <c r="C2555" t="s">
        <v>31</v>
      </c>
      <c r="D2555" t="s">
        <v>79</v>
      </c>
      <c r="E2555" s="1">
        <v>45203</v>
      </c>
      <c r="F2555" s="3">
        <v>45211</v>
      </c>
      <c r="G2555" t="s">
        <v>67</v>
      </c>
      <c r="H2555" t="s">
        <v>42</v>
      </c>
      <c r="I2555" t="s">
        <v>43</v>
      </c>
      <c r="J2555">
        <v>4317.99</v>
      </c>
      <c r="K2555">
        <v>8</v>
      </c>
      <c r="L2555" t="s">
        <v>36</v>
      </c>
      <c r="M2555" t="s">
        <v>25</v>
      </c>
      <c r="N2555" t="s">
        <v>26</v>
      </c>
      <c r="O2555" t="s">
        <v>37</v>
      </c>
      <c r="P2555" t="s">
        <v>38</v>
      </c>
      <c r="Q2555">
        <v>10</v>
      </c>
      <c r="R2555">
        <v>1060.96</v>
      </c>
      <c r="S2555" t="s">
        <v>39</v>
      </c>
    </row>
    <row r="2556" spans="1:19" x14ac:dyDescent="0.3">
      <c r="A2556" t="s">
        <v>2626</v>
      </c>
      <c r="B2556">
        <v>52</v>
      </c>
      <c r="C2556" t="s">
        <v>19</v>
      </c>
      <c r="D2556" t="s">
        <v>79</v>
      </c>
      <c r="E2556" s="1">
        <v>45258</v>
      </c>
      <c r="F2556" s="3">
        <v>45277</v>
      </c>
      <c r="G2556" t="s">
        <v>21</v>
      </c>
      <c r="H2556" t="s">
        <v>22</v>
      </c>
      <c r="I2556" t="s">
        <v>91</v>
      </c>
      <c r="J2556">
        <v>10673.85</v>
      </c>
      <c r="K2556">
        <v>19</v>
      </c>
      <c r="L2556" t="s">
        <v>24</v>
      </c>
      <c r="M2556" t="s">
        <v>25</v>
      </c>
      <c r="N2556" t="s">
        <v>26</v>
      </c>
      <c r="O2556" t="s">
        <v>49</v>
      </c>
      <c r="P2556" t="s">
        <v>50</v>
      </c>
      <c r="Q2556">
        <v>2</v>
      </c>
      <c r="R2556">
        <v>2888.08</v>
      </c>
      <c r="S2556" t="s">
        <v>29</v>
      </c>
    </row>
    <row r="2557" spans="1:19" x14ac:dyDescent="0.3">
      <c r="A2557" t="s">
        <v>2627</v>
      </c>
      <c r="B2557">
        <v>31</v>
      </c>
      <c r="C2557" t="s">
        <v>31</v>
      </c>
      <c r="D2557" t="s">
        <v>32</v>
      </c>
      <c r="E2557" s="1">
        <v>45674</v>
      </c>
      <c r="F2557" s="3">
        <v>45690</v>
      </c>
      <c r="G2557" t="s">
        <v>93</v>
      </c>
      <c r="H2557" t="s">
        <v>72</v>
      </c>
      <c r="I2557" t="s">
        <v>35</v>
      </c>
      <c r="J2557">
        <v>4340.93</v>
      </c>
      <c r="K2557">
        <v>16</v>
      </c>
      <c r="L2557" t="s">
        <v>36</v>
      </c>
      <c r="M2557" t="s">
        <v>25</v>
      </c>
      <c r="N2557" t="s">
        <v>26</v>
      </c>
      <c r="O2557" t="s">
        <v>56</v>
      </c>
      <c r="P2557" t="s">
        <v>50</v>
      </c>
      <c r="Q2557">
        <v>14</v>
      </c>
      <c r="R2557">
        <v>734.94</v>
      </c>
      <c r="S2557" t="s">
        <v>29</v>
      </c>
    </row>
    <row r="2558" spans="1:19" x14ac:dyDescent="0.3">
      <c r="A2558" t="s">
        <v>2628</v>
      </c>
      <c r="B2558">
        <v>33</v>
      </c>
      <c r="C2558" t="s">
        <v>31</v>
      </c>
      <c r="D2558" t="s">
        <v>66</v>
      </c>
      <c r="E2558" s="1">
        <v>45705</v>
      </c>
      <c r="F2558" s="3">
        <v>45735</v>
      </c>
      <c r="G2558" t="s">
        <v>74</v>
      </c>
      <c r="H2558" t="s">
        <v>75</v>
      </c>
      <c r="I2558" t="s">
        <v>43</v>
      </c>
      <c r="J2558">
        <v>25097.91</v>
      </c>
      <c r="K2558">
        <v>30</v>
      </c>
      <c r="L2558" t="s">
        <v>36</v>
      </c>
      <c r="M2558" t="s">
        <v>25</v>
      </c>
      <c r="N2558" t="s">
        <v>44</v>
      </c>
      <c r="O2558" t="s">
        <v>49</v>
      </c>
      <c r="P2558" t="s">
        <v>38</v>
      </c>
      <c r="Q2558">
        <v>3</v>
      </c>
      <c r="R2558">
        <v>6173.34</v>
      </c>
      <c r="S2558" t="s">
        <v>29</v>
      </c>
    </row>
    <row r="2559" spans="1:19" x14ac:dyDescent="0.3">
      <c r="A2559" t="s">
        <v>2629</v>
      </c>
      <c r="B2559">
        <v>71</v>
      </c>
      <c r="C2559" t="s">
        <v>31</v>
      </c>
      <c r="D2559" t="s">
        <v>66</v>
      </c>
      <c r="E2559" s="1">
        <v>44951</v>
      </c>
      <c r="F2559" s="3">
        <v>44968</v>
      </c>
      <c r="G2559" t="s">
        <v>52</v>
      </c>
      <c r="H2559" t="s">
        <v>53</v>
      </c>
      <c r="I2559" t="s">
        <v>43</v>
      </c>
      <c r="J2559">
        <v>8079.51</v>
      </c>
      <c r="K2559">
        <v>17</v>
      </c>
      <c r="L2559" t="s">
        <v>36</v>
      </c>
      <c r="M2559" t="s">
        <v>25</v>
      </c>
      <c r="N2559" t="s">
        <v>26</v>
      </c>
      <c r="O2559" t="s">
        <v>56</v>
      </c>
      <c r="P2559" t="s">
        <v>50</v>
      </c>
      <c r="Q2559">
        <v>8</v>
      </c>
      <c r="R2559">
        <v>2312.3000000000002</v>
      </c>
      <c r="S2559" t="s">
        <v>29</v>
      </c>
    </row>
    <row r="2560" spans="1:19" x14ac:dyDescent="0.3">
      <c r="A2560" t="s">
        <v>2630</v>
      </c>
      <c r="B2560">
        <v>71</v>
      </c>
      <c r="C2560" t="s">
        <v>31</v>
      </c>
      <c r="D2560" t="s">
        <v>20</v>
      </c>
      <c r="E2560" s="1">
        <v>45870</v>
      </c>
      <c r="F2560" s="3">
        <v>45875</v>
      </c>
      <c r="G2560" t="s">
        <v>52</v>
      </c>
      <c r="H2560" t="s">
        <v>53</v>
      </c>
      <c r="I2560" t="s">
        <v>54</v>
      </c>
      <c r="J2560">
        <v>5009.0200000000004</v>
      </c>
      <c r="K2560">
        <v>5</v>
      </c>
      <c r="L2560" t="s">
        <v>36</v>
      </c>
      <c r="M2560" t="s">
        <v>25</v>
      </c>
      <c r="N2560" t="s">
        <v>26</v>
      </c>
      <c r="O2560" t="s">
        <v>56</v>
      </c>
      <c r="P2560" t="s">
        <v>28</v>
      </c>
      <c r="Q2560">
        <v>4</v>
      </c>
      <c r="R2560">
        <v>1025.76</v>
      </c>
      <c r="S2560" t="s">
        <v>29</v>
      </c>
    </row>
    <row r="2561" spans="1:19" x14ac:dyDescent="0.3">
      <c r="A2561" t="s">
        <v>2631</v>
      </c>
      <c r="B2561">
        <v>87</v>
      </c>
      <c r="C2561" t="s">
        <v>19</v>
      </c>
      <c r="D2561" t="s">
        <v>47</v>
      </c>
      <c r="E2561" s="1">
        <v>45471</v>
      </c>
      <c r="F2561" s="3">
        <v>45484</v>
      </c>
      <c r="G2561" t="s">
        <v>67</v>
      </c>
      <c r="H2561" t="s">
        <v>42</v>
      </c>
      <c r="I2561" t="s">
        <v>43</v>
      </c>
      <c r="J2561">
        <v>4100.8500000000004</v>
      </c>
      <c r="K2561">
        <v>13</v>
      </c>
      <c r="L2561" t="s">
        <v>24</v>
      </c>
      <c r="M2561" t="s">
        <v>25</v>
      </c>
      <c r="N2561" t="s">
        <v>55</v>
      </c>
      <c r="O2561" t="s">
        <v>37</v>
      </c>
      <c r="P2561" t="s">
        <v>45</v>
      </c>
      <c r="Q2561">
        <v>13</v>
      </c>
      <c r="R2561">
        <v>1405.16</v>
      </c>
      <c r="S2561" t="s">
        <v>29</v>
      </c>
    </row>
    <row r="2562" spans="1:19" x14ac:dyDescent="0.3">
      <c r="A2562" t="s">
        <v>2632</v>
      </c>
      <c r="B2562">
        <v>84</v>
      </c>
      <c r="C2562" t="s">
        <v>31</v>
      </c>
      <c r="D2562" t="s">
        <v>89</v>
      </c>
      <c r="E2562" s="1">
        <v>45782</v>
      </c>
      <c r="F2562" s="3">
        <v>45791</v>
      </c>
      <c r="G2562" t="s">
        <v>74</v>
      </c>
      <c r="H2562" t="s">
        <v>75</v>
      </c>
      <c r="I2562" t="s">
        <v>54</v>
      </c>
      <c r="J2562">
        <v>3483.5</v>
      </c>
      <c r="K2562">
        <v>9</v>
      </c>
      <c r="L2562" t="s">
        <v>36</v>
      </c>
      <c r="M2562" t="s">
        <v>25</v>
      </c>
      <c r="N2562" t="s">
        <v>55</v>
      </c>
      <c r="O2562" t="s">
        <v>27</v>
      </c>
      <c r="P2562" t="s">
        <v>45</v>
      </c>
      <c r="Q2562">
        <v>3</v>
      </c>
      <c r="R2562">
        <v>1065.75</v>
      </c>
      <c r="S2562" t="s">
        <v>29</v>
      </c>
    </row>
    <row r="2563" spans="1:19" x14ac:dyDescent="0.3">
      <c r="A2563" t="s">
        <v>2633</v>
      </c>
      <c r="B2563">
        <v>38</v>
      </c>
      <c r="C2563" t="s">
        <v>19</v>
      </c>
      <c r="D2563" t="s">
        <v>79</v>
      </c>
      <c r="E2563" s="1">
        <v>45433</v>
      </c>
      <c r="F2563" s="3">
        <v>45437</v>
      </c>
      <c r="G2563" t="s">
        <v>71</v>
      </c>
      <c r="H2563" t="s">
        <v>72</v>
      </c>
      <c r="I2563" t="s">
        <v>83</v>
      </c>
      <c r="J2563">
        <v>3986.26</v>
      </c>
      <c r="K2563">
        <v>4</v>
      </c>
      <c r="L2563" t="s">
        <v>36</v>
      </c>
      <c r="M2563" t="s">
        <v>25</v>
      </c>
      <c r="N2563" t="s">
        <v>44</v>
      </c>
      <c r="O2563" t="s">
        <v>56</v>
      </c>
      <c r="P2563" t="s">
        <v>45</v>
      </c>
      <c r="Q2563">
        <v>5</v>
      </c>
      <c r="R2563">
        <v>1163.5899999999999</v>
      </c>
      <c r="S2563" t="s">
        <v>29</v>
      </c>
    </row>
    <row r="2564" spans="1:19" x14ac:dyDescent="0.3">
      <c r="A2564" t="s">
        <v>2634</v>
      </c>
      <c r="B2564">
        <v>89</v>
      </c>
      <c r="C2564" t="s">
        <v>19</v>
      </c>
      <c r="D2564" t="s">
        <v>47</v>
      </c>
      <c r="E2564" s="1">
        <v>45429</v>
      </c>
      <c r="F2564" s="3">
        <v>45432</v>
      </c>
      <c r="G2564" t="s">
        <v>74</v>
      </c>
      <c r="H2564" t="s">
        <v>75</v>
      </c>
      <c r="I2564" t="s">
        <v>58</v>
      </c>
      <c r="J2564">
        <v>3208.45</v>
      </c>
      <c r="K2564">
        <v>3</v>
      </c>
      <c r="L2564" t="s">
        <v>36</v>
      </c>
      <c r="M2564" t="s">
        <v>25</v>
      </c>
      <c r="N2564" t="s">
        <v>44</v>
      </c>
      <c r="O2564" t="s">
        <v>56</v>
      </c>
      <c r="P2564" t="s">
        <v>28</v>
      </c>
      <c r="Q2564">
        <v>14</v>
      </c>
      <c r="R2564">
        <v>947.54</v>
      </c>
      <c r="S2564" t="s">
        <v>29</v>
      </c>
    </row>
    <row r="2565" spans="1:19" x14ac:dyDescent="0.3">
      <c r="A2565" t="s">
        <v>2635</v>
      </c>
      <c r="B2565">
        <v>44</v>
      </c>
      <c r="C2565" t="s">
        <v>31</v>
      </c>
      <c r="D2565" t="s">
        <v>70</v>
      </c>
      <c r="E2565" s="1">
        <v>45730</v>
      </c>
      <c r="F2565" s="3">
        <v>45744</v>
      </c>
      <c r="G2565" t="s">
        <v>41</v>
      </c>
      <c r="H2565" t="s">
        <v>42</v>
      </c>
      <c r="I2565" t="s">
        <v>35</v>
      </c>
      <c r="J2565">
        <v>9560.9699999999993</v>
      </c>
      <c r="K2565">
        <v>14</v>
      </c>
      <c r="L2565" t="s">
        <v>24</v>
      </c>
      <c r="M2565" t="s">
        <v>59</v>
      </c>
      <c r="N2565" t="s">
        <v>44</v>
      </c>
      <c r="O2565" t="s">
        <v>27</v>
      </c>
      <c r="P2565" t="s">
        <v>28</v>
      </c>
      <c r="Q2565">
        <v>1</v>
      </c>
      <c r="R2565">
        <v>2421.5</v>
      </c>
      <c r="S2565" t="s">
        <v>29</v>
      </c>
    </row>
    <row r="2566" spans="1:19" x14ac:dyDescent="0.3">
      <c r="A2566" t="s">
        <v>2636</v>
      </c>
      <c r="B2566">
        <v>78</v>
      </c>
      <c r="C2566" t="s">
        <v>19</v>
      </c>
      <c r="D2566" t="s">
        <v>32</v>
      </c>
      <c r="E2566" s="1">
        <v>45733</v>
      </c>
      <c r="F2566" s="3">
        <v>45750</v>
      </c>
      <c r="G2566" t="s">
        <v>74</v>
      </c>
      <c r="H2566" t="s">
        <v>75</v>
      </c>
      <c r="I2566" t="s">
        <v>83</v>
      </c>
      <c r="J2566">
        <v>8213.42</v>
      </c>
      <c r="K2566">
        <v>17</v>
      </c>
      <c r="L2566" t="s">
        <v>36</v>
      </c>
      <c r="M2566" t="s">
        <v>25</v>
      </c>
      <c r="N2566" t="s">
        <v>44</v>
      </c>
      <c r="O2566" t="s">
        <v>27</v>
      </c>
      <c r="P2566" t="s">
        <v>38</v>
      </c>
      <c r="Q2566">
        <v>9</v>
      </c>
      <c r="R2566">
        <v>2125.3000000000002</v>
      </c>
      <c r="S2566" t="s">
        <v>39</v>
      </c>
    </row>
    <row r="2567" spans="1:19" x14ac:dyDescent="0.3">
      <c r="A2567" t="s">
        <v>2637</v>
      </c>
      <c r="B2567">
        <v>50</v>
      </c>
      <c r="C2567" t="s">
        <v>31</v>
      </c>
      <c r="D2567" t="s">
        <v>20</v>
      </c>
      <c r="E2567" s="1">
        <v>45563</v>
      </c>
      <c r="F2567" s="3">
        <v>45575</v>
      </c>
      <c r="G2567" t="s">
        <v>71</v>
      </c>
      <c r="H2567" t="s">
        <v>72</v>
      </c>
      <c r="I2567" t="s">
        <v>43</v>
      </c>
      <c r="J2567">
        <v>9086.01</v>
      </c>
      <c r="K2567">
        <v>12</v>
      </c>
      <c r="L2567" t="s">
        <v>36</v>
      </c>
      <c r="M2567" t="s">
        <v>25</v>
      </c>
      <c r="N2567" t="s">
        <v>26</v>
      </c>
      <c r="O2567" t="s">
        <v>37</v>
      </c>
      <c r="P2567" t="s">
        <v>28</v>
      </c>
      <c r="Q2567">
        <v>8</v>
      </c>
      <c r="R2567">
        <v>3093.22</v>
      </c>
      <c r="S2567" t="s">
        <v>29</v>
      </c>
    </row>
    <row r="2568" spans="1:19" x14ac:dyDescent="0.3">
      <c r="A2568" t="s">
        <v>2638</v>
      </c>
      <c r="B2568">
        <v>61</v>
      </c>
      <c r="C2568" t="s">
        <v>19</v>
      </c>
      <c r="D2568" t="s">
        <v>47</v>
      </c>
      <c r="E2568" s="1">
        <v>45538</v>
      </c>
      <c r="F2568" s="3">
        <v>45551</v>
      </c>
      <c r="G2568" t="s">
        <v>52</v>
      </c>
      <c r="H2568" t="s">
        <v>53</v>
      </c>
      <c r="I2568" t="s">
        <v>23</v>
      </c>
      <c r="J2568">
        <v>16434.439999999999</v>
      </c>
      <c r="K2568">
        <v>13</v>
      </c>
      <c r="L2568" t="s">
        <v>24</v>
      </c>
      <c r="M2568" t="s">
        <v>25</v>
      </c>
      <c r="N2568" t="s">
        <v>26</v>
      </c>
      <c r="O2568" t="s">
        <v>49</v>
      </c>
      <c r="P2568" t="s">
        <v>45</v>
      </c>
      <c r="Q2568">
        <v>6</v>
      </c>
      <c r="R2568">
        <v>3530.7</v>
      </c>
      <c r="S2568" t="s">
        <v>29</v>
      </c>
    </row>
    <row r="2569" spans="1:19" x14ac:dyDescent="0.3">
      <c r="A2569" t="s">
        <v>2639</v>
      </c>
      <c r="B2569">
        <v>69</v>
      </c>
      <c r="C2569" t="s">
        <v>19</v>
      </c>
      <c r="D2569" t="s">
        <v>66</v>
      </c>
      <c r="E2569" s="1">
        <v>45425</v>
      </c>
      <c r="F2569" s="3">
        <v>45426</v>
      </c>
      <c r="G2569" t="s">
        <v>62</v>
      </c>
      <c r="H2569" t="s">
        <v>63</v>
      </c>
      <c r="I2569" t="s">
        <v>81</v>
      </c>
      <c r="J2569">
        <v>1603.61</v>
      </c>
      <c r="K2569">
        <v>1</v>
      </c>
      <c r="L2569" t="s">
        <v>36</v>
      </c>
      <c r="M2569" t="s">
        <v>25</v>
      </c>
      <c r="N2569" t="s">
        <v>44</v>
      </c>
      <c r="O2569" t="s">
        <v>56</v>
      </c>
      <c r="P2569" t="s">
        <v>50</v>
      </c>
      <c r="Q2569">
        <v>13</v>
      </c>
      <c r="R2569">
        <v>551.97</v>
      </c>
      <c r="S2569" t="s">
        <v>29</v>
      </c>
    </row>
    <row r="2570" spans="1:19" x14ac:dyDescent="0.3">
      <c r="A2570" t="s">
        <v>2640</v>
      </c>
      <c r="B2570">
        <v>64</v>
      </c>
      <c r="C2570" t="s">
        <v>31</v>
      </c>
      <c r="D2570" t="s">
        <v>66</v>
      </c>
      <c r="E2570" s="1">
        <v>45238</v>
      </c>
      <c r="F2570" s="3">
        <v>45250</v>
      </c>
      <c r="G2570" t="s">
        <v>93</v>
      </c>
      <c r="H2570" t="s">
        <v>72</v>
      </c>
      <c r="I2570" t="s">
        <v>83</v>
      </c>
      <c r="J2570">
        <v>13514.66</v>
      </c>
      <c r="K2570">
        <v>12</v>
      </c>
      <c r="L2570" t="s">
        <v>24</v>
      </c>
      <c r="M2570" t="s">
        <v>25</v>
      </c>
      <c r="N2570" t="s">
        <v>26</v>
      </c>
      <c r="O2570" t="s">
        <v>49</v>
      </c>
      <c r="P2570" t="s">
        <v>38</v>
      </c>
      <c r="Q2570">
        <v>5</v>
      </c>
      <c r="R2570">
        <v>4782.67</v>
      </c>
      <c r="S2570" t="s">
        <v>29</v>
      </c>
    </row>
    <row r="2571" spans="1:19" x14ac:dyDescent="0.3">
      <c r="A2571" t="s">
        <v>2641</v>
      </c>
      <c r="B2571">
        <v>69</v>
      </c>
      <c r="C2571" t="s">
        <v>31</v>
      </c>
      <c r="D2571" t="s">
        <v>70</v>
      </c>
      <c r="E2571" s="1">
        <v>45642</v>
      </c>
      <c r="F2571" s="3">
        <v>45645</v>
      </c>
      <c r="G2571" t="s">
        <v>21</v>
      </c>
      <c r="H2571" t="s">
        <v>22</v>
      </c>
      <c r="I2571" t="s">
        <v>91</v>
      </c>
      <c r="J2571">
        <v>2041.34</v>
      </c>
      <c r="K2571">
        <v>3</v>
      </c>
      <c r="L2571" t="s">
        <v>36</v>
      </c>
      <c r="M2571" t="s">
        <v>59</v>
      </c>
      <c r="N2571" t="s">
        <v>26</v>
      </c>
      <c r="O2571" t="s">
        <v>37</v>
      </c>
      <c r="P2571" t="s">
        <v>50</v>
      </c>
      <c r="Q2571">
        <v>10</v>
      </c>
      <c r="R2571">
        <v>338.13</v>
      </c>
      <c r="S2571" t="s">
        <v>29</v>
      </c>
    </row>
    <row r="2572" spans="1:19" x14ac:dyDescent="0.3">
      <c r="A2572" t="s">
        <v>2642</v>
      </c>
      <c r="B2572">
        <v>38</v>
      </c>
      <c r="C2572" t="s">
        <v>19</v>
      </c>
      <c r="D2572" t="s">
        <v>70</v>
      </c>
      <c r="E2572" s="1">
        <v>45913</v>
      </c>
      <c r="F2572" s="3">
        <v>45933</v>
      </c>
      <c r="G2572" t="s">
        <v>52</v>
      </c>
      <c r="H2572" t="s">
        <v>53</v>
      </c>
      <c r="I2572" t="s">
        <v>54</v>
      </c>
      <c r="J2572">
        <v>13900.01</v>
      </c>
      <c r="K2572">
        <v>20</v>
      </c>
      <c r="L2572" t="s">
        <v>36</v>
      </c>
      <c r="M2572" t="s">
        <v>25</v>
      </c>
      <c r="N2572" t="s">
        <v>44</v>
      </c>
      <c r="O2572" t="s">
        <v>56</v>
      </c>
      <c r="P2572" t="s">
        <v>28</v>
      </c>
      <c r="Q2572">
        <v>5</v>
      </c>
      <c r="R2572">
        <v>4762.4799999999996</v>
      </c>
      <c r="S2572" t="s">
        <v>29</v>
      </c>
    </row>
    <row r="2573" spans="1:19" x14ac:dyDescent="0.3">
      <c r="A2573" t="s">
        <v>2643</v>
      </c>
      <c r="B2573">
        <v>75</v>
      </c>
      <c r="C2573" t="s">
        <v>19</v>
      </c>
      <c r="D2573" t="s">
        <v>20</v>
      </c>
      <c r="E2573" s="1">
        <v>45674</v>
      </c>
      <c r="F2573" s="3">
        <v>45678</v>
      </c>
      <c r="G2573" t="s">
        <v>71</v>
      </c>
      <c r="H2573" t="s">
        <v>72</v>
      </c>
      <c r="I2573" t="s">
        <v>23</v>
      </c>
      <c r="J2573">
        <v>7236.09</v>
      </c>
      <c r="K2573">
        <v>4</v>
      </c>
      <c r="L2573" t="s">
        <v>24</v>
      </c>
      <c r="M2573" t="s">
        <v>25</v>
      </c>
      <c r="N2573" t="s">
        <v>55</v>
      </c>
      <c r="O2573" t="s">
        <v>49</v>
      </c>
      <c r="P2573" t="s">
        <v>50</v>
      </c>
      <c r="Q2573">
        <v>15</v>
      </c>
      <c r="R2573">
        <v>1479.46</v>
      </c>
      <c r="S2573" t="s">
        <v>39</v>
      </c>
    </row>
    <row r="2574" spans="1:19" x14ac:dyDescent="0.3">
      <c r="A2574" t="s">
        <v>2644</v>
      </c>
      <c r="B2574">
        <v>57</v>
      </c>
      <c r="C2574" t="s">
        <v>31</v>
      </c>
      <c r="D2574" t="s">
        <v>61</v>
      </c>
      <c r="E2574" s="1">
        <v>45607</v>
      </c>
      <c r="F2574" s="3">
        <v>45625</v>
      </c>
      <c r="G2574" t="s">
        <v>48</v>
      </c>
      <c r="H2574" t="s">
        <v>22</v>
      </c>
      <c r="I2574" t="s">
        <v>91</v>
      </c>
      <c r="J2574">
        <v>6137.15</v>
      </c>
      <c r="K2574">
        <v>18</v>
      </c>
      <c r="L2574" t="s">
        <v>24</v>
      </c>
      <c r="M2574" t="s">
        <v>25</v>
      </c>
      <c r="N2574" t="s">
        <v>55</v>
      </c>
      <c r="O2574" t="s">
        <v>37</v>
      </c>
      <c r="P2574" t="s">
        <v>45</v>
      </c>
      <c r="Q2574">
        <v>3</v>
      </c>
      <c r="R2574">
        <v>1930.99</v>
      </c>
      <c r="S2574" t="s">
        <v>29</v>
      </c>
    </row>
    <row r="2575" spans="1:19" x14ac:dyDescent="0.3">
      <c r="A2575" t="s">
        <v>2645</v>
      </c>
      <c r="B2575">
        <v>56</v>
      </c>
      <c r="C2575" t="s">
        <v>19</v>
      </c>
      <c r="D2575" t="s">
        <v>89</v>
      </c>
      <c r="E2575" s="1">
        <v>45847</v>
      </c>
      <c r="F2575" s="3">
        <v>45865</v>
      </c>
      <c r="G2575" t="s">
        <v>71</v>
      </c>
      <c r="H2575" t="s">
        <v>72</v>
      </c>
      <c r="I2575" t="s">
        <v>54</v>
      </c>
      <c r="J2575">
        <v>6383.18</v>
      </c>
      <c r="K2575">
        <v>18</v>
      </c>
      <c r="L2575" t="s">
        <v>36</v>
      </c>
      <c r="M2575" t="s">
        <v>25</v>
      </c>
      <c r="N2575" t="s">
        <v>44</v>
      </c>
      <c r="O2575" t="s">
        <v>56</v>
      </c>
      <c r="P2575" t="s">
        <v>28</v>
      </c>
      <c r="Q2575">
        <v>12</v>
      </c>
      <c r="R2575">
        <v>1302.3900000000001</v>
      </c>
      <c r="S2575" t="s">
        <v>29</v>
      </c>
    </row>
    <row r="2576" spans="1:19" x14ac:dyDescent="0.3">
      <c r="A2576" t="s">
        <v>2646</v>
      </c>
      <c r="B2576">
        <v>80</v>
      </c>
      <c r="C2576" t="s">
        <v>31</v>
      </c>
      <c r="D2576" t="s">
        <v>47</v>
      </c>
      <c r="E2576" s="1">
        <v>45417</v>
      </c>
      <c r="F2576" s="3">
        <v>45430</v>
      </c>
      <c r="G2576" t="s">
        <v>33</v>
      </c>
      <c r="H2576" t="s">
        <v>34</v>
      </c>
      <c r="I2576" t="s">
        <v>54</v>
      </c>
      <c r="J2576">
        <v>5638.24</v>
      </c>
      <c r="K2576">
        <v>13</v>
      </c>
      <c r="L2576" t="s">
        <v>36</v>
      </c>
      <c r="M2576" t="s">
        <v>25</v>
      </c>
      <c r="N2576" t="s">
        <v>55</v>
      </c>
      <c r="O2576" t="s">
        <v>37</v>
      </c>
      <c r="P2576" t="s">
        <v>45</v>
      </c>
      <c r="Q2576">
        <v>8</v>
      </c>
      <c r="R2576">
        <v>967.72</v>
      </c>
      <c r="S2576" t="s">
        <v>29</v>
      </c>
    </row>
    <row r="2577" spans="1:19" x14ac:dyDescent="0.3">
      <c r="A2577" t="s">
        <v>2647</v>
      </c>
      <c r="B2577">
        <v>74</v>
      </c>
      <c r="C2577" t="s">
        <v>31</v>
      </c>
      <c r="D2577" t="s">
        <v>89</v>
      </c>
      <c r="E2577" s="1">
        <v>45417</v>
      </c>
      <c r="F2577" s="3">
        <v>45428</v>
      </c>
      <c r="G2577" t="s">
        <v>67</v>
      </c>
      <c r="H2577" t="s">
        <v>42</v>
      </c>
      <c r="I2577" t="s">
        <v>43</v>
      </c>
      <c r="J2577">
        <v>13027.06</v>
      </c>
      <c r="K2577">
        <v>11</v>
      </c>
      <c r="L2577" t="s">
        <v>24</v>
      </c>
      <c r="M2577" t="s">
        <v>25</v>
      </c>
      <c r="N2577" t="s">
        <v>55</v>
      </c>
      <c r="O2577" t="s">
        <v>49</v>
      </c>
      <c r="P2577" t="s">
        <v>50</v>
      </c>
      <c r="Q2577">
        <v>3</v>
      </c>
      <c r="R2577">
        <v>2580.96</v>
      </c>
      <c r="S2577" t="s">
        <v>39</v>
      </c>
    </row>
    <row r="2578" spans="1:19" x14ac:dyDescent="0.3">
      <c r="A2578" t="s">
        <v>2648</v>
      </c>
      <c r="B2578">
        <v>85</v>
      </c>
      <c r="C2578" t="s">
        <v>31</v>
      </c>
      <c r="D2578" t="s">
        <v>89</v>
      </c>
      <c r="E2578" s="1">
        <v>45308</v>
      </c>
      <c r="F2578" s="3">
        <v>45317</v>
      </c>
      <c r="G2578" t="s">
        <v>52</v>
      </c>
      <c r="H2578" t="s">
        <v>53</v>
      </c>
      <c r="I2578" t="s">
        <v>83</v>
      </c>
      <c r="J2578">
        <v>2680.16</v>
      </c>
      <c r="K2578">
        <v>9</v>
      </c>
      <c r="L2578" t="s">
        <v>36</v>
      </c>
      <c r="M2578" t="s">
        <v>25</v>
      </c>
      <c r="N2578" t="s">
        <v>55</v>
      </c>
      <c r="O2578" t="s">
        <v>27</v>
      </c>
      <c r="P2578" t="s">
        <v>38</v>
      </c>
      <c r="Q2578">
        <v>6</v>
      </c>
      <c r="R2578">
        <v>410.12</v>
      </c>
      <c r="S2578" t="s">
        <v>29</v>
      </c>
    </row>
    <row r="2579" spans="1:19" x14ac:dyDescent="0.3">
      <c r="A2579" t="s">
        <v>2649</v>
      </c>
      <c r="B2579">
        <v>22</v>
      </c>
      <c r="C2579" t="s">
        <v>31</v>
      </c>
      <c r="D2579" t="s">
        <v>66</v>
      </c>
      <c r="E2579" s="1">
        <v>45115</v>
      </c>
      <c r="F2579" s="3">
        <v>45135</v>
      </c>
      <c r="G2579" t="s">
        <v>67</v>
      </c>
      <c r="H2579" t="s">
        <v>42</v>
      </c>
      <c r="I2579" t="s">
        <v>58</v>
      </c>
      <c r="J2579">
        <v>13705.11</v>
      </c>
      <c r="K2579">
        <v>20</v>
      </c>
      <c r="L2579" t="s">
        <v>36</v>
      </c>
      <c r="M2579" t="s">
        <v>25</v>
      </c>
      <c r="N2579" t="s">
        <v>26</v>
      </c>
      <c r="O2579" t="s">
        <v>37</v>
      </c>
      <c r="P2579" t="s">
        <v>45</v>
      </c>
      <c r="Q2579">
        <v>7</v>
      </c>
      <c r="R2579">
        <v>4752.32</v>
      </c>
      <c r="S2579" t="s">
        <v>29</v>
      </c>
    </row>
    <row r="2580" spans="1:19" x14ac:dyDescent="0.3">
      <c r="A2580" t="s">
        <v>2650</v>
      </c>
      <c r="B2580">
        <v>72</v>
      </c>
      <c r="C2580" t="s">
        <v>31</v>
      </c>
      <c r="D2580" t="s">
        <v>79</v>
      </c>
      <c r="E2580" s="1">
        <v>45877</v>
      </c>
      <c r="F2580" s="3">
        <v>45896</v>
      </c>
      <c r="G2580" t="s">
        <v>21</v>
      </c>
      <c r="H2580" t="s">
        <v>22</v>
      </c>
      <c r="I2580" t="s">
        <v>81</v>
      </c>
      <c r="J2580">
        <v>12161.14</v>
      </c>
      <c r="K2580">
        <v>19</v>
      </c>
      <c r="L2580" t="s">
        <v>36</v>
      </c>
      <c r="M2580" t="s">
        <v>59</v>
      </c>
      <c r="N2580" t="s">
        <v>26</v>
      </c>
      <c r="O2580" t="s">
        <v>56</v>
      </c>
      <c r="P2580" t="s">
        <v>38</v>
      </c>
      <c r="Q2580">
        <v>4</v>
      </c>
      <c r="R2580">
        <v>2983.78</v>
      </c>
      <c r="S2580" t="s">
        <v>29</v>
      </c>
    </row>
    <row r="2581" spans="1:19" x14ac:dyDescent="0.3">
      <c r="A2581" t="s">
        <v>2651</v>
      </c>
      <c r="B2581">
        <v>49</v>
      </c>
      <c r="C2581" t="s">
        <v>31</v>
      </c>
      <c r="D2581" t="s">
        <v>47</v>
      </c>
      <c r="E2581" s="1">
        <v>45430</v>
      </c>
      <c r="F2581" s="3">
        <v>45441</v>
      </c>
      <c r="G2581" t="s">
        <v>71</v>
      </c>
      <c r="H2581" t="s">
        <v>72</v>
      </c>
      <c r="I2581" t="s">
        <v>54</v>
      </c>
      <c r="J2581">
        <v>4520.99</v>
      </c>
      <c r="K2581">
        <v>11</v>
      </c>
      <c r="L2581" t="s">
        <v>36</v>
      </c>
      <c r="M2581" t="s">
        <v>59</v>
      </c>
      <c r="N2581" t="s">
        <v>55</v>
      </c>
      <c r="O2581" t="s">
        <v>37</v>
      </c>
      <c r="P2581" t="s">
        <v>28</v>
      </c>
      <c r="Q2581">
        <v>8</v>
      </c>
      <c r="R2581">
        <v>1793.87</v>
      </c>
      <c r="S2581" t="s">
        <v>29</v>
      </c>
    </row>
    <row r="2582" spans="1:19" x14ac:dyDescent="0.3">
      <c r="A2582" t="s">
        <v>2652</v>
      </c>
      <c r="B2582">
        <v>49</v>
      </c>
      <c r="C2582" t="s">
        <v>31</v>
      </c>
      <c r="D2582" t="s">
        <v>79</v>
      </c>
      <c r="E2582" s="1">
        <v>45122</v>
      </c>
      <c r="F2582" s="3">
        <v>45124</v>
      </c>
      <c r="G2582" t="s">
        <v>74</v>
      </c>
      <c r="H2582" t="s">
        <v>75</v>
      </c>
      <c r="I2582" t="s">
        <v>54</v>
      </c>
      <c r="J2582">
        <v>1600.15</v>
      </c>
      <c r="K2582">
        <v>2</v>
      </c>
      <c r="L2582" t="s">
        <v>36</v>
      </c>
      <c r="M2582" t="s">
        <v>59</v>
      </c>
      <c r="N2582" t="s">
        <v>55</v>
      </c>
      <c r="O2582" t="s">
        <v>56</v>
      </c>
      <c r="P2582" t="s">
        <v>38</v>
      </c>
      <c r="Q2582">
        <v>15</v>
      </c>
      <c r="R2582">
        <v>513.9</v>
      </c>
      <c r="S2582" t="s">
        <v>29</v>
      </c>
    </row>
    <row r="2583" spans="1:19" x14ac:dyDescent="0.3">
      <c r="A2583" t="s">
        <v>2653</v>
      </c>
      <c r="B2583">
        <v>18</v>
      </c>
      <c r="C2583" t="s">
        <v>31</v>
      </c>
      <c r="D2583" t="s">
        <v>89</v>
      </c>
      <c r="E2583" s="1">
        <v>44957</v>
      </c>
      <c r="F2583" s="3">
        <v>44966</v>
      </c>
      <c r="G2583" t="s">
        <v>62</v>
      </c>
      <c r="H2583" t="s">
        <v>63</v>
      </c>
      <c r="I2583" t="s">
        <v>43</v>
      </c>
      <c r="J2583">
        <v>4490.7700000000004</v>
      </c>
      <c r="K2583">
        <v>9</v>
      </c>
      <c r="L2583" t="s">
        <v>24</v>
      </c>
      <c r="M2583" t="s">
        <v>25</v>
      </c>
      <c r="N2583" t="s">
        <v>55</v>
      </c>
      <c r="O2583" t="s">
        <v>37</v>
      </c>
      <c r="P2583" t="s">
        <v>45</v>
      </c>
      <c r="Q2583">
        <v>12</v>
      </c>
      <c r="R2583">
        <v>861.17</v>
      </c>
      <c r="S2583" t="s">
        <v>29</v>
      </c>
    </row>
    <row r="2584" spans="1:19" x14ac:dyDescent="0.3">
      <c r="A2584" t="s">
        <v>2654</v>
      </c>
      <c r="B2584">
        <v>54</v>
      </c>
      <c r="C2584" t="s">
        <v>19</v>
      </c>
      <c r="D2584" t="s">
        <v>32</v>
      </c>
      <c r="E2584" s="1">
        <v>45388</v>
      </c>
      <c r="F2584" s="3">
        <v>45408</v>
      </c>
      <c r="G2584" t="s">
        <v>74</v>
      </c>
      <c r="H2584" t="s">
        <v>75</v>
      </c>
      <c r="I2584" t="s">
        <v>23</v>
      </c>
      <c r="J2584">
        <v>9876.33</v>
      </c>
      <c r="K2584">
        <v>20</v>
      </c>
      <c r="L2584" t="s">
        <v>36</v>
      </c>
      <c r="M2584" t="s">
        <v>25</v>
      </c>
      <c r="N2584" t="s">
        <v>55</v>
      </c>
      <c r="O2584" t="s">
        <v>27</v>
      </c>
      <c r="P2584" t="s">
        <v>45</v>
      </c>
      <c r="Q2584">
        <v>6</v>
      </c>
      <c r="R2584">
        <v>2392.31</v>
      </c>
      <c r="S2584" t="s">
        <v>29</v>
      </c>
    </row>
    <row r="2585" spans="1:19" x14ac:dyDescent="0.3">
      <c r="A2585" t="s">
        <v>2655</v>
      </c>
      <c r="B2585">
        <v>44</v>
      </c>
      <c r="C2585" t="s">
        <v>31</v>
      </c>
      <c r="D2585" t="s">
        <v>70</v>
      </c>
      <c r="E2585" s="1">
        <v>45426</v>
      </c>
      <c r="F2585" s="3">
        <v>45433</v>
      </c>
      <c r="G2585" t="s">
        <v>62</v>
      </c>
      <c r="H2585" t="s">
        <v>63</v>
      </c>
      <c r="I2585" t="s">
        <v>83</v>
      </c>
      <c r="J2585">
        <v>6455</v>
      </c>
      <c r="K2585">
        <v>7</v>
      </c>
      <c r="L2585" t="s">
        <v>36</v>
      </c>
      <c r="M2585" t="s">
        <v>59</v>
      </c>
      <c r="N2585" t="s">
        <v>44</v>
      </c>
      <c r="O2585" t="s">
        <v>27</v>
      </c>
      <c r="P2585" t="s">
        <v>28</v>
      </c>
      <c r="Q2585">
        <v>10</v>
      </c>
      <c r="R2585">
        <v>2124.39</v>
      </c>
      <c r="S2585" t="s">
        <v>29</v>
      </c>
    </row>
    <row r="2586" spans="1:19" x14ac:dyDescent="0.3">
      <c r="A2586" t="s">
        <v>2656</v>
      </c>
      <c r="B2586">
        <v>81</v>
      </c>
      <c r="C2586" t="s">
        <v>19</v>
      </c>
      <c r="D2586" t="s">
        <v>89</v>
      </c>
      <c r="E2586" s="1">
        <v>45424</v>
      </c>
      <c r="F2586" s="3">
        <v>45425</v>
      </c>
      <c r="G2586" t="s">
        <v>67</v>
      </c>
      <c r="H2586" t="s">
        <v>42</v>
      </c>
      <c r="I2586" t="s">
        <v>91</v>
      </c>
      <c r="J2586">
        <v>1218.68</v>
      </c>
      <c r="K2586">
        <v>1</v>
      </c>
      <c r="L2586" t="s">
        <v>24</v>
      </c>
      <c r="M2586" t="s">
        <v>25</v>
      </c>
      <c r="N2586" t="s">
        <v>44</v>
      </c>
      <c r="O2586" t="s">
        <v>37</v>
      </c>
      <c r="P2586" t="s">
        <v>38</v>
      </c>
      <c r="Q2586">
        <v>2</v>
      </c>
      <c r="R2586">
        <v>441.3</v>
      </c>
      <c r="S2586" t="s">
        <v>29</v>
      </c>
    </row>
    <row r="2587" spans="1:19" x14ac:dyDescent="0.3">
      <c r="A2587" t="s">
        <v>2657</v>
      </c>
      <c r="B2587">
        <v>70</v>
      </c>
      <c r="C2587" t="s">
        <v>31</v>
      </c>
      <c r="D2587" t="s">
        <v>61</v>
      </c>
      <c r="E2587" s="1">
        <v>45471</v>
      </c>
      <c r="F2587" s="3">
        <v>45487</v>
      </c>
      <c r="G2587" t="s">
        <v>62</v>
      </c>
      <c r="H2587" t="s">
        <v>63</v>
      </c>
      <c r="I2587" t="s">
        <v>35</v>
      </c>
      <c r="J2587">
        <v>12081.21</v>
      </c>
      <c r="K2587">
        <v>16</v>
      </c>
      <c r="L2587" t="s">
        <v>36</v>
      </c>
      <c r="M2587" t="s">
        <v>25</v>
      </c>
      <c r="N2587" t="s">
        <v>55</v>
      </c>
      <c r="O2587" t="s">
        <v>37</v>
      </c>
      <c r="P2587" t="s">
        <v>50</v>
      </c>
      <c r="Q2587">
        <v>10</v>
      </c>
      <c r="R2587">
        <v>3589.72</v>
      </c>
      <c r="S2587" t="s">
        <v>29</v>
      </c>
    </row>
    <row r="2588" spans="1:19" x14ac:dyDescent="0.3">
      <c r="A2588" t="s">
        <v>2658</v>
      </c>
      <c r="B2588">
        <v>35</v>
      </c>
      <c r="C2588" t="s">
        <v>19</v>
      </c>
      <c r="D2588" t="s">
        <v>70</v>
      </c>
      <c r="E2588" s="1">
        <v>45801</v>
      </c>
      <c r="F2588" s="3">
        <v>45804</v>
      </c>
      <c r="G2588" t="s">
        <v>74</v>
      </c>
      <c r="H2588" t="s">
        <v>75</v>
      </c>
      <c r="I2588" t="s">
        <v>81</v>
      </c>
      <c r="J2588">
        <v>4310.3900000000003</v>
      </c>
      <c r="K2588">
        <v>3</v>
      </c>
      <c r="L2588" t="s">
        <v>24</v>
      </c>
      <c r="M2588" t="s">
        <v>25</v>
      </c>
      <c r="N2588" t="s">
        <v>44</v>
      </c>
      <c r="O2588" t="s">
        <v>56</v>
      </c>
      <c r="P2588" t="s">
        <v>38</v>
      </c>
      <c r="Q2588">
        <v>10</v>
      </c>
      <c r="R2588">
        <v>1106.07</v>
      </c>
      <c r="S2588" t="s">
        <v>29</v>
      </c>
    </row>
    <row r="2589" spans="1:19" x14ac:dyDescent="0.3">
      <c r="A2589" t="s">
        <v>2659</v>
      </c>
      <c r="B2589">
        <v>44</v>
      </c>
      <c r="C2589" t="s">
        <v>31</v>
      </c>
      <c r="D2589" t="s">
        <v>20</v>
      </c>
      <c r="E2589" s="1">
        <v>45005</v>
      </c>
      <c r="F2589" s="3">
        <v>45013</v>
      </c>
      <c r="G2589" t="s">
        <v>74</v>
      </c>
      <c r="H2589" t="s">
        <v>75</v>
      </c>
      <c r="I2589" t="s">
        <v>54</v>
      </c>
      <c r="J2589">
        <v>4932.7700000000004</v>
      </c>
      <c r="K2589">
        <v>8</v>
      </c>
      <c r="L2589" t="s">
        <v>36</v>
      </c>
      <c r="M2589" t="s">
        <v>25</v>
      </c>
      <c r="N2589" t="s">
        <v>55</v>
      </c>
      <c r="O2589" t="s">
        <v>37</v>
      </c>
      <c r="P2589" t="s">
        <v>38</v>
      </c>
      <c r="Q2589">
        <v>12</v>
      </c>
      <c r="R2589">
        <v>1021.2</v>
      </c>
      <c r="S2589" t="s">
        <v>29</v>
      </c>
    </row>
    <row r="2590" spans="1:19" x14ac:dyDescent="0.3">
      <c r="A2590" t="s">
        <v>2660</v>
      </c>
      <c r="B2590">
        <v>82</v>
      </c>
      <c r="C2590" t="s">
        <v>31</v>
      </c>
      <c r="D2590" t="s">
        <v>66</v>
      </c>
      <c r="E2590" s="1">
        <v>45173</v>
      </c>
      <c r="F2590" s="3">
        <v>45190</v>
      </c>
      <c r="G2590" t="s">
        <v>21</v>
      </c>
      <c r="H2590" t="s">
        <v>22</v>
      </c>
      <c r="I2590" t="s">
        <v>81</v>
      </c>
      <c r="J2590">
        <v>6668.06</v>
      </c>
      <c r="K2590">
        <v>17</v>
      </c>
      <c r="L2590" t="s">
        <v>36</v>
      </c>
      <c r="M2590" t="s">
        <v>25</v>
      </c>
      <c r="N2590" t="s">
        <v>26</v>
      </c>
      <c r="O2590" t="s">
        <v>56</v>
      </c>
      <c r="P2590" t="s">
        <v>28</v>
      </c>
      <c r="Q2590">
        <v>4</v>
      </c>
      <c r="R2590">
        <v>1898.54</v>
      </c>
      <c r="S2590" t="s">
        <v>29</v>
      </c>
    </row>
    <row r="2591" spans="1:19" x14ac:dyDescent="0.3">
      <c r="A2591" t="s">
        <v>2661</v>
      </c>
      <c r="B2591">
        <v>81</v>
      </c>
      <c r="C2591" t="s">
        <v>19</v>
      </c>
      <c r="D2591" t="s">
        <v>47</v>
      </c>
      <c r="E2591" s="1">
        <v>45886</v>
      </c>
      <c r="F2591" s="3">
        <v>45896</v>
      </c>
      <c r="G2591" t="s">
        <v>33</v>
      </c>
      <c r="H2591" t="s">
        <v>34</v>
      </c>
      <c r="I2591" t="s">
        <v>81</v>
      </c>
      <c r="J2591">
        <v>8563.48</v>
      </c>
      <c r="K2591">
        <v>10</v>
      </c>
      <c r="L2591" t="s">
        <v>36</v>
      </c>
      <c r="M2591" t="s">
        <v>59</v>
      </c>
      <c r="N2591" t="s">
        <v>26</v>
      </c>
      <c r="O2591" t="s">
        <v>27</v>
      </c>
      <c r="P2591" t="s">
        <v>50</v>
      </c>
      <c r="Q2591">
        <v>10</v>
      </c>
      <c r="R2591">
        <v>1484.47</v>
      </c>
      <c r="S2591" t="s">
        <v>29</v>
      </c>
    </row>
    <row r="2592" spans="1:19" x14ac:dyDescent="0.3">
      <c r="A2592" t="s">
        <v>2662</v>
      </c>
      <c r="B2592">
        <v>62</v>
      </c>
      <c r="C2592" t="s">
        <v>19</v>
      </c>
      <c r="D2592" t="s">
        <v>20</v>
      </c>
      <c r="E2592" s="1">
        <v>45841</v>
      </c>
      <c r="F2592" s="3">
        <v>45849</v>
      </c>
      <c r="G2592" t="s">
        <v>62</v>
      </c>
      <c r="H2592" t="s">
        <v>63</v>
      </c>
      <c r="I2592" t="s">
        <v>58</v>
      </c>
      <c r="J2592">
        <v>5370.32</v>
      </c>
      <c r="K2592">
        <v>8</v>
      </c>
      <c r="L2592" t="s">
        <v>24</v>
      </c>
      <c r="M2592" t="s">
        <v>25</v>
      </c>
      <c r="N2592" t="s">
        <v>26</v>
      </c>
      <c r="O2592" t="s">
        <v>56</v>
      </c>
      <c r="P2592" t="s">
        <v>50</v>
      </c>
      <c r="Q2592">
        <v>6</v>
      </c>
      <c r="R2592">
        <v>879.64</v>
      </c>
      <c r="S2592" t="s">
        <v>29</v>
      </c>
    </row>
    <row r="2593" spans="1:19" x14ac:dyDescent="0.3">
      <c r="A2593" t="s">
        <v>2663</v>
      </c>
      <c r="B2593">
        <v>36</v>
      </c>
      <c r="C2593" t="s">
        <v>19</v>
      </c>
      <c r="D2593" t="s">
        <v>66</v>
      </c>
      <c r="E2593" s="1">
        <v>45284</v>
      </c>
      <c r="F2593" s="3">
        <v>45291</v>
      </c>
      <c r="G2593" t="s">
        <v>93</v>
      </c>
      <c r="H2593" t="s">
        <v>72</v>
      </c>
      <c r="I2593" t="s">
        <v>54</v>
      </c>
      <c r="J2593">
        <v>5493.06</v>
      </c>
      <c r="K2593">
        <v>7</v>
      </c>
      <c r="L2593" t="s">
        <v>36</v>
      </c>
      <c r="M2593" t="s">
        <v>25</v>
      </c>
      <c r="N2593" t="s">
        <v>44</v>
      </c>
      <c r="O2593" t="s">
        <v>27</v>
      </c>
      <c r="P2593" t="s">
        <v>50</v>
      </c>
      <c r="Q2593">
        <v>2</v>
      </c>
      <c r="R2593">
        <v>2039.32</v>
      </c>
      <c r="S2593" t="s">
        <v>29</v>
      </c>
    </row>
    <row r="2594" spans="1:19" x14ac:dyDescent="0.3">
      <c r="A2594" t="s">
        <v>2664</v>
      </c>
      <c r="B2594">
        <v>56</v>
      </c>
      <c r="C2594" t="s">
        <v>19</v>
      </c>
      <c r="D2594" t="s">
        <v>20</v>
      </c>
      <c r="E2594" s="1">
        <v>44961</v>
      </c>
      <c r="F2594" s="3">
        <v>44969</v>
      </c>
      <c r="G2594" t="s">
        <v>48</v>
      </c>
      <c r="H2594" t="s">
        <v>22</v>
      </c>
      <c r="I2594" t="s">
        <v>81</v>
      </c>
      <c r="J2594">
        <v>13158.02</v>
      </c>
      <c r="K2594">
        <v>8</v>
      </c>
      <c r="L2594" t="s">
        <v>36</v>
      </c>
      <c r="M2594" t="s">
        <v>59</v>
      </c>
      <c r="N2594" t="s">
        <v>26</v>
      </c>
      <c r="O2594" t="s">
        <v>49</v>
      </c>
      <c r="P2594" t="s">
        <v>28</v>
      </c>
      <c r="Q2594">
        <v>1</v>
      </c>
      <c r="R2594">
        <v>2109.1799999999998</v>
      </c>
      <c r="S2594" t="s">
        <v>29</v>
      </c>
    </row>
    <row r="2595" spans="1:19" x14ac:dyDescent="0.3">
      <c r="A2595" t="s">
        <v>2665</v>
      </c>
      <c r="B2595">
        <v>66</v>
      </c>
      <c r="C2595" t="s">
        <v>31</v>
      </c>
      <c r="D2595" t="s">
        <v>79</v>
      </c>
      <c r="E2595" s="1">
        <v>45064</v>
      </c>
      <c r="F2595" s="3">
        <v>45069</v>
      </c>
      <c r="G2595" t="s">
        <v>67</v>
      </c>
      <c r="H2595" t="s">
        <v>42</v>
      </c>
      <c r="I2595" t="s">
        <v>81</v>
      </c>
      <c r="J2595">
        <v>2359.7199999999998</v>
      </c>
      <c r="K2595">
        <v>5</v>
      </c>
      <c r="L2595" t="s">
        <v>24</v>
      </c>
      <c r="M2595" t="s">
        <v>25</v>
      </c>
      <c r="N2595" t="s">
        <v>44</v>
      </c>
      <c r="O2595" t="s">
        <v>56</v>
      </c>
      <c r="P2595" t="s">
        <v>38</v>
      </c>
      <c r="Q2595">
        <v>3</v>
      </c>
      <c r="R2595">
        <v>439.7</v>
      </c>
      <c r="S2595" t="s">
        <v>29</v>
      </c>
    </row>
    <row r="2596" spans="1:19" x14ac:dyDescent="0.3">
      <c r="A2596" t="s">
        <v>2666</v>
      </c>
      <c r="B2596">
        <v>60</v>
      </c>
      <c r="C2596" t="s">
        <v>31</v>
      </c>
      <c r="D2596" t="s">
        <v>47</v>
      </c>
      <c r="E2596" s="1">
        <v>45697</v>
      </c>
      <c r="F2596" s="3">
        <v>45707</v>
      </c>
      <c r="G2596" t="s">
        <v>71</v>
      </c>
      <c r="H2596" t="s">
        <v>72</v>
      </c>
      <c r="I2596" t="s">
        <v>35</v>
      </c>
      <c r="J2596">
        <v>8420.6200000000008</v>
      </c>
      <c r="K2596">
        <v>10</v>
      </c>
      <c r="L2596" t="s">
        <v>36</v>
      </c>
      <c r="M2596" t="s">
        <v>25</v>
      </c>
      <c r="N2596" t="s">
        <v>26</v>
      </c>
      <c r="O2596" t="s">
        <v>49</v>
      </c>
      <c r="P2596" t="s">
        <v>38</v>
      </c>
      <c r="Q2596">
        <v>12</v>
      </c>
      <c r="R2596">
        <v>3016.14</v>
      </c>
      <c r="S2596" t="s">
        <v>29</v>
      </c>
    </row>
    <row r="2597" spans="1:19" x14ac:dyDescent="0.3">
      <c r="A2597" t="s">
        <v>2667</v>
      </c>
      <c r="B2597">
        <v>84</v>
      </c>
      <c r="C2597" t="s">
        <v>19</v>
      </c>
      <c r="D2597" t="s">
        <v>20</v>
      </c>
      <c r="E2597" s="1">
        <v>44930</v>
      </c>
      <c r="F2597" s="3">
        <v>44950</v>
      </c>
      <c r="G2597" t="s">
        <v>21</v>
      </c>
      <c r="H2597" t="s">
        <v>22</v>
      </c>
      <c r="I2597" t="s">
        <v>81</v>
      </c>
      <c r="J2597">
        <v>4785.53</v>
      </c>
      <c r="K2597">
        <v>20</v>
      </c>
      <c r="L2597" t="s">
        <v>36</v>
      </c>
      <c r="M2597" t="s">
        <v>25</v>
      </c>
      <c r="N2597" t="s">
        <v>55</v>
      </c>
      <c r="O2597" t="s">
        <v>56</v>
      </c>
      <c r="P2597" t="s">
        <v>38</v>
      </c>
      <c r="Q2597">
        <v>6</v>
      </c>
      <c r="R2597">
        <v>1628.62</v>
      </c>
      <c r="S2597" t="s">
        <v>29</v>
      </c>
    </row>
    <row r="2598" spans="1:19" x14ac:dyDescent="0.3">
      <c r="A2598" t="s">
        <v>2668</v>
      </c>
      <c r="B2598">
        <v>35</v>
      </c>
      <c r="C2598" t="s">
        <v>19</v>
      </c>
      <c r="D2598" t="s">
        <v>20</v>
      </c>
      <c r="E2598" s="1">
        <v>45502</v>
      </c>
      <c r="F2598" s="3">
        <v>45529</v>
      </c>
      <c r="G2598" t="s">
        <v>48</v>
      </c>
      <c r="H2598" t="s">
        <v>22</v>
      </c>
      <c r="I2598" t="s">
        <v>35</v>
      </c>
      <c r="J2598">
        <v>16257.26</v>
      </c>
      <c r="K2598">
        <v>27</v>
      </c>
      <c r="L2598" t="s">
        <v>36</v>
      </c>
      <c r="M2598" t="s">
        <v>101</v>
      </c>
      <c r="N2598" t="s">
        <v>26</v>
      </c>
      <c r="O2598" t="s">
        <v>49</v>
      </c>
      <c r="P2598" t="s">
        <v>45</v>
      </c>
      <c r="Q2598">
        <v>14</v>
      </c>
      <c r="R2598">
        <v>2999.79</v>
      </c>
      <c r="S2598" t="s">
        <v>29</v>
      </c>
    </row>
    <row r="2599" spans="1:19" x14ac:dyDescent="0.3">
      <c r="A2599" t="s">
        <v>2669</v>
      </c>
      <c r="B2599">
        <v>45</v>
      </c>
      <c r="C2599" t="s">
        <v>31</v>
      </c>
      <c r="D2599" t="s">
        <v>20</v>
      </c>
      <c r="E2599" s="1">
        <v>45730</v>
      </c>
      <c r="F2599" s="3">
        <v>45744</v>
      </c>
      <c r="G2599" t="s">
        <v>74</v>
      </c>
      <c r="H2599" t="s">
        <v>75</v>
      </c>
      <c r="I2599" t="s">
        <v>81</v>
      </c>
      <c r="J2599">
        <v>14979.94</v>
      </c>
      <c r="K2599">
        <v>14</v>
      </c>
      <c r="L2599" t="s">
        <v>24</v>
      </c>
      <c r="M2599" t="s">
        <v>25</v>
      </c>
      <c r="N2599" t="s">
        <v>55</v>
      </c>
      <c r="O2599" t="s">
        <v>49</v>
      </c>
      <c r="P2599" t="s">
        <v>28</v>
      </c>
      <c r="Q2599">
        <v>4</v>
      </c>
      <c r="R2599">
        <v>5802.52</v>
      </c>
      <c r="S2599" t="s">
        <v>29</v>
      </c>
    </row>
    <row r="2600" spans="1:19" x14ac:dyDescent="0.3">
      <c r="A2600" t="s">
        <v>2670</v>
      </c>
      <c r="B2600">
        <v>29</v>
      </c>
      <c r="C2600" t="s">
        <v>19</v>
      </c>
      <c r="D2600" t="s">
        <v>89</v>
      </c>
      <c r="E2600" s="1">
        <v>45729</v>
      </c>
      <c r="F2600" s="3">
        <v>45742</v>
      </c>
      <c r="G2600" t="s">
        <v>74</v>
      </c>
      <c r="H2600" t="s">
        <v>75</v>
      </c>
      <c r="I2600" t="s">
        <v>91</v>
      </c>
      <c r="J2600">
        <v>11412.5</v>
      </c>
      <c r="K2600">
        <v>13</v>
      </c>
      <c r="L2600" t="s">
        <v>36</v>
      </c>
      <c r="M2600" t="s">
        <v>25</v>
      </c>
      <c r="N2600" t="s">
        <v>55</v>
      </c>
      <c r="O2600" t="s">
        <v>49</v>
      </c>
      <c r="P2600" t="s">
        <v>50</v>
      </c>
      <c r="Q2600">
        <v>1</v>
      </c>
      <c r="R2600">
        <v>2555.56</v>
      </c>
      <c r="S2600" t="s">
        <v>29</v>
      </c>
    </row>
    <row r="2601" spans="1:19" x14ac:dyDescent="0.3">
      <c r="A2601" t="s">
        <v>2671</v>
      </c>
      <c r="B2601">
        <v>86</v>
      </c>
      <c r="C2601" t="s">
        <v>31</v>
      </c>
      <c r="D2601" t="s">
        <v>47</v>
      </c>
      <c r="E2601" s="1">
        <v>45410</v>
      </c>
      <c r="F2601" s="3">
        <v>45437</v>
      </c>
      <c r="G2601" t="s">
        <v>67</v>
      </c>
      <c r="H2601" t="s">
        <v>42</v>
      </c>
      <c r="I2601" t="s">
        <v>43</v>
      </c>
      <c r="J2601">
        <v>18096.96</v>
      </c>
      <c r="K2601">
        <v>27</v>
      </c>
      <c r="L2601" t="s">
        <v>24</v>
      </c>
      <c r="M2601" t="s">
        <v>25</v>
      </c>
      <c r="N2601" t="s">
        <v>44</v>
      </c>
      <c r="O2601" t="s">
        <v>49</v>
      </c>
      <c r="P2601" t="s">
        <v>50</v>
      </c>
      <c r="Q2601">
        <v>5</v>
      </c>
      <c r="R2601">
        <v>5644.32</v>
      </c>
      <c r="S2601" t="s">
        <v>29</v>
      </c>
    </row>
    <row r="2602" spans="1:19" x14ac:dyDescent="0.3">
      <c r="A2602" t="s">
        <v>2672</v>
      </c>
      <c r="B2602">
        <v>52</v>
      </c>
      <c r="C2602" t="s">
        <v>31</v>
      </c>
      <c r="D2602" t="s">
        <v>47</v>
      </c>
      <c r="E2602" s="1">
        <v>45174</v>
      </c>
      <c r="F2602" s="3">
        <v>45183</v>
      </c>
      <c r="G2602" t="s">
        <v>71</v>
      </c>
      <c r="H2602" t="s">
        <v>72</v>
      </c>
      <c r="I2602" t="s">
        <v>23</v>
      </c>
      <c r="J2602">
        <v>5848.98</v>
      </c>
      <c r="K2602">
        <v>9</v>
      </c>
      <c r="L2602" t="s">
        <v>24</v>
      </c>
      <c r="M2602" t="s">
        <v>25</v>
      </c>
      <c r="N2602" t="s">
        <v>44</v>
      </c>
      <c r="O2602" t="s">
        <v>37</v>
      </c>
      <c r="P2602" t="s">
        <v>38</v>
      </c>
      <c r="Q2602">
        <v>12</v>
      </c>
      <c r="R2602">
        <v>1440.64</v>
      </c>
      <c r="S2602" t="s">
        <v>39</v>
      </c>
    </row>
    <row r="2603" spans="1:19" x14ac:dyDescent="0.3">
      <c r="A2603" t="s">
        <v>2673</v>
      </c>
      <c r="B2603">
        <v>65</v>
      </c>
      <c r="C2603" t="s">
        <v>19</v>
      </c>
      <c r="D2603" t="s">
        <v>32</v>
      </c>
      <c r="E2603" s="1">
        <v>45716</v>
      </c>
      <c r="F2603" s="3">
        <v>45732</v>
      </c>
      <c r="G2603" t="s">
        <v>52</v>
      </c>
      <c r="H2603" t="s">
        <v>53</v>
      </c>
      <c r="I2603" t="s">
        <v>91</v>
      </c>
      <c r="J2603">
        <v>5616.08</v>
      </c>
      <c r="K2603">
        <v>16</v>
      </c>
      <c r="L2603" t="s">
        <v>24</v>
      </c>
      <c r="M2603" t="s">
        <v>25</v>
      </c>
      <c r="N2603" t="s">
        <v>26</v>
      </c>
      <c r="O2603" t="s">
        <v>37</v>
      </c>
      <c r="P2603" t="s">
        <v>28</v>
      </c>
      <c r="Q2603">
        <v>2</v>
      </c>
      <c r="R2603">
        <v>1466.91</v>
      </c>
      <c r="S2603" t="s">
        <v>29</v>
      </c>
    </row>
    <row r="2604" spans="1:19" x14ac:dyDescent="0.3">
      <c r="A2604" t="s">
        <v>2674</v>
      </c>
      <c r="B2604">
        <v>21</v>
      </c>
      <c r="C2604" t="s">
        <v>31</v>
      </c>
      <c r="D2604" t="s">
        <v>61</v>
      </c>
      <c r="E2604" s="1">
        <v>45085</v>
      </c>
      <c r="F2604" s="3">
        <v>45093</v>
      </c>
      <c r="G2604" t="s">
        <v>67</v>
      </c>
      <c r="H2604" t="s">
        <v>42</v>
      </c>
      <c r="I2604" t="s">
        <v>81</v>
      </c>
      <c r="J2604">
        <v>3721.54</v>
      </c>
      <c r="K2604">
        <v>8</v>
      </c>
      <c r="L2604" t="s">
        <v>36</v>
      </c>
      <c r="M2604" t="s">
        <v>25</v>
      </c>
      <c r="N2604" t="s">
        <v>55</v>
      </c>
      <c r="O2604" t="s">
        <v>56</v>
      </c>
      <c r="P2604" t="s">
        <v>28</v>
      </c>
      <c r="Q2604">
        <v>9</v>
      </c>
      <c r="R2604">
        <v>1028.3699999999999</v>
      </c>
      <c r="S2604" t="s">
        <v>29</v>
      </c>
    </row>
    <row r="2605" spans="1:19" x14ac:dyDescent="0.3">
      <c r="A2605" t="s">
        <v>2675</v>
      </c>
      <c r="B2605">
        <v>25</v>
      </c>
      <c r="C2605" t="s">
        <v>31</v>
      </c>
      <c r="D2605" t="s">
        <v>66</v>
      </c>
      <c r="E2605" s="1">
        <v>45784</v>
      </c>
      <c r="F2605" s="3">
        <v>45804</v>
      </c>
      <c r="G2605" t="s">
        <v>71</v>
      </c>
      <c r="H2605" t="s">
        <v>72</v>
      </c>
      <c r="I2605" t="s">
        <v>35</v>
      </c>
      <c r="J2605">
        <v>9178.73</v>
      </c>
      <c r="K2605">
        <v>20</v>
      </c>
      <c r="L2605" t="s">
        <v>24</v>
      </c>
      <c r="M2605" t="s">
        <v>25</v>
      </c>
      <c r="N2605" t="s">
        <v>55</v>
      </c>
      <c r="O2605" t="s">
        <v>56</v>
      </c>
      <c r="P2605" t="s">
        <v>50</v>
      </c>
      <c r="Q2605">
        <v>15</v>
      </c>
      <c r="R2605">
        <v>1937.49</v>
      </c>
      <c r="S2605" t="s">
        <v>29</v>
      </c>
    </row>
    <row r="2606" spans="1:19" x14ac:dyDescent="0.3">
      <c r="A2606" t="s">
        <v>2676</v>
      </c>
      <c r="B2606">
        <v>72</v>
      </c>
      <c r="C2606" t="s">
        <v>19</v>
      </c>
      <c r="D2606" t="s">
        <v>79</v>
      </c>
      <c r="E2606" s="1">
        <v>45661</v>
      </c>
      <c r="F2606" s="3">
        <v>45662</v>
      </c>
      <c r="G2606" t="s">
        <v>71</v>
      </c>
      <c r="H2606" t="s">
        <v>72</v>
      </c>
      <c r="I2606" t="s">
        <v>35</v>
      </c>
      <c r="J2606">
        <v>1274.6099999999999</v>
      </c>
      <c r="K2606">
        <v>1</v>
      </c>
      <c r="L2606" t="s">
        <v>36</v>
      </c>
      <c r="M2606" t="s">
        <v>25</v>
      </c>
      <c r="N2606" t="s">
        <v>44</v>
      </c>
      <c r="O2606" t="s">
        <v>56</v>
      </c>
      <c r="P2606" t="s">
        <v>50</v>
      </c>
      <c r="Q2606">
        <v>11</v>
      </c>
      <c r="R2606">
        <v>508.08</v>
      </c>
      <c r="S2606" t="s">
        <v>29</v>
      </c>
    </row>
    <row r="2607" spans="1:19" x14ac:dyDescent="0.3">
      <c r="A2607" t="s">
        <v>2677</v>
      </c>
      <c r="B2607">
        <v>34</v>
      </c>
      <c r="C2607" t="s">
        <v>31</v>
      </c>
      <c r="D2607" t="s">
        <v>61</v>
      </c>
      <c r="E2607" s="1">
        <v>45389</v>
      </c>
      <c r="F2607" s="3">
        <v>45397</v>
      </c>
      <c r="G2607" t="s">
        <v>48</v>
      </c>
      <c r="H2607" t="s">
        <v>22</v>
      </c>
      <c r="I2607" t="s">
        <v>35</v>
      </c>
      <c r="J2607">
        <v>12879.82</v>
      </c>
      <c r="K2607">
        <v>8</v>
      </c>
      <c r="L2607" t="s">
        <v>24</v>
      </c>
      <c r="M2607" t="s">
        <v>25</v>
      </c>
      <c r="N2607" t="s">
        <v>55</v>
      </c>
      <c r="O2607" t="s">
        <v>49</v>
      </c>
      <c r="P2607" t="s">
        <v>28</v>
      </c>
      <c r="Q2607">
        <v>10</v>
      </c>
      <c r="R2607">
        <v>4712.97</v>
      </c>
      <c r="S2607" t="s">
        <v>29</v>
      </c>
    </row>
    <row r="2608" spans="1:19" x14ac:dyDescent="0.3">
      <c r="A2608" t="s">
        <v>2678</v>
      </c>
      <c r="B2608">
        <v>67</v>
      </c>
      <c r="C2608" t="s">
        <v>19</v>
      </c>
      <c r="D2608" t="s">
        <v>89</v>
      </c>
      <c r="E2608" s="1">
        <v>45543</v>
      </c>
      <c r="F2608" s="3">
        <v>45554</v>
      </c>
      <c r="G2608" t="s">
        <v>48</v>
      </c>
      <c r="H2608" t="s">
        <v>22</v>
      </c>
      <c r="I2608" t="s">
        <v>43</v>
      </c>
      <c r="J2608">
        <v>7763.2</v>
      </c>
      <c r="K2608">
        <v>11</v>
      </c>
      <c r="L2608" t="s">
        <v>36</v>
      </c>
      <c r="M2608" t="s">
        <v>59</v>
      </c>
      <c r="N2608" t="s">
        <v>26</v>
      </c>
      <c r="O2608" t="s">
        <v>27</v>
      </c>
      <c r="P2608" t="s">
        <v>28</v>
      </c>
      <c r="Q2608">
        <v>2</v>
      </c>
      <c r="R2608">
        <v>1932.87</v>
      </c>
      <c r="S2608" t="s">
        <v>39</v>
      </c>
    </row>
    <row r="2609" spans="1:19" x14ac:dyDescent="0.3">
      <c r="A2609" t="s">
        <v>2679</v>
      </c>
      <c r="B2609">
        <v>26</v>
      </c>
      <c r="C2609" t="s">
        <v>19</v>
      </c>
      <c r="D2609" t="s">
        <v>32</v>
      </c>
      <c r="E2609" s="1">
        <v>45312</v>
      </c>
      <c r="F2609" s="3">
        <v>45330</v>
      </c>
      <c r="G2609" t="s">
        <v>48</v>
      </c>
      <c r="H2609" t="s">
        <v>22</v>
      </c>
      <c r="I2609" t="s">
        <v>58</v>
      </c>
      <c r="J2609">
        <v>6186.6</v>
      </c>
      <c r="K2609">
        <v>18</v>
      </c>
      <c r="L2609" t="s">
        <v>36</v>
      </c>
      <c r="M2609" t="s">
        <v>25</v>
      </c>
      <c r="N2609" t="s">
        <v>26</v>
      </c>
      <c r="O2609" t="s">
        <v>56</v>
      </c>
      <c r="P2609" t="s">
        <v>38</v>
      </c>
      <c r="Q2609">
        <v>14</v>
      </c>
      <c r="R2609">
        <v>1525.19</v>
      </c>
      <c r="S2609" t="s">
        <v>29</v>
      </c>
    </row>
    <row r="2610" spans="1:19" x14ac:dyDescent="0.3">
      <c r="A2610" t="s">
        <v>2680</v>
      </c>
      <c r="B2610">
        <v>40</v>
      </c>
      <c r="C2610" t="s">
        <v>19</v>
      </c>
      <c r="D2610" t="s">
        <v>32</v>
      </c>
      <c r="E2610" s="1">
        <v>45285</v>
      </c>
      <c r="F2610" s="3">
        <v>45297</v>
      </c>
      <c r="G2610" t="s">
        <v>52</v>
      </c>
      <c r="H2610" t="s">
        <v>53</v>
      </c>
      <c r="I2610" t="s">
        <v>81</v>
      </c>
      <c r="J2610">
        <v>4316.2700000000004</v>
      </c>
      <c r="K2610">
        <v>12</v>
      </c>
      <c r="L2610" t="s">
        <v>24</v>
      </c>
      <c r="M2610" t="s">
        <v>25</v>
      </c>
      <c r="N2610" t="s">
        <v>55</v>
      </c>
      <c r="O2610" t="s">
        <v>56</v>
      </c>
      <c r="P2610" t="s">
        <v>45</v>
      </c>
      <c r="Q2610">
        <v>8</v>
      </c>
      <c r="R2610">
        <v>1506.69</v>
      </c>
      <c r="S2610" t="s">
        <v>29</v>
      </c>
    </row>
    <row r="2611" spans="1:19" x14ac:dyDescent="0.3">
      <c r="A2611" t="s">
        <v>2681</v>
      </c>
      <c r="B2611">
        <v>72</v>
      </c>
      <c r="C2611" t="s">
        <v>19</v>
      </c>
      <c r="D2611" t="s">
        <v>66</v>
      </c>
      <c r="E2611" s="1">
        <v>45818</v>
      </c>
      <c r="F2611" s="3">
        <v>45820</v>
      </c>
      <c r="G2611" t="s">
        <v>21</v>
      </c>
      <c r="H2611" t="s">
        <v>22</v>
      </c>
      <c r="I2611" t="s">
        <v>35</v>
      </c>
      <c r="J2611">
        <v>3313.04</v>
      </c>
      <c r="K2611">
        <v>2</v>
      </c>
      <c r="L2611" t="s">
        <v>24</v>
      </c>
      <c r="M2611" t="s">
        <v>25</v>
      </c>
      <c r="N2611" t="s">
        <v>26</v>
      </c>
      <c r="O2611" t="s">
        <v>37</v>
      </c>
      <c r="P2611" t="s">
        <v>28</v>
      </c>
      <c r="Q2611">
        <v>10</v>
      </c>
      <c r="R2611">
        <v>512.59</v>
      </c>
      <c r="S2611" t="s">
        <v>29</v>
      </c>
    </row>
    <row r="2612" spans="1:19" x14ac:dyDescent="0.3">
      <c r="A2612" t="s">
        <v>2682</v>
      </c>
      <c r="B2612">
        <v>46</v>
      </c>
      <c r="C2612" t="s">
        <v>31</v>
      </c>
      <c r="D2612" t="s">
        <v>70</v>
      </c>
      <c r="E2612" s="1">
        <v>45515</v>
      </c>
      <c r="F2612" s="3">
        <v>45543</v>
      </c>
      <c r="G2612" t="s">
        <v>33</v>
      </c>
      <c r="H2612" t="s">
        <v>34</v>
      </c>
      <c r="I2612" t="s">
        <v>58</v>
      </c>
      <c r="J2612">
        <v>21070.75</v>
      </c>
      <c r="K2612">
        <v>28</v>
      </c>
      <c r="L2612" t="s">
        <v>24</v>
      </c>
      <c r="M2612" t="s">
        <v>59</v>
      </c>
      <c r="N2612" t="s">
        <v>26</v>
      </c>
      <c r="O2612" t="s">
        <v>49</v>
      </c>
      <c r="P2612" t="s">
        <v>28</v>
      </c>
      <c r="Q2612">
        <v>11</v>
      </c>
      <c r="R2612">
        <v>7545.7</v>
      </c>
      <c r="S2612" t="s">
        <v>29</v>
      </c>
    </row>
    <row r="2613" spans="1:19" x14ac:dyDescent="0.3">
      <c r="A2613" t="s">
        <v>2683</v>
      </c>
      <c r="B2613">
        <v>71</v>
      </c>
      <c r="C2613" t="s">
        <v>31</v>
      </c>
      <c r="D2613" t="s">
        <v>70</v>
      </c>
      <c r="E2613" s="1">
        <v>45773</v>
      </c>
      <c r="F2613" s="3">
        <v>45780</v>
      </c>
      <c r="G2613" t="s">
        <v>41</v>
      </c>
      <c r="H2613" t="s">
        <v>42</v>
      </c>
      <c r="I2613" t="s">
        <v>83</v>
      </c>
      <c r="J2613">
        <v>10807</v>
      </c>
      <c r="K2613">
        <v>7</v>
      </c>
      <c r="L2613" t="s">
        <v>24</v>
      </c>
      <c r="M2613" t="s">
        <v>25</v>
      </c>
      <c r="N2613" t="s">
        <v>26</v>
      </c>
      <c r="O2613" t="s">
        <v>49</v>
      </c>
      <c r="P2613" t="s">
        <v>50</v>
      </c>
      <c r="Q2613">
        <v>1</v>
      </c>
      <c r="R2613">
        <v>4202.09</v>
      </c>
      <c r="S2613" t="s">
        <v>29</v>
      </c>
    </row>
    <row r="2614" spans="1:19" x14ac:dyDescent="0.3">
      <c r="A2614" t="s">
        <v>2684</v>
      </c>
      <c r="B2614">
        <v>74</v>
      </c>
      <c r="C2614" t="s">
        <v>31</v>
      </c>
      <c r="D2614" t="s">
        <v>79</v>
      </c>
      <c r="E2614" s="1">
        <v>45549</v>
      </c>
      <c r="F2614" s="3">
        <v>45568</v>
      </c>
      <c r="G2614" t="s">
        <v>33</v>
      </c>
      <c r="H2614" t="s">
        <v>34</v>
      </c>
      <c r="I2614" t="s">
        <v>81</v>
      </c>
      <c r="J2614">
        <v>13206.45</v>
      </c>
      <c r="K2614">
        <v>19</v>
      </c>
      <c r="L2614" t="s">
        <v>24</v>
      </c>
      <c r="M2614" t="s">
        <v>25</v>
      </c>
      <c r="N2614" t="s">
        <v>44</v>
      </c>
      <c r="O2614" t="s">
        <v>49</v>
      </c>
      <c r="P2614" t="s">
        <v>50</v>
      </c>
      <c r="Q2614">
        <v>6</v>
      </c>
      <c r="R2614">
        <v>4931.3900000000003</v>
      </c>
      <c r="S2614" t="s">
        <v>29</v>
      </c>
    </row>
    <row r="2615" spans="1:19" x14ac:dyDescent="0.3">
      <c r="A2615" t="s">
        <v>2685</v>
      </c>
      <c r="B2615">
        <v>68</v>
      </c>
      <c r="C2615" t="s">
        <v>19</v>
      </c>
      <c r="D2615" t="s">
        <v>66</v>
      </c>
      <c r="E2615" s="1">
        <v>45637</v>
      </c>
      <c r="F2615" s="3">
        <v>45656</v>
      </c>
      <c r="G2615" t="s">
        <v>33</v>
      </c>
      <c r="H2615" t="s">
        <v>34</v>
      </c>
      <c r="I2615" t="s">
        <v>23</v>
      </c>
      <c r="J2615">
        <v>10434.92</v>
      </c>
      <c r="K2615">
        <v>19</v>
      </c>
      <c r="L2615" t="s">
        <v>36</v>
      </c>
      <c r="M2615" t="s">
        <v>59</v>
      </c>
      <c r="N2615" t="s">
        <v>44</v>
      </c>
      <c r="O2615" t="s">
        <v>56</v>
      </c>
      <c r="P2615" t="s">
        <v>50</v>
      </c>
      <c r="Q2615">
        <v>11</v>
      </c>
      <c r="R2615">
        <v>3517.46</v>
      </c>
      <c r="S2615" t="s">
        <v>29</v>
      </c>
    </row>
    <row r="2616" spans="1:19" x14ac:dyDescent="0.3">
      <c r="A2616" t="s">
        <v>2686</v>
      </c>
      <c r="B2616">
        <v>74</v>
      </c>
      <c r="C2616" t="s">
        <v>31</v>
      </c>
      <c r="D2616" t="s">
        <v>70</v>
      </c>
      <c r="E2616" s="1">
        <v>45492</v>
      </c>
      <c r="F2616" s="3">
        <v>45505</v>
      </c>
      <c r="G2616" t="s">
        <v>41</v>
      </c>
      <c r="H2616" t="s">
        <v>42</v>
      </c>
      <c r="I2616" t="s">
        <v>43</v>
      </c>
      <c r="J2616">
        <v>6508.72</v>
      </c>
      <c r="K2616">
        <v>13</v>
      </c>
      <c r="L2616" t="s">
        <v>36</v>
      </c>
      <c r="M2616" t="s">
        <v>25</v>
      </c>
      <c r="N2616" t="s">
        <v>55</v>
      </c>
      <c r="O2616" t="s">
        <v>56</v>
      </c>
      <c r="P2616" t="s">
        <v>45</v>
      </c>
      <c r="Q2616">
        <v>5</v>
      </c>
      <c r="R2616">
        <v>1789.73</v>
      </c>
      <c r="S2616" t="s">
        <v>29</v>
      </c>
    </row>
    <row r="2617" spans="1:19" x14ac:dyDescent="0.3">
      <c r="A2617" t="s">
        <v>2687</v>
      </c>
      <c r="B2617">
        <v>47</v>
      </c>
      <c r="C2617" t="s">
        <v>31</v>
      </c>
      <c r="D2617" t="s">
        <v>70</v>
      </c>
      <c r="E2617" s="1">
        <v>45024</v>
      </c>
      <c r="F2617" s="3">
        <v>45028</v>
      </c>
      <c r="G2617" t="s">
        <v>93</v>
      </c>
      <c r="H2617" t="s">
        <v>72</v>
      </c>
      <c r="I2617" t="s">
        <v>81</v>
      </c>
      <c r="J2617">
        <v>4170.12</v>
      </c>
      <c r="K2617">
        <v>4</v>
      </c>
      <c r="L2617" t="s">
        <v>36</v>
      </c>
      <c r="M2617" t="s">
        <v>25</v>
      </c>
      <c r="N2617" t="s">
        <v>44</v>
      </c>
      <c r="O2617" t="s">
        <v>37</v>
      </c>
      <c r="P2617" t="s">
        <v>38</v>
      </c>
      <c r="Q2617">
        <v>14</v>
      </c>
      <c r="R2617">
        <v>971.02</v>
      </c>
      <c r="S2617" t="s">
        <v>29</v>
      </c>
    </row>
    <row r="2618" spans="1:19" x14ac:dyDescent="0.3">
      <c r="A2618" t="s">
        <v>2688</v>
      </c>
      <c r="B2618">
        <v>25</v>
      </c>
      <c r="C2618" t="s">
        <v>19</v>
      </c>
      <c r="D2618" t="s">
        <v>89</v>
      </c>
      <c r="E2618" s="1">
        <v>45607</v>
      </c>
      <c r="F2618" s="3">
        <v>45620</v>
      </c>
      <c r="G2618" t="s">
        <v>41</v>
      </c>
      <c r="H2618" t="s">
        <v>42</v>
      </c>
      <c r="I2618" t="s">
        <v>81</v>
      </c>
      <c r="J2618">
        <v>14501.99</v>
      </c>
      <c r="K2618">
        <v>13</v>
      </c>
      <c r="L2618" t="s">
        <v>24</v>
      </c>
      <c r="M2618" t="s">
        <v>25</v>
      </c>
      <c r="N2618" t="s">
        <v>26</v>
      </c>
      <c r="O2618" t="s">
        <v>49</v>
      </c>
      <c r="P2618" t="s">
        <v>50</v>
      </c>
      <c r="Q2618">
        <v>11</v>
      </c>
      <c r="R2618">
        <v>4661.87</v>
      </c>
      <c r="S2618" t="s">
        <v>29</v>
      </c>
    </row>
    <row r="2619" spans="1:19" x14ac:dyDescent="0.3">
      <c r="A2619" t="s">
        <v>2689</v>
      </c>
      <c r="B2619">
        <v>22</v>
      </c>
      <c r="C2619" t="s">
        <v>19</v>
      </c>
      <c r="D2619" t="s">
        <v>47</v>
      </c>
      <c r="E2619" s="1">
        <v>45345</v>
      </c>
      <c r="F2619" s="3">
        <v>45354</v>
      </c>
      <c r="G2619" t="s">
        <v>33</v>
      </c>
      <c r="H2619" t="s">
        <v>34</v>
      </c>
      <c r="I2619" t="s">
        <v>23</v>
      </c>
      <c r="J2619">
        <v>4381.58</v>
      </c>
      <c r="K2619">
        <v>9</v>
      </c>
      <c r="L2619" t="s">
        <v>24</v>
      </c>
      <c r="M2619" t="s">
        <v>59</v>
      </c>
      <c r="N2619" t="s">
        <v>26</v>
      </c>
      <c r="O2619" t="s">
        <v>27</v>
      </c>
      <c r="P2619" t="s">
        <v>45</v>
      </c>
      <c r="Q2619">
        <v>10</v>
      </c>
      <c r="R2619">
        <v>1453.68</v>
      </c>
      <c r="S2619" t="s">
        <v>29</v>
      </c>
    </row>
    <row r="2620" spans="1:19" x14ac:dyDescent="0.3">
      <c r="A2620" t="s">
        <v>2690</v>
      </c>
      <c r="B2620">
        <v>87</v>
      </c>
      <c r="C2620" t="s">
        <v>31</v>
      </c>
      <c r="D2620" t="s">
        <v>66</v>
      </c>
      <c r="E2620" s="1">
        <v>45298</v>
      </c>
      <c r="F2620" s="3">
        <v>45305</v>
      </c>
      <c r="G2620" t="s">
        <v>48</v>
      </c>
      <c r="H2620" t="s">
        <v>22</v>
      </c>
      <c r="I2620" t="s">
        <v>23</v>
      </c>
      <c r="J2620">
        <v>3723.66</v>
      </c>
      <c r="K2620">
        <v>7</v>
      </c>
      <c r="L2620" t="s">
        <v>24</v>
      </c>
      <c r="M2620" t="s">
        <v>25</v>
      </c>
      <c r="N2620" t="s">
        <v>44</v>
      </c>
      <c r="O2620" t="s">
        <v>37</v>
      </c>
      <c r="P2620" t="s">
        <v>38</v>
      </c>
      <c r="Q2620">
        <v>6</v>
      </c>
      <c r="R2620">
        <v>1177.3499999999999</v>
      </c>
      <c r="S2620" t="s">
        <v>29</v>
      </c>
    </row>
    <row r="2621" spans="1:19" x14ac:dyDescent="0.3">
      <c r="A2621" t="s">
        <v>2691</v>
      </c>
      <c r="B2621">
        <v>75</v>
      </c>
      <c r="C2621" t="s">
        <v>19</v>
      </c>
      <c r="D2621" t="s">
        <v>20</v>
      </c>
      <c r="E2621" s="1">
        <v>45540</v>
      </c>
      <c r="F2621" s="3">
        <v>45552</v>
      </c>
      <c r="G2621" t="s">
        <v>74</v>
      </c>
      <c r="H2621" t="s">
        <v>75</v>
      </c>
      <c r="I2621" t="s">
        <v>23</v>
      </c>
      <c r="J2621">
        <v>7257.96</v>
      </c>
      <c r="K2621">
        <v>12</v>
      </c>
      <c r="L2621" t="s">
        <v>24</v>
      </c>
      <c r="M2621" t="s">
        <v>25</v>
      </c>
      <c r="N2621" t="s">
        <v>26</v>
      </c>
      <c r="O2621" t="s">
        <v>37</v>
      </c>
      <c r="P2621" t="s">
        <v>28</v>
      </c>
      <c r="Q2621">
        <v>2</v>
      </c>
      <c r="R2621">
        <v>2678.22</v>
      </c>
      <c r="S2621" t="s">
        <v>29</v>
      </c>
    </row>
    <row r="2622" spans="1:19" x14ac:dyDescent="0.3">
      <c r="A2622" t="s">
        <v>2692</v>
      </c>
      <c r="B2622">
        <v>54</v>
      </c>
      <c r="C2622" t="s">
        <v>31</v>
      </c>
      <c r="D2622" t="s">
        <v>79</v>
      </c>
      <c r="E2622" s="1">
        <v>45207</v>
      </c>
      <c r="F2622" s="3">
        <v>45225</v>
      </c>
      <c r="G2622" t="s">
        <v>52</v>
      </c>
      <c r="H2622" t="s">
        <v>53</v>
      </c>
      <c r="I2622" t="s">
        <v>83</v>
      </c>
      <c r="J2622">
        <v>13363.94</v>
      </c>
      <c r="K2622">
        <v>18</v>
      </c>
      <c r="L2622" t="s">
        <v>24</v>
      </c>
      <c r="M2622" t="s">
        <v>25</v>
      </c>
      <c r="N2622" t="s">
        <v>55</v>
      </c>
      <c r="O2622" t="s">
        <v>27</v>
      </c>
      <c r="P2622" t="s">
        <v>50</v>
      </c>
      <c r="Q2622">
        <v>5</v>
      </c>
      <c r="R2622">
        <v>4623.34</v>
      </c>
      <c r="S2622" t="s">
        <v>29</v>
      </c>
    </row>
    <row r="2623" spans="1:19" x14ac:dyDescent="0.3">
      <c r="A2623" t="s">
        <v>2693</v>
      </c>
      <c r="B2623">
        <v>40</v>
      </c>
      <c r="C2623" t="s">
        <v>19</v>
      </c>
      <c r="D2623" t="s">
        <v>47</v>
      </c>
      <c r="E2623" s="1">
        <v>45881</v>
      </c>
      <c r="F2623" s="3">
        <v>45904</v>
      </c>
      <c r="G2623" t="s">
        <v>71</v>
      </c>
      <c r="H2623" t="s">
        <v>72</v>
      </c>
      <c r="I2623" t="s">
        <v>35</v>
      </c>
      <c r="J2623">
        <v>12244.51</v>
      </c>
      <c r="K2623">
        <v>23</v>
      </c>
      <c r="L2623" t="s">
        <v>36</v>
      </c>
      <c r="M2623" t="s">
        <v>25</v>
      </c>
      <c r="N2623" t="s">
        <v>26</v>
      </c>
      <c r="O2623" t="s">
        <v>49</v>
      </c>
      <c r="P2623" t="s">
        <v>45</v>
      </c>
      <c r="Q2623">
        <v>4</v>
      </c>
      <c r="R2623">
        <v>2396.27</v>
      </c>
      <c r="S2623" t="s">
        <v>29</v>
      </c>
    </row>
    <row r="2624" spans="1:19" x14ac:dyDescent="0.3">
      <c r="A2624" t="s">
        <v>2694</v>
      </c>
      <c r="B2624">
        <v>45</v>
      </c>
      <c r="C2624" t="s">
        <v>31</v>
      </c>
      <c r="D2624" t="s">
        <v>79</v>
      </c>
      <c r="E2624" s="1">
        <v>45608</v>
      </c>
      <c r="F2624" s="3">
        <v>45638</v>
      </c>
      <c r="G2624" t="s">
        <v>48</v>
      </c>
      <c r="H2624" t="s">
        <v>22</v>
      </c>
      <c r="I2624" t="s">
        <v>54</v>
      </c>
      <c r="J2624">
        <v>19816.57</v>
      </c>
      <c r="K2624">
        <v>30</v>
      </c>
      <c r="L2624" t="s">
        <v>36</v>
      </c>
      <c r="M2624" t="s">
        <v>25</v>
      </c>
      <c r="N2624" t="s">
        <v>44</v>
      </c>
      <c r="O2624" t="s">
        <v>49</v>
      </c>
      <c r="P2624" t="s">
        <v>38</v>
      </c>
      <c r="Q2624">
        <v>5</v>
      </c>
      <c r="R2624">
        <v>3598.36</v>
      </c>
      <c r="S2624" t="s">
        <v>29</v>
      </c>
    </row>
    <row r="2625" spans="1:19" x14ac:dyDescent="0.3">
      <c r="A2625" t="s">
        <v>2695</v>
      </c>
      <c r="B2625">
        <v>67</v>
      </c>
      <c r="C2625" t="s">
        <v>19</v>
      </c>
      <c r="D2625" t="s">
        <v>79</v>
      </c>
      <c r="E2625" s="1">
        <v>45298</v>
      </c>
      <c r="F2625" s="3">
        <v>45317</v>
      </c>
      <c r="G2625" t="s">
        <v>21</v>
      </c>
      <c r="H2625" t="s">
        <v>22</v>
      </c>
      <c r="I2625" t="s">
        <v>81</v>
      </c>
      <c r="J2625">
        <v>13327.09</v>
      </c>
      <c r="K2625">
        <v>19</v>
      </c>
      <c r="L2625" t="s">
        <v>24</v>
      </c>
      <c r="M2625" t="s">
        <v>25</v>
      </c>
      <c r="N2625" t="s">
        <v>55</v>
      </c>
      <c r="O2625" t="s">
        <v>27</v>
      </c>
      <c r="P2625" t="s">
        <v>45</v>
      </c>
      <c r="Q2625">
        <v>7</v>
      </c>
      <c r="R2625">
        <v>4619.72</v>
      </c>
      <c r="S2625" t="s">
        <v>29</v>
      </c>
    </row>
    <row r="2626" spans="1:19" x14ac:dyDescent="0.3">
      <c r="A2626" t="s">
        <v>2696</v>
      </c>
      <c r="B2626">
        <v>81</v>
      </c>
      <c r="C2626" t="s">
        <v>19</v>
      </c>
      <c r="D2626" t="s">
        <v>32</v>
      </c>
      <c r="E2626" s="1">
        <v>45386</v>
      </c>
      <c r="F2626" s="3">
        <v>45405</v>
      </c>
      <c r="G2626" t="s">
        <v>41</v>
      </c>
      <c r="H2626" t="s">
        <v>42</v>
      </c>
      <c r="I2626" t="s">
        <v>81</v>
      </c>
      <c r="J2626">
        <v>15199.08</v>
      </c>
      <c r="K2626">
        <v>19</v>
      </c>
      <c r="L2626" t="s">
        <v>24</v>
      </c>
      <c r="M2626" t="s">
        <v>25</v>
      </c>
      <c r="N2626" t="s">
        <v>44</v>
      </c>
      <c r="O2626" t="s">
        <v>56</v>
      </c>
      <c r="P2626" t="s">
        <v>50</v>
      </c>
      <c r="Q2626">
        <v>9</v>
      </c>
      <c r="R2626">
        <v>2848.57</v>
      </c>
      <c r="S2626" t="s">
        <v>29</v>
      </c>
    </row>
    <row r="2627" spans="1:19" x14ac:dyDescent="0.3">
      <c r="A2627" t="s">
        <v>2697</v>
      </c>
      <c r="B2627">
        <v>85</v>
      </c>
      <c r="C2627" t="s">
        <v>19</v>
      </c>
      <c r="D2627" t="s">
        <v>61</v>
      </c>
      <c r="E2627" s="1">
        <v>45130</v>
      </c>
      <c r="F2627" s="3">
        <v>45144</v>
      </c>
      <c r="G2627" t="s">
        <v>71</v>
      </c>
      <c r="H2627" t="s">
        <v>72</v>
      </c>
      <c r="I2627" t="s">
        <v>91</v>
      </c>
      <c r="J2627">
        <v>10986.67</v>
      </c>
      <c r="K2627">
        <v>14</v>
      </c>
      <c r="L2627" t="s">
        <v>24</v>
      </c>
      <c r="M2627" t="s">
        <v>25</v>
      </c>
      <c r="N2627" t="s">
        <v>44</v>
      </c>
      <c r="O2627" t="s">
        <v>56</v>
      </c>
      <c r="P2627" t="s">
        <v>45</v>
      </c>
      <c r="Q2627">
        <v>3</v>
      </c>
      <c r="R2627">
        <v>3077.52</v>
      </c>
      <c r="S2627" t="s">
        <v>29</v>
      </c>
    </row>
    <row r="2628" spans="1:19" x14ac:dyDescent="0.3">
      <c r="A2628" t="s">
        <v>2698</v>
      </c>
      <c r="B2628">
        <v>29</v>
      </c>
      <c r="C2628" t="s">
        <v>19</v>
      </c>
      <c r="D2628" t="s">
        <v>20</v>
      </c>
      <c r="E2628" s="1">
        <v>45908</v>
      </c>
      <c r="F2628" s="3">
        <v>45924</v>
      </c>
      <c r="G2628" t="s">
        <v>67</v>
      </c>
      <c r="H2628" t="s">
        <v>42</v>
      </c>
      <c r="I2628" t="s">
        <v>58</v>
      </c>
      <c r="J2628">
        <v>7474.42</v>
      </c>
      <c r="K2628">
        <v>16</v>
      </c>
      <c r="L2628" t="s">
        <v>24</v>
      </c>
      <c r="M2628" t="s">
        <v>25</v>
      </c>
      <c r="N2628" t="s">
        <v>44</v>
      </c>
      <c r="O2628" t="s">
        <v>27</v>
      </c>
      <c r="P2628" t="s">
        <v>45</v>
      </c>
      <c r="Q2628">
        <v>3</v>
      </c>
      <c r="R2628">
        <v>2259.77</v>
      </c>
      <c r="S2628" t="s">
        <v>29</v>
      </c>
    </row>
    <row r="2629" spans="1:19" x14ac:dyDescent="0.3">
      <c r="A2629" t="s">
        <v>2699</v>
      </c>
      <c r="B2629">
        <v>40</v>
      </c>
      <c r="C2629" t="s">
        <v>19</v>
      </c>
      <c r="D2629" t="s">
        <v>70</v>
      </c>
      <c r="E2629" s="1">
        <v>45579</v>
      </c>
      <c r="F2629" s="3">
        <v>45588</v>
      </c>
      <c r="G2629" t="s">
        <v>48</v>
      </c>
      <c r="H2629" t="s">
        <v>22</v>
      </c>
      <c r="I2629" t="s">
        <v>83</v>
      </c>
      <c r="J2629">
        <v>5336.11</v>
      </c>
      <c r="K2629">
        <v>9</v>
      </c>
      <c r="L2629" t="s">
        <v>24</v>
      </c>
      <c r="M2629" t="s">
        <v>25</v>
      </c>
      <c r="N2629" t="s">
        <v>55</v>
      </c>
      <c r="O2629" t="s">
        <v>37</v>
      </c>
      <c r="P2629" t="s">
        <v>50</v>
      </c>
      <c r="Q2629">
        <v>12</v>
      </c>
      <c r="R2629">
        <v>1674.15</v>
      </c>
      <c r="S2629" t="s">
        <v>29</v>
      </c>
    </row>
    <row r="2630" spans="1:19" x14ac:dyDescent="0.3">
      <c r="A2630" t="s">
        <v>2700</v>
      </c>
      <c r="B2630">
        <v>36</v>
      </c>
      <c r="C2630" t="s">
        <v>19</v>
      </c>
      <c r="D2630" t="s">
        <v>47</v>
      </c>
      <c r="E2630" s="1">
        <v>45250</v>
      </c>
      <c r="F2630" s="3">
        <v>45252</v>
      </c>
      <c r="G2630" t="s">
        <v>93</v>
      </c>
      <c r="H2630" t="s">
        <v>72</v>
      </c>
      <c r="I2630" t="s">
        <v>35</v>
      </c>
      <c r="J2630">
        <v>2620.98</v>
      </c>
      <c r="K2630">
        <v>2</v>
      </c>
      <c r="L2630" t="s">
        <v>36</v>
      </c>
      <c r="M2630" t="s">
        <v>25</v>
      </c>
      <c r="N2630" t="s">
        <v>26</v>
      </c>
      <c r="O2630" t="s">
        <v>37</v>
      </c>
      <c r="P2630" t="s">
        <v>28</v>
      </c>
      <c r="Q2630">
        <v>1</v>
      </c>
      <c r="R2630">
        <v>812.64</v>
      </c>
      <c r="S2630" t="s">
        <v>39</v>
      </c>
    </row>
    <row r="2631" spans="1:19" x14ac:dyDescent="0.3">
      <c r="A2631" t="s">
        <v>2701</v>
      </c>
      <c r="B2631">
        <v>65</v>
      </c>
      <c r="C2631" t="s">
        <v>31</v>
      </c>
      <c r="D2631" t="s">
        <v>66</v>
      </c>
      <c r="E2631" s="1">
        <v>45446</v>
      </c>
      <c r="F2631" s="3">
        <v>45473</v>
      </c>
      <c r="G2631" t="s">
        <v>33</v>
      </c>
      <c r="H2631" t="s">
        <v>34</v>
      </c>
      <c r="I2631" t="s">
        <v>81</v>
      </c>
      <c r="J2631">
        <v>11717.31</v>
      </c>
      <c r="K2631">
        <v>27</v>
      </c>
      <c r="L2631" t="s">
        <v>36</v>
      </c>
      <c r="M2631" t="s">
        <v>25</v>
      </c>
      <c r="N2631" t="s">
        <v>26</v>
      </c>
      <c r="O2631" t="s">
        <v>49</v>
      </c>
      <c r="P2631" t="s">
        <v>45</v>
      </c>
      <c r="Q2631">
        <v>12</v>
      </c>
      <c r="R2631">
        <v>4365.63</v>
      </c>
      <c r="S2631" t="s">
        <v>29</v>
      </c>
    </row>
    <row r="2632" spans="1:19" x14ac:dyDescent="0.3">
      <c r="A2632" t="s">
        <v>2702</v>
      </c>
      <c r="B2632">
        <v>26</v>
      </c>
      <c r="C2632" t="s">
        <v>31</v>
      </c>
      <c r="D2632" t="s">
        <v>47</v>
      </c>
      <c r="E2632" s="1">
        <v>45870</v>
      </c>
      <c r="F2632" s="3">
        <v>45884</v>
      </c>
      <c r="G2632" t="s">
        <v>67</v>
      </c>
      <c r="H2632" t="s">
        <v>42</v>
      </c>
      <c r="I2632" t="s">
        <v>91</v>
      </c>
      <c r="J2632">
        <v>11382.41</v>
      </c>
      <c r="K2632">
        <v>14</v>
      </c>
      <c r="L2632" t="s">
        <v>24</v>
      </c>
      <c r="M2632" t="s">
        <v>25</v>
      </c>
      <c r="N2632" t="s">
        <v>44</v>
      </c>
      <c r="O2632" t="s">
        <v>56</v>
      </c>
      <c r="P2632" t="s">
        <v>38</v>
      </c>
      <c r="Q2632">
        <v>12</v>
      </c>
      <c r="R2632">
        <v>2673.68</v>
      </c>
      <c r="S2632" t="s">
        <v>29</v>
      </c>
    </row>
    <row r="2633" spans="1:19" x14ac:dyDescent="0.3">
      <c r="A2633" t="s">
        <v>2703</v>
      </c>
      <c r="B2633">
        <v>19</v>
      </c>
      <c r="C2633" t="s">
        <v>19</v>
      </c>
      <c r="D2633" t="s">
        <v>89</v>
      </c>
      <c r="E2633" s="1">
        <v>45445</v>
      </c>
      <c r="F2633" s="3">
        <v>45446</v>
      </c>
      <c r="G2633" t="s">
        <v>62</v>
      </c>
      <c r="H2633" t="s">
        <v>63</v>
      </c>
      <c r="I2633" t="s">
        <v>81</v>
      </c>
      <c r="J2633">
        <v>3008.81</v>
      </c>
      <c r="K2633">
        <v>1</v>
      </c>
      <c r="L2633" t="s">
        <v>36</v>
      </c>
      <c r="M2633" t="s">
        <v>25</v>
      </c>
      <c r="N2633" t="s">
        <v>55</v>
      </c>
      <c r="O2633" t="s">
        <v>56</v>
      </c>
      <c r="P2633" t="s">
        <v>28</v>
      </c>
      <c r="Q2633">
        <v>3</v>
      </c>
      <c r="R2633">
        <v>1140.24</v>
      </c>
      <c r="S2633" t="s">
        <v>29</v>
      </c>
    </row>
    <row r="2634" spans="1:19" x14ac:dyDescent="0.3">
      <c r="A2634" t="s">
        <v>2704</v>
      </c>
      <c r="B2634">
        <v>62</v>
      </c>
      <c r="C2634" t="s">
        <v>31</v>
      </c>
      <c r="D2634" t="s">
        <v>89</v>
      </c>
      <c r="E2634" s="1">
        <v>45476</v>
      </c>
      <c r="F2634" s="3">
        <v>45491</v>
      </c>
      <c r="G2634" t="s">
        <v>71</v>
      </c>
      <c r="H2634" t="s">
        <v>72</v>
      </c>
      <c r="I2634" t="s">
        <v>23</v>
      </c>
      <c r="J2634">
        <v>9418.92</v>
      </c>
      <c r="K2634">
        <v>15</v>
      </c>
      <c r="L2634" t="s">
        <v>24</v>
      </c>
      <c r="M2634" t="s">
        <v>25</v>
      </c>
      <c r="N2634" t="s">
        <v>55</v>
      </c>
      <c r="O2634" t="s">
        <v>27</v>
      </c>
      <c r="P2634" t="s">
        <v>45</v>
      </c>
      <c r="Q2634">
        <v>1</v>
      </c>
      <c r="R2634">
        <v>2922.31</v>
      </c>
      <c r="S2634" t="s">
        <v>29</v>
      </c>
    </row>
    <row r="2635" spans="1:19" x14ac:dyDescent="0.3">
      <c r="A2635" t="s">
        <v>2705</v>
      </c>
      <c r="B2635">
        <v>22</v>
      </c>
      <c r="C2635" t="s">
        <v>31</v>
      </c>
      <c r="D2635" t="s">
        <v>20</v>
      </c>
      <c r="E2635" s="1">
        <v>44944</v>
      </c>
      <c r="F2635" s="3">
        <v>44945</v>
      </c>
      <c r="G2635" t="s">
        <v>41</v>
      </c>
      <c r="H2635" t="s">
        <v>42</v>
      </c>
      <c r="I2635" t="s">
        <v>35</v>
      </c>
      <c r="J2635">
        <v>1938.46</v>
      </c>
      <c r="K2635">
        <v>1</v>
      </c>
      <c r="L2635" t="s">
        <v>24</v>
      </c>
      <c r="M2635" t="s">
        <v>59</v>
      </c>
      <c r="N2635" t="s">
        <v>44</v>
      </c>
      <c r="O2635" t="s">
        <v>56</v>
      </c>
      <c r="P2635" t="s">
        <v>38</v>
      </c>
      <c r="Q2635">
        <v>5</v>
      </c>
      <c r="R2635">
        <v>741.58</v>
      </c>
      <c r="S2635" t="s">
        <v>29</v>
      </c>
    </row>
    <row r="2636" spans="1:19" x14ac:dyDescent="0.3">
      <c r="A2636" t="s">
        <v>2706</v>
      </c>
      <c r="B2636">
        <v>53</v>
      </c>
      <c r="C2636" t="s">
        <v>31</v>
      </c>
      <c r="D2636" t="s">
        <v>66</v>
      </c>
      <c r="E2636" s="1">
        <v>45208</v>
      </c>
      <c r="F2636" s="3">
        <v>45215</v>
      </c>
      <c r="G2636" t="s">
        <v>41</v>
      </c>
      <c r="H2636" t="s">
        <v>42</v>
      </c>
      <c r="I2636" t="s">
        <v>81</v>
      </c>
      <c r="J2636">
        <v>6865.17</v>
      </c>
      <c r="K2636">
        <v>7</v>
      </c>
      <c r="L2636" t="s">
        <v>24</v>
      </c>
      <c r="M2636" t="s">
        <v>25</v>
      </c>
      <c r="N2636" t="s">
        <v>44</v>
      </c>
      <c r="O2636" t="s">
        <v>27</v>
      </c>
      <c r="P2636" t="s">
        <v>50</v>
      </c>
      <c r="Q2636">
        <v>3</v>
      </c>
      <c r="R2636">
        <v>1759.88</v>
      </c>
      <c r="S2636" t="s">
        <v>29</v>
      </c>
    </row>
    <row r="2637" spans="1:19" x14ac:dyDescent="0.3">
      <c r="A2637" t="s">
        <v>2707</v>
      </c>
      <c r="B2637">
        <v>81</v>
      </c>
      <c r="C2637" t="s">
        <v>31</v>
      </c>
      <c r="D2637" t="s">
        <v>66</v>
      </c>
      <c r="E2637" s="1">
        <v>45329</v>
      </c>
      <c r="F2637" s="3">
        <v>45342</v>
      </c>
      <c r="G2637" t="s">
        <v>93</v>
      </c>
      <c r="H2637" t="s">
        <v>72</v>
      </c>
      <c r="I2637" t="s">
        <v>35</v>
      </c>
      <c r="J2637">
        <v>8559.5400000000009</v>
      </c>
      <c r="K2637">
        <v>13</v>
      </c>
      <c r="L2637" t="s">
        <v>24</v>
      </c>
      <c r="M2637" t="s">
        <v>25</v>
      </c>
      <c r="N2637" t="s">
        <v>44</v>
      </c>
      <c r="O2637" t="s">
        <v>27</v>
      </c>
      <c r="P2637" t="s">
        <v>38</v>
      </c>
      <c r="Q2637">
        <v>5</v>
      </c>
      <c r="R2637">
        <v>1632.81</v>
      </c>
      <c r="S2637" t="s">
        <v>29</v>
      </c>
    </row>
    <row r="2638" spans="1:19" x14ac:dyDescent="0.3">
      <c r="A2638" t="s">
        <v>2708</v>
      </c>
      <c r="B2638">
        <v>77</v>
      </c>
      <c r="C2638" t="s">
        <v>31</v>
      </c>
      <c r="D2638" t="s">
        <v>32</v>
      </c>
      <c r="E2638" s="1">
        <v>45359</v>
      </c>
      <c r="F2638" s="3">
        <v>45360</v>
      </c>
      <c r="G2638" t="s">
        <v>93</v>
      </c>
      <c r="H2638" t="s">
        <v>72</v>
      </c>
      <c r="I2638" t="s">
        <v>23</v>
      </c>
      <c r="J2638">
        <v>1307.4100000000001</v>
      </c>
      <c r="K2638">
        <v>1</v>
      </c>
      <c r="L2638" t="s">
        <v>36</v>
      </c>
      <c r="M2638" t="s">
        <v>25</v>
      </c>
      <c r="N2638" t="s">
        <v>55</v>
      </c>
      <c r="O2638" t="s">
        <v>37</v>
      </c>
      <c r="P2638" t="s">
        <v>50</v>
      </c>
      <c r="Q2638">
        <v>6</v>
      </c>
      <c r="R2638">
        <v>305.64999999999998</v>
      </c>
      <c r="S2638" t="s">
        <v>29</v>
      </c>
    </row>
    <row r="2639" spans="1:19" x14ac:dyDescent="0.3">
      <c r="A2639" t="s">
        <v>2709</v>
      </c>
      <c r="B2639">
        <v>38</v>
      </c>
      <c r="C2639" t="s">
        <v>19</v>
      </c>
      <c r="D2639" t="s">
        <v>47</v>
      </c>
      <c r="E2639" s="1">
        <v>45295</v>
      </c>
      <c r="F2639" s="3">
        <v>45313</v>
      </c>
      <c r="G2639" t="s">
        <v>67</v>
      </c>
      <c r="H2639" t="s">
        <v>42</v>
      </c>
      <c r="I2639" t="s">
        <v>91</v>
      </c>
      <c r="J2639">
        <v>10112.530000000001</v>
      </c>
      <c r="K2639">
        <v>18</v>
      </c>
      <c r="L2639" t="s">
        <v>24</v>
      </c>
      <c r="M2639" t="s">
        <v>25</v>
      </c>
      <c r="N2639" t="s">
        <v>44</v>
      </c>
      <c r="O2639" t="s">
        <v>56</v>
      </c>
      <c r="P2639" t="s">
        <v>38</v>
      </c>
      <c r="Q2639">
        <v>11</v>
      </c>
      <c r="R2639">
        <v>2694</v>
      </c>
      <c r="S2639" t="s">
        <v>29</v>
      </c>
    </row>
    <row r="2640" spans="1:19" x14ac:dyDescent="0.3">
      <c r="A2640" t="s">
        <v>2710</v>
      </c>
      <c r="B2640">
        <v>79</v>
      </c>
      <c r="C2640" t="s">
        <v>31</v>
      </c>
      <c r="D2640" t="s">
        <v>79</v>
      </c>
      <c r="E2640" s="1">
        <v>44972</v>
      </c>
      <c r="F2640" s="3">
        <v>44988</v>
      </c>
      <c r="G2640" t="s">
        <v>33</v>
      </c>
      <c r="H2640" t="s">
        <v>34</v>
      </c>
      <c r="I2640" t="s">
        <v>54</v>
      </c>
      <c r="J2640">
        <v>3992.58</v>
      </c>
      <c r="K2640">
        <v>16</v>
      </c>
      <c r="L2640" t="s">
        <v>24</v>
      </c>
      <c r="M2640" t="s">
        <v>25</v>
      </c>
      <c r="N2640" t="s">
        <v>44</v>
      </c>
      <c r="O2640" t="s">
        <v>27</v>
      </c>
      <c r="P2640" t="s">
        <v>50</v>
      </c>
      <c r="Q2640">
        <v>13</v>
      </c>
      <c r="R2640">
        <v>778.59</v>
      </c>
      <c r="S2640" t="s">
        <v>29</v>
      </c>
    </row>
    <row r="2641" spans="1:19" x14ac:dyDescent="0.3">
      <c r="A2641" t="s">
        <v>2711</v>
      </c>
      <c r="B2641">
        <v>86</v>
      </c>
      <c r="C2641" t="s">
        <v>31</v>
      </c>
      <c r="D2641" t="s">
        <v>89</v>
      </c>
      <c r="E2641" s="1">
        <v>45152</v>
      </c>
      <c r="F2641" s="3">
        <v>45159</v>
      </c>
      <c r="G2641" t="s">
        <v>74</v>
      </c>
      <c r="H2641" t="s">
        <v>75</v>
      </c>
      <c r="I2641" t="s">
        <v>43</v>
      </c>
      <c r="J2641">
        <v>5855.51</v>
      </c>
      <c r="K2641">
        <v>7</v>
      </c>
      <c r="L2641" t="s">
        <v>36</v>
      </c>
      <c r="M2641" t="s">
        <v>25</v>
      </c>
      <c r="N2641" t="s">
        <v>44</v>
      </c>
      <c r="O2641" t="s">
        <v>37</v>
      </c>
      <c r="P2641" t="s">
        <v>45</v>
      </c>
      <c r="Q2641">
        <v>8</v>
      </c>
      <c r="R2641">
        <v>952.11</v>
      </c>
      <c r="S2641" t="s">
        <v>29</v>
      </c>
    </row>
    <row r="2642" spans="1:19" x14ac:dyDescent="0.3">
      <c r="A2642" t="s">
        <v>2712</v>
      </c>
      <c r="B2642">
        <v>75</v>
      </c>
      <c r="C2642" t="s">
        <v>19</v>
      </c>
      <c r="D2642" t="s">
        <v>70</v>
      </c>
      <c r="E2642" s="1">
        <v>45091</v>
      </c>
      <c r="F2642" s="3">
        <v>45100</v>
      </c>
      <c r="G2642" t="s">
        <v>74</v>
      </c>
      <c r="H2642" t="s">
        <v>75</v>
      </c>
      <c r="I2642" t="s">
        <v>83</v>
      </c>
      <c r="J2642">
        <v>5548.01</v>
      </c>
      <c r="K2642">
        <v>9</v>
      </c>
      <c r="L2642" t="s">
        <v>36</v>
      </c>
      <c r="M2642" t="s">
        <v>25</v>
      </c>
      <c r="N2642" t="s">
        <v>26</v>
      </c>
      <c r="O2642" t="s">
        <v>27</v>
      </c>
      <c r="P2642" t="s">
        <v>28</v>
      </c>
      <c r="Q2642">
        <v>12</v>
      </c>
      <c r="R2642">
        <v>1061.8</v>
      </c>
      <c r="S2642" t="s">
        <v>29</v>
      </c>
    </row>
    <row r="2643" spans="1:19" x14ac:dyDescent="0.3">
      <c r="A2643" t="s">
        <v>2713</v>
      </c>
      <c r="B2643">
        <v>76</v>
      </c>
      <c r="C2643" t="s">
        <v>31</v>
      </c>
      <c r="D2643" t="s">
        <v>32</v>
      </c>
      <c r="E2643" s="1">
        <v>45114</v>
      </c>
      <c r="F2643" s="3">
        <v>45125</v>
      </c>
      <c r="G2643" t="s">
        <v>21</v>
      </c>
      <c r="H2643" t="s">
        <v>22</v>
      </c>
      <c r="I2643" t="s">
        <v>35</v>
      </c>
      <c r="J2643">
        <v>9240.9699999999993</v>
      </c>
      <c r="K2643">
        <v>11</v>
      </c>
      <c r="L2643" t="s">
        <v>36</v>
      </c>
      <c r="M2643" t="s">
        <v>25</v>
      </c>
      <c r="N2643" t="s">
        <v>55</v>
      </c>
      <c r="O2643" t="s">
        <v>49</v>
      </c>
      <c r="P2643" t="s">
        <v>50</v>
      </c>
      <c r="Q2643">
        <v>5</v>
      </c>
      <c r="R2643">
        <v>2244.5300000000002</v>
      </c>
      <c r="S2643" t="s">
        <v>29</v>
      </c>
    </row>
    <row r="2644" spans="1:19" x14ac:dyDescent="0.3">
      <c r="A2644" t="s">
        <v>2714</v>
      </c>
      <c r="B2644">
        <v>40</v>
      </c>
      <c r="C2644" t="s">
        <v>19</v>
      </c>
      <c r="D2644" t="s">
        <v>89</v>
      </c>
      <c r="E2644" s="1">
        <v>45074</v>
      </c>
      <c r="F2644" s="3">
        <v>45093</v>
      </c>
      <c r="G2644" t="s">
        <v>48</v>
      </c>
      <c r="H2644" t="s">
        <v>22</v>
      </c>
      <c r="I2644" t="s">
        <v>43</v>
      </c>
      <c r="J2644">
        <v>11305.5</v>
      </c>
      <c r="K2644">
        <v>19</v>
      </c>
      <c r="L2644" t="s">
        <v>24</v>
      </c>
      <c r="M2644" t="s">
        <v>25</v>
      </c>
      <c r="N2644" t="s">
        <v>26</v>
      </c>
      <c r="O2644" t="s">
        <v>27</v>
      </c>
      <c r="P2644" t="s">
        <v>45</v>
      </c>
      <c r="Q2644">
        <v>12</v>
      </c>
      <c r="R2644">
        <v>4059.09</v>
      </c>
      <c r="S2644" t="s">
        <v>29</v>
      </c>
    </row>
    <row r="2645" spans="1:19" x14ac:dyDescent="0.3">
      <c r="A2645" t="s">
        <v>2715</v>
      </c>
      <c r="B2645">
        <v>60</v>
      </c>
      <c r="C2645" t="s">
        <v>31</v>
      </c>
      <c r="D2645" t="s">
        <v>66</v>
      </c>
      <c r="E2645" s="1">
        <v>45862</v>
      </c>
      <c r="F2645" s="3">
        <v>45875</v>
      </c>
      <c r="G2645" t="s">
        <v>52</v>
      </c>
      <c r="H2645" t="s">
        <v>53</v>
      </c>
      <c r="I2645" t="s">
        <v>54</v>
      </c>
      <c r="J2645">
        <v>10385.66</v>
      </c>
      <c r="K2645">
        <v>13</v>
      </c>
      <c r="L2645" t="s">
        <v>24</v>
      </c>
      <c r="M2645" t="s">
        <v>25</v>
      </c>
      <c r="N2645" t="s">
        <v>26</v>
      </c>
      <c r="O2645" t="s">
        <v>37</v>
      </c>
      <c r="P2645" t="s">
        <v>45</v>
      </c>
      <c r="Q2645">
        <v>10</v>
      </c>
      <c r="R2645">
        <v>2229.9</v>
      </c>
      <c r="S2645" t="s">
        <v>29</v>
      </c>
    </row>
    <row r="2646" spans="1:19" x14ac:dyDescent="0.3">
      <c r="A2646" t="s">
        <v>2716</v>
      </c>
      <c r="B2646">
        <v>85</v>
      </c>
      <c r="C2646" t="s">
        <v>31</v>
      </c>
      <c r="D2646" t="s">
        <v>70</v>
      </c>
      <c r="E2646" s="1">
        <v>45387</v>
      </c>
      <c r="F2646" s="3">
        <v>45405</v>
      </c>
      <c r="G2646" t="s">
        <v>67</v>
      </c>
      <c r="H2646" t="s">
        <v>42</v>
      </c>
      <c r="I2646" t="s">
        <v>54</v>
      </c>
      <c r="J2646">
        <v>8742.7000000000007</v>
      </c>
      <c r="K2646">
        <v>18</v>
      </c>
      <c r="L2646" t="s">
        <v>36</v>
      </c>
      <c r="M2646" t="s">
        <v>25</v>
      </c>
      <c r="N2646" t="s">
        <v>55</v>
      </c>
      <c r="O2646" t="s">
        <v>37</v>
      </c>
      <c r="P2646" t="s">
        <v>38</v>
      </c>
      <c r="Q2646">
        <v>14</v>
      </c>
      <c r="R2646">
        <v>3034.08</v>
      </c>
      <c r="S2646" t="s">
        <v>29</v>
      </c>
    </row>
    <row r="2647" spans="1:19" x14ac:dyDescent="0.3">
      <c r="A2647" t="s">
        <v>2717</v>
      </c>
      <c r="B2647">
        <v>36</v>
      </c>
      <c r="C2647" t="s">
        <v>31</v>
      </c>
      <c r="D2647" t="s">
        <v>61</v>
      </c>
      <c r="E2647" s="1">
        <v>45060</v>
      </c>
      <c r="F2647" s="3">
        <v>45078</v>
      </c>
      <c r="G2647" t="s">
        <v>74</v>
      </c>
      <c r="H2647" t="s">
        <v>75</v>
      </c>
      <c r="I2647" t="s">
        <v>35</v>
      </c>
      <c r="J2647">
        <v>11599.69</v>
      </c>
      <c r="K2647">
        <v>18</v>
      </c>
      <c r="L2647" t="s">
        <v>36</v>
      </c>
      <c r="M2647" t="s">
        <v>25</v>
      </c>
      <c r="N2647" t="s">
        <v>44</v>
      </c>
      <c r="O2647" t="s">
        <v>56</v>
      </c>
      <c r="P2647" t="s">
        <v>45</v>
      </c>
      <c r="Q2647">
        <v>14</v>
      </c>
      <c r="R2647">
        <v>1757.78</v>
      </c>
      <c r="S2647" t="s">
        <v>29</v>
      </c>
    </row>
    <row r="2648" spans="1:19" x14ac:dyDescent="0.3">
      <c r="A2648" t="s">
        <v>2718</v>
      </c>
      <c r="B2648">
        <v>35</v>
      </c>
      <c r="C2648" t="s">
        <v>19</v>
      </c>
      <c r="D2648" t="s">
        <v>70</v>
      </c>
      <c r="E2648" s="1">
        <v>45034</v>
      </c>
      <c r="F2648" s="3">
        <v>45045</v>
      </c>
      <c r="G2648" t="s">
        <v>33</v>
      </c>
      <c r="H2648" t="s">
        <v>34</v>
      </c>
      <c r="I2648" t="s">
        <v>43</v>
      </c>
      <c r="J2648">
        <v>12626.47</v>
      </c>
      <c r="K2648">
        <v>11</v>
      </c>
      <c r="L2648" t="s">
        <v>24</v>
      </c>
      <c r="M2648" t="s">
        <v>59</v>
      </c>
      <c r="N2648" t="s">
        <v>55</v>
      </c>
      <c r="O2648" t="s">
        <v>49</v>
      </c>
      <c r="P2648" t="s">
        <v>50</v>
      </c>
      <c r="Q2648">
        <v>10</v>
      </c>
      <c r="R2648">
        <v>3280.19</v>
      </c>
      <c r="S2648" t="s">
        <v>29</v>
      </c>
    </row>
    <row r="2649" spans="1:19" x14ac:dyDescent="0.3">
      <c r="A2649" t="s">
        <v>2719</v>
      </c>
      <c r="B2649">
        <v>37</v>
      </c>
      <c r="C2649" t="s">
        <v>19</v>
      </c>
      <c r="D2649" t="s">
        <v>79</v>
      </c>
      <c r="E2649" s="1">
        <v>45225</v>
      </c>
      <c r="F2649" s="3">
        <v>45227</v>
      </c>
      <c r="G2649" t="s">
        <v>71</v>
      </c>
      <c r="H2649" t="s">
        <v>72</v>
      </c>
      <c r="I2649" t="s">
        <v>81</v>
      </c>
      <c r="J2649">
        <v>1952.89</v>
      </c>
      <c r="K2649">
        <v>2</v>
      </c>
      <c r="L2649" t="s">
        <v>24</v>
      </c>
      <c r="M2649" t="s">
        <v>59</v>
      </c>
      <c r="N2649" t="s">
        <v>26</v>
      </c>
      <c r="O2649" t="s">
        <v>27</v>
      </c>
      <c r="P2649" t="s">
        <v>38</v>
      </c>
      <c r="Q2649">
        <v>14</v>
      </c>
      <c r="R2649">
        <v>713.37</v>
      </c>
      <c r="S2649" t="s">
        <v>29</v>
      </c>
    </row>
    <row r="2650" spans="1:19" x14ac:dyDescent="0.3">
      <c r="A2650" t="s">
        <v>2720</v>
      </c>
      <c r="B2650">
        <v>20</v>
      </c>
      <c r="C2650" t="s">
        <v>19</v>
      </c>
      <c r="D2650" t="s">
        <v>70</v>
      </c>
      <c r="E2650" s="1">
        <v>45201</v>
      </c>
      <c r="F2650" s="3">
        <v>45217</v>
      </c>
      <c r="G2650" t="s">
        <v>74</v>
      </c>
      <c r="H2650" t="s">
        <v>75</v>
      </c>
      <c r="I2650" t="s">
        <v>58</v>
      </c>
      <c r="J2650">
        <v>8514.17</v>
      </c>
      <c r="K2650">
        <v>16</v>
      </c>
      <c r="L2650" t="s">
        <v>24</v>
      </c>
      <c r="M2650" t="s">
        <v>25</v>
      </c>
      <c r="N2650" t="s">
        <v>55</v>
      </c>
      <c r="O2650" t="s">
        <v>27</v>
      </c>
      <c r="P2650" t="s">
        <v>28</v>
      </c>
      <c r="Q2650">
        <v>2</v>
      </c>
      <c r="R2650">
        <v>3357.57</v>
      </c>
      <c r="S2650" t="s">
        <v>29</v>
      </c>
    </row>
    <row r="2651" spans="1:19" x14ac:dyDescent="0.3">
      <c r="A2651" t="s">
        <v>2721</v>
      </c>
      <c r="B2651">
        <v>55</v>
      </c>
      <c r="C2651" t="s">
        <v>31</v>
      </c>
      <c r="D2651" t="s">
        <v>20</v>
      </c>
      <c r="E2651" s="1">
        <v>45748</v>
      </c>
      <c r="F2651" s="3">
        <v>45755</v>
      </c>
      <c r="G2651" t="s">
        <v>71</v>
      </c>
      <c r="H2651" t="s">
        <v>72</v>
      </c>
      <c r="I2651" t="s">
        <v>81</v>
      </c>
      <c r="J2651">
        <v>4629.1000000000004</v>
      </c>
      <c r="K2651">
        <v>7</v>
      </c>
      <c r="L2651" t="s">
        <v>24</v>
      </c>
      <c r="M2651" t="s">
        <v>25</v>
      </c>
      <c r="N2651" t="s">
        <v>44</v>
      </c>
      <c r="O2651" t="s">
        <v>27</v>
      </c>
      <c r="P2651" t="s">
        <v>28</v>
      </c>
      <c r="Q2651">
        <v>1</v>
      </c>
      <c r="R2651">
        <v>1839.41</v>
      </c>
      <c r="S2651" t="s">
        <v>29</v>
      </c>
    </row>
    <row r="2652" spans="1:19" x14ac:dyDescent="0.3">
      <c r="A2652" t="s">
        <v>2722</v>
      </c>
      <c r="B2652">
        <v>64</v>
      </c>
      <c r="C2652" t="s">
        <v>31</v>
      </c>
      <c r="D2652" t="s">
        <v>70</v>
      </c>
      <c r="E2652" s="1">
        <v>45777</v>
      </c>
      <c r="F2652" s="3">
        <v>45792</v>
      </c>
      <c r="G2652" t="s">
        <v>67</v>
      </c>
      <c r="H2652" t="s">
        <v>42</v>
      </c>
      <c r="I2652" t="s">
        <v>58</v>
      </c>
      <c r="J2652">
        <v>8276.5300000000007</v>
      </c>
      <c r="K2652">
        <v>15</v>
      </c>
      <c r="L2652" t="s">
        <v>24</v>
      </c>
      <c r="M2652" t="s">
        <v>25</v>
      </c>
      <c r="N2652" t="s">
        <v>26</v>
      </c>
      <c r="O2652" t="s">
        <v>56</v>
      </c>
      <c r="P2652" t="s">
        <v>28</v>
      </c>
      <c r="Q2652">
        <v>8</v>
      </c>
      <c r="R2652">
        <v>2843.99</v>
      </c>
      <c r="S2652" t="s">
        <v>29</v>
      </c>
    </row>
    <row r="2653" spans="1:19" x14ac:dyDescent="0.3">
      <c r="A2653" t="s">
        <v>2723</v>
      </c>
      <c r="B2653">
        <v>77</v>
      </c>
      <c r="C2653" t="s">
        <v>19</v>
      </c>
      <c r="D2653" t="s">
        <v>61</v>
      </c>
      <c r="E2653" s="1">
        <v>45878</v>
      </c>
      <c r="F2653" s="3">
        <v>45896</v>
      </c>
      <c r="G2653" t="s">
        <v>71</v>
      </c>
      <c r="H2653" t="s">
        <v>72</v>
      </c>
      <c r="I2653" t="s">
        <v>83</v>
      </c>
      <c r="J2653">
        <v>11314.63</v>
      </c>
      <c r="K2653">
        <v>18</v>
      </c>
      <c r="L2653" t="s">
        <v>24</v>
      </c>
      <c r="M2653" t="s">
        <v>25</v>
      </c>
      <c r="N2653" t="s">
        <v>26</v>
      </c>
      <c r="O2653" t="s">
        <v>37</v>
      </c>
      <c r="P2653" t="s">
        <v>38</v>
      </c>
      <c r="Q2653">
        <v>12</v>
      </c>
      <c r="R2653">
        <v>3589.59</v>
      </c>
      <c r="S2653" t="s">
        <v>29</v>
      </c>
    </row>
    <row r="2654" spans="1:19" x14ac:dyDescent="0.3">
      <c r="A2654" t="s">
        <v>2724</v>
      </c>
      <c r="B2654">
        <v>89</v>
      </c>
      <c r="C2654" t="s">
        <v>31</v>
      </c>
      <c r="D2654" t="s">
        <v>47</v>
      </c>
      <c r="E2654" s="1">
        <v>45799</v>
      </c>
      <c r="F2654" s="3">
        <v>45802</v>
      </c>
      <c r="G2654" t="s">
        <v>71</v>
      </c>
      <c r="H2654" t="s">
        <v>72</v>
      </c>
      <c r="I2654" t="s">
        <v>23</v>
      </c>
      <c r="J2654">
        <v>1199.73</v>
      </c>
      <c r="K2654">
        <v>3</v>
      </c>
      <c r="L2654" t="s">
        <v>36</v>
      </c>
      <c r="M2654" t="s">
        <v>25</v>
      </c>
      <c r="N2654" t="s">
        <v>44</v>
      </c>
      <c r="O2654" t="s">
        <v>56</v>
      </c>
      <c r="P2654" t="s">
        <v>28</v>
      </c>
      <c r="Q2654">
        <v>12</v>
      </c>
      <c r="R2654">
        <v>249.04</v>
      </c>
      <c r="S2654" t="s">
        <v>29</v>
      </c>
    </row>
    <row r="2655" spans="1:19" x14ac:dyDescent="0.3">
      <c r="A2655" t="s">
        <v>2725</v>
      </c>
      <c r="B2655">
        <v>81</v>
      </c>
      <c r="C2655" t="s">
        <v>19</v>
      </c>
      <c r="D2655" t="s">
        <v>79</v>
      </c>
      <c r="E2655" s="1">
        <v>45686</v>
      </c>
      <c r="F2655" s="3">
        <v>45695</v>
      </c>
      <c r="G2655" t="s">
        <v>52</v>
      </c>
      <c r="H2655" t="s">
        <v>53</v>
      </c>
      <c r="I2655" t="s">
        <v>54</v>
      </c>
      <c r="J2655">
        <v>3828.24</v>
      </c>
      <c r="K2655">
        <v>9</v>
      </c>
      <c r="L2655" t="s">
        <v>24</v>
      </c>
      <c r="M2655" t="s">
        <v>25</v>
      </c>
      <c r="N2655" t="s">
        <v>44</v>
      </c>
      <c r="O2655" t="s">
        <v>56</v>
      </c>
      <c r="P2655" t="s">
        <v>45</v>
      </c>
      <c r="Q2655">
        <v>3</v>
      </c>
      <c r="R2655">
        <v>616.87</v>
      </c>
      <c r="S2655" t="s">
        <v>29</v>
      </c>
    </row>
    <row r="2656" spans="1:19" x14ac:dyDescent="0.3">
      <c r="A2656" t="s">
        <v>2726</v>
      </c>
      <c r="B2656">
        <v>78</v>
      </c>
      <c r="C2656" t="s">
        <v>19</v>
      </c>
      <c r="D2656" t="s">
        <v>61</v>
      </c>
      <c r="E2656" s="1">
        <v>45225</v>
      </c>
      <c r="F2656" s="3">
        <v>45243</v>
      </c>
      <c r="G2656" t="s">
        <v>62</v>
      </c>
      <c r="H2656" t="s">
        <v>63</v>
      </c>
      <c r="I2656" t="s">
        <v>35</v>
      </c>
      <c r="J2656">
        <v>12841.47</v>
      </c>
      <c r="K2656">
        <v>18</v>
      </c>
      <c r="L2656" t="s">
        <v>24</v>
      </c>
      <c r="M2656" t="s">
        <v>25</v>
      </c>
      <c r="N2656" t="s">
        <v>26</v>
      </c>
      <c r="O2656" t="s">
        <v>49</v>
      </c>
      <c r="P2656" t="s">
        <v>28</v>
      </c>
      <c r="Q2656">
        <v>15</v>
      </c>
      <c r="R2656">
        <v>3237.08</v>
      </c>
      <c r="S2656" t="s">
        <v>29</v>
      </c>
    </row>
    <row r="2657" spans="1:19" x14ac:dyDescent="0.3">
      <c r="A2657" t="s">
        <v>2727</v>
      </c>
      <c r="B2657">
        <v>90</v>
      </c>
      <c r="C2657" t="s">
        <v>31</v>
      </c>
      <c r="D2657" t="s">
        <v>66</v>
      </c>
      <c r="E2657" s="1">
        <v>45558</v>
      </c>
      <c r="F2657" s="3">
        <v>45569</v>
      </c>
      <c r="G2657" t="s">
        <v>48</v>
      </c>
      <c r="H2657" t="s">
        <v>22</v>
      </c>
      <c r="I2657" t="s">
        <v>91</v>
      </c>
      <c r="J2657">
        <v>14291.25</v>
      </c>
      <c r="K2657">
        <v>11</v>
      </c>
      <c r="L2657" t="s">
        <v>36</v>
      </c>
      <c r="M2657" t="s">
        <v>25</v>
      </c>
      <c r="N2657" t="s">
        <v>44</v>
      </c>
      <c r="O2657" t="s">
        <v>49</v>
      </c>
      <c r="P2657" t="s">
        <v>28</v>
      </c>
      <c r="Q2657">
        <v>14</v>
      </c>
      <c r="R2657">
        <v>2315.35</v>
      </c>
      <c r="S2657" t="s">
        <v>29</v>
      </c>
    </row>
    <row r="2658" spans="1:19" x14ac:dyDescent="0.3">
      <c r="A2658" t="s">
        <v>2728</v>
      </c>
      <c r="B2658">
        <v>60</v>
      </c>
      <c r="C2658" t="s">
        <v>19</v>
      </c>
      <c r="D2658" t="s">
        <v>20</v>
      </c>
      <c r="E2658" s="1">
        <v>45555</v>
      </c>
      <c r="F2658" s="3">
        <v>45563</v>
      </c>
      <c r="G2658" t="s">
        <v>41</v>
      </c>
      <c r="H2658" t="s">
        <v>42</v>
      </c>
      <c r="I2658" t="s">
        <v>83</v>
      </c>
      <c r="J2658">
        <v>6209.47</v>
      </c>
      <c r="K2658">
        <v>8</v>
      </c>
      <c r="L2658" t="s">
        <v>36</v>
      </c>
      <c r="M2658" t="s">
        <v>25</v>
      </c>
      <c r="N2658" t="s">
        <v>26</v>
      </c>
      <c r="O2658" t="s">
        <v>27</v>
      </c>
      <c r="P2658" t="s">
        <v>50</v>
      </c>
      <c r="Q2658">
        <v>9</v>
      </c>
      <c r="R2658">
        <v>1885.18</v>
      </c>
      <c r="S2658" t="s">
        <v>29</v>
      </c>
    </row>
    <row r="2659" spans="1:19" x14ac:dyDescent="0.3">
      <c r="A2659" t="s">
        <v>2729</v>
      </c>
      <c r="B2659">
        <v>25</v>
      </c>
      <c r="C2659" t="s">
        <v>31</v>
      </c>
      <c r="D2659" t="s">
        <v>70</v>
      </c>
      <c r="E2659" s="1">
        <v>45699</v>
      </c>
      <c r="F2659" s="3">
        <v>45715</v>
      </c>
      <c r="G2659" t="s">
        <v>93</v>
      </c>
      <c r="H2659" t="s">
        <v>72</v>
      </c>
      <c r="I2659" t="s">
        <v>23</v>
      </c>
      <c r="J2659">
        <v>5533.42</v>
      </c>
      <c r="K2659">
        <v>16</v>
      </c>
      <c r="L2659" t="s">
        <v>36</v>
      </c>
      <c r="M2659" t="s">
        <v>25</v>
      </c>
      <c r="N2659" t="s">
        <v>26</v>
      </c>
      <c r="O2659" t="s">
        <v>27</v>
      </c>
      <c r="P2659" t="s">
        <v>38</v>
      </c>
      <c r="Q2659">
        <v>3</v>
      </c>
      <c r="R2659">
        <v>954.09</v>
      </c>
      <c r="S2659" t="s">
        <v>29</v>
      </c>
    </row>
    <row r="2660" spans="1:19" x14ac:dyDescent="0.3">
      <c r="A2660" t="s">
        <v>2730</v>
      </c>
      <c r="B2660">
        <v>26</v>
      </c>
      <c r="C2660" t="s">
        <v>31</v>
      </c>
      <c r="D2660" t="s">
        <v>66</v>
      </c>
      <c r="E2660" s="1">
        <v>45774</v>
      </c>
      <c r="F2660" s="3">
        <v>45780</v>
      </c>
      <c r="G2660" t="s">
        <v>93</v>
      </c>
      <c r="H2660" t="s">
        <v>72</v>
      </c>
      <c r="I2660" t="s">
        <v>81</v>
      </c>
      <c r="J2660">
        <v>2702.68</v>
      </c>
      <c r="K2660">
        <v>6</v>
      </c>
      <c r="L2660" t="s">
        <v>36</v>
      </c>
      <c r="M2660" t="s">
        <v>25</v>
      </c>
      <c r="N2660" t="s">
        <v>44</v>
      </c>
      <c r="O2660" t="s">
        <v>56</v>
      </c>
      <c r="P2660" t="s">
        <v>38</v>
      </c>
      <c r="Q2660">
        <v>13</v>
      </c>
      <c r="R2660">
        <v>600.42999999999995</v>
      </c>
      <c r="S2660" t="s">
        <v>29</v>
      </c>
    </row>
    <row r="2661" spans="1:19" x14ac:dyDescent="0.3">
      <c r="A2661" t="s">
        <v>2731</v>
      </c>
      <c r="B2661">
        <v>74</v>
      </c>
      <c r="C2661" t="s">
        <v>31</v>
      </c>
      <c r="D2661" t="s">
        <v>66</v>
      </c>
      <c r="E2661" s="1">
        <v>45285</v>
      </c>
      <c r="F2661" s="3">
        <v>45287</v>
      </c>
      <c r="G2661" t="s">
        <v>41</v>
      </c>
      <c r="H2661" t="s">
        <v>42</v>
      </c>
      <c r="I2661" t="s">
        <v>91</v>
      </c>
      <c r="J2661">
        <v>2352.73</v>
      </c>
      <c r="K2661">
        <v>2</v>
      </c>
      <c r="L2661" t="s">
        <v>24</v>
      </c>
      <c r="M2661" t="s">
        <v>25</v>
      </c>
      <c r="N2661" t="s">
        <v>44</v>
      </c>
      <c r="O2661" t="s">
        <v>27</v>
      </c>
      <c r="P2661" t="s">
        <v>28</v>
      </c>
      <c r="Q2661">
        <v>15</v>
      </c>
      <c r="R2661">
        <v>591.04999999999995</v>
      </c>
      <c r="S2661" t="s">
        <v>29</v>
      </c>
    </row>
    <row r="2662" spans="1:19" x14ac:dyDescent="0.3">
      <c r="A2662" t="s">
        <v>2732</v>
      </c>
      <c r="B2662">
        <v>83</v>
      </c>
      <c r="C2662" t="s">
        <v>19</v>
      </c>
      <c r="D2662" t="s">
        <v>20</v>
      </c>
      <c r="E2662" s="1">
        <v>45691</v>
      </c>
      <c r="F2662" s="3">
        <v>45711</v>
      </c>
      <c r="G2662" t="s">
        <v>21</v>
      </c>
      <c r="H2662" t="s">
        <v>22</v>
      </c>
      <c r="I2662" t="s">
        <v>54</v>
      </c>
      <c r="J2662">
        <v>12287.67</v>
      </c>
      <c r="K2662">
        <v>20</v>
      </c>
      <c r="L2662" t="s">
        <v>36</v>
      </c>
      <c r="M2662" t="s">
        <v>25</v>
      </c>
      <c r="N2662" t="s">
        <v>44</v>
      </c>
      <c r="O2662" t="s">
        <v>27</v>
      </c>
      <c r="P2662" t="s">
        <v>38</v>
      </c>
      <c r="Q2662">
        <v>7</v>
      </c>
      <c r="R2662">
        <v>4527.1499999999996</v>
      </c>
      <c r="S2662" t="s">
        <v>29</v>
      </c>
    </row>
    <row r="2663" spans="1:19" x14ac:dyDescent="0.3">
      <c r="A2663" t="s">
        <v>2733</v>
      </c>
      <c r="B2663">
        <v>36</v>
      </c>
      <c r="C2663" t="s">
        <v>31</v>
      </c>
      <c r="D2663" t="s">
        <v>70</v>
      </c>
      <c r="E2663" s="1">
        <v>45557</v>
      </c>
      <c r="F2663" s="3">
        <v>45574</v>
      </c>
      <c r="G2663" t="s">
        <v>93</v>
      </c>
      <c r="H2663" t="s">
        <v>72</v>
      </c>
      <c r="I2663" t="s">
        <v>35</v>
      </c>
      <c r="J2663">
        <v>10531.28</v>
      </c>
      <c r="K2663">
        <v>17</v>
      </c>
      <c r="L2663" t="s">
        <v>24</v>
      </c>
      <c r="M2663" t="s">
        <v>59</v>
      </c>
      <c r="N2663" t="s">
        <v>26</v>
      </c>
      <c r="O2663" t="s">
        <v>27</v>
      </c>
      <c r="P2663" t="s">
        <v>50</v>
      </c>
      <c r="Q2663">
        <v>2</v>
      </c>
      <c r="R2663">
        <v>3116.91</v>
      </c>
      <c r="S2663" t="s">
        <v>29</v>
      </c>
    </row>
    <row r="2664" spans="1:19" x14ac:dyDescent="0.3">
      <c r="A2664" t="s">
        <v>2734</v>
      </c>
      <c r="B2664">
        <v>26</v>
      </c>
      <c r="C2664" t="s">
        <v>19</v>
      </c>
      <c r="D2664" t="s">
        <v>47</v>
      </c>
      <c r="E2664" s="1">
        <v>45840</v>
      </c>
      <c r="F2664" s="3">
        <v>45855</v>
      </c>
      <c r="G2664" t="s">
        <v>33</v>
      </c>
      <c r="H2664" t="s">
        <v>34</v>
      </c>
      <c r="I2664" t="s">
        <v>81</v>
      </c>
      <c r="J2664">
        <v>8501.2900000000009</v>
      </c>
      <c r="K2664">
        <v>15</v>
      </c>
      <c r="L2664" t="s">
        <v>36</v>
      </c>
      <c r="M2664" t="s">
        <v>59</v>
      </c>
      <c r="N2664" t="s">
        <v>55</v>
      </c>
      <c r="O2664" t="s">
        <v>56</v>
      </c>
      <c r="P2664" t="s">
        <v>38</v>
      </c>
      <c r="Q2664">
        <v>15</v>
      </c>
      <c r="R2664">
        <v>1490.97</v>
      </c>
      <c r="S2664" t="s">
        <v>29</v>
      </c>
    </row>
    <row r="2665" spans="1:19" x14ac:dyDescent="0.3">
      <c r="A2665" t="s">
        <v>2735</v>
      </c>
      <c r="B2665">
        <v>18</v>
      </c>
      <c r="C2665" t="s">
        <v>19</v>
      </c>
      <c r="D2665" t="s">
        <v>32</v>
      </c>
      <c r="E2665" s="1">
        <v>45071</v>
      </c>
      <c r="F2665" s="3">
        <v>45086</v>
      </c>
      <c r="G2665" t="s">
        <v>62</v>
      </c>
      <c r="H2665" t="s">
        <v>63</v>
      </c>
      <c r="I2665" t="s">
        <v>54</v>
      </c>
      <c r="J2665">
        <v>3854.43</v>
      </c>
      <c r="K2665">
        <v>15</v>
      </c>
      <c r="L2665" t="s">
        <v>24</v>
      </c>
      <c r="M2665" t="s">
        <v>25</v>
      </c>
      <c r="N2665" t="s">
        <v>26</v>
      </c>
      <c r="O2665" t="s">
        <v>27</v>
      </c>
      <c r="P2665" t="s">
        <v>38</v>
      </c>
      <c r="Q2665">
        <v>5</v>
      </c>
      <c r="R2665">
        <v>1389.95</v>
      </c>
      <c r="S2665" t="s">
        <v>29</v>
      </c>
    </row>
    <row r="2666" spans="1:19" x14ac:dyDescent="0.3">
      <c r="A2666" t="s">
        <v>2736</v>
      </c>
      <c r="B2666">
        <v>63</v>
      </c>
      <c r="C2666" t="s">
        <v>19</v>
      </c>
      <c r="D2666" t="s">
        <v>47</v>
      </c>
      <c r="E2666" s="1">
        <v>45399</v>
      </c>
      <c r="F2666" s="3">
        <v>45409</v>
      </c>
      <c r="G2666" t="s">
        <v>48</v>
      </c>
      <c r="H2666" t="s">
        <v>22</v>
      </c>
      <c r="I2666" t="s">
        <v>83</v>
      </c>
      <c r="J2666">
        <v>5892.32</v>
      </c>
      <c r="K2666">
        <v>10</v>
      </c>
      <c r="L2666" t="s">
        <v>36</v>
      </c>
      <c r="M2666" t="s">
        <v>101</v>
      </c>
      <c r="N2666" t="s">
        <v>26</v>
      </c>
      <c r="O2666" t="s">
        <v>56</v>
      </c>
      <c r="P2666" t="s">
        <v>50</v>
      </c>
      <c r="Q2666">
        <v>13</v>
      </c>
      <c r="R2666">
        <v>2270.2199999999998</v>
      </c>
      <c r="S2666" t="s">
        <v>29</v>
      </c>
    </row>
    <row r="2667" spans="1:19" x14ac:dyDescent="0.3">
      <c r="A2667" t="s">
        <v>2737</v>
      </c>
      <c r="B2667">
        <v>76</v>
      </c>
      <c r="C2667" t="s">
        <v>31</v>
      </c>
      <c r="D2667" t="s">
        <v>66</v>
      </c>
      <c r="E2667" s="1">
        <v>45521</v>
      </c>
      <c r="F2667" s="3">
        <v>45532</v>
      </c>
      <c r="G2667" t="s">
        <v>21</v>
      </c>
      <c r="H2667" t="s">
        <v>22</v>
      </c>
      <c r="I2667" t="s">
        <v>43</v>
      </c>
      <c r="J2667">
        <v>8403.48</v>
      </c>
      <c r="K2667">
        <v>11</v>
      </c>
      <c r="L2667" t="s">
        <v>36</v>
      </c>
      <c r="M2667" t="s">
        <v>101</v>
      </c>
      <c r="N2667" t="s">
        <v>55</v>
      </c>
      <c r="O2667" t="s">
        <v>56</v>
      </c>
      <c r="P2667" t="s">
        <v>45</v>
      </c>
      <c r="Q2667">
        <v>11</v>
      </c>
      <c r="R2667">
        <v>2770.49</v>
      </c>
      <c r="S2667" t="s">
        <v>29</v>
      </c>
    </row>
    <row r="2668" spans="1:19" x14ac:dyDescent="0.3">
      <c r="A2668" t="s">
        <v>2738</v>
      </c>
      <c r="B2668">
        <v>57</v>
      </c>
      <c r="C2668" t="s">
        <v>31</v>
      </c>
      <c r="D2668" t="s">
        <v>89</v>
      </c>
      <c r="E2668" s="1">
        <v>45038</v>
      </c>
      <c r="F2668" s="3">
        <v>45044</v>
      </c>
      <c r="G2668" t="s">
        <v>67</v>
      </c>
      <c r="H2668" t="s">
        <v>42</v>
      </c>
      <c r="I2668" t="s">
        <v>54</v>
      </c>
      <c r="J2668">
        <v>7066.56</v>
      </c>
      <c r="K2668">
        <v>6</v>
      </c>
      <c r="L2668" t="s">
        <v>36</v>
      </c>
      <c r="M2668" t="s">
        <v>25</v>
      </c>
      <c r="N2668" t="s">
        <v>55</v>
      </c>
      <c r="O2668" t="s">
        <v>49</v>
      </c>
      <c r="P2668" t="s">
        <v>50</v>
      </c>
      <c r="Q2668">
        <v>11</v>
      </c>
      <c r="R2668">
        <v>1575.72</v>
      </c>
      <c r="S2668" t="s">
        <v>39</v>
      </c>
    </row>
    <row r="2669" spans="1:19" x14ac:dyDescent="0.3">
      <c r="A2669" t="s">
        <v>2739</v>
      </c>
      <c r="B2669">
        <v>45</v>
      </c>
      <c r="C2669" t="s">
        <v>19</v>
      </c>
      <c r="D2669" t="s">
        <v>89</v>
      </c>
      <c r="E2669" s="1">
        <v>45176</v>
      </c>
      <c r="F2669" s="3">
        <v>45182</v>
      </c>
      <c r="G2669" t="s">
        <v>62</v>
      </c>
      <c r="H2669" t="s">
        <v>63</v>
      </c>
      <c r="I2669" t="s">
        <v>54</v>
      </c>
      <c r="J2669">
        <v>8538.7999999999993</v>
      </c>
      <c r="K2669">
        <v>6</v>
      </c>
      <c r="L2669" t="s">
        <v>24</v>
      </c>
      <c r="M2669" t="s">
        <v>25</v>
      </c>
      <c r="N2669" t="s">
        <v>44</v>
      </c>
      <c r="O2669" t="s">
        <v>49</v>
      </c>
      <c r="P2669" t="s">
        <v>28</v>
      </c>
      <c r="Q2669">
        <v>6</v>
      </c>
      <c r="R2669">
        <v>1863.96</v>
      </c>
      <c r="S2669" t="s">
        <v>29</v>
      </c>
    </row>
    <row r="2670" spans="1:19" x14ac:dyDescent="0.3">
      <c r="A2670" t="s">
        <v>2740</v>
      </c>
      <c r="B2670">
        <v>48</v>
      </c>
      <c r="C2670" t="s">
        <v>19</v>
      </c>
      <c r="D2670" t="s">
        <v>20</v>
      </c>
      <c r="E2670" s="1">
        <v>45587</v>
      </c>
      <c r="F2670" s="3">
        <v>45602</v>
      </c>
      <c r="G2670" t="s">
        <v>71</v>
      </c>
      <c r="H2670" t="s">
        <v>72</v>
      </c>
      <c r="I2670" t="s">
        <v>91</v>
      </c>
      <c r="J2670">
        <v>6087.66</v>
      </c>
      <c r="K2670">
        <v>15</v>
      </c>
      <c r="L2670" t="s">
        <v>36</v>
      </c>
      <c r="M2670" t="s">
        <v>25</v>
      </c>
      <c r="N2670" t="s">
        <v>26</v>
      </c>
      <c r="O2670" t="s">
        <v>27</v>
      </c>
      <c r="P2670" t="s">
        <v>45</v>
      </c>
      <c r="Q2670">
        <v>2</v>
      </c>
      <c r="R2670">
        <v>2153.75</v>
      </c>
      <c r="S2670" t="s">
        <v>29</v>
      </c>
    </row>
    <row r="2671" spans="1:19" x14ac:dyDescent="0.3">
      <c r="A2671" t="s">
        <v>2741</v>
      </c>
      <c r="B2671">
        <v>85</v>
      </c>
      <c r="C2671" t="s">
        <v>19</v>
      </c>
      <c r="D2671" t="s">
        <v>32</v>
      </c>
      <c r="E2671" s="1">
        <v>45498</v>
      </c>
      <c r="F2671" s="3">
        <v>45500</v>
      </c>
      <c r="G2671" t="s">
        <v>62</v>
      </c>
      <c r="H2671" t="s">
        <v>63</v>
      </c>
      <c r="I2671" t="s">
        <v>23</v>
      </c>
      <c r="J2671">
        <v>2706.88</v>
      </c>
      <c r="K2671">
        <v>2</v>
      </c>
      <c r="L2671" t="s">
        <v>24</v>
      </c>
      <c r="M2671" t="s">
        <v>25</v>
      </c>
      <c r="N2671" t="s">
        <v>44</v>
      </c>
      <c r="O2671" t="s">
        <v>56</v>
      </c>
      <c r="P2671" t="s">
        <v>50</v>
      </c>
      <c r="Q2671">
        <v>15</v>
      </c>
      <c r="R2671">
        <v>821.07</v>
      </c>
      <c r="S2671" t="s">
        <v>29</v>
      </c>
    </row>
    <row r="2672" spans="1:19" x14ac:dyDescent="0.3">
      <c r="A2672" t="s">
        <v>2742</v>
      </c>
      <c r="B2672">
        <v>64</v>
      </c>
      <c r="C2672" t="s">
        <v>31</v>
      </c>
      <c r="D2672" t="s">
        <v>20</v>
      </c>
      <c r="E2672" s="1">
        <v>45695</v>
      </c>
      <c r="F2672" s="3">
        <v>45714</v>
      </c>
      <c r="G2672" t="s">
        <v>48</v>
      </c>
      <c r="H2672" t="s">
        <v>22</v>
      </c>
      <c r="I2672" t="s">
        <v>54</v>
      </c>
      <c r="J2672">
        <v>4985.91</v>
      </c>
      <c r="K2672">
        <v>19</v>
      </c>
      <c r="L2672" t="s">
        <v>36</v>
      </c>
      <c r="M2672" t="s">
        <v>25</v>
      </c>
      <c r="N2672" t="s">
        <v>26</v>
      </c>
      <c r="O2672" t="s">
        <v>37</v>
      </c>
      <c r="P2672" t="s">
        <v>28</v>
      </c>
      <c r="Q2672">
        <v>6</v>
      </c>
      <c r="R2672">
        <v>1747.6</v>
      </c>
      <c r="S2672" t="s">
        <v>29</v>
      </c>
    </row>
    <row r="2673" spans="1:19" x14ac:dyDescent="0.3">
      <c r="A2673" t="s">
        <v>2743</v>
      </c>
      <c r="B2673">
        <v>30</v>
      </c>
      <c r="C2673" t="s">
        <v>31</v>
      </c>
      <c r="D2673" t="s">
        <v>20</v>
      </c>
      <c r="E2673" s="1">
        <v>45699</v>
      </c>
      <c r="F2673" s="3">
        <v>45716</v>
      </c>
      <c r="G2673" t="s">
        <v>74</v>
      </c>
      <c r="H2673" t="s">
        <v>75</v>
      </c>
      <c r="I2673" t="s">
        <v>43</v>
      </c>
      <c r="J2673">
        <v>6428.71</v>
      </c>
      <c r="K2673">
        <v>17</v>
      </c>
      <c r="L2673" t="s">
        <v>36</v>
      </c>
      <c r="M2673" t="s">
        <v>25</v>
      </c>
      <c r="N2673" t="s">
        <v>55</v>
      </c>
      <c r="O2673" t="s">
        <v>27</v>
      </c>
      <c r="P2673" t="s">
        <v>50</v>
      </c>
      <c r="Q2673">
        <v>9</v>
      </c>
      <c r="R2673">
        <v>1424.31</v>
      </c>
      <c r="S2673" t="s">
        <v>29</v>
      </c>
    </row>
    <row r="2674" spans="1:19" x14ac:dyDescent="0.3">
      <c r="A2674" t="s">
        <v>2744</v>
      </c>
      <c r="B2674">
        <v>32</v>
      </c>
      <c r="C2674" t="s">
        <v>19</v>
      </c>
      <c r="D2674" t="s">
        <v>47</v>
      </c>
      <c r="E2674" s="1">
        <v>45471</v>
      </c>
      <c r="F2674" s="3">
        <v>45489</v>
      </c>
      <c r="G2674" t="s">
        <v>21</v>
      </c>
      <c r="H2674" t="s">
        <v>22</v>
      </c>
      <c r="I2674" t="s">
        <v>91</v>
      </c>
      <c r="J2674">
        <v>7260.55</v>
      </c>
      <c r="K2674">
        <v>18</v>
      </c>
      <c r="L2674" t="s">
        <v>36</v>
      </c>
      <c r="M2674" t="s">
        <v>25</v>
      </c>
      <c r="N2674" t="s">
        <v>26</v>
      </c>
      <c r="O2674" t="s">
        <v>56</v>
      </c>
      <c r="P2674" t="s">
        <v>50</v>
      </c>
      <c r="Q2674">
        <v>10</v>
      </c>
      <c r="R2674">
        <v>2803.98</v>
      </c>
      <c r="S2674" t="s">
        <v>29</v>
      </c>
    </row>
    <row r="2675" spans="1:19" x14ac:dyDescent="0.3">
      <c r="A2675" t="s">
        <v>2745</v>
      </c>
      <c r="B2675">
        <v>69</v>
      </c>
      <c r="C2675" t="s">
        <v>19</v>
      </c>
      <c r="D2675" t="s">
        <v>89</v>
      </c>
      <c r="E2675" s="1">
        <v>45259</v>
      </c>
      <c r="F2675" s="3">
        <v>45262</v>
      </c>
      <c r="G2675" t="s">
        <v>74</v>
      </c>
      <c r="H2675" t="s">
        <v>75</v>
      </c>
      <c r="I2675" t="s">
        <v>58</v>
      </c>
      <c r="J2675">
        <v>4526.22</v>
      </c>
      <c r="K2675">
        <v>3</v>
      </c>
      <c r="L2675" t="s">
        <v>24</v>
      </c>
      <c r="M2675" t="s">
        <v>25</v>
      </c>
      <c r="N2675" t="s">
        <v>55</v>
      </c>
      <c r="O2675" t="s">
        <v>56</v>
      </c>
      <c r="P2675" t="s">
        <v>28</v>
      </c>
      <c r="Q2675">
        <v>15</v>
      </c>
      <c r="R2675">
        <v>1020.85</v>
      </c>
      <c r="S2675" t="s">
        <v>29</v>
      </c>
    </row>
    <row r="2676" spans="1:19" x14ac:dyDescent="0.3">
      <c r="A2676" t="s">
        <v>2746</v>
      </c>
      <c r="B2676">
        <v>26</v>
      </c>
      <c r="C2676" t="s">
        <v>19</v>
      </c>
      <c r="D2676" t="s">
        <v>61</v>
      </c>
      <c r="E2676" s="1">
        <v>45297</v>
      </c>
      <c r="F2676" s="3">
        <v>45302</v>
      </c>
      <c r="G2676" t="s">
        <v>41</v>
      </c>
      <c r="H2676" t="s">
        <v>42</v>
      </c>
      <c r="I2676" t="s">
        <v>58</v>
      </c>
      <c r="J2676">
        <v>1765.3</v>
      </c>
      <c r="K2676">
        <v>5</v>
      </c>
      <c r="L2676" t="s">
        <v>24</v>
      </c>
      <c r="M2676" t="s">
        <v>25</v>
      </c>
      <c r="N2676" t="s">
        <v>55</v>
      </c>
      <c r="O2676" t="s">
        <v>37</v>
      </c>
      <c r="P2676" t="s">
        <v>50</v>
      </c>
      <c r="Q2676">
        <v>14</v>
      </c>
      <c r="R2676">
        <v>424.94</v>
      </c>
      <c r="S2676" t="s">
        <v>29</v>
      </c>
    </row>
    <row r="2677" spans="1:19" x14ac:dyDescent="0.3">
      <c r="A2677" t="s">
        <v>2747</v>
      </c>
      <c r="B2677">
        <v>78</v>
      </c>
      <c r="C2677" t="s">
        <v>31</v>
      </c>
      <c r="D2677" t="s">
        <v>66</v>
      </c>
      <c r="E2677" s="1">
        <v>45017</v>
      </c>
      <c r="F2677" s="3">
        <v>45028</v>
      </c>
      <c r="G2677" t="s">
        <v>93</v>
      </c>
      <c r="H2677" t="s">
        <v>72</v>
      </c>
      <c r="I2677" t="s">
        <v>58</v>
      </c>
      <c r="J2677">
        <v>5580.7</v>
      </c>
      <c r="K2677">
        <v>11</v>
      </c>
      <c r="L2677" t="s">
        <v>36</v>
      </c>
      <c r="M2677" t="s">
        <v>25</v>
      </c>
      <c r="N2677" t="s">
        <v>55</v>
      </c>
      <c r="O2677" t="s">
        <v>27</v>
      </c>
      <c r="P2677" t="s">
        <v>28</v>
      </c>
      <c r="Q2677">
        <v>6</v>
      </c>
      <c r="R2677">
        <v>2016.42</v>
      </c>
      <c r="S2677" t="s">
        <v>29</v>
      </c>
    </row>
    <row r="2678" spans="1:19" x14ac:dyDescent="0.3">
      <c r="A2678" t="s">
        <v>2748</v>
      </c>
      <c r="B2678">
        <v>89</v>
      </c>
      <c r="C2678" t="s">
        <v>19</v>
      </c>
      <c r="D2678" t="s">
        <v>47</v>
      </c>
      <c r="E2678" s="1">
        <v>45870</v>
      </c>
      <c r="F2678" s="3">
        <v>45876</v>
      </c>
      <c r="G2678" t="s">
        <v>93</v>
      </c>
      <c r="H2678" t="s">
        <v>72</v>
      </c>
      <c r="I2678" t="s">
        <v>23</v>
      </c>
      <c r="J2678">
        <v>8821.08</v>
      </c>
      <c r="K2678">
        <v>6</v>
      </c>
      <c r="L2678" t="s">
        <v>24</v>
      </c>
      <c r="M2678" t="s">
        <v>59</v>
      </c>
      <c r="N2678" t="s">
        <v>44</v>
      </c>
      <c r="O2678" t="s">
        <v>49</v>
      </c>
      <c r="P2678" t="s">
        <v>38</v>
      </c>
      <c r="Q2678">
        <v>13</v>
      </c>
      <c r="R2678">
        <v>2447.62</v>
      </c>
      <c r="S2678" t="s">
        <v>29</v>
      </c>
    </row>
    <row r="2679" spans="1:19" x14ac:dyDescent="0.3">
      <c r="A2679" t="s">
        <v>2749</v>
      </c>
      <c r="B2679">
        <v>27</v>
      </c>
      <c r="C2679" t="s">
        <v>31</v>
      </c>
      <c r="D2679" t="s">
        <v>32</v>
      </c>
      <c r="E2679" s="1">
        <v>45289</v>
      </c>
      <c r="F2679" s="3">
        <v>45313</v>
      </c>
      <c r="G2679" t="s">
        <v>52</v>
      </c>
      <c r="H2679" t="s">
        <v>53</v>
      </c>
      <c r="I2679" t="s">
        <v>58</v>
      </c>
      <c r="J2679">
        <v>14429.64</v>
      </c>
      <c r="K2679">
        <v>24</v>
      </c>
      <c r="L2679" t="s">
        <v>24</v>
      </c>
      <c r="M2679" t="s">
        <v>25</v>
      </c>
      <c r="N2679" t="s">
        <v>44</v>
      </c>
      <c r="O2679" t="s">
        <v>49</v>
      </c>
      <c r="P2679" t="s">
        <v>38</v>
      </c>
      <c r="Q2679">
        <v>8</v>
      </c>
      <c r="R2679">
        <v>3621.21</v>
      </c>
      <c r="S2679" t="s">
        <v>29</v>
      </c>
    </row>
    <row r="2680" spans="1:19" x14ac:dyDescent="0.3">
      <c r="A2680" t="s">
        <v>2750</v>
      </c>
      <c r="B2680">
        <v>41</v>
      </c>
      <c r="C2680" t="s">
        <v>19</v>
      </c>
      <c r="D2680" t="s">
        <v>20</v>
      </c>
      <c r="E2680" s="1">
        <v>44930</v>
      </c>
      <c r="F2680" s="3">
        <v>44946</v>
      </c>
      <c r="G2680" t="s">
        <v>67</v>
      </c>
      <c r="H2680" t="s">
        <v>42</v>
      </c>
      <c r="I2680" t="s">
        <v>83</v>
      </c>
      <c r="J2680">
        <v>9656.66</v>
      </c>
      <c r="K2680">
        <v>16</v>
      </c>
      <c r="L2680" t="s">
        <v>24</v>
      </c>
      <c r="M2680" t="s">
        <v>25</v>
      </c>
      <c r="N2680" t="s">
        <v>55</v>
      </c>
      <c r="O2680" t="s">
        <v>37</v>
      </c>
      <c r="P2680" t="s">
        <v>50</v>
      </c>
      <c r="Q2680">
        <v>3</v>
      </c>
      <c r="R2680">
        <v>1652.66</v>
      </c>
      <c r="S2680" t="s">
        <v>29</v>
      </c>
    </row>
    <row r="2681" spans="1:19" x14ac:dyDescent="0.3">
      <c r="A2681" t="s">
        <v>2751</v>
      </c>
      <c r="B2681">
        <v>60</v>
      </c>
      <c r="C2681" t="s">
        <v>31</v>
      </c>
      <c r="D2681" t="s">
        <v>20</v>
      </c>
      <c r="E2681" s="1">
        <v>45769</v>
      </c>
      <c r="F2681" s="3">
        <v>45778</v>
      </c>
      <c r="G2681" t="s">
        <v>74</v>
      </c>
      <c r="H2681" t="s">
        <v>75</v>
      </c>
      <c r="I2681" t="s">
        <v>23</v>
      </c>
      <c r="J2681">
        <v>7810.75</v>
      </c>
      <c r="K2681">
        <v>9</v>
      </c>
      <c r="L2681" t="s">
        <v>24</v>
      </c>
      <c r="M2681" t="s">
        <v>25</v>
      </c>
      <c r="N2681" t="s">
        <v>44</v>
      </c>
      <c r="O2681" t="s">
        <v>27</v>
      </c>
      <c r="P2681" t="s">
        <v>28</v>
      </c>
      <c r="Q2681">
        <v>3</v>
      </c>
      <c r="R2681">
        <v>2770.93</v>
      </c>
      <c r="S2681" t="s">
        <v>29</v>
      </c>
    </row>
    <row r="2682" spans="1:19" x14ac:dyDescent="0.3">
      <c r="A2682" t="s">
        <v>2752</v>
      </c>
      <c r="B2682">
        <v>56</v>
      </c>
      <c r="C2682" t="s">
        <v>19</v>
      </c>
      <c r="D2682" t="s">
        <v>20</v>
      </c>
      <c r="E2682" s="1">
        <v>45174</v>
      </c>
      <c r="F2682" s="3">
        <v>45178</v>
      </c>
      <c r="G2682" t="s">
        <v>74</v>
      </c>
      <c r="H2682" t="s">
        <v>75</v>
      </c>
      <c r="I2682" t="s">
        <v>91</v>
      </c>
      <c r="J2682">
        <v>6576.35</v>
      </c>
      <c r="K2682">
        <v>4</v>
      </c>
      <c r="L2682" t="s">
        <v>24</v>
      </c>
      <c r="M2682" t="s">
        <v>25</v>
      </c>
      <c r="N2682" t="s">
        <v>55</v>
      </c>
      <c r="O2682" t="s">
        <v>49</v>
      </c>
      <c r="P2682" t="s">
        <v>50</v>
      </c>
      <c r="Q2682">
        <v>6</v>
      </c>
      <c r="R2682">
        <v>1602.67</v>
      </c>
      <c r="S2682" t="s">
        <v>29</v>
      </c>
    </row>
    <row r="2683" spans="1:19" x14ac:dyDescent="0.3">
      <c r="A2683" t="s">
        <v>2753</v>
      </c>
      <c r="B2683">
        <v>27</v>
      </c>
      <c r="C2683" t="s">
        <v>19</v>
      </c>
      <c r="D2683" t="s">
        <v>79</v>
      </c>
      <c r="E2683" s="1">
        <v>45402</v>
      </c>
      <c r="F2683" s="3">
        <v>45414</v>
      </c>
      <c r="G2683" t="s">
        <v>48</v>
      </c>
      <c r="H2683" t="s">
        <v>22</v>
      </c>
      <c r="I2683" t="s">
        <v>54</v>
      </c>
      <c r="J2683">
        <v>12282.18</v>
      </c>
      <c r="K2683">
        <v>12</v>
      </c>
      <c r="L2683" t="s">
        <v>24</v>
      </c>
      <c r="M2683" t="s">
        <v>59</v>
      </c>
      <c r="N2683" t="s">
        <v>55</v>
      </c>
      <c r="O2683" t="s">
        <v>49</v>
      </c>
      <c r="P2683" t="s">
        <v>28</v>
      </c>
      <c r="Q2683">
        <v>10</v>
      </c>
      <c r="R2683">
        <v>4764.0200000000004</v>
      </c>
      <c r="S2683" t="s">
        <v>29</v>
      </c>
    </row>
    <row r="2684" spans="1:19" x14ac:dyDescent="0.3">
      <c r="A2684" t="s">
        <v>2754</v>
      </c>
      <c r="B2684">
        <v>69</v>
      </c>
      <c r="C2684" t="s">
        <v>31</v>
      </c>
      <c r="D2684" t="s">
        <v>89</v>
      </c>
      <c r="E2684" s="1">
        <v>45786</v>
      </c>
      <c r="F2684" s="3">
        <v>45787</v>
      </c>
      <c r="G2684" t="s">
        <v>93</v>
      </c>
      <c r="H2684" t="s">
        <v>72</v>
      </c>
      <c r="I2684" t="s">
        <v>43</v>
      </c>
      <c r="J2684">
        <v>846.03</v>
      </c>
      <c r="K2684">
        <v>1</v>
      </c>
      <c r="L2684" t="s">
        <v>24</v>
      </c>
      <c r="M2684" t="s">
        <v>59</v>
      </c>
      <c r="N2684" t="s">
        <v>55</v>
      </c>
      <c r="O2684" t="s">
        <v>27</v>
      </c>
      <c r="P2684" t="s">
        <v>50</v>
      </c>
      <c r="Q2684">
        <v>3</v>
      </c>
      <c r="R2684">
        <v>279.77999999999997</v>
      </c>
      <c r="S2684" t="s">
        <v>29</v>
      </c>
    </row>
    <row r="2685" spans="1:19" x14ac:dyDescent="0.3">
      <c r="A2685" t="s">
        <v>2755</v>
      </c>
      <c r="B2685">
        <v>79</v>
      </c>
      <c r="C2685" t="s">
        <v>19</v>
      </c>
      <c r="D2685" t="s">
        <v>79</v>
      </c>
      <c r="E2685" s="1">
        <v>44942</v>
      </c>
      <c r="F2685" s="3">
        <v>44943</v>
      </c>
      <c r="G2685" t="s">
        <v>67</v>
      </c>
      <c r="H2685" t="s">
        <v>42</v>
      </c>
      <c r="I2685" t="s">
        <v>23</v>
      </c>
      <c r="J2685">
        <v>682.6</v>
      </c>
      <c r="K2685">
        <v>1</v>
      </c>
      <c r="L2685" t="s">
        <v>24</v>
      </c>
      <c r="M2685" t="s">
        <v>59</v>
      </c>
      <c r="N2685" t="s">
        <v>55</v>
      </c>
      <c r="O2685" t="s">
        <v>37</v>
      </c>
      <c r="P2685" t="s">
        <v>50</v>
      </c>
      <c r="Q2685">
        <v>10</v>
      </c>
      <c r="R2685">
        <v>217.56</v>
      </c>
      <c r="S2685" t="s">
        <v>29</v>
      </c>
    </row>
    <row r="2686" spans="1:19" x14ac:dyDescent="0.3">
      <c r="A2686" t="s">
        <v>2756</v>
      </c>
      <c r="B2686">
        <v>20</v>
      </c>
      <c r="C2686" t="s">
        <v>19</v>
      </c>
      <c r="D2686" t="s">
        <v>20</v>
      </c>
      <c r="E2686" s="1">
        <v>44960</v>
      </c>
      <c r="F2686" s="3">
        <v>44979</v>
      </c>
      <c r="G2686" t="s">
        <v>74</v>
      </c>
      <c r="H2686" t="s">
        <v>75</v>
      </c>
      <c r="I2686" t="s">
        <v>58</v>
      </c>
      <c r="J2686">
        <v>13924.61</v>
      </c>
      <c r="K2686">
        <v>19</v>
      </c>
      <c r="L2686" t="s">
        <v>24</v>
      </c>
      <c r="M2686" t="s">
        <v>25</v>
      </c>
      <c r="N2686" t="s">
        <v>55</v>
      </c>
      <c r="O2686" t="s">
        <v>56</v>
      </c>
      <c r="P2686" t="s">
        <v>50</v>
      </c>
      <c r="Q2686">
        <v>11</v>
      </c>
      <c r="R2686">
        <v>3609.26</v>
      </c>
      <c r="S2686" t="s">
        <v>29</v>
      </c>
    </row>
    <row r="2687" spans="1:19" x14ac:dyDescent="0.3">
      <c r="A2687" t="s">
        <v>2757</v>
      </c>
      <c r="B2687">
        <v>52</v>
      </c>
      <c r="C2687" t="s">
        <v>31</v>
      </c>
      <c r="D2687" t="s">
        <v>61</v>
      </c>
      <c r="E2687" s="1">
        <v>45246</v>
      </c>
      <c r="F2687" s="3">
        <v>45263</v>
      </c>
      <c r="G2687" t="s">
        <v>41</v>
      </c>
      <c r="H2687" t="s">
        <v>42</v>
      </c>
      <c r="I2687" t="s">
        <v>81</v>
      </c>
      <c r="J2687">
        <v>10541.04</v>
      </c>
      <c r="K2687">
        <v>17</v>
      </c>
      <c r="L2687" t="s">
        <v>24</v>
      </c>
      <c r="M2687" t="s">
        <v>25</v>
      </c>
      <c r="N2687" t="s">
        <v>55</v>
      </c>
      <c r="O2687" t="s">
        <v>56</v>
      </c>
      <c r="P2687" t="s">
        <v>45</v>
      </c>
      <c r="Q2687">
        <v>15</v>
      </c>
      <c r="R2687">
        <v>2479.12</v>
      </c>
      <c r="S2687" t="s">
        <v>29</v>
      </c>
    </row>
    <row r="2688" spans="1:19" x14ac:dyDescent="0.3">
      <c r="A2688" t="s">
        <v>2758</v>
      </c>
      <c r="B2688">
        <v>73</v>
      </c>
      <c r="C2688" t="s">
        <v>19</v>
      </c>
      <c r="D2688" t="s">
        <v>70</v>
      </c>
      <c r="E2688" s="1">
        <v>44997</v>
      </c>
      <c r="F2688" s="3">
        <v>45016</v>
      </c>
      <c r="G2688" t="s">
        <v>48</v>
      </c>
      <c r="H2688" t="s">
        <v>22</v>
      </c>
      <c r="I2688" t="s">
        <v>91</v>
      </c>
      <c r="J2688">
        <v>7082.66</v>
      </c>
      <c r="K2688">
        <v>19</v>
      </c>
      <c r="L2688" t="s">
        <v>24</v>
      </c>
      <c r="M2688" t="s">
        <v>25</v>
      </c>
      <c r="N2688" t="s">
        <v>55</v>
      </c>
      <c r="O2688" t="s">
        <v>56</v>
      </c>
      <c r="P2688" t="s">
        <v>45</v>
      </c>
      <c r="Q2688">
        <v>1</v>
      </c>
      <c r="R2688">
        <v>1645.95</v>
      </c>
      <c r="S2688" t="s">
        <v>29</v>
      </c>
    </row>
    <row r="2689" spans="1:19" x14ac:dyDescent="0.3">
      <c r="A2689" t="s">
        <v>2759</v>
      </c>
      <c r="B2689">
        <v>21</v>
      </c>
      <c r="C2689" t="s">
        <v>31</v>
      </c>
      <c r="D2689" t="s">
        <v>32</v>
      </c>
      <c r="E2689" s="1">
        <v>45864</v>
      </c>
      <c r="F2689" s="3">
        <v>45869</v>
      </c>
      <c r="G2689" t="s">
        <v>74</v>
      </c>
      <c r="H2689" t="s">
        <v>75</v>
      </c>
      <c r="I2689" t="s">
        <v>91</v>
      </c>
      <c r="J2689">
        <v>5072.6499999999996</v>
      </c>
      <c r="K2689">
        <v>5</v>
      </c>
      <c r="L2689" t="s">
        <v>36</v>
      </c>
      <c r="M2689" t="s">
        <v>25</v>
      </c>
      <c r="N2689" t="s">
        <v>44</v>
      </c>
      <c r="O2689" t="s">
        <v>27</v>
      </c>
      <c r="P2689" t="s">
        <v>45</v>
      </c>
      <c r="Q2689">
        <v>15</v>
      </c>
      <c r="R2689">
        <v>1955.18</v>
      </c>
      <c r="S2689" t="s">
        <v>29</v>
      </c>
    </row>
    <row r="2690" spans="1:19" x14ac:dyDescent="0.3">
      <c r="A2690" t="s">
        <v>2760</v>
      </c>
      <c r="B2690">
        <v>51</v>
      </c>
      <c r="C2690" t="s">
        <v>19</v>
      </c>
      <c r="D2690" t="s">
        <v>61</v>
      </c>
      <c r="E2690" s="1">
        <v>45914</v>
      </c>
      <c r="F2690" s="3">
        <v>45931</v>
      </c>
      <c r="G2690" t="s">
        <v>21</v>
      </c>
      <c r="H2690" t="s">
        <v>22</v>
      </c>
      <c r="I2690" t="s">
        <v>58</v>
      </c>
      <c r="J2690">
        <v>14898.07</v>
      </c>
      <c r="K2690">
        <v>17</v>
      </c>
      <c r="L2690" t="s">
        <v>24</v>
      </c>
      <c r="M2690" t="s">
        <v>25</v>
      </c>
      <c r="N2690" t="s">
        <v>26</v>
      </c>
      <c r="O2690" t="s">
        <v>49</v>
      </c>
      <c r="P2690" t="s">
        <v>28</v>
      </c>
      <c r="Q2690">
        <v>6</v>
      </c>
      <c r="R2690">
        <v>2896.78</v>
      </c>
      <c r="S2690" t="s">
        <v>29</v>
      </c>
    </row>
    <row r="2691" spans="1:19" x14ac:dyDescent="0.3">
      <c r="A2691" t="s">
        <v>2761</v>
      </c>
      <c r="B2691">
        <v>40</v>
      </c>
      <c r="C2691" t="s">
        <v>19</v>
      </c>
      <c r="D2691" t="s">
        <v>79</v>
      </c>
      <c r="E2691" s="1">
        <v>45728</v>
      </c>
      <c r="F2691" s="3">
        <v>45752</v>
      </c>
      <c r="G2691" t="s">
        <v>62</v>
      </c>
      <c r="H2691" t="s">
        <v>63</v>
      </c>
      <c r="I2691" t="s">
        <v>54</v>
      </c>
      <c r="J2691">
        <v>24196.94</v>
      </c>
      <c r="K2691">
        <v>24</v>
      </c>
      <c r="L2691" t="s">
        <v>36</v>
      </c>
      <c r="M2691" t="s">
        <v>25</v>
      </c>
      <c r="N2691" t="s">
        <v>26</v>
      </c>
      <c r="O2691" t="s">
        <v>49</v>
      </c>
      <c r="P2691" t="s">
        <v>28</v>
      </c>
      <c r="Q2691">
        <v>15</v>
      </c>
      <c r="R2691">
        <v>9262.19</v>
      </c>
      <c r="S2691" t="s">
        <v>29</v>
      </c>
    </row>
    <row r="2692" spans="1:19" x14ac:dyDescent="0.3">
      <c r="A2692" t="s">
        <v>2762</v>
      </c>
      <c r="B2692">
        <v>29</v>
      </c>
      <c r="C2692" t="s">
        <v>31</v>
      </c>
      <c r="D2692" t="s">
        <v>20</v>
      </c>
      <c r="E2692" s="1">
        <v>45919</v>
      </c>
      <c r="F2692" s="3">
        <v>45921</v>
      </c>
      <c r="G2692" t="s">
        <v>21</v>
      </c>
      <c r="H2692" t="s">
        <v>22</v>
      </c>
      <c r="I2692" t="s">
        <v>81</v>
      </c>
      <c r="J2692">
        <v>2604.69</v>
      </c>
      <c r="K2692">
        <v>2</v>
      </c>
      <c r="L2692" t="s">
        <v>36</v>
      </c>
      <c r="M2692" t="s">
        <v>25</v>
      </c>
      <c r="N2692" t="s">
        <v>26</v>
      </c>
      <c r="O2692" t="s">
        <v>37</v>
      </c>
      <c r="P2692" t="s">
        <v>28</v>
      </c>
      <c r="Q2692">
        <v>15</v>
      </c>
      <c r="R2692">
        <v>834.71</v>
      </c>
      <c r="S2692" t="s">
        <v>29</v>
      </c>
    </row>
    <row r="2693" spans="1:19" x14ac:dyDescent="0.3">
      <c r="A2693" t="s">
        <v>2763</v>
      </c>
      <c r="B2693">
        <v>69</v>
      </c>
      <c r="C2693" t="s">
        <v>31</v>
      </c>
      <c r="D2693" t="s">
        <v>61</v>
      </c>
      <c r="E2693" s="1">
        <v>45346</v>
      </c>
      <c r="F2693" s="3">
        <v>45364</v>
      </c>
      <c r="G2693" t="s">
        <v>62</v>
      </c>
      <c r="H2693" t="s">
        <v>63</v>
      </c>
      <c r="I2693" t="s">
        <v>91</v>
      </c>
      <c r="J2693">
        <v>7895.77</v>
      </c>
      <c r="K2693">
        <v>18</v>
      </c>
      <c r="L2693" t="s">
        <v>24</v>
      </c>
      <c r="M2693" t="s">
        <v>76</v>
      </c>
      <c r="N2693" t="s">
        <v>55</v>
      </c>
      <c r="O2693" t="s">
        <v>56</v>
      </c>
      <c r="P2693" t="s">
        <v>28</v>
      </c>
      <c r="Q2693">
        <v>5</v>
      </c>
      <c r="R2693">
        <v>1843.21</v>
      </c>
      <c r="S2693" t="s">
        <v>29</v>
      </c>
    </row>
    <row r="2694" spans="1:19" x14ac:dyDescent="0.3">
      <c r="A2694" t="s">
        <v>2764</v>
      </c>
      <c r="B2694">
        <v>45</v>
      </c>
      <c r="C2694" t="s">
        <v>19</v>
      </c>
      <c r="D2694" t="s">
        <v>32</v>
      </c>
      <c r="E2694" s="1">
        <v>45767</v>
      </c>
      <c r="F2694" s="3">
        <v>45784</v>
      </c>
      <c r="G2694" t="s">
        <v>21</v>
      </c>
      <c r="H2694" t="s">
        <v>22</v>
      </c>
      <c r="I2694" t="s">
        <v>35</v>
      </c>
      <c r="J2694">
        <v>6153.7</v>
      </c>
      <c r="K2694">
        <v>17</v>
      </c>
      <c r="L2694" t="s">
        <v>24</v>
      </c>
      <c r="M2694" t="s">
        <v>25</v>
      </c>
      <c r="N2694" t="s">
        <v>26</v>
      </c>
      <c r="O2694" t="s">
        <v>27</v>
      </c>
      <c r="P2694" t="s">
        <v>50</v>
      </c>
      <c r="Q2694">
        <v>7</v>
      </c>
      <c r="R2694">
        <v>2181.84</v>
      </c>
      <c r="S2694" t="s">
        <v>39</v>
      </c>
    </row>
    <row r="2695" spans="1:19" x14ac:dyDescent="0.3">
      <c r="A2695" t="s">
        <v>2765</v>
      </c>
      <c r="B2695">
        <v>40</v>
      </c>
      <c r="C2695" t="s">
        <v>19</v>
      </c>
      <c r="D2695" t="s">
        <v>61</v>
      </c>
      <c r="E2695" s="1">
        <v>45075</v>
      </c>
      <c r="F2695" s="3">
        <v>45093</v>
      </c>
      <c r="G2695" t="s">
        <v>41</v>
      </c>
      <c r="H2695" t="s">
        <v>42</v>
      </c>
      <c r="I2695" t="s">
        <v>83</v>
      </c>
      <c r="J2695">
        <v>18287.13</v>
      </c>
      <c r="K2695">
        <v>18</v>
      </c>
      <c r="L2695" t="s">
        <v>36</v>
      </c>
      <c r="M2695" t="s">
        <v>25</v>
      </c>
      <c r="N2695" t="s">
        <v>26</v>
      </c>
      <c r="O2695" t="s">
        <v>49</v>
      </c>
      <c r="P2695" t="s">
        <v>38</v>
      </c>
      <c r="Q2695">
        <v>15</v>
      </c>
      <c r="R2695">
        <v>5829.02</v>
      </c>
      <c r="S2695" t="s">
        <v>29</v>
      </c>
    </row>
    <row r="2696" spans="1:19" x14ac:dyDescent="0.3">
      <c r="A2696" t="s">
        <v>2766</v>
      </c>
      <c r="B2696">
        <v>71</v>
      </c>
      <c r="C2696" t="s">
        <v>19</v>
      </c>
      <c r="D2696" t="s">
        <v>89</v>
      </c>
      <c r="E2696" s="1">
        <v>45313</v>
      </c>
      <c r="F2696" s="3">
        <v>45341</v>
      </c>
      <c r="G2696" t="s">
        <v>52</v>
      </c>
      <c r="H2696" t="s">
        <v>53</v>
      </c>
      <c r="I2696" t="s">
        <v>43</v>
      </c>
      <c r="J2696">
        <v>12094.37</v>
      </c>
      <c r="K2696">
        <v>28</v>
      </c>
      <c r="L2696" t="s">
        <v>24</v>
      </c>
      <c r="M2696" t="s">
        <v>101</v>
      </c>
      <c r="N2696" t="s">
        <v>44</v>
      </c>
      <c r="O2696" t="s">
        <v>49</v>
      </c>
      <c r="P2696" t="s">
        <v>45</v>
      </c>
      <c r="Q2696">
        <v>8</v>
      </c>
      <c r="R2696">
        <v>4406.24</v>
      </c>
      <c r="S2696" t="s">
        <v>29</v>
      </c>
    </row>
    <row r="2697" spans="1:19" x14ac:dyDescent="0.3">
      <c r="A2697" t="s">
        <v>2767</v>
      </c>
      <c r="B2697">
        <v>48</v>
      </c>
      <c r="C2697" t="s">
        <v>19</v>
      </c>
      <c r="D2697" t="s">
        <v>32</v>
      </c>
      <c r="E2697" s="1">
        <v>45280</v>
      </c>
      <c r="F2697" s="3">
        <v>45287</v>
      </c>
      <c r="G2697" t="s">
        <v>67</v>
      </c>
      <c r="H2697" t="s">
        <v>42</v>
      </c>
      <c r="I2697" t="s">
        <v>81</v>
      </c>
      <c r="J2697">
        <v>8163.11</v>
      </c>
      <c r="K2697">
        <v>7</v>
      </c>
      <c r="L2697" t="s">
        <v>36</v>
      </c>
      <c r="M2697" t="s">
        <v>25</v>
      </c>
      <c r="N2697" t="s">
        <v>44</v>
      </c>
      <c r="O2697" t="s">
        <v>49</v>
      </c>
      <c r="P2697" t="s">
        <v>38</v>
      </c>
      <c r="Q2697">
        <v>14</v>
      </c>
      <c r="R2697">
        <v>1682.75</v>
      </c>
      <c r="S2697" t="s">
        <v>29</v>
      </c>
    </row>
    <row r="2698" spans="1:19" x14ac:dyDescent="0.3">
      <c r="A2698" t="s">
        <v>2768</v>
      </c>
      <c r="B2698">
        <v>59</v>
      </c>
      <c r="C2698" t="s">
        <v>19</v>
      </c>
      <c r="D2698" t="s">
        <v>47</v>
      </c>
      <c r="E2698" s="1">
        <v>45070</v>
      </c>
      <c r="F2698" s="3">
        <v>45074</v>
      </c>
      <c r="G2698" t="s">
        <v>71</v>
      </c>
      <c r="H2698" t="s">
        <v>72</v>
      </c>
      <c r="I2698" t="s">
        <v>23</v>
      </c>
      <c r="J2698">
        <v>3214.92</v>
      </c>
      <c r="K2698">
        <v>4</v>
      </c>
      <c r="L2698" t="s">
        <v>36</v>
      </c>
      <c r="M2698" t="s">
        <v>25</v>
      </c>
      <c r="N2698" t="s">
        <v>44</v>
      </c>
      <c r="O2698" t="s">
        <v>27</v>
      </c>
      <c r="P2698" t="s">
        <v>50</v>
      </c>
      <c r="Q2698">
        <v>15</v>
      </c>
      <c r="R2698">
        <v>624.45000000000005</v>
      </c>
      <c r="S2698" t="s">
        <v>29</v>
      </c>
    </row>
    <row r="2699" spans="1:19" x14ac:dyDescent="0.3">
      <c r="A2699" t="s">
        <v>2769</v>
      </c>
      <c r="B2699">
        <v>25</v>
      </c>
      <c r="C2699" t="s">
        <v>31</v>
      </c>
      <c r="D2699" t="s">
        <v>61</v>
      </c>
      <c r="E2699" s="1">
        <v>45699</v>
      </c>
      <c r="F2699" s="3">
        <v>45712</v>
      </c>
      <c r="G2699" t="s">
        <v>52</v>
      </c>
      <c r="H2699" t="s">
        <v>53</v>
      </c>
      <c r="I2699" t="s">
        <v>58</v>
      </c>
      <c r="J2699">
        <v>11654.9</v>
      </c>
      <c r="K2699">
        <v>13</v>
      </c>
      <c r="L2699" t="s">
        <v>24</v>
      </c>
      <c r="M2699" t="s">
        <v>25</v>
      </c>
      <c r="N2699" t="s">
        <v>44</v>
      </c>
      <c r="O2699" t="s">
        <v>49</v>
      </c>
      <c r="P2699" t="s">
        <v>45</v>
      </c>
      <c r="Q2699">
        <v>9</v>
      </c>
      <c r="R2699">
        <v>2922.16</v>
      </c>
      <c r="S2699" t="s">
        <v>29</v>
      </c>
    </row>
    <row r="2700" spans="1:19" x14ac:dyDescent="0.3">
      <c r="A2700" t="s">
        <v>2770</v>
      </c>
      <c r="B2700">
        <v>83</v>
      </c>
      <c r="C2700" t="s">
        <v>19</v>
      </c>
      <c r="D2700" t="s">
        <v>66</v>
      </c>
      <c r="E2700" s="1">
        <v>45521</v>
      </c>
      <c r="F2700" s="3">
        <v>45535</v>
      </c>
      <c r="G2700" t="s">
        <v>93</v>
      </c>
      <c r="H2700" t="s">
        <v>72</v>
      </c>
      <c r="I2700" t="s">
        <v>23</v>
      </c>
      <c r="J2700">
        <v>9948.26</v>
      </c>
      <c r="K2700">
        <v>14</v>
      </c>
      <c r="L2700" t="s">
        <v>36</v>
      </c>
      <c r="M2700" t="s">
        <v>59</v>
      </c>
      <c r="N2700" t="s">
        <v>26</v>
      </c>
      <c r="O2700" t="s">
        <v>27</v>
      </c>
      <c r="P2700" t="s">
        <v>28</v>
      </c>
      <c r="Q2700">
        <v>10</v>
      </c>
      <c r="R2700">
        <v>1683.08</v>
      </c>
      <c r="S2700" t="s">
        <v>39</v>
      </c>
    </row>
    <row r="2701" spans="1:19" x14ac:dyDescent="0.3">
      <c r="A2701" t="s">
        <v>2771</v>
      </c>
      <c r="B2701">
        <v>60</v>
      </c>
      <c r="C2701" t="s">
        <v>31</v>
      </c>
      <c r="D2701" t="s">
        <v>47</v>
      </c>
      <c r="E2701" s="1">
        <v>45854</v>
      </c>
      <c r="F2701" s="3">
        <v>45880</v>
      </c>
      <c r="G2701" t="s">
        <v>21</v>
      </c>
      <c r="H2701" t="s">
        <v>22</v>
      </c>
      <c r="I2701" t="s">
        <v>58</v>
      </c>
      <c r="J2701">
        <v>20112.22</v>
      </c>
      <c r="K2701">
        <v>26</v>
      </c>
      <c r="L2701" t="s">
        <v>36</v>
      </c>
      <c r="M2701" t="s">
        <v>25</v>
      </c>
      <c r="N2701" t="s">
        <v>55</v>
      </c>
      <c r="O2701" t="s">
        <v>49</v>
      </c>
      <c r="P2701" t="s">
        <v>38</v>
      </c>
      <c r="Q2701">
        <v>13</v>
      </c>
      <c r="R2701">
        <v>5913.52</v>
      </c>
      <c r="S2701" t="s">
        <v>29</v>
      </c>
    </row>
    <row r="2702" spans="1:19" x14ac:dyDescent="0.3">
      <c r="A2702" t="s">
        <v>2772</v>
      </c>
      <c r="B2702">
        <v>34</v>
      </c>
      <c r="C2702" t="s">
        <v>19</v>
      </c>
      <c r="D2702" t="s">
        <v>79</v>
      </c>
      <c r="E2702" s="1">
        <v>44935</v>
      </c>
      <c r="F2702" s="3">
        <v>44936</v>
      </c>
      <c r="G2702" t="s">
        <v>48</v>
      </c>
      <c r="H2702" t="s">
        <v>22</v>
      </c>
      <c r="I2702" t="s">
        <v>35</v>
      </c>
      <c r="J2702">
        <v>2253.17</v>
      </c>
      <c r="K2702">
        <v>1</v>
      </c>
      <c r="L2702" t="s">
        <v>24</v>
      </c>
      <c r="M2702" t="s">
        <v>59</v>
      </c>
      <c r="N2702" t="s">
        <v>44</v>
      </c>
      <c r="O2702" t="s">
        <v>56</v>
      </c>
      <c r="P2702" t="s">
        <v>45</v>
      </c>
      <c r="Q2702">
        <v>2</v>
      </c>
      <c r="R2702">
        <v>562.87</v>
      </c>
      <c r="S2702" t="s">
        <v>39</v>
      </c>
    </row>
    <row r="2703" spans="1:19" x14ac:dyDescent="0.3">
      <c r="A2703" t="s">
        <v>2773</v>
      </c>
      <c r="B2703">
        <v>44</v>
      </c>
      <c r="C2703" t="s">
        <v>31</v>
      </c>
      <c r="D2703" t="s">
        <v>79</v>
      </c>
      <c r="E2703" s="1">
        <v>45669</v>
      </c>
      <c r="F2703" s="3">
        <v>45679</v>
      </c>
      <c r="G2703" t="s">
        <v>33</v>
      </c>
      <c r="H2703" t="s">
        <v>34</v>
      </c>
      <c r="I2703" t="s">
        <v>83</v>
      </c>
      <c r="J2703">
        <v>8343.4599999999991</v>
      </c>
      <c r="K2703">
        <v>10</v>
      </c>
      <c r="L2703" t="s">
        <v>24</v>
      </c>
      <c r="M2703" t="s">
        <v>76</v>
      </c>
      <c r="N2703" t="s">
        <v>26</v>
      </c>
      <c r="O2703" t="s">
        <v>27</v>
      </c>
      <c r="P2703" t="s">
        <v>28</v>
      </c>
      <c r="Q2703">
        <v>14</v>
      </c>
      <c r="R2703">
        <v>3323.73</v>
      </c>
      <c r="S2703" t="s">
        <v>29</v>
      </c>
    </row>
    <row r="2704" spans="1:19" x14ac:dyDescent="0.3">
      <c r="A2704" t="s">
        <v>2774</v>
      </c>
      <c r="B2704">
        <v>67</v>
      </c>
      <c r="C2704" t="s">
        <v>31</v>
      </c>
      <c r="D2704" t="s">
        <v>79</v>
      </c>
      <c r="E2704" s="1">
        <v>45814</v>
      </c>
      <c r="F2704" s="3">
        <v>45841</v>
      </c>
      <c r="G2704" t="s">
        <v>93</v>
      </c>
      <c r="H2704" t="s">
        <v>72</v>
      </c>
      <c r="I2704" t="s">
        <v>54</v>
      </c>
      <c r="J2704">
        <v>13562.01</v>
      </c>
      <c r="K2704">
        <v>27</v>
      </c>
      <c r="L2704" t="s">
        <v>24</v>
      </c>
      <c r="M2704" t="s">
        <v>25</v>
      </c>
      <c r="N2704" t="s">
        <v>55</v>
      </c>
      <c r="O2704" t="s">
        <v>49</v>
      </c>
      <c r="P2704" t="s">
        <v>28</v>
      </c>
      <c r="Q2704">
        <v>5</v>
      </c>
      <c r="R2704">
        <v>3472.76</v>
      </c>
      <c r="S2704" t="s">
        <v>29</v>
      </c>
    </row>
    <row r="2705" spans="1:19" x14ac:dyDescent="0.3">
      <c r="A2705" t="s">
        <v>2775</v>
      </c>
      <c r="B2705">
        <v>89</v>
      </c>
      <c r="C2705" t="s">
        <v>19</v>
      </c>
      <c r="D2705" t="s">
        <v>70</v>
      </c>
      <c r="E2705" s="1">
        <v>45735</v>
      </c>
      <c r="F2705" s="3">
        <v>45755</v>
      </c>
      <c r="G2705" t="s">
        <v>33</v>
      </c>
      <c r="H2705" t="s">
        <v>34</v>
      </c>
      <c r="I2705" t="s">
        <v>23</v>
      </c>
      <c r="J2705">
        <v>7425.41</v>
      </c>
      <c r="K2705">
        <v>20</v>
      </c>
      <c r="L2705" t="s">
        <v>24</v>
      </c>
      <c r="M2705" t="s">
        <v>25</v>
      </c>
      <c r="N2705" t="s">
        <v>26</v>
      </c>
      <c r="O2705" t="s">
        <v>56</v>
      </c>
      <c r="P2705" t="s">
        <v>38</v>
      </c>
      <c r="Q2705">
        <v>12</v>
      </c>
      <c r="R2705">
        <v>2729.7</v>
      </c>
      <c r="S2705" t="s">
        <v>29</v>
      </c>
    </row>
    <row r="2706" spans="1:19" x14ac:dyDescent="0.3">
      <c r="A2706" t="s">
        <v>2776</v>
      </c>
      <c r="B2706">
        <v>34</v>
      </c>
      <c r="C2706" t="s">
        <v>19</v>
      </c>
      <c r="D2706" t="s">
        <v>70</v>
      </c>
      <c r="E2706" s="1">
        <v>44928</v>
      </c>
      <c r="F2706" s="3">
        <v>44941</v>
      </c>
      <c r="G2706" t="s">
        <v>21</v>
      </c>
      <c r="H2706" t="s">
        <v>22</v>
      </c>
      <c r="I2706" t="s">
        <v>35</v>
      </c>
      <c r="J2706">
        <v>7094.71</v>
      </c>
      <c r="K2706">
        <v>13</v>
      </c>
      <c r="L2706" t="s">
        <v>36</v>
      </c>
      <c r="M2706" t="s">
        <v>25</v>
      </c>
      <c r="N2706" t="s">
        <v>26</v>
      </c>
      <c r="O2706" t="s">
        <v>27</v>
      </c>
      <c r="P2706" t="s">
        <v>28</v>
      </c>
      <c r="Q2706">
        <v>13</v>
      </c>
      <c r="R2706">
        <v>1252.47</v>
      </c>
      <c r="S2706" t="s">
        <v>29</v>
      </c>
    </row>
    <row r="2707" spans="1:19" x14ac:dyDescent="0.3">
      <c r="A2707" t="s">
        <v>2777</v>
      </c>
      <c r="B2707">
        <v>41</v>
      </c>
      <c r="C2707" t="s">
        <v>19</v>
      </c>
      <c r="D2707" t="s">
        <v>66</v>
      </c>
      <c r="E2707" s="1">
        <v>45595</v>
      </c>
      <c r="F2707" s="3">
        <v>45608</v>
      </c>
      <c r="G2707" t="s">
        <v>71</v>
      </c>
      <c r="H2707" t="s">
        <v>72</v>
      </c>
      <c r="I2707" t="s">
        <v>43</v>
      </c>
      <c r="J2707">
        <v>7521.56</v>
      </c>
      <c r="K2707">
        <v>13</v>
      </c>
      <c r="L2707" t="s">
        <v>36</v>
      </c>
      <c r="M2707" t="s">
        <v>25</v>
      </c>
      <c r="N2707" t="s">
        <v>26</v>
      </c>
      <c r="O2707" t="s">
        <v>56</v>
      </c>
      <c r="P2707" t="s">
        <v>50</v>
      </c>
      <c r="Q2707">
        <v>6</v>
      </c>
      <c r="R2707">
        <v>1914.46</v>
      </c>
      <c r="S2707" t="s">
        <v>29</v>
      </c>
    </row>
    <row r="2708" spans="1:19" x14ac:dyDescent="0.3">
      <c r="A2708" t="s">
        <v>2778</v>
      </c>
      <c r="B2708">
        <v>66</v>
      </c>
      <c r="C2708" t="s">
        <v>19</v>
      </c>
      <c r="D2708" t="s">
        <v>66</v>
      </c>
      <c r="E2708" s="1">
        <v>45217</v>
      </c>
      <c r="F2708" s="3">
        <v>45220</v>
      </c>
      <c r="G2708" t="s">
        <v>74</v>
      </c>
      <c r="H2708" t="s">
        <v>75</v>
      </c>
      <c r="I2708" t="s">
        <v>35</v>
      </c>
      <c r="J2708">
        <v>1304.17</v>
      </c>
      <c r="K2708">
        <v>3</v>
      </c>
      <c r="L2708" t="s">
        <v>36</v>
      </c>
      <c r="M2708" t="s">
        <v>25</v>
      </c>
      <c r="N2708" t="s">
        <v>44</v>
      </c>
      <c r="O2708" t="s">
        <v>27</v>
      </c>
      <c r="P2708" t="s">
        <v>38</v>
      </c>
      <c r="Q2708">
        <v>13</v>
      </c>
      <c r="R2708">
        <v>232.29</v>
      </c>
      <c r="S2708" t="s">
        <v>29</v>
      </c>
    </row>
    <row r="2709" spans="1:19" x14ac:dyDescent="0.3">
      <c r="A2709" t="s">
        <v>2779</v>
      </c>
      <c r="B2709">
        <v>47</v>
      </c>
      <c r="C2709" t="s">
        <v>31</v>
      </c>
      <c r="D2709" t="s">
        <v>66</v>
      </c>
      <c r="E2709" s="1">
        <v>45080</v>
      </c>
      <c r="F2709" s="3">
        <v>45099</v>
      </c>
      <c r="G2709" t="s">
        <v>74</v>
      </c>
      <c r="H2709" t="s">
        <v>75</v>
      </c>
      <c r="I2709" t="s">
        <v>35</v>
      </c>
      <c r="J2709">
        <v>8262.44</v>
      </c>
      <c r="K2709">
        <v>19</v>
      </c>
      <c r="L2709" t="s">
        <v>24</v>
      </c>
      <c r="M2709" t="s">
        <v>25</v>
      </c>
      <c r="N2709" t="s">
        <v>26</v>
      </c>
      <c r="O2709" t="s">
        <v>37</v>
      </c>
      <c r="P2709" t="s">
        <v>38</v>
      </c>
      <c r="Q2709">
        <v>3</v>
      </c>
      <c r="R2709">
        <v>2805.86</v>
      </c>
      <c r="S2709" t="s">
        <v>29</v>
      </c>
    </row>
    <row r="2710" spans="1:19" x14ac:dyDescent="0.3">
      <c r="A2710" t="s">
        <v>2780</v>
      </c>
      <c r="B2710">
        <v>84</v>
      </c>
      <c r="C2710" t="s">
        <v>31</v>
      </c>
      <c r="D2710" t="s">
        <v>66</v>
      </c>
      <c r="E2710" s="1">
        <v>45342</v>
      </c>
      <c r="F2710" s="3">
        <v>45352</v>
      </c>
      <c r="G2710" t="s">
        <v>48</v>
      </c>
      <c r="H2710" t="s">
        <v>22</v>
      </c>
      <c r="I2710" t="s">
        <v>23</v>
      </c>
      <c r="J2710">
        <v>5504.09</v>
      </c>
      <c r="K2710">
        <v>10</v>
      </c>
      <c r="L2710" t="s">
        <v>24</v>
      </c>
      <c r="M2710" t="s">
        <v>101</v>
      </c>
      <c r="N2710" t="s">
        <v>55</v>
      </c>
      <c r="O2710" t="s">
        <v>56</v>
      </c>
      <c r="P2710" t="s">
        <v>50</v>
      </c>
      <c r="Q2710">
        <v>13</v>
      </c>
      <c r="R2710">
        <v>1078.46</v>
      </c>
      <c r="S2710" t="s">
        <v>29</v>
      </c>
    </row>
    <row r="2711" spans="1:19" x14ac:dyDescent="0.3">
      <c r="A2711" t="s">
        <v>2781</v>
      </c>
      <c r="B2711">
        <v>35</v>
      </c>
      <c r="C2711" t="s">
        <v>31</v>
      </c>
      <c r="D2711" t="s">
        <v>66</v>
      </c>
      <c r="E2711" s="1">
        <v>45315</v>
      </c>
      <c r="F2711" s="3">
        <v>45325</v>
      </c>
      <c r="G2711" t="s">
        <v>33</v>
      </c>
      <c r="H2711" t="s">
        <v>34</v>
      </c>
      <c r="I2711" t="s">
        <v>43</v>
      </c>
      <c r="J2711">
        <v>2666.91</v>
      </c>
      <c r="K2711">
        <v>10</v>
      </c>
      <c r="L2711" t="s">
        <v>36</v>
      </c>
      <c r="M2711" t="s">
        <v>25</v>
      </c>
      <c r="N2711" t="s">
        <v>55</v>
      </c>
      <c r="O2711" t="s">
        <v>27</v>
      </c>
      <c r="P2711" t="s">
        <v>38</v>
      </c>
      <c r="Q2711">
        <v>2</v>
      </c>
      <c r="R2711">
        <v>482.46</v>
      </c>
      <c r="S2711" t="s">
        <v>29</v>
      </c>
    </row>
    <row r="2712" spans="1:19" x14ac:dyDescent="0.3">
      <c r="A2712" t="s">
        <v>2782</v>
      </c>
      <c r="B2712">
        <v>71</v>
      </c>
      <c r="C2712" t="s">
        <v>19</v>
      </c>
      <c r="D2712" t="s">
        <v>32</v>
      </c>
      <c r="E2712" s="1">
        <v>45050</v>
      </c>
      <c r="F2712" s="3">
        <v>45066</v>
      </c>
      <c r="G2712" t="s">
        <v>48</v>
      </c>
      <c r="H2712" t="s">
        <v>22</v>
      </c>
      <c r="I2712" t="s">
        <v>83</v>
      </c>
      <c r="J2712">
        <v>9029.74</v>
      </c>
      <c r="K2712">
        <v>16</v>
      </c>
      <c r="L2712" t="s">
        <v>36</v>
      </c>
      <c r="M2712" t="s">
        <v>101</v>
      </c>
      <c r="N2712" t="s">
        <v>26</v>
      </c>
      <c r="O2712" t="s">
        <v>37</v>
      </c>
      <c r="P2712" t="s">
        <v>28</v>
      </c>
      <c r="Q2712">
        <v>10</v>
      </c>
      <c r="R2712">
        <v>2510.88</v>
      </c>
      <c r="S2712" t="s">
        <v>29</v>
      </c>
    </row>
    <row r="2713" spans="1:19" x14ac:dyDescent="0.3">
      <c r="A2713" t="s">
        <v>2783</v>
      </c>
      <c r="B2713">
        <v>87</v>
      </c>
      <c r="C2713" t="s">
        <v>31</v>
      </c>
      <c r="D2713" t="s">
        <v>47</v>
      </c>
      <c r="E2713" s="1">
        <v>45329</v>
      </c>
      <c r="F2713" s="3">
        <v>45337</v>
      </c>
      <c r="G2713" t="s">
        <v>33</v>
      </c>
      <c r="H2713" t="s">
        <v>34</v>
      </c>
      <c r="I2713" t="s">
        <v>58</v>
      </c>
      <c r="J2713">
        <v>7204.54</v>
      </c>
      <c r="K2713">
        <v>8</v>
      </c>
      <c r="L2713" t="s">
        <v>36</v>
      </c>
      <c r="M2713" t="s">
        <v>25</v>
      </c>
      <c r="N2713" t="s">
        <v>26</v>
      </c>
      <c r="O2713" t="s">
        <v>49</v>
      </c>
      <c r="P2713" t="s">
        <v>28</v>
      </c>
      <c r="Q2713">
        <v>6</v>
      </c>
      <c r="R2713">
        <v>2725.54</v>
      </c>
      <c r="S2713" t="s">
        <v>29</v>
      </c>
    </row>
    <row r="2714" spans="1:19" x14ac:dyDescent="0.3">
      <c r="A2714" t="s">
        <v>2784</v>
      </c>
      <c r="B2714">
        <v>72</v>
      </c>
      <c r="C2714" t="s">
        <v>31</v>
      </c>
      <c r="D2714" t="s">
        <v>32</v>
      </c>
      <c r="E2714" s="1">
        <v>45598</v>
      </c>
      <c r="F2714" s="3">
        <v>45603</v>
      </c>
      <c r="G2714" t="s">
        <v>62</v>
      </c>
      <c r="H2714" t="s">
        <v>63</v>
      </c>
      <c r="I2714" t="s">
        <v>54</v>
      </c>
      <c r="J2714">
        <v>4078.23</v>
      </c>
      <c r="K2714">
        <v>5</v>
      </c>
      <c r="L2714" t="s">
        <v>24</v>
      </c>
      <c r="M2714" t="s">
        <v>25</v>
      </c>
      <c r="N2714" t="s">
        <v>26</v>
      </c>
      <c r="O2714" t="s">
        <v>56</v>
      </c>
      <c r="P2714" t="s">
        <v>28</v>
      </c>
      <c r="Q2714">
        <v>6</v>
      </c>
      <c r="R2714">
        <v>715.96</v>
      </c>
      <c r="S2714" t="s">
        <v>39</v>
      </c>
    </row>
    <row r="2715" spans="1:19" x14ac:dyDescent="0.3">
      <c r="A2715" t="s">
        <v>2785</v>
      </c>
      <c r="B2715">
        <v>34</v>
      </c>
      <c r="C2715" t="s">
        <v>19</v>
      </c>
      <c r="D2715" t="s">
        <v>61</v>
      </c>
      <c r="E2715" s="1">
        <v>45496</v>
      </c>
      <c r="F2715" s="3">
        <v>45500</v>
      </c>
      <c r="G2715" t="s">
        <v>74</v>
      </c>
      <c r="H2715" t="s">
        <v>75</v>
      </c>
      <c r="I2715" t="s">
        <v>23</v>
      </c>
      <c r="J2715">
        <v>3694.85</v>
      </c>
      <c r="K2715">
        <v>4</v>
      </c>
      <c r="L2715" t="s">
        <v>36</v>
      </c>
      <c r="M2715" t="s">
        <v>25</v>
      </c>
      <c r="N2715" t="s">
        <v>44</v>
      </c>
      <c r="O2715" t="s">
        <v>56</v>
      </c>
      <c r="P2715" t="s">
        <v>50</v>
      </c>
      <c r="Q2715">
        <v>12</v>
      </c>
      <c r="R2715">
        <v>773.52</v>
      </c>
      <c r="S2715" t="s">
        <v>29</v>
      </c>
    </row>
    <row r="2716" spans="1:19" x14ac:dyDescent="0.3">
      <c r="A2716" t="s">
        <v>2786</v>
      </c>
      <c r="B2716">
        <v>61</v>
      </c>
      <c r="C2716" t="s">
        <v>31</v>
      </c>
      <c r="D2716" t="s">
        <v>89</v>
      </c>
      <c r="E2716" s="1">
        <v>45432</v>
      </c>
      <c r="F2716" s="3">
        <v>45451</v>
      </c>
      <c r="G2716" t="s">
        <v>52</v>
      </c>
      <c r="H2716" t="s">
        <v>53</v>
      </c>
      <c r="I2716" t="s">
        <v>43</v>
      </c>
      <c r="J2716">
        <v>15831.53</v>
      </c>
      <c r="K2716">
        <v>19</v>
      </c>
      <c r="L2716" t="s">
        <v>36</v>
      </c>
      <c r="M2716" t="s">
        <v>25</v>
      </c>
      <c r="N2716" t="s">
        <v>44</v>
      </c>
      <c r="O2716" t="s">
        <v>37</v>
      </c>
      <c r="P2716" t="s">
        <v>38</v>
      </c>
      <c r="Q2716">
        <v>4</v>
      </c>
      <c r="R2716">
        <v>2853.38</v>
      </c>
      <c r="S2716" t="s">
        <v>39</v>
      </c>
    </row>
    <row r="2717" spans="1:19" x14ac:dyDescent="0.3">
      <c r="A2717" t="s">
        <v>2787</v>
      </c>
      <c r="B2717">
        <v>47</v>
      </c>
      <c r="C2717" t="s">
        <v>19</v>
      </c>
      <c r="D2717" t="s">
        <v>66</v>
      </c>
      <c r="E2717" s="1">
        <v>44979</v>
      </c>
      <c r="F2717" s="3">
        <v>44984</v>
      </c>
      <c r="G2717" t="s">
        <v>74</v>
      </c>
      <c r="H2717" t="s">
        <v>75</v>
      </c>
      <c r="I2717" t="s">
        <v>81</v>
      </c>
      <c r="J2717">
        <v>8675.2900000000009</v>
      </c>
      <c r="K2717">
        <v>5</v>
      </c>
      <c r="L2717" t="s">
        <v>24</v>
      </c>
      <c r="M2717" t="s">
        <v>101</v>
      </c>
      <c r="N2717" t="s">
        <v>44</v>
      </c>
      <c r="O2717" t="s">
        <v>49</v>
      </c>
      <c r="P2717" t="s">
        <v>50</v>
      </c>
      <c r="Q2717">
        <v>1</v>
      </c>
      <c r="R2717">
        <v>2900.95</v>
      </c>
      <c r="S2717" t="s">
        <v>29</v>
      </c>
    </row>
    <row r="2718" spans="1:19" x14ac:dyDescent="0.3">
      <c r="A2718" t="s">
        <v>2788</v>
      </c>
      <c r="B2718">
        <v>34</v>
      </c>
      <c r="C2718" t="s">
        <v>19</v>
      </c>
      <c r="D2718" t="s">
        <v>79</v>
      </c>
      <c r="E2718" s="1">
        <v>45565</v>
      </c>
      <c r="F2718" s="3">
        <v>45574</v>
      </c>
      <c r="G2718" t="s">
        <v>41</v>
      </c>
      <c r="H2718" t="s">
        <v>42</v>
      </c>
      <c r="I2718" t="s">
        <v>35</v>
      </c>
      <c r="J2718">
        <v>7904.1</v>
      </c>
      <c r="K2718">
        <v>9</v>
      </c>
      <c r="L2718" t="s">
        <v>24</v>
      </c>
      <c r="M2718" t="s">
        <v>101</v>
      </c>
      <c r="N2718" t="s">
        <v>55</v>
      </c>
      <c r="O2718" t="s">
        <v>56</v>
      </c>
      <c r="P2718" t="s">
        <v>28</v>
      </c>
      <c r="Q2718">
        <v>13</v>
      </c>
      <c r="R2718">
        <v>1897.59</v>
      </c>
      <c r="S2718" t="s">
        <v>39</v>
      </c>
    </row>
    <row r="2719" spans="1:19" x14ac:dyDescent="0.3">
      <c r="A2719" t="s">
        <v>2789</v>
      </c>
      <c r="B2719">
        <v>62</v>
      </c>
      <c r="C2719" t="s">
        <v>31</v>
      </c>
      <c r="D2719" t="s">
        <v>47</v>
      </c>
      <c r="E2719" s="1">
        <v>44939</v>
      </c>
      <c r="F2719" s="3">
        <v>44949</v>
      </c>
      <c r="G2719" t="s">
        <v>93</v>
      </c>
      <c r="H2719" t="s">
        <v>72</v>
      </c>
      <c r="I2719" t="s">
        <v>58</v>
      </c>
      <c r="J2719">
        <v>3606.51</v>
      </c>
      <c r="K2719">
        <v>10</v>
      </c>
      <c r="L2719" t="s">
        <v>24</v>
      </c>
      <c r="M2719" t="s">
        <v>101</v>
      </c>
      <c r="N2719" t="s">
        <v>26</v>
      </c>
      <c r="O2719" t="s">
        <v>27</v>
      </c>
      <c r="P2719" t="s">
        <v>28</v>
      </c>
      <c r="Q2719">
        <v>2</v>
      </c>
      <c r="R2719">
        <v>1421.51</v>
      </c>
      <c r="S2719" t="s">
        <v>29</v>
      </c>
    </row>
    <row r="2720" spans="1:19" x14ac:dyDescent="0.3">
      <c r="A2720" t="s">
        <v>2790</v>
      </c>
      <c r="B2720">
        <v>46</v>
      </c>
      <c r="C2720" t="s">
        <v>31</v>
      </c>
      <c r="D2720" t="s">
        <v>32</v>
      </c>
      <c r="E2720" s="1">
        <v>45870</v>
      </c>
      <c r="F2720" s="3">
        <v>45885</v>
      </c>
      <c r="G2720" t="s">
        <v>48</v>
      </c>
      <c r="H2720" t="s">
        <v>22</v>
      </c>
      <c r="I2720" t="s">
        <v>83</v>
      </c>
      <c r="J2720">
        <v>9667.24</v>
      </c>
      <c r="K2720">
        <v>15</v>
      </c>
      <c r="L2720" t="s">
        <v>24</v>
      </c>
      <c r="M2720" t="s">
        <v>59</v>
      </c>
      <c r="N2720" t="s">
        <v>44</v>
      </c>
      <c r="O2720" t="s">
        <v>56</v>
      </c>
      <c r="P2720" t="s">
        <v>28</v>
      </c>
      <c r="Q2720">
        <v>3</v>
      </c>
      <c r="R2720">
        <v>3251.43</v>
      </c>
      <c r="S2720" t="s">
        <v>29</v>
      </c>
    </row>
    <row r="2721" spans="1:19" x14ac:dyDescent="0.3">
      <c r="A2721" t="s">
        <v>2791</v>
      </c>
      <c r="B2721">
        <v>49</v>
      </c>
      <c r="C2721" t="s">
        <v>19</v>
      </c>
      <c r="D2721" t="s">
        <v>47</v>
      </c>
      <c r="E2721" s="1">
        <v>45630</v>
      </c>
      <c r="F2721" s="3">
        <v>45640</v>
      </c>
      <c r="G2721" t="s">
        <v>48</v>
      </c>
      <c r="H2721" t="s">
        <v>22</v>
      </c>
      <c r="I2721" t="s">
        <v>91</v>
      </c>
      <c r="J2721">
        <v>6564.59</v>
      </c>
      <c r="K2721">
        <v>10</v>
      </c>
      <c r="L2721" t="s">
        <v>24</v>
      </c>
      <c r="M2721" t="s">
        <v>25</v>
      </c>
      <c r="N2721" t="s">
        <v>44</v>
      </c>
      <c r="O2721" t="s">
        <v>37</v>
      </c>
      <c r="P2721" t="s">
        <v>50</v>
      </c>
      <c r="Q2721">
        <v>13</v>
      </c>
      <c r="R2721">
        <v>1545.59</v>
      </c>
      <c r="S2721" t="s">
        <v>29</v>
      </c>
    </row>
    <row r="2722" spans="1:19" x14ac:dyDescent="0.3">
      <c r="A2722" t="s">
        <v>2792</v>
      </c>
      <c r="B2722">
        <v>72</v>
      </c>
      <c r="C2722" t="s">
        <v>19</v>
      </c>
      <c r="D2722" t="s">
        <v>32</v>
      </c>
      <c r="E2722" s="1">
        <v>44932</v>
      </c>
      <c r="F2722" s="3">
        <v>44962</v>
      </c>
      <c r="G2722" t="s">
        <v>62</v>
      </c>
      <c r="H2722" t="s">
        <v>63</v>
      </c>
      <c r="I2722" t="s">
        <v>81</v>
      </c>
      <c r="J2722">
        <v>26780.83</v>
      </c>
      <c r="K2722">
        <v>30</v>
      </c>
      <c r="L2722" t="s">
        <v>36</v>
      </c>
      <c r="M2722" t="s">
        <v>25</v>
      </c>
      <c r="N2722" t="s">
        <v>44</v>
      </c>
      <c r="O2722" t="s">
        <v>49</v>
      </c>
      <c r="P2722" t="s">
        <v>45</v>
      </c>
      <c r="Q2722">
        <v>8</v>
      </c>
      <c r="R2722">
        <v>9496.06</v>
      </c>
      <c r="S2722" t="s">
        <v>29</v>
      </c>
    </row>
    <row r="2723" spans="1:19" x14ac:dyDescent="0.3">
      <c r="A2723" t="s">
        <v>2793</v>
      </c>
      <c r="B2723">
        <v>51</v>
      </c>
      <c r="C2723" t="s">
        <v>19</v>
      </c>
      <c r="D2723" t="s">
        <v>61</v>
      </c>
      <c r="E2723" s="1">
        <v>45874</v>
      </c>
      <c r="F2723" s="3">
        <v>45894</v>
      </c>
      <c r="G2723" t="s">
        <v>74</v>
      </c>
      <c r="H2723" t="s">
        <v>75</v>
      </c>
      <c r="I2723" t="s">
        <v>35</v>
      </c>
      <c r="J2723">
        <v>5016.17</v>
      </c>
      <c r="K2723">
        <v>20</v>
      </c>
      <c r="L2723" t="s">
        <v>36</v>
      </c>
      <c r="M2723" t="s">
        <v>25</v>
      </c>
      <c r="N2723" t="s">
        <v>26</v>
      </c>
      <c r="O2723" t="s">
        <v>56</v>
      </c>
      <c r="P2723" t="s">
        <v>28</v>
      </c>
      <c r="Q2723">
        <v>11</v>
      </c>
      <c r="R2723">
        <v>1247.3699999999999</v>
      </c>
      <c r="S2723" t="s">
        <v>29</v>
      </c>
    </row>
    <row r="2724" spans="1:19" x14ac:dyDescent="0.3">
      <c r="A2724" t="s">
        <v>2794</v>
      </c>
      <c r="B2724">
        <v>88</v>
      </c>
      <c r="C2724" t="s">
        <v>19</v>
      </c>
      <c r="D2724" t="s">
        <v>70</v>
      </c>
      <c r="E2724" s="1">
        <v>45872</v>
      </c>
      <c r="F2724" s="3">
        <v>45884</v>
      </c>
      <c r="G2724" t="s">
        <v>33</v>
      </c>
      <c r="H2724" t="s">
        <v>34</v>
      </c>
      <c r="I2724" t="s">
        <v>43</v>
      </c>
      <c r="J2724">
        <v>9062.7199999999993</v>
      </c>
      <c r="K2724">
        <v>12</v>
      </c>
      <c r="L2724" t="s">
        <v>24</v>
      </c>
      <c r="M2724" t="s">
        <v>59</v>
      </c>
      <c r="N2724" t="s">
        <v>55</v>
      </c>
      <c r="O2724" t="s">
        <v>37</v>
      </c>
      <c r="P2724" t="s">
        <v>45</v>
      </c>
      <c r="Q2724">
        <v>12</v>
      </c>
      <c r="R2724">
        <v>2321.52</v>
      </c>
      <c r="S2724" t="s">
        <v>29</v>
      </c>
    </row>
    <row r="2725" spans="1:19" x14ac:dyDescent="0.3">
      <c r="A2725" t="s">
        <v>2795</v>
      </c>
      <c r="B2725">
        <v>52</v>
      </c>
      <c r="C2725" t="s">
        <v>31</v>
      </c>
      <c r="D2725" t="s">
        <v>89</v>
      </c>
      <c r="E2725" s="1">
        <v>45145</v>
      </c>
      <c r="F2725" s="3">
        <v>45154</v>
      </c>
      <c r="G2725" t="s">
        <v>67</v>
      </c>
      <c r="H2725" t="s">
        <v>42</v>
      </c>
      <c r="I2725" t="s">
        <v>43</v>
      </c>
      <c r="J2725">
        <v>4477.8100000000004</v>
      </c>
      <c r="K2725">
        <v>9</v>
      </c>
      <c r="L2725" t="s">
        <v>36</v>
      </c>
      <c r="M2725" t="s">
        <v>25</v>
      </c>
      <c r="N2725" t="s">
        <v>55</v>
      </c>
      <c r="O2725" t="s">
        <v>27</v>
      </c>
      <c r="P2725" t="s">
        <v>50</v>
      </c>
      <c r="Q2725">
        <v>15</v>
      </c>
      <c r="R2725">
        <v>877.63</v>
      </c>
      <c r="S2725" t="s">
        <v>29</v>
      </c>
    </row>
    <row r="2726" spans="1:19" x14ac:dyDescent="0.3">
      <c r="A2726" t="s">
        <v>2796</v>
      </c>
      <c r="B2726">
        <v>28</v>
      </c>
      <c r="C2726" t="s">
        <v>31</v>
      </c>
      <c r="D2726" t="s">
        <v>70</v>
      </c>
      <c r="E2726" s="1">
        <v>45498</v>
      </c>
      <c r="F2726" s="3">
        <v>45500</v>
      </c>
      <c r="G2726" t="s">
        <v>21</v>
      </c>
      <c r="H2726" t="s">
        <v>22</v>
      </c>
      <c r="I2726" t="s">
        <v>43</v>
      </c>
      <c r="J2726">
        <v>3218.5</v>
      </c>
      <c r="K2726">
        <v>2</v>
      </c>
      <c r="L2726" t="s">
        <v>24</v>
      </c>
      <c r="M2726" t="s">
        <v>25</v>
      </c>
      <c r="N2726" t="s">
        <v>44</v>
      </c>
      <c r="O2726" t="s">
        <v>37</v>
      </c>
      <c r="P2726" t="s">
        <v>28</v>
      </c>
      <c r="Q2726">
        <v>3</v>
      </c>
      <c r="R2726">
        <v>637.16999999999996</v>
      </c>
      <c r="S2726" t="s">
        <v>29</v>
      </c>
    </row>
    <row r="2727" spans="1:19" x14ac:dyDescent="0.3">
      <c r="A2727" t="s">
        <v>2797</v>
      </c>
      <c r="B2727">
        <v>25</v>
      </c>
      <c r="C2727" t="s">
        <v>19</v>
      </c>
      <c r="D2727" t="s">
        <v>32</v>
      </c>
      <c r="E2727" s="1">
        <v>45745</v>
      </c>
      <c r="F2727" s="3">
        <v>45765</v>
      </c>
      <c r="G2727" t="s">
        <v>21</v>
      </c>
      <c r="H2727" t="s">
        <v>22</v>
      </c>
      <c r="I2727" t="s">
        <v>91</v>
      </c>
      <c r="J2727">
        <v>9362.84</v>
      </c>
      <c r="K2727">
        <v>20</v>
      </c>
      <c r="L2727" t="s">
        <v>24</v>
      </c>
      <c r="M2727" t="s">
        <v>25</v>
      </c>
      <c r="N2727" t="s">
        <v>55</v>
      </c>
      <c r="O2727" t="s">
        <v>49</v>
      </c>
      <c r="P2727" t="s">
        <v>50</v>
      </c>
      <c r="Q2727">
        <v>5</v>
      </c>
      <c r="R2727">
        <v>3508.78</v>
      </c>
      <c r="S2727" t="s">
        <v>39</v>
      </c>
    </row>
    <row r="2728" spans="1:19" x14ac:dyDescent="0.3">
      <c r="A2728" t="s">
        <v>2798</v>
      </c>
      <c r="B2728">
        <v>52</v>
      </c>
      <c r="C2728" t="s">
        <v>19</v>
      </c>
      <c r="D2728" t="s">
        <v>66</v>
      </c>
      <c r="E2728" s="1">
        <v>45319</v>
      </c>
      <c r="F2728" s="3">
        <v>45338</v>
      </c>
      <c r="G2728" t="s">
        <v>71</v>
      </c>
      <c r="H2728" t="s">
        <v>72</v>
      </c>
      <c r="I2728" t="s">
        <v>43</v>
      </c>
      <c r="J2728">
        <v>16265.72</v>
      </c>
      <c r="K2728">
        <v>19</v>
      </c>
      <c r="L2728" t="s">
        <v>24</v>
      </c>
      <c r="M2728" t="s">
        <v>25</v>
      </c>
      <c r="N2728" t="s">
        <v>44</v>
      </c>
      <c r="O2728" t="s">
        <v>49</v>
      </c>
      <c r="P2728" t="s">
        <v>45</v>
      </c>
      <c r="Q2728">
        <v>2</v>
      </c>
      <c r="R2728">
        <v>6348.75</v>
      </c>
      <c r="S2728" t="s">
        <v>29</v>
      </c>
    </row>
    <row r="2729" spans="1:19" x14ac:dyDescent="0.3">
      <c r="A2729" t="s">
        <v>2799</v>
      </c>
      <c r="B2729">
        <v>62</v>
      </c>
      <c r="C2729" t="s">
        <v>19</v>
      </c>
      <c r="D2729" t="s">
        <v>47</v>
      </c>
      <c r="E2729" s="1">
        <v>45030</v>
      </c>
      <c r="F2729" s="3">
        <v>45038</v>
      </c>
      <c r="G2729" t="s">
        <v>93</v>
      </c>
      <c r="H2729" t="s">
        <v>72</v>
      </c>
      <c r="I2729" t="s">
        <v>35</v>
      </c>
      <c r="J2729">
        <v>4396.7299999999996</v>
      </c>
      <c r="K2729">
        <v>8</v>
      </c>
      <c r="L2729" t="s">
        <v>36</v>
      </c>
      <c r="M2729" t="s">
        <v>25</v>
      </c>
      <c r="N2729" t="s">
        <v>44</v>
      </c>
      <c r="O2729" t="s">
        <v>37</v>
      </c>
      <c r="P2729" t="s">
        <v>50</v>
      </c>
      <c r="Q2729">
        <v>1</v>
      </c>
      <c r="R2729">
        <v>1436.77</v>
      </c>
      <c r="S2729" t="s">
        <v>39</v>
      </c>
    </row>
    <row r="2730" spans="1:19" x14ac:dyDescent="0.3">
      <c r="A2730" t="s">
        <v>2800</v>
      </c>
      <c r="B2730">
        <v>78</v>
      </c>
      <c r="C2730" t="s">
        <v>19</v>
      </c>
      <c r="D2730" t="s">
        <v>61</v>
      </c>
      <c r="E2730" s="1">
        <v>45869</v>
      </c>
      <c r="F2730" s="3">
        <v>45888</v>
      </c>
      <c r="G2730" t="s">
        <v>52</v>
      </c>
      <c r="H2730" t="s">
        <v>53</v>
      </c>
      <c r="I2730" t="s">
        <v>54</v>
      </c>
      <c r="J2730">
        <v>6923.2</v>
      </c>
      <c r="K2730">
        <v>19</v>
      </c>
      <c r="L2730" t="s">
        <v>24</v>
      </c>
      <c r="M2730" t="s">
        <v>25</v>
      </c>
      <c r="N2730" t="s">
        <v>55</v>
      </c>
      <c r="O2730" t="s">
        <v>56</v>
      </c>
      <c r="P2730" t="s">
        <v>38</v>
      </c>
      <c r="Q2730">
        <v>9</v>
      </c>
      <c r="R2730">
        <v>2004.76</v>
      </c>
      <c r="S2730" t="s">
        <v>29</v>
      </c>
    </row>
    <row r="2731" spans="1:19" x14ac:dyDescent="0.3">
      <c r="A2731" t="s">
        <v>2801</v>
      </c>
      <c r="B2731">
        <v>40</v>
      </c>
      <c r="C2731" t="s">
        <v>19</v>
      </c>
      <c r="D2731" t="s">
        <v>32</v>
      </c>
      <c r="E2731" s="1">
        <v>45442</v>
      </c>
      <c r="F2731" s="3">
        <v>45446</v>
      </c>
      <c r="G2731" t="s">
        <v>74</v>
      </c>
      <c r="H2731" t="s">
        <v>75</v>
      </c>
      <c r="I2731" t="s">
        <v>35</v>
      </c>
      <c r="J2731">
        <v>1993.28</v>
      </c>
      <c r="K2731">
        <v>4</v>
      </c>
      <c r="L2731" t="s">
        <v>36</v>
      </c>
      <c r="M2731" t="s">
        <v>59</v>
      </c>
      <c r="N2731" t="s">
        <v>26</v>
      </c>
      <c r="O2731" t="s">
        <v>56</v>
      </c>
      <c r="P2731" t="s">
        <v>45</v>
      </c>
      <c r="Q2731">
        <v>12</v>
      </c>
      <c r="R2731">
        <v>622.03</v>
      </c>
      <c r="S2731" t="s">
        <v>29</v>
      </c>
    </row>
    <row r="2732" spans="1:19" x14ac:dyDescent="0.3">
      <c r="A2732" t="s">
        <v>2802</v>
      </c>
      <c r="B2732">
        <v>72</v>
      </c>
      <c r="C2732" t="s">
        <v>19</v>
      </c>
      <c r="D2732" t="s">
        <v>79</v>
      </c>
      <c r="E2732" s="1">
        <v>45840</v>
      </c>
      <c r="F2732" s="3">
        <v>45854</v>
      </c>
      <c r="G2732" t="s">
        <v>52</v>
      </c>
      <c r="H2732" t="s">
        <v>53</v>
      </c>
      <c r="I2732" t="s">
        <v>35</v>
      </c>
      <c r="J2732">
        <v>10721.22</v>
      </c>
      <c r="K2732">
        <v>14</v>
      </c>
      <c r="L2732" t="s">
        <v>24</v>
      </c>
      <c r="M2732" t="s">
        <v>25</v>
      </c>
      <c r="N2732" t="s">
        <v>44</v>
      </c>
      <c r="O2732" t="s">
        <v>49</v>
      </c>
      <c r="P2732" t="s">
        <v>38</v>
      </c>
      <c r="Q2732">
        <v>6</v>
      </c>
      <c r="R2732">
        <v>1709.89</v>
      </c>
      <c r="S2732" t="s">
        <v>29</v>
      </c>
    </row>
    <row r="2733" spans="1:19" x14ac:dyDescent="0.3">
      <c r="A2733" t="s">
        <v>2803</v>
      </c>
      <c r="B2733">
        <v>83</v>
      </c>
      <c r="C2733" t="s">
        <v>19</v>
      </c>
      <c r="D2733" t="s">
        <v>32</v>
      </c>
      <c r="E2733" s="1">
        <v>45764</v>
      </c>
      <c r="F2733" s="3">
        <v>45780</v>
      </c>
      <c r="G2733" t="s">
        <v>52</v>
      </c>
      <c r="H2733" t="s">
        <v>53</v>
      </c>
      <c r="I2733" t="s">
        <v>23</v>
      </c>
      <c r="J2733">
        <v>10683.44</v>
      </c>
      <c r="K2733">
        <v>16</v>
      </c>
      <c r="L2733" t="s">
        <v>36</v>
      </c>
      <c r="M2733" t="s">
        <v>59</v>
      </c>
      <c r="N2733" t="s">
        <v>26</v>
      </c>
      <c r="O2733" t="s">
        <v>37</v>
      </c>
      <c r="P2733" t="s">
        <v>45</v>
      </c>
      <c r="Q2733">
        <v>1</v>
      </c>
      <c r="R2733">
        <v>3506.57</v>
      </c>
      <c r="S2733" t="s">
        <v>29</v>
      </c>
    </row>
    <row r="2734" spans="1:19" x14ac:dyDescent="0.3">
      <c r="A2734" t="s">
        <v>2804</v>
      </c>
      <c r="B2734">
        <v>23</v>
      </c>
      <c r="C2734" t="s">
        <v>19</v>
      </c>
      <c r="D2734" t="s">
        <v>47</v>
      </c>
      <c r="E2734" s="1">
        <v>45914</v>
      </c>
      <c r="F2734" s="3">
        <v>45916</v>
      </c>
      <c r="G2734" t="s">
        <v>71</v>
      </c>
      <c r="H2734" t="s">
        <v>72</v>
      </c>
      <c r="I2734" t="s">
        <v>58</v>
      </c>
      <c r="J2734">
        <v>2102.9899999999998</v>
      </c>
      <c r="K2734">
        <v>2</v>
      </c>
      <c r="L2734" t="s">
        <v>36</v>
      </c>
      <c r="M2734" t="s">
        <v>25</v>
      </c>
      <c r="N2734" t="s">
        <v>44</v>
      </c>
      <c r="O2734" t="s">
        <v>37</v>
      </c>
      <c r="P2734" t="s">
        <v>45</v>
      </c>
      <c r="Q2734">
        <v>11</v>
      </c>
      <c r="R2734">
        <v>728.26</v>
      </c>
      <c r="S2734" t="s">
        <v>29</v>
      </c>
    </row>
    <row r="2735" spans="1:19" x14ac:dyDescent="0.3">
      <c r="A2735" t="s">
        <v>2805</v>
      </c>
      <c r="B2735">
        <v>51</v>
      </c>
      <c r="C2735" t="s">
        <v>19</v>
      </c>
      <c r="D2735" t="s">
        <v>79</v>
      </c>
      <c r="E2735" s="1">
        <v>45564</v>
      </c>
      <c r="F2735" s="3">
        <v>45581</v>
      </c>
      <c r="G2735" t="s">
        <v>62</v>
      </c>
      <c r="H2735" t="s">
        <v>63</v>
      </c>
      <c r="I2735" t="s">
        <v>23</v>
      </c>
      <c r="J2735">
        <v>10823.75</v>
      </c>
      <c r="K2735">
        <v>17</v>
      </c>
      <c r="L2735" t="s">
        <v>24</v>
      </c>
      <c r="M2735" t="s">
        <v>25</v>
      </c>
      <c r="N2735" t="s">
        <v>44</v>
      </c>
      <c r="O2735" t="s">
        <v>56</v>
      </c>
      <c r="P2735" t="s">
        <v>45</v>
      </c>
      <c r="Q2735">
        <v>4</v>
      </c>
      <c r="R2735">
        <v>3809.07</v>
      </c>
      <c r="S2735" t="s">
        <v>29</v>
      </c>
    </row>
    <row r="2736" spans="1:19" x14ac:dyDescent="0.3">
      <c r="A2736" t="s">
        <v>2806</v>
      </c>
      <c r="B2736">
        <v>51</v>
      </c>
      <c r="C2736" t="s">
        <v>19</v>
      </c>
      <c r="D2736" t="s">
        <v>70</v>
      </c>
      <c r="E2736" s="1">
        <v>45112</v>
      </c>
      <c r="F2736" s="3">
        <v>45122</v>
      </c>
      <c r="G2736" t="s">
        <v>71</v>
      </c>
      <c r="H2736" t="s">
        <v>72</v>
      </c>
      <c r="I2736" t="s">
        <v>23</v>
      </c>
      <c r="J2736">
        <v>4444.34</v>
      </c>
      <c r="K2736">
        <v>10</v>
      </c>
      <c r="L2736" t="s">
        <v>36</v>
      </c>
      <c r="M2736" t="s">
        <v>25</v>
      </c>
      <c r="N2736" t="s">
        <v>44</v>
      </c>
      <c r="O2736" t="s">
        <v>37</v>
      </c>
      <c r="P2736" t="s">
        <v>38</v>
      </c>
      <c r="Q2736">
        <v>9</v>
      </c>
      <c r="R2736">
        <v>814.01</v>
      </c>
      <c r="S2736" t="s">
        <v>29</v>
      </c>
    </row>
    <row r="2737" spans="1:19" x14ac:dyDescent="0.3">
      <c r="A2737" t="s">
        <v>2807</v>
      </c>
      <c r="B2737">
        <v>20</v>
      </c>
      <c r="C2737" t="s">
        <v>19</v>
      </c>
      <c r="D2737" t="s">
        <v>70</v>
      </c>
      <c r="E2737" s="1">
        <v>45221</v>
      </c>
      <c r="F2737" s="3">
        <v>45227</v>
      </c>
      <c r="G2737" t="s">
        <v>67</v>
      </c>
      <c r="H2737" t="s">
        <v>42</v>
      </c>
      <c r="I2737" t="s">
        <v>58</v>
      </c>
      <c r="J2737">
        <v>5467.09</v>
      </c>
      <c r="K2737">
        <v>6</v>
      </c>
      <c r="L2737" t="s">
        <v>36</v>
      </c>
      <c r="M2737" t="s">
        <v>25</v>
      </c>
      <c r="N2737" t="s">
        <v>55</v>
      </c>
      <c r="O2737" t="s">
        <v>56</v>
      </c>
      <c r="P2737" t="s">
        <v>50</v>
      </c>
      <c r="Q2737">
        <v>12</v>
      </c>
      <c r="R2737">
        <v>969.47</v>
      </c>
      <c r="S2737" t="s">
        <v>29</v>
      </c>
    </row>
    <row r="2738" spans="1:19" x14ac:dyDescent="0.3">
      <c r="A2738" t="s">
        <v>2808</v>
      </c>
      <c r="B2738">
        <v>22</v>
      </c>
      <c r="C2738" t="s">
        <v>19</v>
      </c>
      <c r="D2738" t="s">
        <v>66</v>
      </c>
      <c r="E2738" s="1">
        <v>45473</v>
      </c>
      <c r="F2738" s="3">
        <v>45477</v>
      </c>
      <c r="G2738" t="s">
        <v>67</v>
      </c>
      <c r="H2738" t="s">
        <v>42</v>
      </c>
      <c r="I2738" t="s">
        <v>83</v>
      </c>
      <c r="J2738">
        <v>3219.69</v>
      </c>
      <c r="K2738">
        <v>4</v>
      </c>
      <c r="L2738" t="s">
        <v>24</v>
      </c>
      <c r="M2738" t="s">
        <v>25</v>
      </c>
      <c r="N2738" t="s">
        <v>44</v>
      </c>
      <c r="O2738" t="s">
        <v>37</v>
      </c>
      <c r="P2738" t="s">
        <v>38</v>
      </c>
      <c r="Q2738">
        <v>10</v>
      </c>
      <c r="R2738">
        <v>780.52</v>
      </c>
      <c r="S2738" t="s">
        <v>29</v>
      </c>
    </row>
    <row r="2739" spans="1:19" x14ac:dyDescent="0.3">
      <c r="A2739" t="s">
        <v>2809</v>
      </c>
      <c r="B2739">
        <v>73</v>
      </c>
      <c r="C2739" t="s">
        <v>19</v>
      </c>
      <c r="D2739" t="s">
        <v>61</v>
      </c>
      <c r="E2739" s="1">
        <v>45752</v>
      </c>
      <c r="F2739" s="3">
        <v>45782</v>
      </c>
      <c r="G2739" t="s">
        <v>21</v>
      </c>
      <c r="H2739" t="s">
        <v>22</v>
      </c>
      <c r="I2739" t="s">
        <v>54</v>
      </c>
      <c r="J2739">
        <v>13741.55</v>
      </c>
      <c r="K2739">
        <v>30</v>
      </c>
      <c r="L2739" t="s">
        <v>36</v>
      </c>
      <c r="M2739" t="s">
        <v>25</v>
      </c>
      <c r="N2739" t="s">
        <v>55</v>
      </c>
      <c r="O2739" t="s">
        <v>49</v>
      </c>
      <c r="P2739" t="s">
        <v>45</v>
      </c>
      <c r="Q2739">
        <v>14</v>
      </c>
      <c r="R2739">
        <v>4193.6000000000004</v>
      </c>
      <c r="S2739" t="s">
        <v>29</v>
      </c>
    </row>
    <row r="2740" spans="1:19" x14ac:dyDescent="0.3">
      <c r="A2740" t="s">
        <v>2810</v>
      </c>
      <c r="B2740">
        <v>57</v>
      </c>
      <c r="C2740" t="s">
        <v>19</v>
      </c>
      <c r="D2740" t="s">
        <v>47</v>
      </c>
      <c r="E2740" s="1">
        <v>45719</v>
      </c>
      <c r="F2740" s="3">
        <v>45737</v>
      </c>
      <c r="G2740" t="s">
        <v>67</v>
      </c>
      <c r="H2740" t="s">
        <v>42</v>
      </c>
      <c r="I2740" t="s">
        <v>91</v>
      </c>
      <c r="J2740">
        <v>5252.74</v>
      </c>
      <c r="K2740">
        <v>18</v>
      </c>
      <c r="L2740" t="s">
        <v>24</v>
      </c>
      <c r="M2740" t="s">
        <v>59</v>
      </c>
      <c r="N2740" t="s">
        <v>44</v>
      </c>
      <c r="O2740" t="s">
        <v>56</v>
      </c>
      <c r="P2740" t="s">
        <v>50</v>
      </c>
      <c r="Q2740">
        <v>13</v>
      </c>
      <c r="R2740">
        <v>1252.56</v>
      </c>
      <c r="S2740" t="s">
        <v>29</v>
      </c>
    </row>
    <row r="2741" spans="1:19" x14ac:dyDescent="0.3">
      <c r="A2741" t="s">
        <v>2811</v>
      </c>
      <c r="B2741">
        <v>60</v>
      </c>
      <c r="C2741" t="s">
        <v>19</v>
      </c>
      <c r="D2741" t="s">
        <v>79</v>
      </c>
      <c r="E2741" s="1">
        <v>45780</v>
      </c>
      <c r="F2741" s="3">
        <v>45795</v>
      </c>
      <c r="G2741" t="s">
        <v>62</v>
      </c>
      <c r="H2741" t="s">
        <v>63</v>
      </c>
      <c r="I2741" t="s">
        <v>91</v>
      </c>
      <c r="J2741">
        <v>4679.1099999999997</v>
      </c>
      <c r="K2741">
        <v>15</v>
      </c>
      <c r="L2741" t="s">
        <v>24</v>
      </c>
      <c r="M2741" t="s">
        <v>25</v>
      </c>
      <c r="N2741" t="s">
        <v>55</v>
      </c>
      <c r="O2741" t="s">
        <v>56</v>
      </c>
      <c r="P2741" t="s">
        <v>28</v>
      </c>
      <c r="Q2741">
        <v>10</v>
      </c>
      <c r="R2741">
        <v>760.42</v>
      </c>
      <c r="S2741" t="s">
        <v>29</v>
      </c>
    </row>
    <row r="2742" spans="1:19" x14ac:dyDescent="0.3">
      <c r="A2742" t="s">
        <v>2812</v>
      </c>
      <c r="B2742">
        <v>34</v>
      </c>
      <c r="C2742" t="s">
        <v>31</v>
      </c>
      <c r="D2742" t="s">
        <v>66</v>
      </c>
      <c r="E2742" s="1">
        <v>45122</v>
      </c>
      <c r="F2742" s="3">
        <v>45135</v>
      </c>
      <c r="G2742" t="s">
        <v>41</v>
      </c>
      <c r="H2742" t="s">
        <v>42</v>
      </c>
      <c r="I2742" t="s">
        <v>81</v>
      </c>
      <c r="J2742">
        <v>12550.97</v>
      </c>
      <c r="K2742">
        <v>13</v>
      </c>
      <c r="L2742" t="s">
        <v>36</v>
      </c>
      <c r="M2742" t="s">
        <v>25</v>
      </c>
      <c r="N2742" t="s">
        <v>55</v>
      </c>
      <c r="O2742" t="s">
        <v>49</v>
      </c>
      <c r="P2742" t="s">
        <v>50</v>
      </c>
      <c r="Q2742">
        <v>4</v>
      </c>
      <c r="R2742">
        <v>4644.21</v>
      </c>
      <c r="S2742" t="s">
        <v>39</v>
      </c>
    </row>
    <row r="2743" spans="1:19" x14ac:dyDescent="0.3">
      <c r="A2743" t="s">
        <v>2813</v>
      </c>
      <c r="B2743">
        <v>53</v>
      </c>
      <c r="C2743" t="s">
        <v>19</v>
      </c>
      <c r="D2743" t="s">
        <v>66</v>
      </c>
      <c r="E2743" s="1">
        <v>45647</v>
      </c>
      <c r="F2743" s="3">
        <v>45663</v>
      </c>
      <c r="G2743" t="s">
        <v>21</v>
      </c>
      <c r="H2743" t="s">
        <v>22</v>
      </c>
      <c r="I2743" t="s">
        <v>81</v>
      </c>
      <c r="J2743">
        <v>6277.88</v>
      </c>
      <c r="K2743">
        <v>16</v>
      </c>
      <c r="L2743" t="s">
        <v>36</v>
      </c>
      <c r="M2743" t="s">
        <v>25</v>
      </c>
      <c r="N2743" t="s">
        <v>55</v>
      </c>
      <c r="O2743" t="s">
        <v>37</v>
      </c>
      <c r="P2743" t="s">
        <v>50</v>
      </c>
      <c r="Q2743">
        <v>8</v>
      </c>
      <c r="R2743">
        <v>2190.2800000000002</v>
      </c>
      <c r="S2743" t="s">
        <v>29</v>
      </c>
    </row>
    <row r="2744" spans="1:19" x14ac:dyDescent="0.3">
      <c r="A2744" t="s">
        <v>2814</v>
      </c>
      <c r="B2744">
        <v>67</v>
      </c>
      <c r="C2744" t="s">
        <v>19</v>
      </c>
      <c r="D2744" t="s">
        <v>61</v>
      </c>
      <c r="E2744" s="1">
        <v>44954</v>
      </c>
      <c r="F2744" s="3">
        <v>44972</v>
      </c>
      <c r="G2744" t="s">
        <v>21</v>
      </c>
      <c r="H2744" t="s">
        <v>22</v>
      </c>
      <c r="I2744" t="s">
        <v>23</v>
      </c>
      <c r="J2744">
        <v>8094.23</v>
      </c>
      <c r="K2744">
        <v>18</v>
      </c>
      <c r="L2744" t="s">
        <v>36</v>
      </c>
      <c r="M2744" t="s">
        <v>25</v>
      </c>
      <c r="N2744" t="s">
        <v>26</v>
      </c>
      <c r="O2744" t="s">
        <v>37</v>
      </c>
      <c r="P2744" t="s">
        <v>28</v>
      </c>
      <c r="Q2744">
        <v>8</v>
      </c>
      <c r="R2744">
        <v>1681.92</v>
      </c>
      <c r="S2744" t="s">
        <v>29</v>
      </c>
    </row>
    <row r="2745" spans="1:19" x14ac:dyDescent="0.3">
      <c r="A2745" t="s">
        <v>2815</v>
      </c>
      <c r="B2745">
        <v>54</v>
      </c>
      <c r="C2745" t="s">
        <v>19</v>
      </c>
      <c r="D2745" t="s">
        <v>70</v>
      </c>
      <c r="E2745" s="1">
        <v>45222</v>
      </c>
      <c r="F2745" s="3">
        <v>45227</v>
      </c>
      <c r="G2745" t="s">
        <v>62</v>
      </c>
      <c r="H2745" t="s">
        <v>63</v>
      </c>
      <c r="I2745" t="s">
        <v>43</v>
      </c>
      <c r="J2745">
        <v>3915.31</v>
      </c>
      <c r="K2745">
        <v>5</v>
      </c>
      <c r="L2745" t="s">
        <v>36</v>
      </c>
      <c r="M2745" t="s">
        <v>25</v>
      </c>
      <c r="N2745" t="s">
        <v>26</v>
      </c>
      <c r="O2745" t="s">
        <v>56</v>
      </c>
      <c r="P2745" t="s">
        <v>38</v>
      </c>
      <c r="Q2745">
        <v>14</v>
      </c>
      <c r="R2745">
        <v>701.59</v>
      </c>
      <c r="S2745" t="s">
        <v>29</v>
      </c>
    </row>
    <row r="2746" spans="1:19" x14ac:dyDescent="0.3">
      <c r="A2746" t="s">
        <v>2816</v>
      </c>
      <c r="B2746">
        <v>72</v>
      </c>
      <c r="C2746" t="s">
        <v>19</v>
      </c>
      <c r="D2746" t="s">
        <v>79</v>
      </c>
      <c r="E2746" s="1">
        <v>45301</v>
      </c>
      <c r="F2746" s="3">
        <v>45320</v>
      </c>
      <c r="G2746" t="s">
        <v>33</v>
      </c>
      <c r="H2746" t="s">
        <v>34</v>
      </c>
      <c r="I2746" t="s">
        <v>58</v>
      </c>
      <c r="J2746">
        <v>9865.33</v>
      </c>
      <c r="K2746">
        <v>19</v>
      </c>
      <c r="L2746" t="s">
        <v>24</v>
      </c>
      <c r="M2746" t="s">
        <v>25</v>
      </c>
      <c r="N2746" t="s">
        <v>26</v>
      </c>
      <c r="O2746" t="s">
        <v>27</v>
      </c>
      <c r="P2746" t="s">
        <v>28</v>
      </c>
      <c r="Q2746">
        <v>13</v>
      </c>
      <c r="R2746">
        <v>1565.66</v>
      </c>
      <c r="S2746" t="s">
        <v>29</v>
      </c>
    </row>
    <row r="2747" spans="1:19" x14ac:dyDescent="0.3">
      <c r="A2747" t="s">
        <v>2817</v>
      </c>
      <c r="B2747">
        <v>86</v>
      </c>
      <c r="C2747" t="s">
        <v>31</v>
      </c>
      <c r="D2747" t="s">
        <v>79</v>
      </c>
      <c r="E2747" s="1">
        <v>45825</v>
      </c>
      <c r="F2747" s="3">
        <v>45830</v>
      </c>
      <c r="G2747" t="s">
        <v>33</v>
      </c>
      <c r="H2747" t="s">
        <v>34</v>
      </c>
      <c r="I2747" t="s">
        <v>91</v>
      </c>
      <c r="J2747">
        <v>5080.09</v>
      </c>
      <c r="K2747">
        <v>5</v>
      </c>
      <c r="L2747" t="s">
        <v>24</v>
      </c>
      <c r="M2747" t="s">
        <v>101</v>
      </c>
      <c r="N2747" t="s">
        <v>26</v>
      </c>
      <c r="O2747" t="s">
        <v>37</v>
      </c>
      <c r="P2747" t="s">
        <v>28</v>
      </c>
      <c r="Q2747">
        <v>14</v>
      </c>
      <c r="R2747">
        <v>1909.97</v>
      </c>
      <c r="S2747" t="s">
        <v>39</v>
      </c>
    </row>
    <row r="2748" spans="1:19" x14ac:dyDescent="0.3">
      <c r="A2748" t="s">
        <v>2818</v>
      </c>
      <c r="B2748">
        <v>40</v>
      </c>
      <c r="C2748" t="s">
        <v>31</v>
      </c>
      <c r="D2748" t="s">
        <v>70</v>
      </c>
      <c r="E2748" s="1">
        <v>45706</v>
      </c>
      <c r="F2748" s="3">
        <v>45717</v>
      </c>
      <c r="G2748" t="s">
        <v>93</v>
      </c>
      <c r="H2748" t="s">
        <v>72</v>
      </c>
      <c r="I2748" t="s">
        <v>83</v>
      </c>
      <c r="J2748">
        <v>3579.84</v>
      </c>
      <c r="K2748">
        <v>11</v>
      </c>
      <c r="L2748" t="s">
        <v>24</v>
      </c>
      <c r="M2748" t="s">
        <v>25</v>
      </c>
      <c r="N2748" t="s">
        <v>44</v>
      </c>
      <c r="O2748" t="s">
        <v>27</v>
      </c>
      <c r="P2748" t="s">
        <v>50</v>
      </c>
      <c r="Q2748">
        <v>13</v>
      </c>
      <c r="R2748">
        <v>748.63</v>
      </c>
      <c r="S2748" t="s">
        <v>29</v>
      </c>
    </row>
    <row r="2749" spans="1:19" x14ac:dyDescent="0.3">
      <c r="A2749" t="s">
        <v>2819</v>
      </c>
      <c r="B2749">
        <v>40</v>
      </c>
      <c r="C2749" t="s">
        <v>19</v>
      </c>
      <c r="D2749" t="s">
        <v>61</v>
      </c>
      <c r="E2749" s="1">
        <v>45458</v>
      </c>
      <c r="F2749" s="3">
        <v>45462</v>
      </c>
      <c r="G2749" t="s">
        <v>67</v>
      </c>
      <c r="H2749" t="s">
        <v>42</v>
      </c>
      <c r="I2749" t="s">
        <v>81</v>
      </c>
      <c r="J2749">
        <v>10002.18</v>
      </c>
      <c r="K2749">
        <v>4</v>
      </c>
      <c r="L2749" t="s">
        <v>24</v>
      </c>
      <c r="M2749" t="s">
        <v>25</v>
      </c>
      <c r="N2749" t="s">
        <v>55</v>
      </c>
      <c r="O2749" t="s">
        <v>49</v>
      </c>
      <c r="P2749" t="s">
        <v>50</v>
      </c>
      <c r="Q2749">
        <v>14</v>
      </c>
      <c r="R2749">
        <v>3764.97</v>
      </c>
      <c r="S2749" t="s">
        <v>29</v>
      </c>
    </row>
    <row r="2750" spans="1:19" x14ac:dyDescent="0.3">
      <c r="A2750" t="s">
        <v>2820</v>
      </c>
      <c r="B2750">
        <v>21</v>
      </c>
      <c r="C2750" t="s">
        <v>31</v>
      </c>
      <c r="D2750" t="s">
        <v>79</v>
      </c>
      <c r="E2750" s="1">
        <v>45269</v>
      </c>
      <c r="F2750" s="3">
        <v>45286</v>
      </c>
      <c r="G2750" t="s">
        <v>62</v>
      </c>
      <c r="H2750" t="s">
        <v>63</v>
      </c>
      <c r="I2750" t="s">
        <v>35</v>
      </c>
      <c r="J2750">
        <v>5491.86</v>
      </c>
      <c r="K2750">
        <v>17</v>
      </c>
      <c r="L2750" t="s">
        <v>24</v>
      </c>
      <c r="M2750" t="s">
        <v>25</v>
      </c>
      <c r="N2750" t="s">
        <v>44</v>
      </c>
      <c r="O2750" t="s">
        <v>56</v>
      </c>
      <c r="P2750" t="s">
        <v>50</v>
      </c>
      <c r="Q2750">
        <v>6</v>
      </c>
      <c r="R2750">
        <v>1130.55</v>
      </c>
      <c r="S2750" t="s">
        <v>29</v>
      </c>
    </row>
    <row r="2751" spans="1:19" x14ac:dyDescent="0.3">
      <c r="A2751" t="s">
        <v>2821</v>
      </c>
      <c r="B2751">
        <v>84</v>
      </c>
      <c r="C2751" t="s">
        <v>19</v>
      </c>
      <c r="D2751" t="s">
        <v>20</v>
      </c>
      <c r="E2751" s="1">
        <v>45427</v>
      </c>
      <c r="F2751" s="3">
        <v>45435</v>
      </c>
      <c r="G2751" t="s">
        <v>74</v>
      </c>
      <c r="H2751" t="s">
        <v>75</v>
      </c>
      <c r="I2751" t="s">
        <v>35</v>
      </c>
      <c r="J2751">
        <v>5634.55</v>
      </c>
      <c r="K2751">
        <v>8</v>
      </c>
      <c r="L2751" t="s">
        <v>36</v>
      </c>
      <c r="M2751" t="s">
        <v>25</v>
      </c>
      <c r="N2751" t="s">
        <v>26</v>
      </c>
      <c r="O2751" t="s">
        <v>27</v>
      </c>
      <c r="P2751" t="s">
        <v>38</v>
      </c>
      <c r="Q2751">
        <v>8</v>
      </c>
      <c r="R2751">
        <v>2033.36</v>
      </c>
      <c r="S2751" t="s">
        <v>29</v>
      </c>
    </row>
    <row r="2752" spans="1:19" x14ac:dyDescent="0.3">
      <c r="A2752" t="s">
        <v>2822</v>
      </c>
      <c r="B2752">
        <v>67</v>
      </c>
      <c r="C2752" t="s">
        <v>31</v>
      </c>
      <c r="D2752" t="s">
        <v>32</v>
      </c>
      <c r="E2752" s="1">
        <v>45719</v>
      </c>
      <c r="F2752" s="3">
        <v>45720</v>
      </c>
      <c r="G2752" t="s">
        <v>52</v>
      </c>
      <c r="H2752" t="s">
        <v>53</v>
      </c>
      <c r="I2752" t="s">
        <v>43</v>
      </c>
      <c r="J2752">
        <v>1113.07</v>
      </c>
      <c r="K2752">
        <v>1</v>
      </c>
      <c r="L2752" t="s">
        <v>36</v>
      </c>
      <c r="M2752" t="s">
        <v>25</v>
      </c>
      <c r="N2752" t="s">
        <v>26</v>
      </c>
      <c r="O2752" t="s">
        <v>27</v>
      </c>
      <c r="P2752" t="s">
        <v>45</v>
      </c>
      <c r="Q2752">
        <v>15</v>
      </c>
      <c r="R2752">
        <v>365.14</v>
      </c>
      <c r="S2752" t="s">
        <v>29</v>
      </c>
    </row>
    <row r="2753" spans="1:19" x14ac:dyDescent="0.3">
      <c r="A2753" t="s">
        <v>2823</v>
      </c>
      <c r="B2753">
        <v>21</v>
      </c>
      <c r="C2753" t="s">
        <v>19</v>
      </c>
      <c r="D2753" t="s">
        <v>47</v>
      </c>
      <c r="E2753" s="1">
        <v>45848</v>
      </c>
      <c r="F2753" s="3">
        <v>45866</v>
      </c>
      <c r="G2753" t="s">
        <v>74</v>
      </c>
      <c r="H2753" t="s">
        <v>75</v>
      </c>
      <c r="I2753" t="s">
        <v>83</v>
      </c>
      <c r="J2753">
        <v>7369.63</v>
      </c>
      <c r="K2753">
        <v>18</v>
      </c>
      <c r="L2753" t="s">
        <v>24</v>
      </c>
      <c r="M2753" t="s">
        <v>25</v>
      </c>
      <c r="N2753" t="s">
        <v>55</v>
      </c>
      <c r="O2753" t="s">
        <v>37</v>
      </c>
      <c r="P2753" t="s">
        <v>38</v>
      </c>
      <c r="Q2753">
        <v>1</v>
      </c>
      <c r="R2753">
        <v>1357.94</v>
      </c>
      <c r="S2753" t="s">
        <v>29</v>
      </c>
    </row>
    <row r="2754" spans="1:19" x14ac:dyDescent="0.3">
      <c r="A2754" t="s">
        <v>2824</v>
      </c>
      <c r="B2754">
        <v>46</v>
      </c>
      <c r="C2754" t="s">
        <v>31</v>
      </c>
      <c r="D2754" t="s">
        <v>70</v>
      </c>
      <c r="E2754" s="1">
        <v>45901</v>
      </c>
      <c r="F2754" s="3">
        <v>45915</v>
      </c>
      <c r="G2754" t="s">
        <v>67</v>
      </c>
      <c r="H2754" t="s">
        <v>42</v>
      </c>
      <c r="I2754" t="s">
        <v>54</v>
      </c>
      <c r="J2754">
        <v>12225.97</v>
      </c>
      <c r="K2754">
        <v>14</v>
      </c>
      <c r="L2754" t="s">
        <v>36</v>
      </c>
      <c r="M2754" t="s">
        <v>25</v>
      </c>
      <c r="N2754" t="s">
        <v>55</v>
      </c>
      <c r="O2754" t="s">
        <v>56</v>
      </c>
      <c r="P2754" t="s">
        <v>38</v>
      </c>
      <c r="Q2754">
        <v>12</v>
      </c>
      <c r="R2754">
        <v>3380.27</v>
      </c>
      <c r="S2754" t="s">
        <v>29</v>
      </c>
    </row>
    <row r="2755" spans="1:19" x14ac:dyDescent="0.3">
      <c r="A2755" t="s">
        <v>2825</v>
      </c>
      <c r="B2755">
        <v>82</v>
      </c>
      <c r="C2755" t="s">
        <v>31</v>
      </c>
      <c r="D2755" t="s">
        <v>66</v>
      </c>
      <c r="E2755" s="1">
        <v>45225</v>
      </c>
      <c r="F2755" s="3">
        <v>45230</v>
      </c>
      <c r="G2755" t="s">
        <v>52</v>
      </c>
      <c r="H2755" t="s">
        <v>53</v>
      </c>
      <c r="I2755" t="s">
        <v>35</v>
      </c>
      <c r="J2755">
        <v>3171.28</v>
      </c>
      <c r="K2755">
        <v>5</v>
      </c>
      <c r="L2755" t="s">
        <v>36</v>
      </c>
      <c r="M2755" t="s">
        <v>25</v>
      </c>
      <c r="N2755" t="s">
        <v>26</v>
      </c>
      <c r="O2755" t="s">
        <v>56</v>
      </c>
      <c r="P2755" t="s">
        <v>38</v>
      </c>
      <c r="Q2755">
        <v>9</v>
      </c>
      <c r="R2755">
        <v>1057.94</v>
      </c>
      <c r="S2755" t="s">
        <v>39</v>
      </c>
    </row>
    <row r="2756" spans="1:19" x14ac:dyDescent="0.3">
      <c r="A2756" t="s">
        <v>2826</v>
      </c>
      <c r="B2756">
        <v>61</v>
      </c>
      <c r="C2756" t="s">
        <v>19</v>
      </c>
      <c r="D2756" t="s">
        <v>32</v>
      </c>
      <c r="E2756" s="1">
        <v>45275</v>
      </c>
      <c r="F2756" s="3">
        <v>45276</v>
      </c>
      <c r="G2756" t="s">
        <v>52</v>
      </c>
      <c r="H2756" t="s">
        <v>53</v>
      </c>
      <c r="I2756" t="s">
        <v>81</v>
      </c>
      <c r="J2756">
        <v>3230.98</v>
      </c>
      <c r="K2756">
        <v>1</v>
      </c>
      <c r="L2756" t="s">
        <v>24</v>
      </c>
      <c r="M2756" t="s">
        <v>25</v>
      </c>
      <c r="N2756" t="s">
        <v>26</v>
      </c>
      <c r="O2756" t="s">
        <v>56</v>
      </c>
      <c r="P2756" t="s">
        <v>50</v>
      </c>
      <c r="Q2756">
        <v>8</v>
      </c>
      <c r="R2756">
        <v>718.33</v>
      </c>
      <c r="S2756" t="s">
        <v>29</v>
      </c>
    </row>
    <row r="2757" spans="1:19" x14ac:dyDescent="0.3">
      <c r="A2757" t="s">
        <v>2827</v>
      </c>
      <c r="B2757">
        <v>74</v>
      </c>
      <c r="C2757" t="s">
        <v>19</v>
      </c>
      <c r="D2757" t="s">
        <v>70</v>
      </c>
      <c r="E2757" s="1">
        <v>45373</v>
      </c>
      <c r="F2757" s="3">
        <v>45380</v>
      </c>
      <c r="G2757" t="s">
        <v>52</v>
      </c>
      <c r="H2757" t="s">
        <v>53</v>
      </c>
      <c r="I2757" t="s">
        <v>58</v>
      </c>
      <c r="J2757">
        <v>4064.16</v>
      </c>
      <c r="K2757">
        <v>7</v>
      </c>
      <c r="L2757" t="s">
        <v>24</v>
      </c>
      <c r="M2757" t="s">
        <v>59</v>
      </c>
      <c r="N2757" t="s">
        <v>26</v>
      </c>
      <c r="O2757" t="s">
        <v>37</v>
      </c>
      <c r="P2757" t="s">
        <v>50</v>
      </c>
      <c r="Q2757">
        <v>1</v>
      </c>
      <c r="R2757">
        <v>867.26</v>
      </c>
      <c r="S2757" t="s">
        <v>29</v>
      </c>
    </row>
    <row r="2758" spans="1:19" x14ac:dyDescent="0.3">
      <c r="A2758" t="s">
        <v>2828</v>
      </c>
      <c r="B2758">
        <v>62</v>
      </c>
      <c r="C2758" t="s">
        <v>19</v>
      </c>
      <c r="D2758" t="s">
        <v>79</v>
      </c>
      <c r="E2758" s="1">
        <v>45707</v>
      </c>
      <c r="F2758" s="3">
        <v>45723</v>
      </c>
      <c r="G2758" t="s">
        <v>74</v>
      </c>
      <c r="H2758" t="s">
        <v>75</v>
      </c>
      <c r="I2758" t="s">
        <v>58</v>
      </c>
      <c r="J2758">
        <v>12651.32</v>
      </c>
      <c r="K2758">
        <v>16</v>
      </c>
      <c r="L2758" t="s">
        <v>24</v>
      </c>
      <c r="M2758" t="s">
        <v>59</v>
      </c>
      <c r="N2758" t="s">
        <v>26</v>
      </c>
      <c r="O2758" t="s">
        <v>37</v>
      </c>
      <c r="P2758" t="s">
        <v>50</v>
      </c>
      <c r="Q2758">
        <v>12</v>
      </c>
      <c r="R2758">
        <v>2648.26</v>
      </c>
      <c r="S2758" t="s">
        <v>29</v>
      </c>
    </row>
    <row r="2759" spans="1:19" x14ac:dyDescent="0.3">
      <c r="A2759" t="s">
        <v>2829</v>
      </c>
      <c r="B2759">
        <v>43</v>
      </c>
      <c r="C2759" t="s">
        <v>31</v>
      </c>
      <c r="D2759" t="s">
        <v>32</v>
      </c>
      <c r="E2759" s="1">
        <v>45802</v>
      </c>
      <c r="F2759" s="3">
        <v>45819</v>
      </c>
      <c r="G2759" t="s">
        <v>74</v>
      </c>
      <c r="H2759" t="s">
        <v>75</v>
      </c>
      <c r="I2759" t="s">
        <v>43</v>
      </c>
      <c r="J2759">
        <v>11365.83</v>
      </c>
      <c r="K2759">
        <v>17</v>
      </c>
      <c r="L2759" t="s">
        <v>24</v>
      </c>
      <c r="M2759" t="s">
        <v>25</v>
      </c>
      <c r="N2759" t="s">
        <v>44</v>
      </c>
      <c r="O2759" t="s">
        <v>49</v>
      </c>
      <c r="P2759" t="s">
        <v>38</v>
      </c>
      <c r="Q2759">
        <v>3</v>
      </c>
      <c r="R2759">
        <v>3725.42</v>
      </c>
      <c r="S2759" t="s">
        <v>29</v>
      </c>
    </row>
    <row r="2760" spans="1:19" x14ac:dyDescent="0.3">
      <c r="A2760" t="s">
        <v>2830</v>
      </c>
      <c r="B2760">
        <v>44</v>
      </c>
      <c r="C2760" t="s">
        <v>19</v>
      </c>
      <c r="D2760" t="s">
        <v>20</v>
      </c>
      <c r="E2760" s="1">
        <v>44950</v>
      </c>
      <c r="F2760" s="3">
        <v>44960</v>
      </c>
      <c r="G2760" t="s">
        <v>52</v>
      </c>
      <c r="H2760" t="s">
        <v>53</v>
      </c>
      <c r="I2760" t="s">
        <v>81</v>
      </c>
      <c r="J2760">
        <v>6801.62</v>
      </c>
      <c r="K2760">
        <v>10</v>
      </c>
      <c r="L2760" t="s">
        <v>36</v>
      </c>
      <c r="M2760" t="s">
        <v>59</v>
      </c>
      <c r="N2760" t="s">
        <v>44</v>
      </c>
      <c r="O2760" t="s">
        <v>37</v>
      </c>
      <c r="P2760" t="s">
        <v>28</v>
      </c>
      <c r="Q2760">
        <v>1</v>
      </c>
      <c r="R2760">
        <v>1653.96</v>
      </c>
      <c r="S2760" t="s">
        <v>29</v>
      </c>
    </row>
    <row r="2761" spans="1:19" x14ac:dyDescent="0.3">
      <c r="A2761" t="s">
        <v>2831</v>
      </c>
      <c r="B2761">
        <v>22</v>
      </c>
      <c r="C2761" t="s">
        <v>19</v>
      </c>
      <c r="D2761" t="s">
        <v>32</v>
      </c>
      <c r="E2761" s="1">
        <v>44976</v>
      </c>
      <c r="F2761" s="3">
        <v>44984</v>
      </c>
      <c r="G2761" t="s">
        <v>48</v>
      </c>
      <c r="H2761" t="s">
        <v>22</v>
      </c>
      <c r="I2761" t="s">
        <v>58</v>
      </c>
      <c r="J2761">
        <v>4193.87</v>
      </c>
      <c r="K2761">
        <v>8</v>
      </c>
      <c r="L2761" t="s">
        <v>36</v>
      </c>
      <c r="M2761" t="s">
        <v>25</v>
      </c>
      <c r="N2761" t="s">
        <v>44</v>
      </c>
      <c r="O2761" t="s">
        <v>37</v>
      </c>
      <c r="P2761" t="s">
        <v>50</v>
      </c>
      <c r="Q2761">
        <v>5</v>
      </c>
      <c r="R2761">
        <v>1069.78</v>
      </c>
      <c r="S2761" t="s">
        <v>39</v>
      </c>
    </row>
    <row r="2762" spans="1:19" x14ac:dyDescent="0.3">
      <c r="A2762" t="s">
        <v>2832</v>
      </c>
      <c r="B2762">
        <v>68</v>
      </c>
      <c r="C2762" t="s">
        <v>19</v>
      </c>
      <c r="D2762" t="s">
        <v>89</v>
      </c>
      <c r="E2762" s="1">
        <v>44992</v>
      </c>
      <c r="F2762" s="3">
        <v>45002</v>
      </c>
      <c r="G2762" t="s">
        <v>41</v>
      </c>
      <c r="H2762" t="s">
        <v>42</v>
      </c>
      <c r="I2762" t="s">
        <v>35</v>
      </c>
      <c r="J2762">
        <v>5360.64</v>
      </c>
      <c r="K2762">
        <v>10</v>
      </c>
      <c r="L2762" t="s">
        <v>24</v>
      </c>
      <c r="M2762" t="s">
        <v>25</v>
      </c>
      <c r="N2762" t="s">
        <v>26</v>
      </c>
      <c r="O2762" t="s">
        <v>56</v>
      </c>
      <c r="P2762" t="s">
        <v>45</v>
      </c>
      <c r="Q2762">
        <v>14</v>
      </c>
      <c r="R2762">
        <v>1832.34</v>
      </c>
      <c r="S2762" t="s">
        <v>29</v>
      </c>
    </row>
    <row r="2763" spans="1:19" x14ac:dyDescent="0.3">
      <c r="A2763" t="s">
        <v>2833</v>
      </c>
      <c r="B2763">
        <v>24</v>
      </c>
      <c r="C2763" t="s">
        <v>31</v>
      </c>
      <c r="D2763" t="s">
        <v>66</v>
      </c>
      <c r="E2763" s="1">
        <v>45538</v>
      </c>
      <c r="F2763" s="3">
        <v>45546</v>
      </c>
      <c r="G2763" t="s">
        <v>52</v>
      </c>
      <c r="H2763" t="s">
        <v>53</v>
      </c>
      <c r="I2763" t="s">
        <v>43</v>
      </c>
      <c r="J2763">
        <v>6083.44</v>
      </c>
      <c r="K2763">
        <v>8</v>
      </c>
      <c r="L2763" t="s">
        <v>36</v>
      </c>
      <c r="M2763" t="s">
        <v>25</v>
      </c>
      <c r="N2763" t="s">
        <v>44</v>
      </c>
      <c r="O2763" t="s">
        <v>27</v>
      </c>
      <c r="P2763" t="s">
        <v>45</v>
      </c>
      <c r="Q2763">
        <v>13</v>
      </c>
      <c r="R2763">
        <v>1137.3699999999999</v>
      </c>
      <c r="S2763" t="s">
        <v>29</v>
      </c>
    </row>
    <row r="2764" spans="1:19" x14ac:dyDescent="0.3">
      <c r="A2764" t="s">
        <v>2834</v>
      </c>
      <c r="B2764">
        <v>55</v>
      </c>
      <c r="C2764" t="s">
        <v>31</v>
      </c>
      <c r="D2764" t="s">
        <v>61</v>
      </c>
      <c r="E2764" s="1">
        <v>45452</v>
      </c>
      <c r="F2764" s="3">
        <v>45456</v>
      </c>
      <c r="G2764" t="s">
        <v>21</v>
      </c>
      <c r="H2764" t="s">
        <v>22</v>
      </c>
      <c r="I2764" t="s">
        <v>91</v>
      </c>
      <c r="J2764">
        <v>7004.72</v>
      </c>
      <c r="K2764">
        <v>4</v>
      </c>
      <c r="L2764" t="s">
        <v>24</v>
      </c>
      <c r="M2764" t="s">
        <v>101</v>
      </c>
      <c r="N2764" t="s">
        <v>44</v>
      </c>
      <c r="O2764" t="s">
        <v>49</v>
      </c>
      <c r="P2764" t="s">
        <v>38</v>
      </c>
      <c r="Q2764">
        <v>5</v>
      </c>
      <c r="R2764">
        <v>1189.1600000000001</v>
      </c>
      <c r="S2764" t="s">
        <v>29</v>
      </c>
    </row>
    <row r="2765" spans="1:19" x14ac:dyDescent="0.3">
      <c r="A2765" t="s">
        <v>2835</v>
      </c>
      <c r="B2765">
        <v>88</v>
      </c>
      <c r="C2765" t="s">
        <v>31</v>
      </c>
      <c r="D2765" t="s">
        <v>61</v>
      </c>
      <c r="E2765" s="1">
        <v>44978</v>
      </c>
      <c r="F2765" s="3">
        <v>44989</v>
      </c>
      <c r="G2765" t="s">
        <v>33</v>
      </c>
      <c r="H2765" t="s">
        <v>34</v>
      </c>
      <c r="I2765" t="s">
        <v>35</v>
      </c>
      <c r="J2765">
        <v>11792.34</v>
      </c>
      <c r="K2765">
        <v>11</v>
      </c>
      <c r="L2765" t="s">
        <v>24</v>
      </c>
      <c r="M2765" t="s">
        <v>25</v>
      </c>
      <c r="N2765" t="s">
        <v>26</v>
      </c>
      <c r="O2765" t="s">
        <v>49</v>
      </c>
      <c r="P2765" t="s">
        <v>50</v>
      </c>
      <c r="Q2765">
        <v>7</v>
      </c>
      <c r="R2765">
        <v>1770.41</v>
      </c>
      <c r="S2765" t="s">
        <v>29</v>
      </c>
    </row>
    <row r="2766" spans="1:19" x14ac:dyDescent="0.3">
      <c r="A2766" t="s">
        <v>2836</v>
      </c>
      <c r="B2766">
        <v>58</v>
      </c>
      <c r="C2766" t="s">
        <v>31</v>
      </c>
      <c r="D2766" t="s">
        <v>47</v>
      </c>
      <c r="E2766" s="1">
        <v>45073</v>
      </c>
      <c r="F2766" s="3">
        <v>45099</v>
      </c>
      <c r="G2766" t="s">
        <v>67</v>
      </c>
      <c r="H2766" t="s">
        <v>42</v>
      </c>
      <c r="I2766" t="s">
        <v>91</v>
      </c>
      <c r="J2766">
        <v>22824.31</v>
      </c>
      <c r="K2766">
        <v>26</v>
      </c>
      <c r="L2766" t="s">
        <v>36</v>
      </c>
      <c r="M2766" t="s">
        <v>25</v>
      </c>
      <c r="N2766" t="s">
        <v>26</v>
      </c>
      <c r="O2766" t="s">
        <v>49</v>
      </c>
      <c r="P2766" t="s">
        <v>45</v>
      </c>
      <c r="Q2766">
        <v>15</v>
      </c>
      <c r="R2766">
        <v>4935.58</v>
      </c>
      <c r="S2766" t="s">
        <v>29</v>
      </c>
    </row>
    <row r="2767" spans="1:19" x14ac:dyDescent="0.3">
      <c r="A2767" t="s">
        <v>2837</v>
      </c>
      <c r="B2767">
        <v>44</v>
      </c>
      <c r="C2767" t="s">
        <v>19</v>
      </c>
      <c r="D2767" t="s">
        <v>47</v>
      </c>
      <c r="E2767" s="1">
        <v>45471</v>
      </c>
      <c r="F2767" s="3">
        <v>45500</v>
      </c>
      <c r="G2767" t="s">
        <v>74</v>
      </c>
      <c r="H2767" t="s">
        <v>75</v>
      </c>
      <c r="I2767" t="s">
        <v>54</v>
      </c>
      <c r="J2767">
        <v>19398.38</v>
      </c>
      <c r="K2767">
        <v>29</v>
      </c>
      <c r="L2767" t="s">
        <v>36</v>
      </c>
      <c r="M2767" t="s">
        <v>25</v>
      </c>
      <c r="N2767" t="s">
        <v>26</v>
      </c>
      <c r="O2767" t="s">
        <v>49</v>
      </c>
      <c r="P2767" t="s">
        <v>45</v>
      </c>
      <c r="Q2767">
        <v>10</v>
      </c>
      <c r="R2767">
        <v>4555.51</v>
      </c>
      <c r="S2767" t="s">
        <v>29</v>
      </c>
    </row>
    <row r="2768" spans="1:19" x14ac:dyDescent="0.3">
      <c r="A2768" t="s">
        <v>2838</v>
      </c>
      <c r="B2768">
        <v>86</v>
      </c>
      <c r="C2768" t="s">
        <v>31</v>
      </c>
      <c r="D2768" t="s">
        <v>47</v>
      </c>
      <c r="E2768" s="1">
        <v>45033</v>
      </c>
      <c r="F2768" s="3">
        <v>45047</v>
      </c>
      <c r="G2768" t="s">
        <v>21</v>
      </c>
      <c r="H2768" t="s">
        <v>22</v>
      </c>
      <c r="I2768" t="s">
        <v>83</v>
      </c>
      <c r="J2768">
        <v>7790.82</v>
      </c>
      <c r="K2768">
        <v>14</v>
      </c>
      <c r="L2768" t="s">
        <v>24</v>
      </c>
      <c r="M2768" t="s">
        <v>25</v>
      </c>
      <c r="N2768" t="s">
        <v>44</v>
      </c>
      <c r="O2768" t="s">
        <v>56</v>
      </c>
      <c r="P2768" t="s">
        <v>50</v>
      </c>
      <c r="Q2768">
        <v>9</v>
      </c>
      <c r="R2768">
        <v>2899.31</v>
      </c>
      <c r="S2768" t="s">
        <v>29</v>
      </c>
    </row>
    <row r="2769" spans="1:19" x14ac:dyDescent="0.3">
      <c r="A2769" t="s">
        <v>2839</v>
      </c>
      <c r="B2769">
        <v>48</v>
      </c>
      <c r="C2769" t="s">
        <v>31</v>
      </c>
      <c r="D2769" t="s">
        <v>66</v>
      </c>
      <c r="E2769" s="1">
        <v>45122</v>
      </c>
      <c r="F2769" s="3">
        <v>45124</v>
      </c>
      <c r="G2769" t="s">
        <v>52</v>
      </c>
      <c r="H2769" t="s">
        <v>53</v>
      </c>
      <c r="I2769" t="s">
        <v>58</v>
      </c>
      <c r="J2769">
        <v>3260.59</v>
      </c>
      <c r="K2769">
        <v>2</v>
      </c>
      <c r="L2769" t="s">
        <v>24</v>
      </c>
      <c r="M2769" t="s">
        <v>25</v>
      </c>
      <c r="N2769" t="s">
        <v>26</v>
      </c>
      <c r="O2769" t="s">
        <v>56</v>
      </c>
      <c r="P2769" t="s">
        <v>28</v>
      </c>
      <c r="Q2769">
        <v>4</v>
      </c>
      <c r="R2769">
        <v>852.36</v>
      </c>
      <c r="S2769" t="s">
        <v>29</v>
      </c>
    </row>
    <row r="2770" spans="1:19" x14ac:dyDescent="0.3">
      <c r="A2770" t="s">
        <v>2840</v>
      </c>
      <c r="B2770">
        <v>28</v>
      </c>
      <c r="C2770" t="s">
        <v>19</v>
      </c>
      <c r="D2770" t="s">
        <v>20</v>
      </c>
      <c r="E2770" s="1">
        <v>45666</v>
      </c>
      <c r="F2770" s="3">
        <v>45678</v>
      </c>
      <c r="G2770" t="s">
        <v>52</v>
      </c>
      <c r="H2770" t="s">
        <v>53</v>
      </c>
      <c r="I2770" t="s">
        <v>81</v>
      </c>
      <c r="J2770">
        <v>16189.69</v>
      </c>
      <c r="K2770">
        <v>12</v>
      </c>
      <c r="L2770" t="s">
        <v>36</v>
      </c>
      <c r="M2770" t="s">
        <v>25</v>
      </c>
      <c r="N2770" t="s">
        <v>26</v>
      </c>
      <c r="O2770" t="s">
        <v>49</v>
      </c>
      <c r="P2770" t="s">
        <v>50</v>
      </c>
      <c r="Q2770">
        <v>6</v>
      </c>
      <c r="R2770">
        <v>4497.57</v>
      </c>
      <c r="S2770" t="s">
        <v>29</v>
      </c>
    </row>
    <row r="2771" spans="1:19" x14ac:dyDescent="0.3">
      <c r="A2771" t="s">
        <v>2841</v>
      </c>
      <c r="B2771">
        <v>45</v>
      </c>
      <c r="C2771" t="s">
        <v>31</v>
      </c>
      <c r="D2771" t="s">
        <v>70</v>
      </c>
      <c r="E2771" s="1">
        <v>45140</v>
      </c>
      <c r="F2771" s="3">
        <v>45142</v>
      </c>
      <c r="G2771" t="s">
        <v>52</v>
      </c>
      <c r="H2771" t="s">
        <v>53</v>
      </c>
      <c r="I2771" t="s">
        <v>23</v>
      </c>
      <c r="J2771">
        <v>1675</v>
      </c>
      <c r="K2771">
        <v>2</v>
      </c>
      <c r="L2771" t="s">
        <v>36</v>
      </c>
      <c r="M2771" t="s">
        <v>59</v>
      </c>
      <c r="N2771" t="s">
        <v>26</v>
      </c>
      <c r="O2771" t="s">
        <v>56</v>
      </c>
      <c r="P2771" t="s">
        <v>38</v>
      </c>
      <c r="Q2771">
        <v>13</v>
      </c>
      <c r="R2771">
        <v>386.63</v>
      </c>
      <c r="S2771" t="s">
        <v>29</v>
      </c>
    </row>
    <row r="2772" spans="1:19" x14ac:dyDescent="0.3">
      <c r="A2772" t="s">
        <v>2842</v>
      </c>
      <c r="B2772">
        <v>58</v>
      </c>
      <c r="C2772" t="s">
        <v>31</v>
      </c>
      <c r="D2772" t="s">
        <v>20</v>
      </c>
      <c r="E2772" s="1">
        <v>45669</v>
      </c>
      <c r="F2772" s="3">
        <v>45678</v>
      </c>
      <c r="G2772" t="s">
        <v>67</v>
      </c>
      <c r="H2772" t="s">
        <v>42</v>
      </c>
      <c r="I2772" t="s">
        <v>91</v>
      </c>
      <c r="J2772">
        <v>4541.96</v>
      </c>
      <c r="K2772">
        <v>9</v>
      </c>
      <c r="L2772" t="s">
        <v>24</v>
      </c>
      <c r="M2772" t="s">
        <v>25</v>
      </c>
      <c r="N2772" t="s">
        <v>44</v>
      </c>
      <c r="O2772" t="s">
        <v>56</v>
      </c>
      <c r="P2772" t="s">
        <v>38</v>
      </c>
      <c r="Q2772">
        <v>13</v>
      </c>
      <c r="R2772">
        <v>952.35</v>
      </c>
      <c r="S2772" t="s">
        <v>29</v>
      </c>
    </row>
    <row r="2773" spans="1:19" x14ac:dyDescent="0.3">
      <c r="A2773" t="s">
        <v>2843</v>
      </c>
      <c r="B2773">
        <v>69</v>
      </c>
      <c r="C2773" t="s">
        <v>19</v>
      </c>
      <c r="D2773" t="s">
        <v>20</v>
      </c>
      <c r="E2773" s="1">
        <v>45316</v>
      </c>
      <c r="F2773" s="3">
        <v>45323</v>
      </c>
      <c r="G2773" t="s">
        <v>62</v>
      </c>
      <c r="H2773" t="s">
        <v>63</v>
      </c>
      <c r="I2773" t="s">
        <v>23</v>
      </c>
      <c r="J2773">
        <v>1829.3</v>
      </c>
      <c r="K2773">
        <v>7</v>
      </c>
      <c r="L2773" t="s">
        <v>24</v>
      </c>
      <c r="M2773" t="s">
        <v>25</v>
      </c>
      <c r="N2773" t="s">
        <v>55</v>
      </c>
      <c r="O2773" t="s">
        <v>37</v>
      </c>
      <c r="P2773" t="s">
        <v>45</v>
      </c>
      <c r="Q2773">
        <v>13</v>
      </c>
      <c r="R2773">
        <v>716.32</v>
      </c>
      <c r="S2773" t="s">
        <v>29</v>
      </c>
    </row>
    <row r="2774" spans="1:19" x14ac:dyDescent="0.3">
      <c r="A2774" t="s">
        <v>2844</v>
      </c>
      <c r="B2774">
        <v>83</v>
      </c>
      <c r="C2774" t="s">
        <v>19</v>
      </c>
      <c r="D2774" t="s">
        <v>20</v>
      </c>
      <c r="E2774" s="1">
        <v>45232</v>
      </c>
      <c r="F2774" s="3">
        <v>45233</v>
      </c>
      <c r="G2774" t="s">
        <v>67</v>
      </c>
      <c r="H2774" t="s">
        <v>42</v>
      </c>
      <c r="I2774" t="s">
        <v>83</v>
      </c>
      <c r="J2774">
        <v>1710.86</v>
      </c>
      <c r="K2774">
        <v>1</v>
      </c>
      <c r="L2774" t="s">
        <v>24</v>
      </c>
      <c r="M2774" t="s">
        <v>25</v>
      </c>
      <c r="N2774" t="s">
        <v>26</v>
      </c>
      <c r="O2774" t="s">
        <v>56</v>
      </c>
      <c r="P2774" t="s">
        <v>45</v>
      </c>
      <c r="Q2774">
        <v>4</v>
      </c>
      <c r="R2774">
        <v>440.76</v>
      </c>
      <c r="S2774" t="s">
        <v>29</v>
      </c>
    </row>
    <row r="2775" spans="1:19" x14ac:dyDescent="0.3">
      <c r="A2775" t="s">
        <v>2845</v>
      </c>
      <c r="B2775">
        <v>56</v>
      </c>
      <c r="C2775" t="s">
        <v>19</v>
      </c>
      <c r="D2775" t="s">
        <v>32</v>
      </c>
      <c r="E2775" s="1">
        <v>45523</v>
      </c>
      <c r="F2775" s="3">
        <v>45524</v>
      </c>
      <c r="G2775" t="s">
        <v>67</v>
      </c>
      <c r="H2775" t="s">
        <v>42</v>
      </c>
      <c r="I2775" t="s">
        <v>43</v>
      </c>
      <c r="J2775">
        <v>1446.94</v>
      </c>
      <c r="K2775">
        <v>1</v>
      </c>
      <c r="L2775" t="s">
        <v>36</v>
      </c>
      <c r="M2775" t="s">
        <v>25</v>
      </c>
      <c r="N2775" t="s">
        <v>44</v>
      </c>
      <c r="O2775" t="s">
        <v>27</v>
      </c>
      <c r="P2775" t="s">
        <v>45</v>
      </c>
      <c r="Q2775">
        <v>14</v>
      </c>
      <c r="R2775">
        <v>455.68</v>
      </c>
      <c r="S2775" t="s">
        <v>39</v>
      </c>
    </row>
    <row r="2776" spans="1:19" x14ac:dyDescent="0.3">
      <c r="A2776" t="s">
        <v>2846</v>
      </c>
      <c r="B2776">
        <v>38</v>
      </c>
      <c r="C2776" t="s">
        <v>19</v>
      </c>
      <c r="D2776" t="s">
        <v>79</v>
      </c>
      <c r="E2776" s="1">
        <v>45595</v>
      </c>
      <c r="F2776" s="3">
        <v>45596</v>
      </c>
      <c r="G2776" t="s">
        <v>21</v>
      </c>
      <c r="H2776" t="s">
        <v>22</v>
      </c>
      <c r="I2776" t="s">
        <v>23</v>
      </c>
      <c r="J2776">
        <v>3366.37</v>
      </c>
      <c r="K2776">
        <v>1</v>
      </c>
      <c r="L2776" t="s">
        <v>36</v>
      </c>
      <c r="M2776" t="s">
        <v>101</v>
      </c>
      <c r="N2776" t="s">
        <v>26</v>
      </c>
      <c r="O2776" t="s">
        <v>56</v>
      </c>
      <c r="P2776" t="s">
        <v>38</v>
      </c>
      <c r="Q2776">
        <v>8</v>
      </c>
      <c r="R2776">
        <v>1279.5999999999999</v>
      </c>
      <c r="S2776" t="s">
        <v>29</v>
      </c>
    </row>
    <row r="2777" spans="1:19" x14ac:dyDescent="0.3">
      <c r="A2777" t="s">
        <v>2847</v>
      </c>
      <c r="B2777">
        <v>54</v>
      </c>
      <c r="C2777" t="s">
        <v>31</v>
      </c>
      <c r="D2777" t="s">
        <v>89</v>
      </c>
      <c r="E2777" s="1">
        <v>45300</v>
      </c>
      <c r="F2777" s="3">
        <v>45319</v>
      </c>
      <c r="G2777" t="s">
        <v>33</v>
      </c>
      <c r="H2777" t="s">
        <v>34</v>
      </c>
      <c r="I2777" t="s">
        <v>91</v>
      </c>
      <c r="J2777">
        <v>11247.35</v>
      </c>
      <c r="K2777">
        <v>19</v>
      </c>
      <c r="L2777" t="s">
        <v>24</v>
      </c>
      <c r="M2777" t="s">
        <v>25</v>
      </c>
      <c r="N2777" t="s">
        <v>26</v>
      </c>
      <c r="O2777" t="s">
        <v>56</v>
      </c>
      <c r="P2777" t="s">
        <v>45</v>
      </c>
      <c r="Q2777">
        <v>13</v>
      </c>
      <c r="R2777">
        <v>3576.02</v>
      </c>
      <c r="S2777" t="s">
        <v>29</v>
      </c>
    </row>
    <row r="2778" spans="1:19" x14ac:dyDescent="0.3">
      <c r="A2778" t="s">
        <v>2848</v>
      </c>
      <c r="B2778">
        <v>42</v>
      </c>
      <c r="C2778" t="s">
        <v>19</v>
      </c>
      <c r="D2778" t="s">
        <v>47</v>
      </c>
      <c r="E2778" s="1">
        <v>45152</v>
      </c>
      <c r="F2778" s="3">
        <v>45168</v>
      </c>
      <c r="G2778" t="s">
        <v>93</v>
      </c>
      <c r="H2778" t="s">
        <v>72</v>
      </c>
      <c r="I2778" t="s">
        <v>54</v>
      </c>
      <c r="J2778">
        <v>6989.05</v>
      </c>
      <c r="K2778">
        <v>16</v>
      </c>
      <c r="L2778" t="s">
        <v>24</v>
      </c>
      <c r="M2778" t="s">
        <v>25</v>
      </c>
      <c r="N2778" t="s">
        <v>44</v>
      </c>
      <c r="O2778" t="s">
        <v>37</v>
      </c>
      <c r="P2778" t="s">
        <v>50</v>
      </c>
      <c r="Q2778">
        <v>8</v>
      </c>
      <c r="R2778">
        <v>1467.61</v>
      </c>
      <c r="S2778" t="s">
        <v>29</v>
      </c>
    </row>
    <row r="2779" spans="1:19" x14ac:dyDescent="0.3">
      <c r="A2779" t="s">
        <v>2849</v>
      </c>
      <c r="B2779">
        <v>47</v>
      </c>
      <c r="C2779" t="s">
        <v>31</v>
      </c>
      <c r="D2779" t="s">
        <v>70</v>
      </c>
      <c r="E2779" s="1">
        <v>45543</v>
      </c>
      <c r="F2779" s="3">
        <v>45559</v>
      </c>
      <c r="G2779" t="s">
        <v>62</v>
      </c>
      <c r="H2779" t="s">
        <v>63</v>
      </c>
      <c r="I2779" t="s">
        <v>83</v>
      </c>
      <c r="J2779">
        <v>3750.77</v>
      </c>
      <c r="K2779">
        <v>16</v>
      </c>
      <c r="L2779" t="s">
        <v>24</v>
      </c>
      <c r="M2779" t="s">
        <v>25</v>
      </c>
      <c r="N2779" t="s">
        <v>55</v>
      </c>
      <c r="O2779" t="s">
        <v>37</v>
      </c>
      <c r="P2779" t="s">
        <v>28</v>
      </c>
      <c r="Q2779">
        <v>9</v>
      </c>
      <c r="R2779">
        <v>803.12</v>
      </c>
      <c r="S2779" t="s">
        <v>39</v>
      </c>
    </row>
    <row r="2780" spans="1:19" x14ac:dyDescent="0.3">
      <c r="A2780" t="s">
        <v>2850</v>
      </c>
      <c r="B2780">
        <v>36</v>
      </c>
      <c r="C2780" t="s">
        <v>19</v>
      </c>
      <c r="D2780" t="s">
        <v>89</v>
      </c>
      <c r="E2780" s="1">
        <v>45425</v>
      </c>
      <c r="F2780" s="3">
        <v>45433</v>
      </c>
      <c r="G2780" t="s">
        <v>33</v>
      </c>
      <c r="H2780" t="s">
        <v>34</v>
      </c>
      <c r="I2780" t="s">
        <v>81</v>
      </c>
      <c r="J2780">
        <v>5883.13</v>
      </c>
      <c r="K2780">
        <v>8</v>
      </c>
      <c r="L2780" t="s">
        <v>36</v>
      </c>
      <c r="M2780" t="s">
        <v>25</v>
      </c>
      <c r="N2780" t="s">
        <v>26</v>
      </c>
      <c r="O2780" t="s">
        <v>56</v>
      </c>
      <c r="P2780" t="s">
        <v>28</v>
      </c>
      <c r="Q2780">
        <v>1</v>
      </c>
      <c r="R2780">
        <v>2313.4699999999998</v>
      </c>
      <c r="S2780" t="s">
        <v>29</v>
      </c>
    </row>
    <row r="2781" spans="1:19" x14ac:dyDescent="0.3">
      <c r="A2781" t="s">
        <v>2851</v>
      </c>
      <c r="B2781">
        <v>58</v>
      </c>
      <c r="C2781" t="s">
        <v>19</v>
      </c>
      <c r="D2781" t="s">
        <v>70</v>
      </c>
      <c r="E2781" s="1">
        <v>45817</v>
      </c>
      <c r="F2781" s="3">
        <v>45824</v>
      </c>
      <c r="G2781" t="s">
        <v>48</v>
      </c>
      <c r="H2781" t="s">
        <v>22</v>
      </c>
      <c r="I2781" t="s">
        <v>54</v>
      </c>
      <c r="J2781">
        <v>4278.79</v>
      </c>
      <c r="K2781">
        <v>7</v>
      </c>
      <c r="L2781" t="s">
        <v>24</v>
      </c>
      <c r="M2781" t="s">
        <v>25</v>
      </c>
      <c r="N2781" t="s">
        <v>55</v>
      </c>
      <c r="O2781" t="s">
        <v>56</v>
      </c>
      <c r="P2781" t="s">
        <v>38</v>
      </c>
      <c r="Q2781">
        <v>15</v>
      </c>
      <c r="R2781">
        <v>1638.94</v>
      </c>
      <c r="S2781" t="s">
        <v>29</v>
      </c>
    </row>
    <row r="2782" spans="1:19" x14ac:dyDescent="0.3">
      <c r="A2782" t="s">
        <v>2852</v>
      </c>
      <c r="B2782">
        <v>82</v>
      </c>
      <c r="C2782" t="s">
        <v>31</v>
      </c>
      <c r="D2782" t="s">
        <v>89</v>
      </c>
      <c r="E2782" s="1">
        <v>45734</v>
      </c>
      <c r="F2782" s="3">
        <v>45749</v>
      </c>
      <c r="G2782" t="s">
        <v>93</v>
      </c>
      <c r="H2782" t="s">
        <v>72</v>
      </c>
      <c r="I2782" t="s">
        <v>83</v>
      </c>
      <c r="J2782">
        <v>10663.64</v>
      </c>
      <c r="K2782">
        <v>15</v>
      </c>
      <c r="L2782" t="s">
        <v>36</v>
      </c>
      <c r="M2782" t="s">
        <v>25</v>
      </c>
      <c r="N2782" t="s">
        <v>55</v>
      </c>
      <c r="O2782" t="s">
        <v>49</v>
      </c>
      <c r="P2782" t="s">
        <v>45</v>
      </c>
      <c r="Q2782">
        <v>11</v>
      </c>
      <c r="R2782">
        <v>3041.01</v>
      </c>
      <c r="S2782" t="s">
        <v>29</v>
      </c>
    </row>
    <row r="2783" spans="1:19" x14ac:dyDescent="0.3">
      <c r="A2783" t="s">
        <v>2853</v>
      </c>
      <c r="B2783">
        <v>86</v>
      </c>
      <c r="C2783" t="s">
        <v>19</v>
      </c>
      <c r="D2783" t="s">
        <v>61</v>
      </c>
      <c r="E2783" s="1">
        <v>45300</v>
      </c>
      <c r="F2783" s="3">
        <v>45308</v>
      </c>
      <c r="G2783" t="s">
        <v>74</v>
      </c>
      <c r="H2783" t="s">
        <v>75</v>
      </c>
      <c r="I2783" t="s">
        <v>83</v>
      </c>
      <c r="J2783">
        <v>5484.06</v>
      </c>
      <c r="K2783">
        <v>8</v>
      </c>
      <c r="L2783" t="s">
        <v>24</v>
      </c>
      <c r="M2783" t="s">
        <v>59</v>
      </c>
      <c r="N2783" t="s">
        <v>44</v>
      </c>
      <c r="O2783" t="s">
        <v>37</v>
      </c>
      <c r="P2783" t="s">
        <v>45</v>
      </c>
      <c r="Q2783">
        <v>3</v>
      </c>
      <c r="R2783">
        <v>1252.42</v>
      </c>
      <c r="S2783" t="s">
        <v>39</v>
      </c>
    </row>
    <row r="2784" spans="1:19" x14ac:dyDescent="0.3">
      <c r="A2784" t="s">
        <v>2854</v>
      </c>
      <c r="B2784">
        <v>49</v>
      </c>
      <c r="C2784" t="s">
        <v>19</v>
      </c>
      <c r="D2784" t="s">
        <v>89</v>
      </c>
      <c r="E2784" s="1">
        <v>45782</v>
      </c>
      <c r="F2784" s="3">
        <v>45793</v>
      </c>
      <c r="G2784" t="s">
        <v>74</v>
      </c>
      <c r="H2784" t="s">
        <v>75</v>
      </c>
      <c r="I2784" t="s">
        <v>35</v>
      </c>
      <c r="J2784">
        <v>7495.64</v>
      </c>
      <c r="K2784">
        <v>11</v>
      </c>
      <c r="L2784" t="s">
        <v>36</v>
      </c>
      <c r="M2784" t="s">
        <v>25</v>
      </c>
      <c r="N2784" t="s">
        <v>26</v>
      </c>
      <c r="O2784" t="s">
        <v>37</v>
      </c>
      <c r="P2784" t="s">
        <v>28</v>
      </c>
      <c r="Q2784">
        <v>12</v>
      </c>
      <c r="R2784">
        <v>2043.09</v>
      </c>
      <c r="S2784" t="s">
        <v>29</v>
      </c>
    </row>
    <row r="2785" spans="1:19" x14ac:dyDescent="0.3">
      <c r="A2785" t="s">
        <v>2855</v>
      </c>
      <c r="B2785">
        <v>56</v>
      </c>
      <c r="C2785" t="s">
        <v>19</v>
      </c>
      <c r="D2785" t="s">
        <v>79</v>
      </c>
      <c r="E2785" s="1">
        <v>45107</v>
      </c>
      <c r="F2785" s="3">
        <v>45121</v>
      </c>
      <c r="G2785" t="s">
        <v>67</v>
      </c>
      <c r="H2785" t="s">
        <v>42</v>
      </c>
      <c r="I2785" t="s">
        <v>58</v>
      </c>
      <c r="J2785">
        <v>7111.17</v>
      </c>
      <c r="K2785">
        <v>14</v>
      </c>
      <c r="L2785" t="s">
        <v>24</v>
      </c>
      <c r="M2785" t="s">
        <v>25</v>
      </c>
      <c r="N2785" t="s">
        <v>55</v>
      </c>
      <c r="O2785" t="s">
        <v>56</v>
      </c>
      <c r="P2785" t="s">
        <v>45</v>
      </c>
      <c r="Q2785">
        <v>1</v>
      </c>
      <c r="R2785">
        <v>2154.84</v>
      </c>
      <c r="S2785" t="s">
        <v>29</v>
      </c>
    </row>
    <row r="2786" spans="1:19" x14ac:dyDescent="0.3">
      <c r="A2786" t="s">
        <v>2856</v>
      </c>
      <c r="B2786">
        <v>76</v>
      </c>
      <c r="C2786" t="s">
        <v>19</v>
      </c>
      <c r="D2786" t="s">
        <v>89</v>
      </c>
      <c r="E2786" s="1">
        <v>45179</v>
      </c>
      <c r="F2786" s="3">
        <v>45182</v>
      </c>
      <c r="G2786" t="s">
        <v>21</v>
      </c>
      <c r="H2786" t="s">
        <v>22</v>
      </c>
      <c r="I2786" t="s">
        <v>91</v>
      </c>
      <c r="J2786">
        <v>3463.98</v>
      </c>
      <c r="K2786">
        <v>3</v>
      </c>
      <c r="L2786" t="s">
        <v>24</v>
      </c>
      <c r="M2786" t="s">
        <v>25</v>
      </c>
      <c r="N2786" t="s">
        <v>26</v>
      </c>
      <c r="O2786" t="s">
        <v>27</v>
      </c>
      <c r="P2786" t="s">
        <v>28</v>
      </c>
      <c r="Q2786">
        <v>14</v>
      </c>
      <c r="R2786">
        <v>1144.1099999999999</v>
      </c>
      <c r="S2786" t="s">
        <v>29</v>
      </c>
    </row>
    <row r="2787" spans="1:19" x14ac:dyDescent="0.3">
      <c r="A2787" t="s">
        <v>2857</v>
      </c>
      <c r="B2787">
        <v>19</v>
      </c>
      <c r="C2787" t="s">
        <v>19</v>
      </c>
      <c r="D2787" t="s">
        <v>79</v>
      </c>
      <c r="E2787" s="1">
        <v>45180</v>
      </c>
      <c r="F2787" s="3">
        <v>45191</v>
      </c>
      <c r="G2787" t="s">
        <v>93</v>
      </c>
      <c r="H2787" t="s">
        <v>72</v>
      </c>
      <c r="I2787" t="s">
        <v>35</v>
      </c>
      <c r="J2787">
        <v>6386.81</v>
      </c>
      <c r="K2787">
        <v>11</v>
      </c>
      <c r="L2787" t="s">
        <v>24</v>
      </c>
      <c r="M2787" t="s">
        <v>25</v>
      </c>
      <c r="N2787" t="s">
        <v>26</v>
      </c>
      <c r="O2787" t="s">
        <v>27</v>
      </c>
      <c r="P2787" t="s">
        <v>28</v>
      </c>
      <c r="Q2787">
        <v>5</v>
      </c>
      <c r="R2787">
        <v>1053.67</v>
      </c>
      <c r="S2787" t="s">
        <v>29</v>
      </c>
    </row>
    <row r="2788" spans="1:19" x14ac:dyDescent="0.3">
      <c r="A2788" t="s">
        <v>2858</v>
      </c>
      <c r="B2788">
        <v>23</v>
      </c>
      <c r="C2788" t="s">
        <v>19</v>
      </c>
      <c r="D2788" t="s">
        <v>47</v>
      </c>
      <c r="E2788" s="1">
        <v>45117</v>
      </c>
      <c r="F2788" s="3">
        <v>45123</v>
      </c>
      <c r="G2788" t="s">
        <v>21</v>
      </c>
      <c r="H2788" t="s">
        <v>22</v>
      </c>
      <c r="I2788" t="s">
        <v>54</v>
      </c>
      <c r="J2788">
        <v>3363.48</v>
      </c>
      <c r="K2788">
        <v>6</v>
      </c>
      <c r="L2788" t="s">
        <v>36</v>
      </c>
      <c r="M2788" t="s">
        <v>25</v>
      </c>
      <c r="N2788" t="s">
        <v>26</v>
      </c>
      <c r="O2788" t="s">
        <v>27</v>
      </c>
      <c r="P2788" t="s">
        <v>38</v>
      </c>
      <c r="Q2788">
        <v>15</v>
      </c>
      <c r="R2788">
        <v>1021.65</v>
      </c>
      <c r="S2788" t="s">
        <v>29</v>
      </c>
    </row>
    <row r="2789" spans="1:19" x14ac:dyDescent="0.3">
      <c r="A2789" t="s">
        <v>2859</v>
      </c>
      <c r="B2789">
        <v>61</v>
      </c>
      <c r="C2789" t="s">
        <v>31</v>
      </c>
      <c r="D2789" t="s">
        <v>47</v>
      </c>
      <c r="E2789" s="1">
        <v>45070</v>
      </c>
      <c r="F2789" s="3">
        <v>45073</v>
      </c>
      <c r="G2789" t="s">
        <v>33</v>
      </c>
      <c r="H2789" t="s">
        <v>34</v>
      </c>
      <c r="I2789" t="s">
        <v>43</v>
      </c>
      <c r="J2789">
        <v>3587.95</v>
      </c>
      <c r="K2789">
        <v>3</v>
      </c>
      <c r="L2789" t="s">
        <v>36</v>
      </c>
      <c r="M2789" t="s">
        <v>59</v>
      </c>
      <c r="N2789" t="s">
        <v>55</v>
      </c>
      <c r="O2789" t="s">
        <v>37</v>
      </c>
      <c r="P2789" t="s">
        <v>38</v>
      </c>
      <c r="Q2789">
        <v>14</v>
      </c>
      <c r="R2789">
        <v>1218.25</v>
      </c>
      <c r="S2789" t="s">
        <v>29</v>
      </c>
    </row>
    <row r="2790" spans="1:19" x14ac:dyDescent="0.3">
      <c r="A2790" t="s">
        <v>2860</v>
      </c>
      <c r="B2790">
        <v>77</v>
      </c>
      <c r="C2790" t="s">
        <v>31</v>
      </c>
      <c r="D2790" t="s">
        <v>32</v>
      </c>
      <c r="E2790" s="1">
        <v>45406</v>
      </c>
      <c r="F2790" s="3">
        <v>45414</v>
      </c>
      <c r="G2790" t="s">
        <v>67</v>
      </c>
      <c r="H2790" t="s">
        <v>42</v>
      </c>
      <c r="I2790" t="s">
        <v>81</v>
      </c>
      <c r="J2790">
        <v>5669.1</v>
      </c>
      <c r="K2790">
        <v>8</v>
      </c>
      <c r="L2790" t="s">
        <v>24</v>
      </c>
      <c r="M2790" t="s">
        <v>25</v>
      </c>
      <c r="N2790" t="s">
        <v>55</v>
      </c>
      <c r="O2790" t="s">
        <v>27</v>
      </c>
      <c r="P2790" t="s">
        <v>50</v>
      </c>
      <c r="Q2790">
        <v>15</v>
      </c>
      <c r="R2790">
        <v>1069.1099999999999</v>
      </c>
      <c r="S2790" t="s">
        <v>29</v>
      </c>
    </row>
    <row r="2791" spans="1:19" x14ac:dyDescent="0.3">
      <c r="A2791" t="s">
        <v>2861</v>
      </c>
      <c r="B2791">
        <v>78</v>
      </c>
      <c r="C2791" t="s">
        <v>31</v>
      </c>
      <c r="D2791" t="s">
        <v>32</v>
      </c>
      <c r="E2791" s="1">
        <v>45640</v>
      </c>
      <c r="F2791" s="3">
        <v>45664</v>
      </c>
      <c r="G2791" t="s">
        <v>21</v>
      </c>
      <c r="H2791" t="s">
        <v>22</v>
      </c>
      <c r="I2791" t="s">
        <v>58</v>
      </c>
      <c r="J2791">
        <v>11980.29</v>
      </c>
      <c r="K2791">
        <v>24</v>
      </c>
      <c r="L2791" t="s">
        <v>36</v>
      </c>
      <c r="M2791" t="s">
        <v>25</v>
      </c>
      <c r="N2791" t="s">
        <v>44</v>
      </c>
      <c r="O2791" t="s">
        <v>49</v>
      </c>
      <c r="P2791" t="s">
        <v>28</v>
      </c>
      <c r="Q2791">
        <v>12</v>
      </c>
      <c r="R2791">
        <v>2002.46</v>
      </c>
      <c r="S2791" t="s">
        <v>29</v>
      </c>
    </row>
    <row r="2792" spans="1:19" x14ac:dyDescent="0.3">
      <c r="A2792" t="s">
        <v>2862</v>
      </c>
      <c r="B2792">
        <v>86</v>
      </c>
      <c r="C2792" t="s">
        <v>19</v>
      </c>
      <c r="D2792" t="s">
        <v>79</v>
      </c>
      <c r="E2792" s="1">
        <v>45370</v>
      </c>
      <c r="F2792" s="3">
        <v>45389</v>
      </c>
      <c r="G2792" t="s">
        <v>21</v>
      </c>
      <c r="H2792" t="s">
        <v>22</v>
      </c>
      <c r="I2792" t="s">
        <v>23</v>
      </c>
      <c r="J2792">
        <v>21163.27</v>
      </c>
      <c r="K2792">
        <v>19</v>
      </c>
      <c r="L2792" t="s">
        <v>24</v>
      </c>
      <c r="M2792" t="s">
        <v>59</v>
      </c>
      <c r="N2792" t="s">
        <v>44</v>
      </c>
      <c r="O2792" t="s">
        <v>49</v>
      </c>
      <c r="P2792" t="s">
        <v>45</v>
      </c>
      <c r="Q2792">
        <v>5</v>
      </c>
      <c r="R2792">
        <v>8294.31</v>
      </c>
      <c r="S2792" t="s">
        <v>29</v>
      </c>
    </row>
    <row r="2793" spans="1:19" x14ac:dyDescent="0.3">
      <c r="A2793" t="s">
        <v>2863</v>
      </c>
      <c r="B2793">
        <v>59</v>
      </c>
      <c r="C2793" t="s">
        <v>31</v>
      </c>
      <c r="D2793" t="s">
        <v>79</v>
      </c>
      <c r="E2793" s="1">
        <v>45478</v>
      </c>
      <c r="F2793" s="3">
        <v>45494</v>
      </c>
      <c r="G2793" t="s">
        <v>21</v>
      </c>
      <c r="H2793" t="s">
        <v>22</v>
      </c>
      <c r="I2793" t="s">
        <v>35</v>
      </c>
      <c r="J2793">
        <v>12216.06</v>
      </c>
      <c r="K2793">
        <v>16</v>
      </c>
      <c r="L2793" t="s">
        <v>36</v>
      </c>
      <c r="M2793" t="s">
        <v>25</v>
      </c>
      <c r="N2793" t="s">
        <v>44</v>
      </c>
      <c r="O2793" t="s">
        <v>27</v>
      </c>
      <c r="P2793" t="s">
        <v>45</v>
      </c>
      <c r="Q2793">
        <v>14</v>
      </c>
      <c r="R2793">
        <v>2314.61</v>
      </c>
      <c r="S2793" t="s">
        <v>29</v>
      </c>
    </row>
    <row r="2794" spans="1:19" x14ac:dyDescent="0.3">
      <c r="A2794" t="s">
        <v>2864</v>
      </c>
      <c r="B2794">
        <v>35</v>
      </c>
      <c r="C2794" t="s">
        <v>31</v>
      </c>
      <c r="D2794" t="s">
        <v>70</v>
      </c>
      <c r="E2794" s="1">
        <v>44986</v>
      </c>
      <c r="F2794" s="3">
        <v>45001</v>
      </c>
      <c r="G2794" t="s">
        <v>74</v>
      </c>
      <c r="H2794" t="s">
        <v>75</v>
      </c>
      <c r="I2794" t="s">
        <v>35</v>
      </c>
      <c r="J2794">
        <v>9889.02</v>
      </c>
      <c r="K2794">
        <v>15</v>
      </c>
      <c r="L2794" t="s">
        <v>36</v>
      </c>
      <c r="M2794" t="s">
        <v>25</v>
      </c>
      <c r="N2794" t="s">
        <v>44</v>
      </c>
      <c r="O2794" t="s">
        <v>56</v>
      </c>
      <c r="P2794" t="s">
        <v>28</v>
      </c>
      <c r="Q2794">
        <v>8</v>
      </c>
      <c r="R2794">
        <v>2162.59</v>
      </c>
      <c r="S2794" t="s">
        <v>29</v>
      </c>
    </row>
    <row r="2795" spans="1:19" x14ac:dyDescent="0.3">
      <c r="A2795" t="s">
        <v>2865</v>
      </c>
      <c r="B2795">
        <v>84</v>
      </c>
      <c r="C2795" t="s">
        <v>19</v>
      </c>
      <c r="D2795" t="s">
        <v>89</v>
      </c>
      <c r="E2795" s="1">
        <v>45094</v>
      </c>
      <c r="F2795" s="3">
        <v>45112</v>
      </c>
      <c r="G2795" t="s">
        <v>67</v>
      </c>
      <c r="H2795" t="s">
        <v>42</v>
      </c>
      <c r="I2795" t="s">
        <v>35</v>
      </c>
      <c r="J2795">
        <v>13843.21</v>
      </c>
      <c r="K2795">
        <v>18</v>
      </c>
      <c r="L2795" t="s">
        <v>24</v>
      </c>
      <c r="M2795" t="s">
        <v>76</v>
      </c>
      <c r="N2795" t="s">
        <v>44</v>
      </c>
      <c r="O2795" t="s">
        <v>49</v>
      </c>
      <c r="P2795" t="s">
        <v>38</v>
      </c>
      <c r="Q2795">
        <v>14</v>
      </c>
      <c r="R2795">
        <v>3496.33</v>
      </c>
      <c r="S2795" t="s">
        <v>29</v>
      </c>
    </row>
    <row r="2796" spans="1:19" x14ac:dyDescent="0.3">
      <c r="A2796" t="s">
        <v>2866</v>
      </c>
      <c r="B2796">
        <v>51</v>
      </c>
      <c r="C2796" t="s">
        <v>19</v>
      </c>
      <c r="D2796" t="s">
        <v>70</v>
      </c>
      <c r="E2796" s="1">
        <v>44971</v>
      </c>
      <c r="F2796" s="3">
        <v>44976</v>
      </c>
      <c r="G2796" t="s">
        <v>33</v>
      </c>
      <c r="H2796" t="s">
        <v>34</v>
      </c>
      <c r="I2796" t="s">
        <v>83</v>
      </c>
      <c r="J2796">
        <v>5628.73</v>
      </c>
      <c r="K2796">
        <v>5</v>
      </c>
      <c r="L2796" t="s">
        <v>36</v>
      </c>
      <c r="M2796" t="s">
        <v>25</v>
      </c>
      <c r="N2796" t="s">
        <v>44</v>
      </c>
      <c r="O2796" t="s">
        <v>56</v>
      </c>
      <c r="P2796" t="s">
        <v>38</v>
      </c>
      <c r="Q2796">
        <v>5</v>
      </c>
      <c r="R2796">
        <v>1847.14</v>
      </c>
      <c r="S2796" t="s">
        <v>29</v>
      </c>
    </row>
    <row r="2797" spans="1:19" x14ac:dyDescent="0.3">
      <c r="A2797" t="s">
        <v>2867</v>
      </c>
      <c r="B2797">
        <v>29</v>
      </c>
      <c r="C2797" t="s">
        <v>31</v>
      </c>
      <c r="D2797" t="s">
        <v>61</v>
      </c>
      <c r="E2797" s="1">
        <v>45641</v>
      </c>
      <c r="F2797" s="3">
        <v>45655</v>
      </c>
      <c r="G2797" t="s">
        <v>93</v>
      </c>
      <c r="H2797" t="s">
        <v>72</v>
      </c>
      <c r="I2797" t="s">
        <v>81</v>
      </c>
      <c r="J2797">
        <v>8678.48</v>
      </c>
      <c r="K2797">
        <v>14</v>
      </c>
      <c r="L2797" t="s">
        <v>24</v>
      </c>
      <c r="M2797" t="s">
        <v>25</v>
      </c>
      <c r="N2797" t="s">
        <v>26</v>
      </c>
      <c r="O2797" t="s">
        <v>37</v>
      </c>
      <c r="P2797" t="s">
        <v>50</v>
      </c>
      <c r="Q2797">
        <v>4</v>
      </c>
      <c r="R2797">
        <v>1651.43</v>
      </c>
      <c r="S2797" t="s">
        <v>29</v>
      </c>
    </row>
    <row r="2798" spans="1:19" x14ac:dyDescent="0.3">
      <c r="A2798" t="s">
        <v>2868</v>
      </c>
      <c r="B2798">
        <v>56</v>
      </c>
      <c r="C2798" t="s">
        <v>19</v>
      </c>
      <c r="D2798" t="s">
        <v>79</v>
      </c>
      <c r="E2798" s="1">
        <v>45457</v>
      </c>
      <c r="F2798" s="3">
        <v>45472</v>
      </c>
      <c r="G2798" t="s">
        <v>52</v>
      </c>
      <c r="H2798" t="s">
        <v>53</v>
      </c>
      <c r="I2798" t="s">
        <v>35</v>
      </c>
      <c r="J2798">
        <v>8754.2999999999993</v>
      </c>
      <c r="K2798">
        <v>15</v>
      </c>
      <c r="L2798" t="s">
        <v>24</v>
      </c>
      <c r="M2798" t="s">
        <v>76</v>
      </c>
      <c r="N2798" t="s">
        <v>55</v>
      </c>
      <c r="O2798" t="s">
        <v>56</v>
      </c>
      <c r="P2798" t="s">
        <v>45</v>
      </c>
      <c r="Q2798">
        <v>2</v>
      </c>
      <c r="R2798">
        <v>3400.94</v>
      </c>
      <c r="S2798" t="s">
        <v>29</v>
      </c>
    </row>
    <row r="2799" spans="1:19" x14ac:dyDescent="0.3">
      <c r="A2799" t="s">
        <v>2869</v>
      </c>
      <c r="B2799">
        <v>33</v>
      </c>
      <c r="C2799" t="s">
        <v>19</v>
      </c>
      <c r="D2799" t="s">
        <v>70</v>
      </c>
      <c r="E2799" s="1">
        <v>45773</v>
      </c>
      <c r="F2799" s="3">
        <v>45775</v>
      </c>
      <c r="G2799" t="s">
        <v>93</v>
      </c>
      <c r="H2799" t="s">
        <v>72</v>
      </c>
      <c r="I2799" t="s">
        <v>91</v>
      </c>
      <c r="J2799">
        <v>2295.5100000000002</v>
      </c>
      <c r="K2799">
        <v>2</v>
      </c>
      <c r="L2799" t="s">
        <v>24</v>
      </c>
      <c r="M2799" t="s">
        <v>25</v>
      </c>
      <c r="N2799" t="s">
        <v>44</v>
      </c>
      <c r="O2799" t="s">
        <v>56</v>
      </c>
      <c r="P2799" t="s">
        <v>28</v>
      </c>
      <c r="Q2799">
        <v>1</v>
      </c>
      <c r="R2799">
        <v>791.01</v>
      </c>
      <c r="S2799" t="s">
        <v>39</v>
      </c>
    </row>
    <row r="2800" spans="1:19" x14ac:dyDescent="0.3">
      <c r="A2800" t="s">
        <v>2870</v>
      </c>
      <c r="B2800">
        <v>42</v>
      </c>
      <c r="C2800" t="s">
        <v>31</v>
      </c>
      <c r="D2800" t="s">
        <v>32</v>
      </c>
      <c r="E2800" s="1">
        <v>45434</v>
      </c>
      <c r="F2800" s="3">
        <v>45455</v>
      </c>
      <c r="G2800" t="s">
        <v>41</v>
      </c>
      <c r="H2800" t="s">
        <v>42</v>
      </c>
      <c r="I2800" t="s">
        <v>35</v>
      </c>
      <c r="J2800">
        <v>13172.37</v>
      </c>
      <c r="K2800">
        <v>21</v>
      </c>
      <c r="L2800" t="s">
        <v>24</v>
      </c>
      <c r="M2800" t="s">
        <v>25</v>
      </c>
      <c r="N2800" t="s">
        <v>26</v>
      </c>
      <c r="O2800" t="s">
        <v>49</v>
      </c>
      <c r="P2800" t="s">
        <v>28</v>
      </c>
      <c r="Q2800">
        <v>12</v>
      </c>
      <c r="R2800">
        <v>4673.04</v>
      </c>
      <c r="S2800" t="s">
        <v>29</v>
      </c>
    </row>
    <row r="2801" spans="1:19" x14ac:dyDescent="0.3">
      <c r="A2801" t="s">
        <v>2871</v>
      </c>
      <c r="B2801">
        <v>89</v>
      </c>
      <c r="C2801" t="s">
        <v>31</v>
      </c>
      <c r="D2801" t="s">
        <v>89</v>
      </c>
      <c r="E2801" s="1">
        <v>45184</v>
      </c>
      <c r="F2801" s="3">
        <v>45200</v>
      </c>
      <c r="G2801" t="s">
        <v>93</v>
      </c>
      <c r="H2801" t="s">
        <v>72</v>
      </c>
      <c r="I2801" t="s">
        <v>83</v>
      </c>
      <c r="J2801">
        <v>9498.93</v>
      </c>
      <c r="K2801">
        <v>16</v>
      </c>
      <c r="L2801" t="s">
        <v>24</v>
      </c>
      <c r="M2801" t="s">
        <v>101</v>
      </c>
      <c r="N2801" t="s">
        <v>44</v>
      </c>
      <c r="O2801" t="s">
        <v>27</v>
      </c>
      <c r="P2801" t="s">
        <v>45</v>
      </c>
      <c r="Q2801">
        <v>6</v>
      </c>
      <c r="R2801">
        <v>2492.75</v>
      </c>
      <c r="S2801" t="s">
        <v>29</v>
      </c>
    </row>
    <row r="2802" spans="1:19" x14ac:dyDescent="0.3">
      <c r="A2802" t="s">
        <v>2872</v>
      </c>
      <c r="B2802">
        <v>76</v>
      </c>
      <c r="C2802" t="s">
        <v>19</v>
      </c>
      <c r="D2802" t="s">
        <v>89</v>
      </c>
      <c r="E2802" s="1">
        <v>45370</v>
      </c>
      <c r="F2802" s="3">
        <v>45376</v>
      </c>
      <c r="G2802" t="s">
        <v>21</v>
      </c>
      <c r="H2802" t="s">
        <v>22</v>
      </c>
      <c r="I2802" t="s">
        <v>54</v>
      </c>
      <c r="J2802">
        <v>3782.68</v>
      </c>
      <c r="K2802">
        <v>6</v>
      </c>
      <c r="L2802" t="s">
        <v>24</v>
      </c>
      <c r="M2802" t="s">
        <v>25</v>
      </c>
      <c r="N2802" t="s">
        <v>55</v>
      </c>
      <c r="O2802" t="s">
        <v>37</v>
      </c>
      <c r="P2802" t="s">
        <v>28</v>
      </c>
      <c r="Q2802">
        <v>4</v>
      </c>
      <c r="R2802">
        <v>1166.24</v>
      </c>
      <c r="S2802" t="s">
        <v>29</v>
      </c>
    </row>
    <row r="2803" spans="1:19" x14ac:dyDescent="0.3">
      <c r="A2803" t="s">
        <v>2873</v>
      </c>
      <c r="B2803">
        <v>62</v>
      </c>
      <c r="C2803" t="s">
        <v>31</v>
      </c>
      <c r="D2803" t="s">
        <v>79</v>
      </c>
      <c r="E2803" s="1">
        <v>45240</v>
      </c>
      <c r="F2803" s="3">
        <v>45252</v>
      </c>
      <c r="G2803" t="s">
        <v>67</v>
      </c>
      <c r="H2803" t="s">
        <v>42</v>
      </c>
      <c r="I2803" t="s">
        <v>58</v>
      </c>
      <c r="J2803">
        <v>5229.83</v>
      </c>
      <c r="K2803">
        <v>12</v>
      </c>
      <c r="L2803" t="s">
        <v>24</v>
      </c>
      <c r="M2803" t="s">
        <v>25</v>
      </c>
      <c r="N2803" t="s">
        <v>55</v>
      </c>
      <c r="O2803" t="s">
        <v>27</v>
      </c>
      <c r="P2803" t="s">
        <v>28</v>
      </c>
      <c r="Q2803">
        <v>9</v>
      </c>
      <c r="R2803">
        <v>1244.8399999999999</v>
      </c>
      <c r="S2803" t="s">
        <v>29</v>
      </c>
    </row>
    <row r="2804" spans="1:19" x14ac:dyDescent="0.3">
      <c r="A2804" t="s">
        <v>2874</v>
      </c>
      <c r="B2804">
        <v>49</v>
      </c>
      <c r="C2804" t="s">
        <v>31</v>
      </c>
      <c r="D2804" t="s">
        <v>70</v>
      </c>
      <c r="E2804" s="1">
        <v>45181</v>
      </c>
      <c r="F2804" s="3">
        <v>45184</v>
      </c>
      <c r="G2804" t="s">
        <v>71</v>
      </c>
      <c r="H2804" t="s">
        <v>72</v>
      </c>
      <c r="I2804" t="s">
        <v>23</v>
      </c>
      <c r="J2804">
        <v>9750.68</v>
      </c>
      <c r="K2804">
        <v>3</v>
      </c>
      <c r="L2804" t="s">
        <v>36</v>
      </c>
      <c r="M2804" t="s">
        <v>76</v>
      </c>
      <c r="N2804" t="s">
        <v>26</v>
      </c>
      <c r="O2804" t="s">
        <v>49</v>
      </c>
      <c r="P2804" t="s">
        <v>50</v>
      </c>
      <c r="Q2804">
        <v>7</v>
      </c>
      <c r="R2804">
        <v>2139.58</v>
      </c>
      <c r="S2804" t="s">
        <v>29</v>
      </c>
    </row>
    <row r="2805" spans="1:19" x14ac:dyDescent="0.3">
      <c r="A2805" t="s">
        <v>2875</v>
      </c>
      <c r="B2805">
        <v>81</v>
      </c>
      <c r="C2805" t="s">
        <v>19</v>
      </c>
      <c r="D2805" t="s">
        <v>70</v>
      </c>
      <c r="E2805" s="1">
        <v>45323</v>
      </c>
      <c r="F2805" s="3">
        <v>45327</v>
      </c>
      <c r="G2805" t="s">
        <v>62</v>
      </c>
      <c r="H2805" t="s">
        <v>63</v>
      </c>
      <c r="I2805" t="s">
        <v>35</v>
      </c>
      <c r="J2805">
        <v>7300.7</v>
      </c>
      <c r="K2805">
        <v>4</v>
      </c>
      <c r="L2805" t="s">
        <v>24</v>
      </c>
      <c r="M2805" t="s">
        <v>25</v>
      </c>
      <c r="N2805" t="s">
        <v>44</v>
      </c>
      <c r="O2805" t="s">
        <v>49</v>
      </c>
      <c r="P2805" t="s">
        <v>50</v>
      </c>
      <c r="Q2805">
        <v>6</v>
      </c>
      <c r="R2805">
        <v>1495.87</v>
      </c>
      <c r="S2805" t="s">
        <v>29</v>
      </c>
    </row>
    <row r="2806" spans="1:19" x14ac:dyDescent="0.3">
      <c r="A2806" t="s">
        <v>2876</v>
      </c>
      <c r="B2806">
        <v>46</v>
      </c>
      <c r="C2806" t="s">
        <v>19</v>
      </c>
      <c r="D2806" t="s">
        <v>47</v>
      </c>
      <c r="E2806" s="1">
        <v>45025</v>
      </c>
      <c r="F2806" s="3">
        <v>45041</v>
      </c>
      <c r="G2806" t="s">
        <v>71</v>
      </c>
      <c r="H2806" t="s">
        <v>72</v>
      </c>
      <c r="I2806" t="s">
        <v>35</v>
      </c>
      <c r="J2806">
        <v>6046.13</v>
      </c>
      <c r="K2806">
        <v>16</v>
      </c>
      <c r="L2806" t="s">
        <v>36</v>
      </c>
      <c r="M2806" t="s">
        <v>25</v>
      </c>
      <c r="N2806" t="s">
        <v>44</v>
      </c>
      <c r="O2806" t="s">
        <v>27</v>
      </c>
      <c r="P2806" t="s">
        <v>28</v>
      </c>
      <c r="Q2806">
        <v>2</v>
      </c>
      <c r="R2806">
        <v>2343.5500000000002</v>
      </c>
      <c r="S2806" t="s">
        <v>29</v>
      </c>
    </row>
    <row r="2807" spans="1:19" x14ac:dyDescent="0.3">
      <c r="A2807" t="s">
        <v>2877</v>
      </c>
      <c r="B2807">
        <v>27</v>
      </c>
      <c r="C2807" t="s">
        <v>31</v>
      </c>
      <c r="D2807" t="s">
        <v>66</v>
      </c>
      <c r="E2807" s="1">
        <v>45048</v>
      </c>
      <c r="F2807" s="3">
        <v>45057</v>
      </c>
      <c r="G2807" t="s">
        <v>41</v>
      </c>
      <c r="H2807" t="s">
        <v>42</v>
      </c>
      <c r="I2807" t="s">
        <v>58</v>
      </c>
      <c r="J2807">
        <v>11601.52</v>
      </c>
      <c r="K2807">
        <v>9</v>
      </c>
      <c r="L2807" t="s">
        <v>36</v>
      </c>
      <c r="M2807" t="s">
        <v>25</v>
      </c>
      <c r="N2807" t="s">
        <v>26</v>
      </c>
      <c r="O2807" t="s">
        <v>49</v>
      </c>
      <c r="P2807" t="s">
        <v>45</v>
      </c>
      <c r="Q2807">
        <v>3</v>
      </c>
      <c r="R2807">
        <v>2409.66</v>
      </c>
      <c r="S2807" t="s">
        <v>29</v>
      </c>
    </row>
    <row r="2808" spans="1:19" x14ac:dyDescent="0.3">
      <c r="A2808" t="s">
        <v>2878</v>
      </c>
      <c r="B2808">
        <v>90</v>
      </c>
      <c r="C2808" t="s">
        <v>19</v>
      </c>
      <c r="D2808" t="s">
        <v>89</v>
      </c>
      <c r="E2808" s="1">
        <v>45492</v>
      </c>
      <c r="F2808" s="3">
        <v>45512</v>
      </c>
      <c r="G2808" t="s">
        <v>33</v>
      </c>
      <c r="H2808" t="s">
        <v>34</v>
      </c>
      <c r="I2808" t="s">
        <v>83</v>
      </c>
      <c r="J2808">
        <v>12116.58</v>
      </c>
      <c r="K2808">
        <v>20</v>
      </c>
      <c r="L2808" t="s">
        <v>36</v>
      </c>
      <c r="M2808" t="s">
        <v>25</v>
      </c>
      <c r="N2808" t="s">
        <v>44</v>
      </c>
      <c r="O2808" t="s">
        <v>37</v>
      </c>
      <c r="P2808" t="s">
        <v>38</v>
      </c>
      <c r="Q2808">
        <v>9</v>
      </c>
      <c r="R2808">
        <v>2909.79</v>
      </c>
      <c r="S2808" t="s">
        <v>29</v>
      </c>
    </row>
    <row r="2809" spans="1:19" x14ac:dyDescent="0.3">
      <c r="A2809" t="s">
        <v>2879</v>
      </c>
      <c r="B2809">
        <v>23</v>
      </c>
      <c r="C2809" t="s">
        <v>31</v>
      </c>
      <c r="D2809" t="s">
        <v>47</v>
      </c>
      <c r="E2809" s="1">
        <v>45053</v>
      </c>
      <c r="F2809" s="3">
        <v>45063</v>
      </c>
      <c r="G2809" t="s">
        <v>62</v>
      </c>
      <c r="H2809" t="s">
        <v>63</v>
      </c>
      <c r="I2809" t="s">
        <v>58</v>
      </c>
      <c r="J2809">
        <v>7607.64</v>
      </c>
      <c r="K2809">
        <v>10</v>
      </c>
      <c r="L2809" t="s">
        <v>24</v>
      </c>
      <c r="M2809" t="s">
        <v>25</v>
      </c>
      <c r="N2809" t="s">
        <v>55</v>
      </c>
      <c r="O2809" t="s">
        <v>49</v>
      </c>
      <c r="P2809" t="s">
        <v>38</v>
      </c>
      <c r="Q2809">
        <v>2</v>
      </c>
      <c r="R2809">
        <v>2654.4</v>
      </c>
      <c r="S2809" t="s">
        <v>29</v>
      </c>
    </row>
    <row r="2810" spans="1:19" x14ac:dyDescent="0.3">
      <c r="A2810" t="s">
        <v>2880</v>
      </c>
      <c r="B2810">
        <v>84</v>
      </c>
      <c r="C2810" t="s">
        <v>19</v>
      </c>
      <c r="D2810" t="s">
        <v>79</v>
      </c>
      <c r="E2810" s="1">
        <v>44971</v>
      </c>
      <c r="F2810" s="3">
        <v>44989</v>
      </c>
      <c r="G2810" t="s">
        <v>74</v>
      </c>
      <c r="H2810" t="s">
        <v>75</v>
      </c>
      <c r="I2810" t="s">
        <v>35</v>
      </c>
      <c r="J2810">
        <v>11029.18</v>
      </c>
      <c r="K2810">
        <v>18</v>
      </c>
      <c r="L2810" t="s">
        <v>36</v>
      </c>
      <c r="M2810" t="s">
        <v>25</v>
      </c>
      <c r="N2810" t="s">
        <v>55</v>
      </c>
      <c r="O2810" t="s">
        <v>49</v>
      </c>
      <c r="P2810" t="s">
        <v>45</v>
      </c>
      <c r="Q2810">
        <v>3</v>
      </c>
      <c r="R2810">
        <v>3662.92</v>
      </c>
      <c r="S2810" t="s">
        <v>29</v>
      </c>
    </row>
    <row r="2811" spans="1:19" x14ac:dyDescent="0.3">
      <c r="A2811" t="s">
        <v>2881</v>
      </c>
      <c r="B2811">
        <v>61</v>
      </c>
      <c r="C2811" t="s">
        <v>19</v>
      </c>
      <c r="D2811" t="s">
        <v>61</v>
      </c>
      <c r="E2811" s="1">
        <v>45526</v>
      </c>
      <c r="F2811" s="3">
        <v>45532</v>
      </c>
      <c r="G2811" t="s">
        <v>41</v>
      </c>
      <c r="H2811" t="s">
        <v>42</v>
      </c>
      <c r="I2811" t="s">
        <v>23</v>
      </c>
      <c r="J2811">
        <v>10002.66</v>
      </c>
      <c r="K2811">
        <v>6</v>
      </c>
      <c r="L2811" t="s">
        <v>24</v>
      </c>
      <c r="M2811" t="s">
        <v>25</v>
      </c>
      <c r="N2811" t="s">
        <v>44</v>
      </c>
      <c r="O2811" t="s">
        <v>49</v>
      </c>
      <c r="P2811" t="s">
        <v>28</v>
      </c>
      <c r="Q2811">
        <v>7</v>
      </c>
      <c r="R2811">
        <v>3922.66</v>
      </c>
      <c r="S2811" t="s">
        <v>39</v>
      </c>
    </row>
    <row r="2812" spans="1:19" x14ac:dyDescent="0.3">
      <c r="A2812" t="s">
        <v>2882</v>
      </c>
      <c r="B2812">
        <v>45</v>
      </c>
      <c r="C2812" t="s">
        <v>31</v>
      </c>
      <c r="D2812" t="s">
        <v>20</v>
      </c>
      <c r="E2812" s="1">
        <v>44932</v>
      </c>
      <c r="F2812" s="3">
        <v>44942</v>
      </c>
      <c r="G2812" t="s">
        <v>62</v>
      </c>
      <c r="H2812" t="s">
        <v>63</v>
      </c>
      <c r="I2812" t="s">
        <v>43</v>
      </c>
      <c r="J2812">
        <v>6962.92</v>
      </c>
      <c r="K2812">
        <v>10</v>
      </c>
      <c r="L2812" t="s">
        <v>24</v>
      </c>
      <c r="M2812" t="s">
        <v>59</v>
      </c>
      <c r="N2812" t="s">
        <v>26</v>
      </c>
      <c r="O2812" t="s">
        <v>37</v>
      </c>
      <c r="P2812" t="s">
        <v>28</v>
      </c>
      <c r="Q2812">
        <v>5</v>
      </c>
      <c r="R2812">
        <v>1821.91</v>
      </c>
      <c r="S2812" t="s">
        <v>29</v>
      </c>
    </row>
    <row r="2813" spans="1:19" x14ac:dyDescent="0.3">
      <c r="A2813" t="s">
        <v>2883</v>
      </c>
      <c r="B2813">
        <v>45</v>
      </c>
      <c r="C2813" t="s">
        <v>19</v>
      </c>
      <c r="D2813" t="s">
        <v>47</v>
      </c>
      <c r="E2813" s="1">
        <v>45189</v>
      </c>
      <c r="F2813" s="3">
        <v>45202</v>
      </c>
      <c r="G2813" t="s">
        <v>21</v>
      </c>
      <c r="H2813" t="s">
        <v>22</v>
      </c>
      <c r="I2813" t="s">
        <v>43</v>
      </c>
      <c r="J2813">
        <v>7525.05</v>
      </c>
      <c r="K2813">
        <v>13</v>
      </c>
      <c r="L2813" t="s">
        <v>24</v>
      </c>
      <c r="M2813" t="s">
        <v>25</v>
      </c>
      <c r="N2813" t="s">
        <v>26</v>
      </c>
      <c r="O2813" t="s">
        <v>37</v>
      </c>
      <c r="P2813" t="s">
        <v>28</v>
      </c>
      <c r="Q2813">
        <v>7</v>
      </c>
      <c r="R2813">
        <v>1592.74</v>
      </c>
      <c r="S2813" t="s">
        <v>29</v>
      </c>
    </row>
    <row r="2814" spans="1:19" x14ac:dyDescent="0.3">
      <c r="A2814" t="s">
        <v>2884</v>
      </c>
      <c r="B2814">
        <v>47</v>
      </c>
      <c r="C2814" t="s">
        <v>19</v>
      </c>
      <c r="D2814" t="s">
        <v>61</v>
      </c>
      <c r="E2814" s="1">
        <v>45723</v>
      </c>
      <c r="F2814" s="3">
        <v>45726</v>
      </c>
      <c r="G2814" t="s">
        <v>21</v>
      </c>
      <c r="H2814" t="s">
        <v>22</v>
      </c>
      <c r="I2814" t="s">
        <v>91</v>
      </c>
      <c r="J2814">
        <v>3093.16</v>
      </c>
      <c r="K2814">
        <v>3</v>
      </c>
      <c r="L2814" t="s">
        <v>36</v>
      </c>
      <c r="M2814" t="s">
        <v>25</v>
      </c>
      <c r="N2814" t="s">
        <v>55</v>
      </c>
      <c r="O2814" t="s">
        <v>56</v>
      </c>
      <c r="P2814" t="s">
        <v>28</v>
      </c>
      <c r="Q2814">
        <v>7</v>
      </c>
      <c r="R2814">
        <v>926.83</v>
      </c>
      <c r="S2814" t="s">
        <v>29</v>
      </c>
    </row>
    <row r="2815" spans="1:19" x14ac:dyDescent="0.3">
      <c r="A2815" t="s">
        <v>2885</v>
      </c>
      <c r="B2815">
        <v>43</v>
      </c>
      <c r="C2815" t="s">
        <v>31</v>
      </c>
      <c r="D2815" t="s">
        <v>32</v>
      </c>
      <c r="E2815" s="1">
        <v>45456</v>
      </c>
      <c r="F2815" s="3">
        <v>45471</v>
      </c>
      <c r="G2815" t="s">
        <v>33</v>
      </c>
      <c r="H2815" t="s">
        <v>34</v>
      </c>
      <c r="I2815" t="s">
        <v>23</v>
      </c>
      <c r="J2815">
        <v>6090.57</v>
      </c>
      <c r="K2815">
        <v>15</v>
      </c>
      <c r="L2815" t="s">
        <v>24</v>
      </c>
      <c r="M2815" t="s">
        <v>25</v>
      </c>
      <c r="N2815" t="s">
        <v>26</v>
      </c>
      <c r="O2815" t="s">
        <v>37</v>
      </c>
      <c r="P2815" t="s">
        <v>45</v>
      </c>
      <c r="Q2815">
        <v>14</v>
      </c>
      <c r="R2815">
        <v>2254.4499999999998</v>
      </c>
      <c r="S2815" t="s">
        <v>29</v>
      </c>
    </row>
    <row r="2816" spans="1:19" x14ac:dyDescent="0.3">
      <c r="A2816" t="s">
        <v>2886</v>
      </c>
      <c r="B2816">
        <v>19</v>
      </c>
      <c r="C2816" t="s">
        <v>31</v>
      </c>
      <c r="D2816" t="s">
        <v>20</v>
      </c>
      <c r="E2816" s="1">
        <v>44942</v>
      </c>
      <c r="F2816" s="3">
        <v>44959</v>
      </c>
      <c r="G2816" t="s">
        <v>71</v>
      </c>
      <c r="H2816" t="s">
        <v>72</v>
      </c>
      <c r="I2816" t="s">
        <v>83</v>
      </c>
      <c r="J2816">
        <v>10633.4</v>
      </c>
      <c r="K2816">
        <v>17</v>
      </c>
      <c r="L2816" t="s">
        <v>24</v>
      </c>
      <c r="M2816" t="s">
        <v>25</v>
      </c>
      <c r="N2816" t="s">
        <v>26</v>
      </c>
      <c r="O2816" t="s">
        <v>37</v>
      </c>
      <c r="P2816" t="s">
        <v>38</v>
      </c>
      <c r="Q2816">
        <v>4</v>
      </c>
      <c r="R2816">
        <v>3786.35</v>
      </c>
      <c r="S2816" t="s">
        <v>29</v>
      </c>
    </row>
    <row r="2817" spans="1:19" x14ac:dyDescent="0.3">
      <c r="A2817" t="s">
        <v>2887</v>
      </c>
      <c r="B2817">
        <v>75</v>
      </c>
      <c r="C2817" t="s">
        <v>31</v>
      </c>
      <c r="D2817" t="s">
        <v>66</v>
      </c>
      <c r="E2817" s="1">
        <v>45826</v>
      </c>
      <c r="F2817" s="3">
        <v>45844</v>
      </c>
      <c r="G2817" t="s">
        <v>21</v>
      </c>
      <c r="H2817" t="s">
        <v>22</v>
      </c>
      <c r="I2817" t="s">
        <v>58</v>
      </c>
      <c r="J2817">
        <v>11700.01</v>
      </c>
      <c r="K2817">
        <v>18</v>
      </c>
      <c r="L2817" t="s">
        <v>24</v>
      </c>
      <c r="M2817" t="s">
        <v>25</v>
      </c>
      <c r="N2817" t="s">
        <v>44</v>
      </c>
      <c r="O2817" t="s">
        <v>49</v>
      </c>
      <c r="P2817" t="s">
        <v>28</v>
      </c>
      <c r="Q2817">
        <v>14</v>
      </c>
      <c r="R2817">
        <v>4050.87</v>
      </c>
      <c r="S2817" t="s">
        <v>29</v>
      </c>
    </row>
    <row r="2818" spans="1:19" x14ac:dyDescent="0.3">
      <c r="A2818" t="s">
        <v>2888</v>
      </c>
      <c r="B2818">
        <v>54</v>
      </c>
      <c r="C2818" t="s">
        <v>31</v>
      </c>
      <c r="D2818" t="s">
        <v>20</v>
      </c>
      <c r="E2818" s="1">
        <v>45471</v>
      </c>
      <c r="F2818" s="3">
        <v>45481</v>
      </c>
      <c r="G2818" t="s">
        <v>71</v>
      </c>
      <c r="H2818" t="s">
        <v>72</v>
      </c>
      <c r="I2818" t="s">
        <v>23</v>
      </c>
      <c r="J2818">
        <v>3666.29</v>
      </c>
      <c r="K2818">
        <v>10</v>
      </c>
      <c r="L2818" t="s">
        <v>24</v>
      </c>
      <c r="M2818" t="s">
        <v>25</v>
      </c>
      <c r="N2818" t="s">
        <v>44</v>
      </c>
      <c r="O2818" t="s">
        <v>37</v>
      </c>
      <c r="P2818" t="s">
        <v>28</v>
      </c>
      <c r="Q2818">
        <v>9</v>
      </c>
      <c r="R2818">
        <v>607.07000000000005</v>
      </c>
      <c r="S2818" t="s">
        <v>29</v>
      </c>
    </row>
    <row r="2819" spans="1:19" x14ac:dyDescent="0.3">
      <c r="A2819" t="s">
        <v>2889</v>
      </c>
      <c r="B2819">
        <v>49</v>
      </c>
      <c r="C2819" t="s">
        <v>19</v>
      </c>
      <c r="D2819" t="s">
        <v>47</v>
      </c>
      <c r="E2819" s="1">
        <v>45374</v>
      </c>
      <c r="F2819" s="3">
        <v>45381</v>
      </c>
      <c r="G2819" t="s">
        <v>62</v>
      </c>
      <c r="H2819" t="s">
        <v>63</v>
      </c>
      <c r="I2819" t="s">
        <v>23</v>
      </c>
      <c r="J2819">
        <v>7830.49</v>
      </c>
      <c r="K2819">
        <v>7</v>
      </c>
      <c r="L2819" t="s">
        <v>24</v>
      </c>
      <c r="M2819" t="s">
        <v>25</v>
      </c>
      <c r="N2819" t="s">
        <v>26</v>
      </c>
      <c r="O2819" t="s">
        <v>49</v>
      </c>
      <c r="P2819" t="s">
        <v>45</v>
      </c>
      <c r="Q2819">
        <v>3</v>
      </c>
      <c r="R2819">
        <v>1525.08</v>
      </c>
      <c r="S2819" t="s">
        <v>29</v>
      </c>
    </row>
    <row r="2820" spans="1:19" x14ac:dyDescent="0.3">
      <c r="A2820" t="s">
        <v>2890</v>
      </c>
      <c r="B2820">
        <v>77</v>
      </c>
      <c r="C2820" t="s">
        <v>31</v>
      </c>
      <c r="D2820" t="s">
        <v>47</v>
      </c>
      <c r="E2820" s="1">
        <v>45188</v>
      </c>
      <c r="F2820" s="3">
        <v>45200</v>
      </c>
      <c r="G2820" t="s">
        <v>71</v>
      </c>
      <c r="H2820" t="s">
        <v>72</v>
      </c>
      <c r="I2820" t="s">
        <v>23</v>
      </c>
      <c r="J2820">
        <v>8306.7800000000007</v>
      </c>
      <c r="K2820">
        <v>12</v>
      </c>
      <c r="L2820" t="s">
        <v>36</v>
      </c>
      <c r="M2820" t="s">
        <v>25</v>
      </c>
      <c r="N2820" t="s">
        <v>55</v>
      </c>
      <c r="O2820" t="s">
        <v>37</v>
      </c>
      <c r="P2820" t="s">
        <v>50</v>
      </c>
      <c r="Q2820">
        <v>7</v>
      </c>
      <c r="R2820">
        <v>2995.29</v>
      </c>
      <c r="S2820" t="s">
        <v>29</v>
      </c>
    </row>
    <row r="2821" spans="1:19" x14ac:dyDescent="0.3">
      <c r="A2821" t="s">
        <v>2891</v>
      </c>
      <c r="B2821">
        <v>80</v>
      </c>
      <c r="C2821" t="s">
        <v>19</v>
      </c>
      <c r="D2821" t="s">
        <v>32</v>
      </c>
      <c r="E2821" s="1">
        <v>45724</v>
      </c>
      <c r="F2821" s="3">
        <v>45743</v>
      </c>
      <c r="G2821" t="s">
        <v>48</v>
      </c>
      <c r="H2821" t="s">
        <v>22</v>
      </c>
      <c r="I2821" t="s">
        <v>23</v>
      </c>
      <c r="J2821">
        <v>13754.69</v>
      </c>
      <c r="K2821">
        <v>19</v>
      </c>
      <c r="L2821" t="s">
        <v>36</v>
      </c>
      <c r="M2821" t="s">
        <v>25</v>
      </c>
      <c r="N2821" t="s">
        <v>44</v>
      </c>
      <c r="O2821" t="s">
        <v>56</v>
      </c>
      <c r="P2821" t="s">
        <v>38</v>
      </c>
      <c r="Q2821">
        <v>3</v>
      </c>
      <c r="R2821">
        <v>3934.14</v>
      </c>
      <c r="S2821" t="s">
        <v>39</v>
      </c>
    </row>
    <row r="2822" spans="1:19" x14ac:dyDescent="0.3">
      <c r="A2822" t="s">
        <v>2892</v>
      </c>
      <c r="B2822">
        <v>19</v>
      </c>
      <c r="C2822" t="s">
        <v>31</v>
      </c>
      <c r="D2822" t="s">
        <v>89</v>
      </c>
      <c r="E2822" s="1">
        <v>45544</v>
      </c>
      <c r="F2822" s="3">
        <v>45549</v>
      </c>
      <c r="G2822" t="s">
        <v>21</v>
      </c>
      <c r="H2822" t="s">
        <v>22</v>
      </c>
      <c r="I2822" t="s">
        <v>43</v>
      </c>
      <c r="J2822">
        <v>2791.27</v>
      </c>
      <c r="K2822">
        <v>5</v>
      </c>
      <c r="L2822" t="s">
        <v>36</v>
      </c>
      <c r="M2822" t="s">
        <v>25</v>
      </c>
      <c r="N2822" t="s">
        <v>55</v>
      </c>
      <c r="O2822" t="s">
        <v>27</v>
      </c>
      <c r="P2822" t="s">
        <v>38</v>
      </c>
      <c r="Q2822">
        <v>10</v>
      </c>
      <c r="R2822">
        <v>1078.0999999999999</v>
      </c>
      <c r="S2822" t="s">
        <v>29</v>
      </c>
    </row>
    <row r="2823" spans="1:19" x14ac:dyDescent="0.3">
      <c r="A2823" t="s">
        <v>2893</v>
      </c>
      <c r="B2823">
        <v>56</v>
      </c>
      <c r="C2823" t="s">
        <v>31</v>
      </c>
      <c r="D2823" t="s">
        <v>47</v>
      </c>
      <c r="E2823" s="1">
        <v>45139</v>
      </c>
      <c r="F2823" s="3">
        <v>45164</v>
      </c>
      <c r="G2823" t="s">
        <v>62</v>
      </c>
      <c r="H2823" t="s">
        <v>63</v>
      </c>
      <c r="I2823" t="s">
        <v>54</v>
      </c>
      <c r="J2823">
        <v>13858.47</v>
      </c>
      <c r="K2823">
        <v>25</v>
      </c>
      <c r="L2823" t="s">
        <v>24</v>
      </c>
      <c r="M2823" t="s">
        <v>25</v>
      </c>
      <c r="N2823" t="s">
        <v>44</v>
      </c>
      <c r="O2823" t="s">
        <v>49</v>
      </c>
      <c r="P2823" t="s">
        <v>28</v>
      </c>
      <c r="Q2823">
        <v>7</v>
      </c>
      <c r="R2823">
        <v>2960.33</v>
      </c>
      <c r="S2823" t="s">
        <v>29</v>
      </c>
    </row>
    <row r="2824" spans="1:19" x14ac:dyDescent="0.3">
      <c r="A2824" t="s">
        <v>2894</v>
      </c>
      <c r="B2824">
        <v>35</v>
      </c>
      <c r="C2824" t="s">
        <v>19</v>
      </c>
      <c r="D2824" t="s">
        <v>79</v>
      </c>
      <c r="E2824" s="1">
        <v>44970</v>
      </c>
      <c r="F2824" s="3">
        <v>44991</v>
      </c>
      <c r="G2824" t="s">
        <v>67</v>
      </c>
      <c r="H2824" t="s">
        <v>42</v>
      </c>
      <c r="I2824" t="s">
        <v>35</v>
      </c>
      <c r="J2824">
        <v>13764.28</v>
      </c>
      <c r="K2824">
        <v>21</v>
      </c>
      <c r="L2824" t="s">
        <v>36</v>
      </c>
      <c r="M2824" t="s">
        <v>25</v>
      </c>
      <c r="N2824" t="s">
        <v>26</v>
      </c>
      <c r="O2824" t="s">
        <v>49</v>
      </c>
      <c r="P2824" t="s">
        <v>28</v>
      </c>
      <c r="Q2824">
        <v>2</v>
      </c>
      <c r="R2824">
        <v>3592.78</v>
      </c>
      <c r="S2824" t="s">
        <v>29</v>
      </c>
    </row>
    <row r="2825" spans="1:19" x14ac:dyDescent="0.3">
      <c r="A2825" t="s">
        <v>2895</v>
      </c>
      <c r="B2825">
        <v>52</v>
      </c>
      <c r="C2825" t="s">
        <v>31</v>
      </c>
      <c r="D2825" t="s">
        <v>20</v>
      </c>
      <c r="E2825" s="1">
        <v>45341</v>
      </c>
      <c r="F2825" s="3">
        <v>45353</v>
      </c>
      <c r="G2825" t="s">
        <v>67</v>
      </c>
      <c r="H2825" t="s">
        <v>42</v>
      </c>
      <c r="I2825" t="s">
        <v>58</v>
      </c>
      <c r="J2825">
        <v>8964.06</v>
      </c>
      <c r="K2825">
        <v>12</v>
      </c>
      <c r="L2825" t="s">
        <v>36</v>
      </c>
      <c r="M2825" t="s">
        <v>25</v>
      </c>
      <c r="N2825" t="s">
        <v>26</v>
      </c>
      <c r="O2825" t="s">
        <v>49</v>
      </c>
      <c r="P2825" t="s">
        <v>38</v>
      </c>
      <c r="Q2825">
        <v>3</v>
      </c>
      <c r="R2825">
        <v>1734.08</v>
      </c>
      <c r="S2825" t="s">
        <v>29</v>
      </c>
    </row>
    <row r="2826" spans="1:19" x14ac:dyDescent="0.3">
      <c r="A2826" t="s">
        <v>2896</v>
      </c>
      <c r="B2826">
        <v>56</v>
      </c>
      <c r="C2826" t="s">
        <v>31</v>
      </c>
      <c r="D2826" t="s">
        <v>32</v>
      </c>
      <c r="E2826" s="1">
        <v>45631</v>
      </c>
      <c r="F2826" s="3">
        <v>45646</v>
      </c>
      <c r="G2826" t="s">
        <v>67</v>
      </c>
      <c r="H2826" t="s">
        <v>42</v>
      </c>
      <c r="I2826" t="s">
        <v>81</v>
      </c>
      <c r="J2826">
        <v>9450.9699999999993</v>
      </c>
      <c r="K2826">
        <v>15</v>
      </c>
      <c r="L2826" t="s">
        <v>36</v>
      </c>
      <c r="M2826" t="s">
        <v>59</v>
      </c>
      <c r="N2826" t="s">
        <v>44</v>
      </c>
      <c r="O2826" t="s">
        <v>37</v>
      </c>
      <c r="P2826" t="s">
        <v>38</v>
      </c>
      <c r="Q2826">
        <v>14</v>
      </c>
      <c r="R2826">
        <v>2387.3000000000002</v>
      </c>
      <c r="S2826" t="s">
        <v>39</v>
      </c>
    </row>
    <row r="2827" spans="1:19" x14ac:dyDescent="0.3">
      <c r="A2827" t="s">
        <v>2897</v>
      </c>
      <c r="B2827">
        <v>43</v>
      </c>
      <c r="C2827" t="s">
        <v>19</v>
      </c>
      <c r="D2827" t="s">
        <v>89</v>
      </c>
      <c r="E2827" s="1">
        <v>45784</v>
      </c>
      <c r="F2827" s="3">
        <v>45790</v>
      </c>
      <c r="G2827" t="s">
        <v>71</v>
      </c>
      <c r="H2827" t="s">
        <v>72</v>
      </c>
      <c r="I2827" t="s">
        <v>81</v>
      </c>
      <c r="J2827">
        <v>4981.42</v>
      </c>
      <c r="K2827">
        <v>6</v>
      </c>
      <c r="L2827" t="s">
        <v>24</v>
      </c>
      <c r="M2827" t="s">
        <v>101</v>
      </c>
      <c r="N2827" t="s">
        <v>44</v>
      </c>
      <c r="O2827" t="s">
        <v>56</v>
      </c>
      <c r="P2827" t="s">
        <v>38</v>
      </c>
      <c r="Q2827">
        <v>5</v>
      </c>
      <c r="R2827">
        <v>1790.82</v>
      </c>
      <c r="S2827" t="s">
        <v>29</v>
      </c>
    </row>
    <row r="2828" spans="1:19" x14ac:dyDescent="0.3">
      <c r="A2828" t="s">
        <v>2898</v>
      </c>
      <c r="B2828">
        <v>86</v>
      </c>
      <c r="C2828" t="s">
        <v>19</v>
      </c>
      <c r="D2828" t="s">
        <v>32</v>
      </c>
      <c r="E2828" s="1">
        <v>45795</v>
      </c>
      <c r="F2828" s="3">
        <v>45808</v>
      </c>
      <c r="G2828" t="s">
        <v>71</v>
      </c>
      <c r="H2828" t="s">
        <v>72</v>
      </c>
      <c r="I2828" t="s">
        <v>91</v>
      </c>
      <c r="J2828">
        <v>4346</v>
      </c>
      <c r="K2828">
        <v>13</v>
      </c>
      <c r="L2828" t="s">
        <v>24</v>
      </c>
      <c r="M2828" t="s">
        <v>25</v>
      </c>
      <c r="N2828" t="s">
        <v>26</v>
      </c>
      <c r="O2828" t="s">
        <v>37</v>
      </c>
      <c r="P2828" t="s">
        <v>28</v>
      </c>
      <c r="Q2828">
        <v>11</v>
      </c>
      <c r="R2828">
        <v>1323.3</v>
      </c>
      <c r="S2828" t="s">
        <v>39</v>
      </c>
    </row>
    <row r="2829" spans="1:19" x14ac:dyDescent="0.3">
      <c r="A2829" t="s">
        <v>2899</v>
      </c>
      <c r="B2829">
        <v>56</v>
      </c>
      <c r="C2829" t="s">
        <v>31</v>
      </c>
      <c r="D2829" t="s">
        <v>32</v>
      </c>
      <c r="E2829" s="1">
        <v>45006</v>
      </c>
      <c r="F2829" s="3">
        <v>45013</v>
      </c>
      <c r="G2829" t="s">
        <v>48</v>
      </c>
      <c r="H2829" t="s">
        <v>22</v>
      </c>
      <c r="I2829" t="s">
        <v>43</v>
      </c>
      <c r="J2829">
        <v>6936.26</v>
      </c>
      <c r="K2829">
        <v>7</v>
      </c>
      <c r="L2829" t="s">
        <v>24</v>
      </c>
      <c r="M2829" t="s">
        <v>59</v>
      </c>
      <c r="N2829" t="s">
        <v>55</v>
      </c>
      <c r="O2829" t="s">
        <v>56</v>
      </c>
      <c r="P2829" t="s">
        <v>38</v>
      </c>
      <c r="Q2829">
        <v>13</v>
      </c>
      <c r="R2829">
        <v>1203.8399999999999</v>
      </c>
      <c r="S2829" t="s">
        <v>29</v>
      </c>
    </row>
    <row r="2830" spans="1:19" x14ac:dyDescent="0.3">
      <c r="A2830" t="s">
        <v>2900</v>
      </c>
      <c r="B2830">
        <v>43</v>
      </c>
      <c r="C2830" t="s">
        <v>31</v>
      </c>
      <c r="D2830" t="s">
        <v>20</v>
      </c>
      <c r="E2830" s="1">
        <v>44938</v>
      </c>
      <c r="F2830" s="3">
        <v>44946</v>
      </c>
      <c r="G2830" t="s">
        <v>74</v>
      </c>
      <c r="H2830" t="s">
        <v>75</v>
      </c>
      <c r="I2830" t="s">
        <v>58</v>
      </c>
      <c r="J2830">
        <v>6337.2</v>
      </c>
      <c r="K2830">
        <v>8</v>
      </c>
      <c r="L2830" t="s">
        <v>36</v>
      </c>
      <c r="M2830" t="s">
        <v>25</v>
      </c>
      <c r="N2830" t="s">
        <v>26</v>
      </c>
      <c r="O2830" t="s">
        <v>56</v>
      </c>
      <c r="P2830" t="s">
        <v>28</v>
      </c>
      <c r="Q2830">
        <v>8</v>
      </c>
      <c r="R2830">
        <v>1329.95</v>
      </c>
      <c r="S2830" t="s">
        <v>29</v>
      </c>
    </row>
    <row r="2831" spans="1:19" x14ac:dyDescent="0.3">
      <c r="A2831" t="s">
        <v>2901</v>
      </c>
      <c r="B2831">
        <v>54</v>
      </c>
      <c r="C2831" t="s">
        <v>31</v>
      </c>
      <c r="D2831" t="s">
        <v>20</v>
      </c>
      <c r="E2831" s="1">
        <v>45599</v>
      </c>
      <c r="F2831" s="3">
        <v>45629</v>
      </c>
      <c r="G2831" t="s">
        <v>67</v>
      </c>
      <c r="H2831" t="s">
        <v>42</v>
      </c>
      <c r="I2831" t="s">
        <v>83</v>
      </c>
      <c r="J2831">
        <v>17340.86</v>
      </c>
      <c r="K2831">
        <v>30</v>
      </c>
      <c r="L2831" t="s">
        <v>24</v>
      </c>
      <c r="M2831" t="s">
        <v>101</v>
      </c>
      <c r="N2831" t="s">
        <v>44</v>
      </c>
      <c r="O2831" t="s">
        <v>49</v>
      </c>
      <c r="P2831" t="s">
        <v>45</v>
      </c>
      <c r="Q2831">
        <v>15</v>
      </c>
      <c r="R2831">
        <v>4499.18</v>
      </c>
      <c r="S2831" t="s">
        <v>29</v>
      </c>
    </row>
    <row r="2832" spans="1:19" x14ac:dyDescent="0.3">
      <c r="A2832" t="s">
        <v>2902</v>
      </c>
      <c r="B2832">
        <v>24</v>
      </c>
      <c r="C2832" t="s">
        <v>19</v>
      </c>
      <c r="D2832" t="s">
        <v>61</v>
      </c>
      <c r="E2832" s="1">
        <v>45352</v>
      </c>
      <c r="F2832" s="3">
        <v>45362</v>
      </c>
      <c r="G2832" t="s">
        <v>41</v>
      </c>
      <c r="H2832" t="s">
        <v>42</v>
      </c>
      <c r="I2832" t="s">
        <v>43</v>
      </c>
      <c r="J2832">
        <v>5192.91</v>
      </c>
      <c r="K2832">
        <v>10</v>
      </c>
      <c r="L2832" t="s">
        <v>24</v>
      </c>
      <c r="M2832" t="s">
        <v>76</v>
      </c>
      <c r="N2832" t="s">
        <v>55</v>
      </c>
      <c r="O2832" t="s">
        <v>27</v>
      </c>
      <c r="P2832" t="s">
        <v>28</v>
      </c>
      <c r="Q2832">
        <v>1</v>
      </c>
      <c r="R2832">
        <v>1490.7</v>
      </c>
      <c r="S2832" t="s">
        <v>29</v>
      </c>
    </row>
    <row r="2833" spans="1:19" x14ac:dyDescent="0.3">
      <c r="A2833" t="s">
        <v>2903</v>
      </c>
      <c r="B2833">
        <v>18</v>
      </c>
      <c r="C2833" t="s">
        <v>19</v>
      </c>
      <c r="D2833" t="s">
        <v>20</v>
      </c>
      <c r="E2833" s="1">
        <v>45204</v>
      </c>
      <c r="F2833" s="3">
        <v>45216</v>
      </c>
      <c r="G2833" t="s">
        <v>33</v>
      </c>
      <c r="H2833" t="s">
        <v>34</v>
      </c>
      <c r="I2833" t="s">
        <v>58</v>
      </c>
      <c r="J2833">
        <v>3927.31</v>
      </c>
      <c r="K2833">
        <v>12</v>
      </c>
      <c r="L2833" t="s">
        <v>24</v>
      </c>
      <c r="M2833" t="s">
        <v>25</v>
      </c>
      <c r="N2833" t="s">
        <v>26</v>
      </c>
      <c r="O2833" t="s">
        <v>27</v>
      </c>
      <c r="P2833" t="s">
        <v>45</v>
      </c>
      <c r="Q2833">
        <v>10</v>
      </c>
      <c r="R2833">
        <v>948.51</v>
      </c>
      <c r="S2833" t="s">
        <v>29</v>
      </c>
    </row>
    <row r="2834" spans="1:19" x14ac:dyDescent="0.3">
      <c r="A2834" t="s">
        <v>2904</v>
      </c>
      <c r="B2834">
        <v>57</v>
      </c>
      <c r="C2834" t="s">
        <v>31</v>
      </c>
      <c r="D2834" t="s">
        <v>79</v>
      </c>
      <c r="E2834" s="1">
        <v>45343</v>
      </c>
      <c r="F2834" s="3">
        <v>45344</v>
      </c>
      <c r="G2834" t="s">
        <v>67</v>
      </c>
      <c r="H2834" t="s">
        <v>42</v>
      </c>
      <c r="I2834" t="s">
        <v>81</v>
      </c>
      <c r="J2834">
        <v>1005.65</v>
      </c>
      <c r="K2834">
        <v>1</v>
      </c>
      <c r="L2834" t="s">
        <v>24</v>
      </c>
      <c r="M2834" t="s">
        <v>25</v>
      </c>
      <c r="N2834" t="s">
        <v>26</v>
      </c>
      <c r="O2834" t="s">
        <v>27</v>
      </c>
      <c r="P2834" t="s">
        <v>45</v>
      </c>
      <c r="Q2834">
        <v>14</v>
      </c>
      <c r="R2834">
        <v>286.08</v>
      </c>
      <c r="S2834" t="s">
        <v>29</v>
      </c>
    </row>
    <row r="2835" spans="1:19" x14ac:dyDescent="0.3">
      <c r="A2835" t="s">
        <v>2905</v>
      </c>
      <c r="B2835">
        <v>73</v>
      </c>
      <c r="C2835" t="s">
        <v>31</v>
      </c>
      <c r="D2835" t="s">
        <v>79</v>
      </c>
      <c r="E2835" s="1">
        <v>45220</v>
      </c>
      <c r="F2835" s="3">
        <v>45235</v>
      </c>
      <c r="G2835" t="s">
        <v>62</v>
      </c>
      <c r="H2835" t="s">
        <v>63</v>
      </c>
      <c r="I2835" t="s">
        <v>23</v>
      </c>
      <c r="J2835">
        <v>12084.65</v>
      </c>
      <c r="K2835">
        <v>15</v>
      </c>
      <c r="L2835" t="s">
        <v>24</v>
      </c>
      <c r="M2835" t="s">
        <v>59</v>
      </c>
      <c r="N2835" t="s">
        <v>26</v>
      </c>
      <c r="O2835" t="s">
        <v>49</v>
      </c>
      <c r="P2835" t="s">
        <v>50</v>
      </c>
      <c r="Q2835">
        <v>11</v>
      </c>
      <c r="R2835">
        <v>2130.0300000000002</v>
      </c>
      <c r="S2835" t="s">
        <v>29</v>
      </c>
    </row>
    <row r="2836" spans="1:19" x14ac:dyDescent="0.3">
      <c r="A2836" t="s">
        <v>2906</v>
      </c>
      <c r="B2836">
        <v>84</v>
      </c>
      <c r="C2836" t="s">
        <v>19</v>
      </c>
      <c r="D2836" t="s">
        <v>79</v>
      </c>
      <c r="E2836" s="1">
        <v>45121</v>
      </c>
      <c r="F2836" s="3">
        <v>45134</v>
      </c>
      <c r="G2836" t="s">
        <v>33</v>
      </c>
      <c r="H2836" t="s">
        <v>34</v>
      </c>
      <c r="I2836" t="s">
        <v>35</v>
      </c>
      <c r="J2836">
        <v>8953.77</v>
      </c>
      <c r="K2836">
        <v>13</v>
      </c>
      <c r="L2836" t="s">
        <v>36</v>
      </c>
      <c r="M2836" t="s">
        <v>25</v>
      </c>
      <c r="N2836" t="s">
        <v>26</v>
      </c>
      <c r="O2836" t="s">
        <v>37</v>
      </c>
      <c r="P2836" t="s">
        <v>45</v>
      </c>
      <c r="Q2836">
        <v>6</v>
      </c>
      <c r="R2836">
        <v>1352.64</v>
      </c>
      <c r="S2836" t="s">
        <v>29</v>
      </c>
    </row>
    <row r="2837" spans="1:19" x14ac:dyDescent="0.3">
      <c r="A2837" t="s">
        <v>2907</v>
      </c>
      <c r="B2837">
        <v>30</v>
      </c>
      <c r="C2837" t="s">
        <v>19</v>
      </c>
      <c r="D2837" t="s">
        <v>66</v>
      </c>
      <c r="E2837" s="1">
        <v>45829</v>
      </c>
      <c r="F2837" s="3">
        <v>45838</v>
      </c>
      <c r="G2837" t="s">
        <v>33</v>
      </c>
      <c r="H2837" t="s">
        <v>34</v>
      </c>
      <c r="I2837" t="s">
        <v>54</v>
      </c>
      <c r="J2837">
        <v>6623.17</v>
      </c>
      <c r="K2837">
        <v>9</v>
      </c>
      <c r="L2837" t="s">
        <v>36</v>
      </c>
      <c r="M2837" t="s">
        <v>25</v>
      </c>
      <c r="N2837" t="s">
        <v>55</v>
      </c>
      <c r="O2837" t="s">
        <v>27</v>
      </c>
      <c r="P2837" t="s">
        <v>50</v>
      </c>
      <c r="Q2837">
        <v>8</v>
      </c>
      <c r="R2837">
        <v>1085.72</v>
      </c>
      <c r="S2837" t="s">
        <v>29</v>
      </c>
    </row>
    <row r="2838" spans="1:19" x14ac:dyDescent="0.3">
      <c r="A2838" t="s">
        <v>2908</v>
      </c>
      <c r="B2838">
        <v>37</v>
      </c>
      <c r="C2838" t="s">
        <v>31</v>
      </c>
      <c r="D2838" t="s">
        <v>32</v>
      </c>
      <c r="E2838" s="1">
        <v>45664</v>
      </c>
      <c r="F2838" s="3">
        <v>45677</v>
      </c>
      <c r="G2838" t="s">
        <v>74</v>
      </c>
      <c r="H2838" t="s">
        <v>75</v>
      </c>
      <c r="I2838" t="s">
        <v>23</v>
      </c>
      <c r="J2838">
        <v>3649.35</v>
      </c>
      <c r="K2838">
        <v>13</v>
      </c>
      <c r="L2838" t="s">
        <v>36</v>
      </c>
      <c r="M2838" t="s">
        <v>25</v>
      </c>
      <c r="N2838" t="s">
        <v>26</v>
      </c>
      <c r="O2838" t="s">
        <v>37</v>
      </c>
      <c r="P2838" t="s">
        <v>45</v>
      </c>
      <c r="Q2838">
        <v>1</v>
      </c>
      <c r="R2838">
        <v>876.69</v>
      </c>
      <c r="S2838" t="s">
        <v>29</v>
      </c>
    </row>
    <row r="2839" spans="1:19" x14ac:dyDescent="0.3">
      <c r="A2839" t="s">
        <v>2909</v>
      </c>
      <c r="B2839">
        <v>82</v>
      </c>
      <c r="C2839" t="s">
        <v>31</v>
      </c>
      <c r="D2839" t="s">
        <v>47</v>
      </c>
      <c r="E2839" s="1">
        <v>45698</v>
      </c>
      <c r="F2839" s="3">
        <v>45704</v>
      </c>
      <c r="G2839" t="s">
        <v>74</v>
      </c>
      <c r="H2839" t="s">
        <v>75</v>
      </c>
      <c r="I2839" t="s">
        <v>35</v>
      </c>
      <c r="J2839">
        <v>2867.42</v>
      </c>
      <c r="K2839">
        <v>6</v>
      </c>
      <c r="L2839" t="s">
        <v>36</v>
      </c>
      <c r="M2839" t="s">
        <v>25</v>
      </c>
      <c r="N2839" t="s">
        <v>44</v>
      </c>
      <c r="O2839" t="s">
        <v>56</v>
      </c>
      <c r="P2839" t="s">
        <v>38</v>
      </c>
      <c r="Q2839">
        <v>2</v>
      </c>
      <c r="R2839">
        <v>962.74</v>
      </c>
      <c r="S2839" t="s">
        <v>29</v>
      </c>
    </row>
    <row r="2840" spans="1:19" x14ac:dyDescent="0.3">
      <c r="A2840" t="s">
        <v>2910</v>
      </c>
      <c r="B2840">
        <v>24</v>
      </c>
      <c r="C2840" t="s">
        <v>19</v>
      </c>
      <c r="D2840" t="s">
        <v>89</v>
      </c>
      <c r="E2840" s="1">
        <v>45113</v>
      </c>
      <c r="F2840" s="3">
        <v>45122</v>
      </c>
      <c r="G2840" t="s">
        <v>62</v>
      </c>
      <c r="H2840" t="s">
        <v>63</v>
      </c>
      <c r="I2840" t="s">
        <v>54</v>
      </c>
      <c r="J2840">
        <v>6671.67</v>
      </c>
      <c r="K2840">
        <v>9</v>
      </c>
      <c r="L2840" t="s">
        <v>24</v>
      </c>
      <c r="M2840" t="s">
        <v>59</v>
      </c>
      <c r="N2840" t="s">
        <v>26</v>
      </c>
      <c r="O2840" t="s">
        <v>56</v>
      </c>
      <c r="P2840" t="s">
        <v>28</v>
      </c>
      <c r="Q2840">
        <v>2</v>
      </c>
      <c r="R2840">
        <v>1207.67</v>
      </c>
      <c r="S2840" t="s">
        <v>29</v>
      </c>
    </row>
    <row r="2841" spans="1:19" x14ac:dyDescent="0.3">
      <c r="A2841" t="s">
        <v>2911</v>
      </c>
      <c r="B2841">
        <v>43</v>
      </c>
      <c r="C2841" t="s">
        <v>19</v>
      </c>
      <c r="D2841" t="s">
        <v>47</v>
      </c>
      <c r="E2841" s="1">
        <v>45765</v>
      </c>
      <c r="F2841" s="3">
        <v>45772</v>
      </c>
      <c r="G2841" t="s">
        <v>62</v>
      </c>
      <c r="H2841" t="s">
        <v>63</v>
      </c>
      <c r="I2841" t="s">
        <v>58</v>
      </c>
      <c r="J2841">
        <v>3712.38</v>
      </c>
      <c r="K2841">
        <v>7</v>
      </c>
      <c r="L2841" t="s">
        <v>36</v>
      </c>
      <c r="M2841" t="s">
        <v>25</v>
      </c>
      <c r="N2841" t="s">
        <v>26</v>
      </c>
      <c r="O2841" t="s">
        <v>27</v>
      </c>
      <c r="P2841" t="s">
        <v>45</v>
      </c>
      <c r="Q2841">
        <v>7</v>
      </c>
      <c r="R2841">
        <v>557.79</v>
      </c>
      <c r="S2841" t="s">
        <v>29</v>
      </c>
    </row>
    <row r="2842" spans="1:19" x14ac:dyDescent="0.3">
      <c r="A2842" t="s">
        <v>2912</v>
      </c>
      <c r="B2842">
        <v>51</v>
      </c>
      <c r="C2842" t="s">
        <v>19</v>
      </c>
      <c r="D2842" t="s">
        <v>89</v>
      </c>
      <c r="E2842" s="1">
        <v>44974</v>
      </c>
      <c r="F2842" s="3">
        <v>44991</v>
      </c>
      <c r="G2842" t="s">
        <v>62</v>
      </c>
      <c r="H2842" t="s">
        <v>63</v>
      </c>
      <c r="I2842" t="s">
        <v>23</v>
      </c>
      <c r="J2842">
        <v>4977.66</v>
      </c>
      <c r="K2842">
        <v>17</v>
      </c>
      <c r="L2842" t="s">
        <v>36</v>
      </c>
      <c r="M2842" t="s">
        <v>59</v>
      </c>
      <c r="N2842" t="s">
        <v>55</v>
      </c>
      <c r="O2842" t="s">
        <v>56</v>
      </c>
      <c r="P2842" t="s">
        <v>28</v>
      </c>
      <c r="Q2842">
        <v>8</v>
      </c>
      <c r="R2842">
        <v>1902.32</v>
      </c>
      <c r="S2842" t="s">
        <v>29</v>
      </c>
    </row>
    <row r="2843" spans="1:19" x14ac:dyDescent="0.3">
      <c r="A2843" t="s">
        <v>2913</v>
      </c>
      <c r="B2843">
        <v>71</v>
      </c>
      <c r="C2843" t="s">
        <v>31</v>
      </c>
      <c r="D2843" t="s">
        <v>61</v>
      </c>
      <c r="E2843" s="1">
        <v>45002</v>
      </c>
      <c r="F2843" s="3">
        <v>45007</v>
      </c>
      <c r="G2843" t="s">
        <v>71</v>
      </c>
      <c r="H2843" t="s">
        <v>72</v>
      </c>
      <c r="I2843" t="s">
        <v>58</v>
      </c>
      <c r="J2843">
        <v>3686.9</v>
      </c>
      <c r="K2843">
        <v>5</v>
      </c>
      <c r="L2843" t="s">
        <v>36</v>
      </c>
      <c r="M2843" t="s">
        <v>25</v>
      </c>
      <c r="N2843" t="s">
        <v>55</v>
      </c>
      <c r="O2843" t="s">
        <v>37</v>
      </c>
      <c r="P2843" t="s">
        <v>45</v>
      </c>
      <c r="Q2843">
        <v>3</v>
      </c>
      <c r="R2843">
        <v>1345.15</v>
      </c>
      <c r="S2843" t="s">
        <v>29</v>
      </c>
    </row>
    <row r="2844" spans="1:19" x14ac:dyDescent="0.3">
      <c r="A2844" t="s">
        <v>2914</v>
      </c>
      <c r="B2844">
        <v>40</v>
      </c>
      <c r="C2844" t="s">
        <v>31</v>
      </c>
      <c r="D2844" t="s">
        <v>32</v>
      </c>
      <c r="E2844" s="1">
        <v>45885</v>
      </c>
      <c r="F2844" s="3">
        <v>45887</v>
      </c>
      <c r="G2844" t="s">
        <v>67</v>
      </c>
      <c r="H2844" t="s">
        <v>42</v>
      </c>
      <c r="I2844" t="s">
        <v>54</v>
      </c>
      <c r="J2844">
        <v>2799.64</v>
      </c>
      <c r="K2844">
        <v>2</v>
      </c>
      <c r="L2844" t="s">
        <v>36</v>
      </c>
      <c r="M2844" t="s">
        <v>101</v>
      </c>
      <c r="N2844" t="s">
        <v>26</v>
      </c>
      <c r="O2844" t="s">
        <v>37</v>
      </c>
      <c r="P2844" t="s">
        <v>50</v>
      </c>
      <c r="Q2844">
        <v>4</v>
      </c>
      <c r="R2844">
        <v>1109.44</v>
      </c>
      <c r="S2844" t="s">
        <v>29</v>
      </c>
    </row>
    <row r="2845" spans="1:19" x14ac:dyDescent="0.3">
      <c r="A2845" t="s">
        <v>2915</v>
      </c>
      <c r="B2845">
        <v>89</v>
      </c>
      <c r="C2845" t="s">
        <v>19</v>
      </c>
      <c r="D2845" t="s">
        <v>47</v>
      </c>
      <c r="E2845" s="1">
        <v>45866</v>
      </c>
      <c r="F2845" s="3">
        <v>45885</v>
      </c>
      <c r="G2845" t="s">
        <v>62</v>
      </c>
      <c r="H2845" t="s">
        <v>63</v>
      </c>
      <c r="I2845" t="s">
        <v>81</v>
      </c>
      <c r="J2845">
        <v>9954.08</v>
      </c>
      <c r="K2845">
        <v>19</v>
      </c>
      <c r="L2845" t="s">
        <v>36</v>
      </c>
      <c r="M2845" t="s">
        <v>25</v>
      </c>
      <c r="N2845" t="s">
        <v>44</v>
      </c>
      <c r="O2845" t="s">
        <v>49</v>
      </c>
      <c r="P2845" t="s">
        <v>28</v>
      </c>
      <c r="Q2845">
        <v>12</v>
      </c>
      <c r="R2845">
        <v>2135.5300000000002</v>
      </c>
      <c r="S2845" t="s">
        <v>29</v>
      </c>
    </row>
    <row r="2846" spans="1:19" x14ac:dyDescent="0.3">
      <c r="A2846" t="s">
        <v>2916</v>
      </c>
      <c r="B2846">
        <v>43</v>
      </c>
      <c r="C2846" t="s">
        <v>19</v>
      </c>
      <c r="D2846" t="s">
        <v>89</v>
      </c>
      <c r="E2846" s="1">
        <v>45382</v>
      </c>
      <c r="F2846" s="3">
        <v>45398</v>
      </c>
      <c r="G2846" t="s">
        <v>33</v>
      </c>
      <c r="H2846" t="s">
        <v>34</v>
      </c>
      <c r="I2846" t="s">
        <v>81</v>
      </c>
      <c r="J2846">
        <v>13959.92</v>
      </c>
      <c r="K2846">
        <v>16</v>
      </c>
      <c r="L2846" t="s">
        <v>24</v>
      </c>
      <c r="M2846" t="s">
        <v>25</v>
      </c>
      <c r="N2846" t="s">
        <v>26</v>
      </c>
      <c r="O2846" t="s">
        <v>49</v>
      </c>
      <c r="P2846" t="s">
        <v>50</v>
      </c>
      <c r="Q2846">
        <v>1</v>
      </c>
      <c r="R2846">
        <v>3744.56</v>
      </c>
      <c r="S2846" t="s">
        <v>29</v>
      </c>
    </row>
    <row r="2847" spans="1:19" x14ac:dyDescent="0.3">
      <c r="A2847" t="s">
        <v>2917</v>
      </c>
      <c r="B2847">
        <v>22</v>
      </c>
      <c r="C2847" t="s">
        <v>31</v>
      </c>
      <c r="D2847" t="s">
        <v>32</v>
      </c>
      <c r="E2847" s="1">
        <v>45305</v>
      </c>
      <c r="F2847" s="3">
        <v>45308</v>
      </c>
      <c r="G2847" t="s">
        <v>71</v>
      </c>
      <c r="H2847" t="s">
        <v>72</v>
      </c>
      <c r="I2847" t="s">
        <v>35</v>
      </c>
      <c r="J2847">
        <v>3407.34</v>
      </c>
      <c r="K2847">
        <v>3</v>
      </c>
      <c r="L2847" t="s">
        <v>36</v>
      </c>
      <c r="M2847" t="s">
        <v>101</v>
      </c>
      <c r="N2847" t="s">
        <v>26</v>
      </c>
      <c r="O2847" t="s">
        <v>56</v>
      </c>
      <c r="P2847" t="s">
        <v>45</v>
      </c>
      <c r="Q2847">
        <v>7</v>
      </c>
      <c r="R2847">
        <v>780.68</v>
      </c>
      <c r="S2847" t="s">
        <v>29</v>
      </c>
    </row>
    <row r="2848" spans="1:19" x14ac:dyDescent="0.3">
      <c r="A2848" t="s">
        <v>2918</v>
      </c>
      <c r="B2848">
        <v>37</v>
      </c>
      <c r="C2848" t="s">
        <v>19</v>
      </c>
      <c r="D2848" t="s">
        <v>70</v>
      </c>
      <c r="E2848" s="1">
        <v>45746</v>
      </c>
      <c r="F2848" s="3">
        <v>45749</v>
      </c>
      <c r="G2848" t="s">
        <v>21</v>
      </c>
      <c r="H2848" t="s">
        <v>22</v>
      </c>
      <c r="I2848" t="s">
        <v>58</v>
      </c>
      <c r="J2848">
        <v>2267.19</v>
      </c>
      <c r="K2848">
        <v>3</v>
      </c>
      <c r="L2848" t="s">
        <v>24</v>
      </c>
      <c r="M2848" t="s">
        <v>59</v>
      </c>
      <c r="N2848" t="s">
        <v>55</v>
      </c>
      <c r="O2848" t="s">
        <v>37</v>
      </c>
      <c r="P2848" t="s">
        <v>38</v>
      </c>
      <c r="Q2848">
        <v>8</v>
      </c>
      <c r="R2848">
        <v>603.48</v>
      </c>
      <c r="S2848" t="s">
        <v>29</v>
      </c>
    </row>
    <row r="2849" spans="1:19" x14ac:dyDescent="0.3">
      <c r="A2849" t="s">
        <v>2919</v>
      </c>
      <c r="B2849">
        <v>60</v>
      </c>
      <c r="C2849" t="s">
        <v>31</v>
      </c>
      <c r="D2849" t="s">
        <v>66</v>
      </c>
      <c r="E2849" s="1">
        <v>45346</v>
      </c>
      <c r="F2849" s="3">
        <v>45357</v>
      </c>
      <c r="G2849" t="s">
        <v>67</v>
      </c>
      <c r="H2849" t="s">
        <v>42</v>
      </c>
      <c r="I2849" t="s">
        <v>81</v>
      </c>
      <c r="J2849">
        <v>3642.23</v>
      </c>
      <c r="K2849">
        <v>11</v>
      </c>
      <c r="L2849" t="s">
        <v>36</v>
      </c>
      <c r="M2849" t="s">
        <v>101</v>
      </c>
      <c r="N2849" t="s">
        <v>55</v>
      </c>
      <c r="O2849" t="s">
        <v>37</v>
      </c>
      <c r="P2849" t="s">
        <v>45</v>
      </c>
      <c r="Q2849">
        <v>7</v>
      </c>
      <c r="R2849">
        <v>1159.98</v>
      </c>
      <c r="S2849" t="s">
        <v>29</v>
      </c>
    </row>
    <row r="2850" spans="1:19" x14ac:dyDescent="0.3">
      <c r="A2850" t="s">
        <v>2920</v>
      </c>
      <c r="B2850">
        <v>21</v>
      </c>
      <c r="C2850" t="s">
        <v>31</v>
      </c>
      <c r="D2850" t="s">
        <v>66</v>
      </c>
      <c r="E2850" s="1">
        <v>45149</v>
      </c>
      <c r="F2850" s="3">
        <v>45150</v>
      </c>
      <c r="G2850" t="s">
        <v>74</v>
      </c>
      <c r="H2850" t="s">
        <v>75</v>
      </c>
      <c r="I2850" t="s">
        <v>91</v>
      </c>
      <c r="J2850">
        <v>2492.12</v>
      </c>
      <c r="K2850">
        <v>1</v>
      </c>
      <c r="L2850" t="s">
        <v>36</v>
      </c>
      <c r="M2850" t="s">
        <v>25</v>
      </c>
      <c r="N2850" t="s">
        <v>44</v>
      </c>
      <c r="O2850" t="s">
        <v>37</v>
      </c>
      <c r="P2850" t="s">
        <v>38</v>
      </c>
      <c r="Q2850">
        <v>3</v>
      </c>
      <c r="R2850">
        <v>424.12</v>
      </c>
      <c r="S2850" t="s">
        <v>39</v>
      </c>
    </row>
    <row r="2851" spans="1:19" x14ac:dyDescent="0.3">
      <c r="A2851" t="s">
        <v>2921</v>
      </c>
      <c r="B2851">
        <v>68</v>
      </c>
      <c r="C2851" t="s">
        <v>19</v>
      </c>
      <c r="D2851" t="s">
        <v>89</v>
      </c>
      <c r="E2851" s="1">
        <v>45236</v>
      </c>
      <c r="F2851" s="3">
        <v>45246</v>
      </c>
      <c r="G2851" t="s">
        <v>33</v>
      </c>
      <c r="H2851" t="s">
        <v>34</v>
      </c>
      <c r="I2851" t="s">
        <v>23</v>
      </c>
      <c r="J2851">
        <v>6102.44</v>
      </c>
      <c r="K2851">
        <v>10</v>
      </c>
      <c r="L2851" t="s">
        <v>36</v>
      </c>
      <c r="M2851" t="s">
        <v>25</v>
      </c>
      <c r="N2851" t="s">
        <v>44</v>
      </c>
      <c r="O2851" t="s">
        <v>56</v>
      </c>
      <c r="P2851" t="s">
        <v>50</v>
      </c>
      <c r="Q2851">
        <v>11</v>
      </c>
      <c r="R2851">
        <v>1416.03</v>
      </c>
      <c r="S2851" t="s">
        <v>29</v>
      </c>
    </row>
    <row r="2852" spans="1:19" x14ac:dyDescent="0.3">
      <c r="A2852" t="s">
        <v>2922</v>
      </c>
      <c r="B2852">
        <v>32</v>
      </c>
      <c r="C2852" t="s">
        <v>19</v>
      </c>
      <c r="D2852" t="s">
        <v>79</v>
      </c>
      <c r="E2852" s="1">
        <v>45515</v>
      </c>
      <c r="F2852" s="3">
        <v>45535</v>
      </c>
      <c r="G2852" t="s">
        <v>74</v>
      </c>
      <c r="H2852" t="s">
        <v>75</v>
      </c>
      <c r="I2852" t="s">
        <v>35</v>
      </c>
      <c r="J2852">
        <v>5124.43</v>
      </c>
      <c r="K2852">
        <v>20</v>
      </c>
      <c r="L2852" t="s">
        <v>24</v>
      </c>
      <c r="M2852" t="s">
        <v>59</v>
      </c>
      <c r="N2852" t="s">
        <v>26</v>
      </c>
      <c r="O2852" t="s">
        <v>27</v>
      </c>
      <c r="P2852" t="s">
        <v>38</v>
      </c>
      <c r="Q2852">
        <v>14</v>
      </c>
      <c r="R2852">
        <v>1493.37</v>
      </c>
      <c r="S2852" t="s">
        <v>29</v>
      </c>
    </row>
    <row r="2853" spans="1:19" x14ac:dyDescent="0.3">
      <c r="A2853" t="s">
        <v>2923</v>
      </c>
      <c r="B2853">
        <v>59</v>
      </c>
      <c r="C2853" t="s">
        <v>19</v>
      </c>
      <c r="D2853" t="s">
        <v>70</v>
      </c>
      <c r="E2853" s="1">
        <v>45076</v>
      </c>
      <c r="F2853" s="3">
        <v>45086</v>
      </c>
      <c r="G2853" t="s">
        <v>67</v>
      </c>
      <c r="H2853" t="s">
        <v>42</v>
      </c>
      <c r="I2853" t="s">
        <v>35</v>
      </c>
      <c r="J2853">
        <v>3401.56</v>
      </c>
      <c r="K2853">
        <v>10</v>
      </c>
      <c r="L2853" t="s">
        <v>24</v>
      </c>
      <c r="M2853" t="s">
        <v>25</v>
      </c>
      <c r="N2853" t="s">
        <v>26</v>
      </c>
      <c r="O2853" t="s">
        <v>56</v>
      </c>
      <c r="P2853" t="s">
        <v>38</v>
      </c>
      <c r="Q2853">
        <v>11</v>
      </c>
      <c r="R2853">
        <v>783.79</v>
      </c>
      <c r="S2853" t="s">
        <v>29</v>
      </c>
    </row>
    <row r="2854" spans="1:19" x14ac:dyDescent="0.3">
      <c r="A2854" t="s">
        <v>2924</v>
      </c>
      <c r="B2854">
        <v>58</v>
      </c>
      <c r="C2854" t="s">
        <v>31</v>
      </c>
      <c r="D2854" t="s">
        <v>47</v>
      </c>
      <c r="E2854" s="1">
        <v>45912</v>
      </c>
      <c r="F2854" s="3">
        <v>45928</v>
      </c>
      <c r="G2854" t="s">
        <v>33</v>
      </c>
      <c r="H2854" t="s">
        <v>34</v>
      </c>
      <c r="I2854" t="s">
        <v>23</v>
      </c>
      <c r="J2854">
        <v>8382.86</v>
      </c>
      <c r="K2854">
        <v>16</v>
      </c>
      <c r="L2854" t="s">
        <v>36</v>
      </c>
      <c r="M2854" t="s">
        <v>25</v>
      </c>
      <c r="N2854" t="s">
        <v>55</v>
      </c>
      <c r="O2854" t="s">
        <v>37</v>
      </c>
      <c r="P2854" t="s">
        <v>38</v>
      </c>
      <c r="Q2854">
        <v>4</v>
      </c>
      <c r="R2854">
        <v>2168.9</v>
      </c>
      <c r="S2854" t="s">
        <v>39</v>
      </c>
    </row>
    <row r="2855" spans="1:19" x14ac:dyDescent="0.3">
      <c r="A2855" t="s">
        <v>2925</v>
      </c>
      <c r="B2855">
        <v>27</v>
      </c>
      <c r="C2855" t="s">
        <v>31</v>
      </c>
      <c r="D2855" t="s">
        <v>61</v>
      </c>
      <c r="E2855" s="1">
        <v>45925</v>
      </c>
      <c r="F2855" s="3">
        <v>45937</v>
      </c>
      <c r="G2855" t="s">
        <v>33</v>
      </c>
      <c r="H2855" t="s">
        <v>34</v>
      </c>
      <c r="I2855" t="s">
        <v>83</v>
      </c>
      <c r="J2855">
        <v>3457.59</v>
      </c>
      <c r="K2855">
        <v>12</v>
      </c>
      <c r="L2855" t="s">
        <v>36</v>
      </c>
      <c r="M2855" t="s">
        <v>25</v>
      </c>
      <c r="N2855" t="s">
        <v>44</v>
      </c>
      <c r="O2855" t="s">
        <v>56</v>
      </c>
      <c r="P2855" t="s">
        <v>38</v>
      </c>
      <c r="Q2855">
        <v>2</v>
      </c>
      <c r="R2855">
        <v>740.46</v>
      </c>
      <c r="S2855" t="s">
        <v>29</v>
      </c>
    </row>
    <row r="2856" spans="1:19" x14ac:dyDescent="0.3">
      <c r="A2856" t="s">
        <v>2926</v>
      </c>
      <c r="B2856">
        <v>25</v>
      </c>
      <c r="C2856" t="s">
        <v>31</v>
      </c>
      <c r="D2856" t="s">
        <v>20</v>
      </c>
      <c r="E2856" s="1">
        <v>45034</v>
      </c>
      <c r="F2856" s="3">
        <v>45053</v>
      </c>
      <c r="G2856" t="s">
        <v>93</v>
      </c>
      <c r="H2856" t="s">
        <v>72</v>
      </c>
      <c r="I2856" t="s">
        <v>54</v>
      </c>
      <c r="J2856">
        <v>4585.1400000000003</v>
      </c>
      <c r="K2856">
        <v>19</v>
      </c>
      <c r="L2856" t="s">
        <v>36</v>
      </c>
      <c r="M2856" t="s">
        <v>25</v>
      </c>
      <c r="N2856" t="s">
        <v>26</v>
      </c>
      <c r="O2856" t="s">
        <v>56</v>
      </c>
      <c r="P2856" t="s">
        <v>45</v>
      </c>
      <c r="Q2856">
        <v>4</v>
      </c>
      <c r="R2856">
        <v>1044.8699999999999</v>
      </c>
      <c r="S2856" t="s">
        <v>29</v>
      </c>
    </row>
    <row r="2857" spans="1:19" x14ac:dyDescent="0.3">
      <c r="A2857" t="s">
        <v>2927</v>
      </c>
      <c r="B2857">
        <v>41</v>
      </c>
      <c r="C2857" t="s">
        <v>31</v>
      </c>
      <c r="D2857" t="s">
        <v>89</v>
      </c>
      <c r="E2857" s="1">
        <v>45563</v>
      </c>
      <c r="F2857" s="3">
        <v>45569</v>
      </c>
      <c r="G2857" t="s">
        <v>21</v>
      </c>
      <c r="H2857" t="s">
        <v>22</v>
      </c>
      <c r="I2857" t="s">
        <v>91</v>
      </c>
      <c r="J2857">
        <v>1265.55</v>
      </c>
      <c r="K2857">
        <v>6</v>
      </c>
      <c r="L2857" t="s">
        <v>24</v>
      </c>
      <c r="M2857" t="s">
        <v>25</v>
      </c>
      <c r="N2857" t="s">
        <v>55</v>
      </c>
      <c r="O2857" t="s">
        <v>37</v>
      </c>
      <c r="P2857" t="s">
        <v>50</v>
      </c>
      <c r="Q2857">
        <v>5</v>
      </c>
      <c r="R2857">
        <v>468.68</v>
      </c>
      <c r="S2857" t="s">
        <v>29</v>
      </c>
    </row>
    <row r="2858" spans="1:19" x14ac:dyDescent="0.3">
      <c r="A2858" t="s">
        <v>2928</v>
      </c>
      <c r="B2858">
        <v>40</v>
      </c>
      <c r="C2858" t="s">
        <v>31</v>
      </c>
      <c r="D2858" t="s">
        <v>70</v>
      </c>
      <c r="E2858" s="1">
        <v>45451</v>
      </c>
      <c r="F2858" s="3">
        <v>45453</v>
      </c>
      <c r="G2858" t="s">
        <v>48</v>
      </c>
      <c r="H2858" t="s">
        <v>22</v>
      </c>
      <c r="I2858" t="s">
        <v>81</v>
      </c>
      <c r="J2858">
        <v>2355.2800000000002</v>
      </c>
      <c r="K2858">
        <v>2</v>
      </c>
      <c r="L2858" t="s">
        <v>36</v>
      </c>
      <c r="M2858" t="s">
        <v>25</v>
      </c>
      <c r="N2858" t="s">
        <v>44</v>
      </c>
      <c r="O2858" t="s">
        <v>37</v>
      </c>
      <c r="P2858" t="s">
        <v>50</v>
      </c>
      <c r="Q2858">
        <v>12</v>
      </c>
      <c r="R2858">
        <v>579.4</v>
      </c>
      <c r="S2858" t="s">
        <v>29</v>
      </c>
    </row>
    <row r="2859" spans="1:19" x14ac:dyDescent="0.3">
      <c r="A2859" t="s">
        <v>2929</v>
      </c>
      <c r="B2859">
        <v>70</v>
      </c>
      <c r="C2859" t="s">
        <v>31</v>
      </c>
      <c r="D2859" t="s">
        <v>89</v>
      </c>
      <c r="E2859" s="1">
        <v>45096</v>
      </c>
      <c r="F2859" s="3">
        <v>45116</v>
      </c>
      <c r="G2859" t="s">
        <v>33</v>
      </c>
      <c r="H2859" t="s">
        <v>34</v>
      </c>
      <c r="I2859" t="s">
        <v>23</v>
      </c>
      <c r="J2859">
        <v>8464.19</v>
      </c>
      <c r="K2859">
        <v>20</v>
      </c>
      <c r="L2859" t="s">
        <v>24</v>
      </c>
      <c r="M2859" t="s">
        <v>25</v>
      </c>
      <c r="N2859" t="s">
        <v>55</v>
      </c>
      <c r="O2859" t="s">
        <v>56</v>
      </c>
      <c r="P2859" t="s">
        <v>38</v>
      </c>
      <c r="Q2859">
        <v>15</v>
      </c>
      <c r="R2859">
        <v>1554.28</v>
      </c>
      <c r="S2859" t="s">
        <v>29</v>
      </c>
    </row>
    <row r="2860" spans="1:19" x14ac:dyDescent="0.3">
      <c r="A2860" t="s">
        <v>2930</v>
      </c>
      <c r="B2860">
        <v>40</v>
      </c>
      <c r="C2860" t="s">
        <v>31</v>
      </c>
      <c r="D2860" t="s">
        <v>70</v>
      </c>
      <c r="E2860" s="1">
        <v>44959</v>
      </c>
      <c r="F2860" s="3">
        <v>44964</v>
      </c>
      <c r="G2860" t="s">
        <v>74</v>
      </c>
      <c r="H2860" t="s">
        <v>75</v>
      </c>
      <c r="I2860" t="s">
        <v>43</v>
      </c>
      <c r="J2860">
        <v>10175.719999999999</v>
      </c>
      <c r="K2860">
        <v>5</v>
      </c>
      <c r="L2860" t="s">
        <v>24</v>
      </c>
      <c r="M2860" t="s">
        <v>25</v>
      </c>
      <c r="N2860" t="s">
        <v>44</v>
      </c>
      <c r="O2860" t="s">
        <v>49</v>
      </c>
      <c r="P2860" t="s">
        <v>28</v>
      </c>
      <c r="Q2860">
        <v>3</v>
      </c>
      <c r="R2860">
        <v>2752.2</v>
      </c>
      <c r="S2860" t="s">
        <v>29</v>
      </c>
    </row>
    <row r="2861" spans="1:19" x14ac:dyDescent="0.3">
      <c r="A2861" t="s">
        <v>2931</v>
      </c>
      <c r="B2861">
        <v>23</v>
      </c>
      <c r="C2861" t="s">
        <v>19</v>
      </c>
      <c r="D2861" t="s">
        <v>47</v>
      </c>
      <c r="E2861" s="1">
        <v>44991</v>
      </c>
      <c r="F2861" s="3">
        <v>45004</v>
      </c>
      <c r="G2861" t="s">
        <v>93</v>
      </c>
      <c r="H2861" t="s">
        <v>72</v>
      </c>
      <c r="I2861" t="s">
        <v>43</v>
      </c>
      <c r="J2861">
        <v>7159.4</v>
      </c>
      <c r="K2861">
        <v>13</v>
      </c>
      <c r="L2861" t="s">
        <v>24</v>
      </c>
      <c r="M2861" t="s">
        <v>59</v>
      </c>
      <c r="N2861" t="s">
        <v>44</v>
      </c>
      <c r="O2861" t="s">
        <v>27</v>
      </c>
      <c r="P2861" t="s">
        <v>50</v>
      </c>
      <c r="Q2861">
        <v>15</v>
      </c>
      <c r="R2861">
        <v>2850.72</v>
      </c>
      <c r="S2861" t="s">
        <v>39</v>
      </c>
    </row>
    <row r="2862" spans="1:19" x14ac:dyDescent="0.3">
      <c r="A2862" t="s">
        <v>2932</v>
      </c>
      <c r="B2862">
        <v>72</v>
      </c>
      <c r="C2862" t="s">
        <v>31</v>
      </c>
      <c r="D2862" t="s">
        <v>20</v>
      </c>
      <c r="E2862" s="1">
        <v>45457</v>
      </c>
      <c r="F2862" s="3">
        <v>45472</v>
      </c>
      <c r="G2862" t="s">
        <v>67</v>
      </c>
      <c r="H2862" t="s">
        <v>42</v>
      </c>
      <c r="I2862" t="s">
        <v>35</v>
      </c>
      <c r="J2862">
        <v>9972.31</v>
      </c>
      <c r="K2862">
        <v>15</v>
      </c>
      <c r="L2862" t="s">
        <v>36</v>
      </c>
      <c r="M2862" t="s">
        <v>25</v>
      </c>
      <c r="N2862" t="s">
        <v>55</v>
      </c>
      <c r="O2862" t="s">
        <v>27</v>
      </c>
      <c r="P2862" t="s">
        <v>28</v>
      </c>
      <c r="Q2862">
        <v>5</v>
      </c>
      <c r="R2862">
        <v>2775.93</v>
      </c>
      <c r="S2862" t="s">
        <v>29</v>
      </c>
    </row>
    <row r="2863" spans="1:19" x14ac:dyDescent="0.3">
      <c r="A2863" t="s">
        <v>2933</v>
      </c>
      <c r="B2863">
        <v>84</v>
      </c>
      <c r="C2863" t="s">
        <v>31</v>
      </c>
      <c r="D2863" t="s">
        <v>79</v>
      </c>
      <c r="E2863" s="1">
        <v>45645</v>
      </c>
      <c r="F2863" s="3">
        <v>45656</v>
      </c>
      <c r="G2863" t="s">
        <v>67</v>
      </c>
      <c r="H2863" t="s">
        <v>42</v>
      </c>
      <c r="I2863" t="s">
        <v>91</v>
      </c>
      <c r="J2863">
        <v>5010.1099999999997</v>
      </c>
      <c r="K2863">
        <v>11</v>
      </c>
      <c r="L2863" t="s">
        <v>36</v>
      </c>
      <c r="M2863" t="s">
        <v>25</v>
      </c>
      <c r="N2863" t="s">
        <v>26</v>
      </c>
      <c r="O2863" t="s">
        <v>37</v>
      </c>
      <c r="P2863" t="s">
        <v>38</v>
      </c>
      <c r="Q2863">
        <v>7</v>
      </c>
      <c r="R2863">
        <v>818.07</v>
      </c>
      <c r="S2863" t="s">
        <v>29</v>
      </c>
    </row>
    <row r="2864" spans="1:19" x14ac:dyDescent="0.3">
      <c r="A2864" t="s">
        <v>2934</v>
      </c>
      <c r="B2864">
        <v>21</v>
      </c>
      <c r="C2864" t="s">
        <v>19</v>
      </c>
      <c r="D2864" t="s">
        <v>79</v>
      </c>
      <c r="E2864" s="1">
        <v>45282</v>
      </c>
      <c r="F2864" s="3">
        <v>45297</v>
      </c>
      <c r="G2864" t="s">
        <v>33</v>
      </c>
      <c r="H2864" t="s">
        <v>34</v>
      </c>
      <c r="I2864" t="s">
        <v>54</v>
      </c>
      <c r="J2864">
        <v>11133.71</v>
      </c>
      <c r="K2864">
        <v>15</v>
      </c>
      <c r="L2864" t="s">
        <v>24</v>
      </c>
      <c r="M2864" t="s">
        <v>25</v>
      </c>
      <c r="N2864" t="s">
        <v>55</v>
      </c>
      <c r="O2864" t="s">
        <v>49</v>
      </c>
      <c r="P2864" t="s">
        <v>38</v>
      </c>
      <c r="Q2864">
        <v>7</v>
      </c>
      <c r="R2864">
        <v>3881.44</v>
      </c>
      <c r="S2864" t="s">
        <v>29</v>
      </c>
    </row>
    <row r="2865" spans="1:19" x14ac:dyDescent="0.3">
      <c r="A2865" t="s">
        <v>2935</v>
      </c>
      <c r="B2865">
        <v>38</v>
      </c>
      <c r="C2865" t="s">
        <v>31</v>
      </c>
      <c r="D2865" t="s">
        <v>20</v>
      </c>
      <c r="E2865" s="1">
        <v>45363</v>
      </c>
      <c r="F2865" s="3">
        <v>45381</v>
      </c>
      <c r="G2865" t="s">
        <v>93</v>
      </c>
      <c r="H2865" t="s">
        <v>72</v>
      </c>
      <c r="I2865" t="s">
        <v>35</v>
      </c>
      <c r="J2865">
        <v>11272.55</v>
      </c>
      <c r="K2865">
        <v>18</v>
      </c>
      <c r="L2865" t="s">
        <v>24</v>
      </c>
      <c r="M2865" t="s">
        <v>25</v>
      </c>
      <c r="N2865" t="s">
        <v>55</v>
      </c>
      <c r="O2865" t="s">
        <v>37</v>
      </c>
      <c r="P2865" t="s">
        <v>38</v>
      </c>
      <c r="Q2865">
        <v>1</v>
      </c>
      <c r="R2865">
        <v>1824.49</v>
      </c>
      <c r="S2865" t="s">
        <v>29</v>
      </c>
    </row>
    <row r="2866" spans="1:19" x14ac:dyDescent="0.3">
      <c r="A2866" t="s">
        <v>2936</v>
      </c>
      <c r="B2866">
        <v>84</v>
      </c>
      <c r="C2866" t="s">
        <v>19</v>
      </c>
      <c r="D2866" t="s">
        <v>20</v>
      </c>
      <c r="E2866" s="1">
        <v>45176</v>
      </c>
      <c r="F2866" s="3">
        <v>45196</v>
      </c>
      <c r="G2866" t="s">
        <v>67</v>
      </c>
      <c r="H2866" t="s">
        <v>42</v>
      </c>
      <c r="I2866" t="s">
        <v>81</v>
      </c>
      <c r="J2866">
        <v>8408.09</v>
      </c>
      <c r="K2866">
        <v>20</v>
      </c>
      <c r="L2866" t="s">
        <v>36</v>
      </c>
      <c r="M2866" t="s">
        <v>76</v>
      </c>
      <c r="N2866" t="s">
        <v>44</v>
      </c>
      <c r="O2866" t="s">
        <v>27</v>
      </c>
      <c r="P2866" t="s">
        <v>45</v>
      </c>
      <c r="Q2866">
        <v>1</v>
      </c>
      <c r="R2866">
        <v>2856.27</v>
      </c>
      <c r="S2866" t="s">
        <v>29</v>
      </c>
    </row>
    <row r="2867" spans="1:19" x14ac:dyDescent="0.3">
      <c r="A2867" t="s">
        <v>2937</v>
      </c>
      <c r="B2867">
        <v>76</v>
      </c>
      <c r="C2867" t="s">
        <v>19</v>
      </c>
      <c r="D2867" t="s">
        <v>66</v>
      </c>
      <c r="E2867" s="1">
        <v>45849</v>
      </c>
      <c r="F2867" s="3">
        <v>45860</v>
      </c>
      <c r="G2867" t="s">
        <v>71</v>
      </c>
      <c r="H2867" t="s">
        <v>72</v>
      </c>
      <c r="I2867" t="s">
        <v>35</v>
      </c>
      <c r="J2867">
        <v>10674.36</v>
      </c>
      <c r="K2867">
        <v>11</v>
      </c>
      <c r="L2867" t="s">
        <v>36</v>
      </c>
      <c r="M2867" t="s">
        <v>25</v>
      </c>
      <c r="N2867" t="s">
        <v>55</v>
      </c>
      <c r="O2867" t="s">
        <v>49</v>
      </c>
      <c r="P2867" t="s">
        <v>50</v>
      </c>
      <c r="Q2867">
        <v>7</v>
      </c>
      <c r="R2867">
        <v>3191</v>
      </c>
      <c r="S2867" t="s">
        <v>29</v>
      </c>
    </row>
    <row r="2868" spans="1:19" x14ac:dyDescent="0.3">
      <c r="A2868" t="s">
        <v>2938</v>
      </c>
      <c r="B2868">
        <v>21</v>
      </c>
      <c r="C2868" t="s">
        <v>19</v>
      </c>
      <c r="D2868" t="s">
        <v>66</v>
      </c>
      <c r="E2868" s="1">
        <v>45798</v>
      </c>
      <c r="F2868" s="3">
        <v>45807</v>
      </c>
      <c r="G2868" t="s">
        <v>74</v>
      </c>
      <c r="H2868" t="s">
        <v>75</v>
      </c>
      <c r="I2868" t="s">
        <v>23</v>
      </c>
      <c r="J2868">
        <v>3654.06</v>
      </c>
      <c r="K2868">
        <v>9</v>
      </c>
      <c r="L2868" t="s">
        <v>24</v>
      </c>
      <c r="M2868" t="s">
        <v>25</v>
      </c>
      <c r="N2868" t="s">
        <v>55</v>
      </c>
      <c r="O2868" t="s">
        <v>27</v>
      </c>
      <c r="P2868" t="s">
        <v>50</v>
      </c>
      <c r="Q2868">
        <v>12</v>
      </c>
      <c r="R2868">
        <v>777.08</v>
      </c>
      <c r="S2868" t="s">
        <v>29</v>
      </c>
    </row>
    <row r="2869" spans="1:19" x14ac:dyDescent="0.3">
      <c r="A2869" t="s">
        <v>2939</v>
      </c>
      <c r="B2869">
        <v>36</v>
      </c>
      <c r="C2869" t="s">
        <v>31</v>
      </c>
      <c r="D2869" t="s">
        <v>61</v>
      </c>
      <c r="E2869" s="1">
        <v>45004</v>
      </c>
      <c r="F2869" s="3">
        <v>45013</v>
      </c>
      <c r="G2869" t="s">
        <v>21</v>
      </c>
      <c r="H2869" t="s">
        <v>22</v>
      </c>
      <c r="I2869" t="s">
        <v>83</v>
      </c>
      <c r="J2869">
        <v>6010.23</v>
      </c>
      <c r="K2869">
        <v>9</v>
      </c>
      <c r="L2869" t="s">
        <v>36</v>
      </c>
      <c r="M2869" t="s">
        <v>25</v>
      </c>
      <c r="N2869" t="s">
        <v>44</v>
      </c>
      <c r="O2869" t="s">
        <v>27</v>
      </c>
      <c r="P2869" t="s">
        <v>45</v>
      </c>
      <c r="Q2869">
        <v>3</v>
      </c>
      <c r="R2869">
        <v>1801.07</v>
      </c>
      <c r="S2869" t="s">
        <v>29</v>
      </c>
    </row>
    <row r="2870" spans="1:19" x14ac:dyDescent="0.3">
      <c r="A2870" t="s">
        <v>2940</v>
      </c>
      <c r="B2870">
        <v>60</v>
      </c>
      <c r="C2870" t="s">
        <v>19</v>
      </c>
      <c r="D2870" t="s">
        <v>32</v>
      </c>
      <c r="E2870" s="1">
        <v>45428</v>
      </c>
      <c r="F2870" s="3">
        <v>45436</v>
      </c>
      <c r="G2870" t="s">
        <v>52</v>
      </c>
      <c r="H2870" t="s">
        <v>53</v>
      </c>
      <c r="I2870" t="s">
        <v>35</v>
      </c>
      <c r="J2870">
        <v>6751.23</v>
      </c>
      <c r="K2870">
        <v>8</v>
      </c>
      <c r="L2870" t="s">
        <v>24</v>
      </c>
      <c r="M2870" t="s">
        <v>25</v>
      </c>
      <c r="N2870" t="s">
        <v>55</v>
      </c>
      <c r="O2870" t="s">
        <v>37</v>
      </c>
      <c r="P2870" t="s">
        <v>50</v>
      </c>
      <c r="Q2870">
        <v>2</v>
      </c>
      <c r="R2870">
        <v>2661.59</v>
      </c>
      <c r="S2870" t="s">
        <v>29</v>
      </c>
    </row>
    <row r="2871" spans="1:19" x14ac:dyDescent="0.3">
      <c r="A2871" t="s">
        <v>2941</v>
      </c>
      <c r="B2871">
        <v>61</v>
      </c>
      <c r="C2871" t="s">
        <v>19</v>
      </c>
      <c r="D2871" t="s">
        <v>32</v>
      </c>
      <c r="E2871" s="1">
        <v>45001</v>
      </c>
      <c r="F2871" s="3">
        <v>45021</v>
      </c>
      <c r="G2871" t="s">
        <v>33</v>
      </c>
      <c r="H2871" t="s">
        <v>34</v>
      </c>
      <c r="I2871" t="s">
        <v>83</v>
      </c>
      <c r="J2871">
        <v>15505.78</v>
      </c>
      <c r="K2871">
        <v>20</v>
      </c>
      <c r="L2871" t="s">
        <v>24</v>
      </c>
      <c r="M2871" t="s">
        <v>25</v>
      </c>
      <c r="N2871" t="s">
        <v>26</v>
      </c>
      <c r="O2871" t="s">
        <v>56</v>
      </c>
      <c r="P2871" t="s">
        <v>50</v>
      </c>
      <c r="Q2871">
        <v>13</v>
      </c>
      <c r="R2871">
        <v>4221.1499999999996</v>
      </c>
      <c r="S2871" t="s">
        <v>29</v>
      </c>
    </row>
    <row r="2872" spans="1:19" x14ac:dyDescent="0.3">
      <c r="A2872" t="s">
        <v>2942</v>
      </c>
      <c r="B2872">
        <v>32</v>
      </c>
      <c r="C2872" t="s">
        <v>19</v>
      </c>
      <c r="D2872" t="s">
        <v>61</v>
      </c>
      <c r="E2872" s="1">
        <v>45282</v>
      </c>
      <c r="F2872" s="3">
        <v>45287</v>
      </c>
      <c r="G2872" t="s">
        <v>21</v>
      </c>
      <c r="H2872" t="s">
        <v>22</v>
      </c>
      <c r="I2872" t="s">
        <v>83</v>
      </c>
      <c r="J2872">
        <v>5499.99</v>
      </c>
      <c r="K2872">
        <v>5</v>
      </c>
      <c r="L2872" t="s">
        <v>36</v>
      </c>
      <c r="M2872" t="s">
        <v>25</v>
      </c>
      <c r="N2872" t="s">
        <v>55</v>
      </c>
      <c r="O2872" t="s">
        <v>27</v>
      </c>
      <c r="P2872" t="s">
        <v>28</v>
      </c>
      <c r="Q2872">
        <v>14</v>
      </c>
      <c r="R2872">
        <v>1517</v>
      </c>
      <c r="S2872" t="s">
        <v>29</v>
      </c>
    </row>
    <row r="2873" spans="1:19" x14ac:dyDescent="0.3">
      <c r="A2873" t="s">
        <v>2943</v>
      </c>
      <c r="B2873">
        <v>29</v>
      </c>
      <c r="C2873" t="s">
        <v>19</v>
      </c>
      <c r="D2873" t="s">
        <v>79</v>
      </c>
      <c r="E2873" s="1">
        <v>45058</v>
      </c>
      <c r="F2873" s="3">
        <v>45060</v>
      </c>
      <c r="G2873" t="s">
        <v>74</v>
      </c>
      <c r="H2873" t="s">
        <v>75</v>
      </c>
      <c r="I2873" t="s">
        <v>54</v>
      </c>
      <c r="J2873">
        <v>1627.89</v>
      </c>
      <c r="K2873">
        <v>2</v>
      </c>
      <c r="L2873" t="s">
        <v>36</v>
      </c>
      <c r="M2873" t="s">
        <v>25</v>
      </c>
      <c r="N2873" t="s">
        <v>55</v>
      </c>
      <c r="O2873" t="s">
        <v>27</v>
      </c>
      <c r="P2873" t="s">
        <v>38</v>
      </c>
      <c r="Q2873">
        <v>13</v>
      </c>
      <c r="R2873">
        <v>514.69000000000005</v>
      </c>
      <c r="S2873" t="s">
        <v>29</v>
      </c>
    </row>
    <row r="2874" spans="1:19" x14ac:dyDescent="0.3">
      <c r="A2874" t="s">
        <v>2944</v>
      </c>
      <c r="B2874">
        <v>38</v>
      </c>
      <c r="C2874" t="s">
        <v>31</v>
      </c>
      <c r="D2874" t="s">
        <v>66</v>
      </c>
      <c r="E2874" s="1">
        <v>45408</v>
      </c>
      <c r="F2874" s="3">
        <v>45436</v>
      </c>
      <c r="G2874" t="s">
        <v>93</v>
      </c>
      <c r="H2874" t="s">
        <v>72</v>
      </c>
      <c r="I2874" t="s">
        <v>91</v>
      </c>
      <c r="J2874">
        <v>19393.18</v>
      </c>
      <c r="K2874">
        <v>28</v>
      </c>
      <c r="L2874" t="s">
        <v>24</v>
      </c>
      <c r="M2874" t="s">
        <v>25</v>
      </c>
      <c r="N2874" t="s">
        <v>55</v>
      </c>
      <c r="O2874" t="s">
        <v>49</v>
      </c>
      <c r="P2874" t="s">
        <v>45</v>
      </c>
      <c r="Q2874">
        <v>5</v>
      </c>
      <c r="R2874">
        <v>7426.15</v>
      </c>
      <c r="S2874" t="s">
        <v>29</v>
      </c>
    </row>
    <row r="2875" spans="1:19" x14ac:dyDescent="0.3">
      <c r="A2875" t="s">
        <v>2945</v>
      </c>
      <c r="B2875">
        <v>25</v>
      </c>
      <c r="C2875" t="s">
        <v>31</v>
      </c>
      <c r="D2875" t="s">
        <v>20</v>
      </c>
      <c r="E2875" s="1">
        <v>45118</v>
      </c>
      <c r="F2875" s="3">
        <v>45129</v>
      </c>
      <c r="G2875" t="s">
        <v>62</v>
      </c>
      <c r="H2875" t="s">
        <v>63</v>
      </c>
      <c r="I2875" t="s">
        <v>81</v>
      </c>
      <c r="J2875">
        <v>8552.91</v>
      </c>
      <c r="K2875">
        <v>11</v>
      </c>
      <c r="L2875" t="s">
        <v>24</v>
      </c>
      <c r="M2875" t="s">
        <v>25</v>
      </c>
      <c r="N2875" t="s">
        <v>55</v>
      </c>
      <c r="O2875" t="s">
        <v>27</v>
      </c>
      <c r="P2875" t="s">
        <v>38</v>
      </c>
      <c r="Q2875">
        <v>9</v>
      </c>
      <c r="R2875">
        <v>1981.74</v>
      </c>
      <c r="S2875" t="s">
        <v>29</v>
      </c>
    </row>
    <row r="2876" spans="1:19" x14ac:dyDescent="0.3">
      <c r="A2876" t="s">
        <v>2946</v>
      </c>
      <c r="B2876">
        <v>64</v>
      </c>
      <c r="C2876" t="s">
        <v>19</v>
      </c>
      <c r="D2876" t="s">
        <v>70</v>
      </c>
      <c r="E2876" s="1">
        <v>45757</v>
      </c>
      <c r="F2876" s="3">
        <v>45761</v>
      </c>
      <c r="G2876" t="s">
        <v>67</v>
      </c>
      <c r="H2876" t="s">
        <v>42</v>
      </c>
      <c r="I2876" t="s">
        <v>58</v>
      </c>
      <c r="J2876">
        <v>1994.61</v>
      </c>
      <c r="K2876">
        <v>4</v>
      </c>
      <c r="L2876" t="s">
        <v>24</v>
      </c>
      <c r="M2876" t="s">
        <v>25</v>
      </c>
      <c r="N2876" t="s">
        <v>44</v>
      </c>
      <c r="O2876" t="s">
        <v>56</v>
      </c>
      <c r="P2876" t="s">
        <v>45</v>
      </c>
      <c r="Q2876">
        <v>4</v>
      </c>
      <c r="R2876">
        <v>456.38</v>
      </c>
      <c r="S2876" t="s">
        <v>29</v>
      </c>
    </row>
    <row r="2877" spans="1:19" x14ac:dyDescent="0.3">
      <c r="A2877" t="s">
        <v>2947</v>
      </c>
      <c r="B2877">
        <v>28</v>
      </c>
      <c r="C2877" t="s">
        <v>19</v>
      </c>
      <c r="D2877" t="s">
        <v>79</v>
      </c>
      <c r="E2877" s="1">
        <v>45891</v>
      </c>
      <c r="F2877" s="3">
        <v>45899</v>
      </c>
      <c r="G2877" t="s">
        <v>93</v>
      </c>
      <c r="H2877" t="s">
        <v>72</v>
      </c>
      <c r="I2877" t="s">
        <v>83</v>
      </c>
      <c r="J2877">
        <v>3539.41</v>
      </c>
      <c r="K2877">
        <v>8</v>
      </c>
      <c r="L2877" t="s">
        <v>24</v>
      </c>
      <c r="M2877" t="s">
        <v>101</v>
      </c>
      <c r="N2877" t="s">
        <v>44</v>
      </c>
      <c r="O2877" t="s">
        <v>37</v>
      </c>
      <c r="P2877" t="s">
        <v>45</v>
      </c>
      <c r="Q2877">
        <v>10</v>
      </c>
      <c r="R2877">
        <v>749.94</v>
      </c>
      <c r="S2877" t="s">
        <v>29</v>
      </c>
    </row>
    <row r="2878" spans="1:19" x14ac:dyDescent="0.3">
      <c r="A2878" t="s">
        <v>2948</v>
      </c>
      <c r="B2878">
        <v>39</v>
      </c>
      <c r="C2878" t="s">
        <v>31</v>
      </c>
      <c r="D2878" t="s">
        <v>70</v>
      </c>
      <c r="E2878" s="1">
        <v>45339</v>
      </c>
      <c r="F2878" s="3">
        <v>45350</v>
      </c>
      <c r="G2878" t="s">
        <v>52</v>
      </c>
      <c r="H2878" t="s">
        <v>53</v>
      </c>
      <c r="I2878" t="s">
        <v>54</v>
      </c>
      <c r="J2878">
        <v>8039.28</v>
      </c>
      <c r="K2878">
        <v>11</v>
      </c>
      <c r="L2878" t="s">
        <v>36</v>
      </c>
      <c r="M2878" t="s">
        <v>76</v>
      </c>
      <c r="N2878" t="s">
        <v>55</v>
      </c>
      <c r="O2878" t="s">
        <v>56</v>
      </c>
      <c r="P2878" t="s">
        <v>45</v>
      </c>
      <c r="Q2878">
        <v>10</v>
      </c>
      <c r="R2878">
        <v>1657.51</v>
      </c>
      <c r="S2878" t="s">
        <v>29</v>
      </c>
    </row>
    <row r="2879" spans="1:19" x14ac:dyDescent="0.3">
      <c r="A2879" t="s">
        <v>2949</v>
      </c>
      <c r="B2879">
        <v>35</v>
      </c>
      <c r="C2879" t="s">
        <v>31</v>
      </c>
      <c r="D2879" t="s">
        <v>70</v>
      </c>
      <c r="E2879" s="1">
        <v>45220</v>
      </c>
      <c r="F2879" s="3">
        <v>45225</v>
      </c>
      <c r="G2879" t="s">
        <v>48</v>
      </c>
      <c r="H2879" t="s">
        <v>22</v>
      </c>
      <c r="I2879" t="s">
        <v>35</v>
      </c>
      <c r="J2879">
        <v>4485.6000000000004</v>
      </c>
      <c r="K2879">
        <v>5</v>
      </c>
      <c r="L2879" t="s">
        <v>24</v>
      </c>
      <c r="M2879" t="s">
        <v>25</v>
      </c>
      <c r="N2879" t="s">
        <v>55</v>
      </c>
      <c r="O2879" t="s">
        <v>56</v>
      </c>
      <c r="P2879" t="s">
        <v>38</v>
      </c>
      <c r="Q2879">
        <v>2</v>
      </c>
      <c r="R2879">
        <v>1139.6400000000001</v>
      </c>
      <c r="S2879" t="s">
        <v>29</v>
      </c>
    </row>
    <row r="2880" spans="1:19" x14ac:dyDescent="0.3">
      <c r="A2880" t="s">
        <v>2950</v>
      </c>
      <c r="B2880">
        <v>29</v>
      </c>
      <c r="C2880" t="s">
        <v>19</v>
      </c>
      <c r="D2880" t="s">
        <v>61</v>
      </c>
      <c r="E2880" s="1">
        <v>45433</v>
      </c>
      <c r="F2880" s="3">
        <v>45447</v>
      </c>
      <c r="G2880" t="s">
        <v>67</v>
      </c>
      <c r="H2880" t="s">
        <v>42</v>
      </c>
      <c r="I2880" t="s">
        <v>91</v>
      </c>
      <c r="J2880">
        <v>16521.7</v>
      </c>
      <c r="K2880">
        <v>14</v>
      </c>
      <c r="L2880" t="s">
        <v>24</v>
      </c>
      <c r="M2880" t="s">
        <v>25</v>
      </c>
      <c r="N2880" t="s">
        <v>26</v>
      </c>
      <c r="O2880" t="s">
        <v>49</v>
      </c>
      <c r="P2880" t="s">
        <v>28</v>
      </c>
      <c r="Q2880">
        <v>11</v>
      </c>
      <c r="R2880">
        <v>3771.7</v>
      </c>
      <c r="S2880" t="s">
        <v>29</v>
      </c>
    </row>
    <row r="2881" spans="1:19" x14ac:dyDescent="0.3">
      <c r="A2881" t="s">
        <v>2951</v>
      </c>
      <c r="B2881">
        <v>74</v>
      </c>
      <c r="C2881" t="s">
        <v>31</v>
      </c>
      <c r="D2881" t="s">
        <v>20</v>
      </c>
      <c r="E2881" s="1">
        <v>45516</v>
      </c>
      <c r="F2881" s="3">
        <v>45526</v>
      </c>
      <c r="G2881" t="s">
        <v>33</v>
      </c>
      <c r="H2881" t="s">
        <v>34</v>
      </c>
      <c r="I2881" t="s">
        <v>58</v>
      </c>
      <c r="J2881">
        <v>8480.99</v>
      </c>
      <c r="K2881">
        <v>10</v>
      </c>
      <c r="L2881" t="s">
        <v>36</v>
      </c>
      <c r="M2881" t="s">
        <v>25</v>
      </c>
      <c r="N2881" t="s">
        <v>55</v>
      </c>
      <c r="O2881" t="s">
        <v>56</v>
      </c>
      <c r="P2881" t="s">
        <v>28</v>
      </c>
      <c r="Q2881">
        <v>14</v>
      </c>
      <c r="R2881">
        <v>1321.99</v>
      </c>
      <c r="S2881" t="s">
        <v>29</v>
      </c>
    </row>
    <row r="2882" spans="1:19" x14ac:dyDescent="0.3">
      <c r="A2882" t="s">
        <v>2952</v>
      </c>
      <c r="B2882">
        <v>40</v>
      </c>
      <c r="C2882" t="s">
        <v>19</v>
      </c>
      <c r="D2882" t="s">
        <v>20</v>
      </c>
      <c r="E2882" s="1">
        <v>45544</v>
      </c>
      <c r="F2882" s="3">
        <v>45567</v>
      </c>
      <c r="G2882" t="s">
        <v>62</v>
      </c>
      <c r="H2882" t="s">
        <v>63</v>
      </c>
      <c r="I2882" t="s">
        <v>54</v>
      </c>
      <c r="J2882">
        <v>21760.880000000001</v>
      </c>
      <c r="K2882">
        <v>23</v>
      </c>
      <c r="L2882" t="s">
        <v>24</v>
      </c>
      <c r="M2882" t="s">
        <v>25</v>
      </c>
      <c r="N2882" t="s">
        <v>55</v>
      </c>
      <c r="O2882" t="s">
        <v>49</v>
      </c>
      <c r="P2882" t="s">
        <v>38</v>
      </c>
      <c r="Q2882">
        <v>1</v>
      </c>
      <c r="R2882">
        <v>8414.74</v>
      </c>
      <c r="S2882" t="s">
        <v>39</v>
      </c>
    </row>
    <row r="2883" spans="1:19" x14ac:dyDescent="0.3">
      <c r="A2883" t="s">
        <v>2953</v>
      </c>
      <c r="B2883">
        <v>48</v>
      </c>
      <c r="C2883" t="s">
        <v>31</v>
      </c>
      <c r="D2883" t="s">
        <v>47</v>
      </c>
      <c r="E2883" s="1">
        <v>45646</v>
      </c>
      <c r="F2883" s="3">
        <v>45656</v>
      </c>
      <c r="G2883" t="s">
        <v>62</v>
      </c>
      <c r="H2883" t="s">
        <v>63</v>
      </c>
      <c r="I2883" t="s">
        <v>54</v>
      </c>
      <c r="J2883">
        <v>4073.43</v>
      </c>
      <c r="K2883">
        <v>10</v>
      </c>
      <c r="L2883" t="s">
        <v>36</v>
      </c>
      <c r="M2883" t="s">
        <v>25</v>
      </c>
      <c r="N2883" t="s">
        <v>55</v>
      </c>
      <c r="O2883" t="s">
        <v>37</v>
      </c>
      <c r="P2883" t="s">
        <v>28</v>
      </c>
      <c r="Q2883">
        <v>4</v>
      </c>
      <c r="R2883">
        <v>1471.62</v>
      </c>
      <c r="S2883" t="s">
        <v>29</v>
      </c>
    </row>
    <row r="2884" spans="1:19" x14ac:dyDescent="0.3">
      <c r="A2884" t="s">
        <v>2954</v>
      </c>
      <c r="B2884">
        <v>79</v>
      </c>
      <c r="C2884" t="s">
        <v>31</v>
      </c>
      <c r="D2884" t="s">
        <v>89</v>
      </c>
      <c r="E2884" s="1">
        <v>45775</v>
      </c>
      <c r="F2884" s="3">
        <v>45795</v>
      </c>
      <c r="G2884" t="s">
        <v>67</v>
      </c>
      <c r="H2884" t="s">
        <v>42</v>
      </c>
      <c r="I2884" t="s">
        <v>23</v>
      </c>
      <c r="J2884">
        <v>13679.21</v>
      </c>
      <c r="K2884">
        <v>20</v>
      </c>
      <c r="L2884" t="s">
        <v>36</v>
      </c>
      <c r="M2884" t="s">
        <v>101</v>
      </c>
      <c r="N2884" t="s">
        <v>44</v>
      </c>
      <c r="O2884" t="s">
        <v>56</v>
      </c>
      <c r="P2884" t="s">
        <v>50</v>
      </c>
      <c r="Q2884">
        <v>5</v>
      </c>
      <c r="R2884">
        <v>4051.54</v>
      </c>
      <c r="S2884" t="s">
        <v>29</v>
      </c>
    </row>
    <row r="2885" spans="1:19" x14ac:dyDescent="0.3">
      <c r="A2885" t="s">
        <v>2955</v>
      </c>
      <c r="B2885">
        <v>89</v>
      </c>
      <c r="C2885" t="s">
        <v>31</v>
      </c>
      <c r="D2885" t="s">
        <v>70</v>
      </c>
      <c r="E2885" s="1">
        <v>45842</v>
      </c>
      <c r="F2885" s="3">
        <v>45856</v>
      </c>
      <c r="G2885" t="s">
        <v>48</v>
      </c>
      <c r="H2885" t="s">
        <v>22</v>
      </c>
      <c r="I2885" t="s">
        <v>81</v>
      </c>
      <c r="J2885">
        <v>10172.43</v>
      </c>
      <c r="K2885">
        <v>14</v>
      </c>
      <c r="L2885" t="s">
        <v>36</v>
      </c>
      <c r="M2885" t="s">
        <v>25</v>
      </c>
      <c r="N2885" t="s">
        <v>44</v>
      </c>
      <c r="O2885" t="s">
        <v>37</v>
      </c>
      <c r="P2885" t="s">
        <v>50</v>
      </c>
      <c r="Q2885">
        <v>3</v>
      </c>
      <c r="R2885">
        <v>1654.22</v>
      </c>
      <c r="S2885" t="s">
        <v>39</v>
      </c>
    </row>
    <row r="2886" spans="1:19" x14ac:dyDescent="0.3">
      <c r="A2886" t="s">
        <v>2956</v>
      </c>
      <c r="B2886">
        <v>35</v>
      </c>
      <c r="C2886" t="s">
        <v>19</v>
      </c>
      <c r="D2886" t="s">
        <v>70</v>
      </c>
      <c r="E2886" s="1">
        <v>45262</v>
      </c>
      <c r="F2886" s="3">
        <v>45282</v>
      </c>
      <c r="G2886" t="s">
        <v>74</v>
      </c>
      <c r="H2886" t="s">
        <v>75</v>
      </c>
      <c r="I2886" t="s">
        <v>81</v>
      </c>
      <c r="J2886">
        <v>5263.14</v>
      </c>
      <c r="K2886">
        <v>20</v>
      </c>
      <c r="L2886" t="s">
        <v>24</v>
      </c>
      <c r="M2886" t="s">
        <v>25</v>
      </c>
      <c r="N2886" t="s">
        <v>44</v>
      </c>
      <c r="O2886" t="s">
        <v>27</v>
      </c>
      <c r="P2886" t="s">
        <v>50</v>
      </c>
      <c r="Q2886">
        <v>6</v>
      </c>
      <c r="R2886">
        <v>1341.46</v>
      </c>
      <c r="S2886" t="s">
        <v>29</v>
      </c>
    </row>
    <row r="2887" spans="1:19" x14ac:dyDescent="0.3">
      <c r="A2887" t="s">
        <v>2957</v>
      </c>
      <c r="B2887">
        <v>30</v>
      </c>
      <c r="C2887" t="s">
        <v>31</v>
      </c>
      <c r="D2887" t="s">
        <v>61</v>
      </c>
      <c r="E2887" s="1">
        <v>45625</v>
      </c>
      <c r="F2887" s="3">
        <v>45633</v>
      </c>
      <c r="G2887" t="s">
        <v>41</v>
      </c>
      <c r="H2887" t="s">
        <v>42</v>
      </c>
      <c r="I2887" t="s">
        <v>83</v>
      </c>
      <c r="J2887">
        <v>4552.41</v>
      </c>
      <c r="K2887">
        <v>8</v>
      </c>
      <c r="L2887" t="s">
        <v>24</v>
      </c>
      <c r="M2887" t="s">
        <v>25</v>
      </c>
      <c r="N2887" t="s">
        <v>44</v>
      </c>
      <c r="O2887" t="s">
        <v>27</v>
      </c>
      <c r="P2887" t="s">
        <v>45</v>
      </c>
      <c r="Q2887">
        <v>11</v>
      </c>
      <c r="R2887">
        <v>1773.43</v>
      </c>
      <c r="S2887" t="s">
        <v>29</v>
      </c>
    </row>
    <row r="2888" spans="1:19" x14ac:dyDescent="0.3">
      <c r="A2888" t="s">
        <v>2958</v>
      </c>
      <c r="B2888">
        <v>90</v>
      </c>
      <c r="C2888" t="s">
        <v>31</v>
      </c>
      <c r="D2888" t="s">
        <v>89</v>
      </c>
      <c r="E2888" s="1">
        <v>45588</v>
      </c>
      <c r="F2888" s="3">
        <v>45591</v>
      </c>
      <c r="G2888" t="s">
        <v>52</v>
      </c>
      <c r="H2888" t="s">
        <v>53</v>
      </c>
      <c r="I2888" t="s">
        <v>23</v>
      </c>
      <c r="J2888">
        <v>1415.16</v>
      </c>
      <c r="K2888">
        <v>3</v>
      </c>
      <c r="L2888" t="s">
        <v>36</v>
      </c>
      <c r="M2888" t="s">
        <v>25</v>
      </c>
      <c r="N2888" t="s">
        <v>44</v>
      </c>
      <c r="O2888" t="s">
        <v>37</v>
      </c>
      <c r="P2888" t="s">
        <v>28</v>
      </c>
      <c r="Q2888">
        <v>15</v>
      </c>
      <c r="R2888">
        <v>314.98</v>
      </c>
      <c r="S2888" t="s">
        <v>29</v>
      </c>
    </row>
    <row r="2889" spans="1:19" x14ac:dyDescent="0.3">
      <c r="A2889" t="s">
        <v>2959</v>
      </c>
      <c r="B2889">
        <v>52</v>
      </c>
      <c r="C2889" t="s">
        <v>31</v>
      </c>
      <c r="D2889" t="s">
        <v>32</v>
      </c>
      <c r="E2889" s="1">
        <v>45420</v>
      </c>
      <c r="F2889" s="3">
        <v>45426</v>
      </c>
      <c r="G2889" t="s">
        <v>33</v>
      </c>
      <c r="H2889" t="s">
        <v>34</v>
      </c>
      <c r="I2889" t="s">
        <v>23</v>
      </c>
      <c r="J2889">
        <v>3582.25</v>
      </c>
      <c r="K2889">
        <v>6</v>
      </c>
      <c r="L2889" t="s">
        <v>24</v>
      </c>
      <c r="M2889" t="s">
        <v>25</v>
      </c>
      <c r="N2889" t="s">
        <v>44</v>
      </c>
      <c r="O2889" t="s">
        <v>27</v>
      </c>
      <c r="P2889" t="s">
        <v>45</v>
      </c>
      <c r="Q2889">
        <v>1</v>
      </c>
      <c r="R2889">
        <v>1158.69</v>
      </c>
      <c r="S2889" t="s">
        <v>29</v>
      </c>
    </row>
    <row r="2890" spans="1:19" x14ac:dyDescent="0.3">
      <c r="A2890" t="s">
        <v>2960</v>
      </c>
      <c r="B2890">
        <v>32</v>
      </c>
      <c r="C2890" t="s">
        <v>19</v>
      </c>
      <c r="D2890" t="s">
        <v>79</v>
      </c>
      <c r="E2890" s="1">
        <v>45719</v>
      </c>
      <c r="F2890" s="3">
        <v>45740</v>
      </c>
      <c r="G2890" t="s">
        <v>33</v>
      </c>
      <c r="H2890" t="s">
        <v>34</v>
      </c>
      <c r="I2890" t="s">
        <v>81</v>
      </c>
      <c r="J2890">
        <v>13280.25</v>
      </c>
      <c r="K2890">
        <v>21</v>
      </c>
      <c r="L2890" t="s">
        <v>36</v>
      </c>
      <c r="M2890" t="s">
        <v>25</v>
      </c>
      <c r="N2890" t="s">
        <v>26</v>
      </c>
      <c r="O2890" t="s">
        <v>49</v>
      </c>
      <c r="P2890" t="s">
        <v>45</v>
      </c>
      <c r="Q2890">
        <v>10</v>
      </c>
      <c r="R2890">
        <v>4568.08</v>
      </c>
      <c r="S2890" t="s">
        <v>29</v>
      </c>
    </row>
    <row r="2891" spans="1:19" x14ac:dyDescent="0.3">
      <c r="A2891" t="s">
        <v>2961</v>
      </c>
      <c r="B2891">
        <v>32</v>
      </c>
      <c r="C2891" t="s">
        <v>19</v>
      </c>
      <c r="D2891" t="s">
        <v>47</v>
      </c>
      <c r="E2891" s="1">
        <v>45176</v>
      </c>
      <c r="F2891" s="3">
        <v>45202</v>
      </c>
      <c r="G2891" t="s">
        <v>71</v>
      </c>
      <c r="H2891" t="s">
        <v>72</v>
      </c>
      <c r="I2891" t="s">
        <v>83</v>
      </c>
      <c r="J2891">
        <v>12666.72</v>
      </c>
      <c r="K2891">
        <v>26</v>
      </c>
      <c r="L2891" t="s">
        <v>36</v>
      </c>
      <c r="M2891" t="s">
        <v>101</v>
      </c>
      <c r="N2891" t="s">
        <v>44</v>
      </c>
      <c r="O2891" t="s">
        <v>49</v>
      </c>
      <c r="P2891" t="s">
        <v>38</v>
      </c>
      <c r="Q2891">
        <v>13</v>
      </c>
      <c r="R2891">
        <v>2787.68</v>
      </c>
      <c r="S2891" t="s">
        <v>29</v>
      </c>
    </row>
    <row r="2892" spans="1:19" x14ac:dyDescent="0.3">
      <c r="A2892" t="s">
        <v>2962</v>
      </c>
      <c r="B2892">
        <v>69</v>
      </c>
      <c r="C2892" t="s">
        <v>19</v>
      </c>
      <c r="D2892" t="s">
        <v>61</v>
      </c>
      <c r="E2892" s="1">
        <v>44946</v>
      </c>
      <c r="F2892" s="3">
        <v>44959</v>
      </c>
      <c r="G2892" t="s">
        <v>41</v>
      </c>
      <c r="H2892" t="s">
        <v>42</v>
      </c>
      <c r="I2892" t="s">
        <v>58</v>
      </c>
      <c r="J2892">
        <v>6167.82</v>
      </c>
      <c r="K2892">
        <v>13</v>
      </c>
      <c r="L2892" t="s">
        <v>24</v>
      </c>
      <c r="M2892" t="s">
        <v>25</v>
      </c>
      <c r="N2892" t="s">
        <v>26</v>
      </c>
      <c r="O2892" t="s">
        <v>27</v>
      </c>
      <c r="P2892" t="s">
        <v>45</v>
      </c>
      <c r="Q2892">
        <v>2</v>
      </c>
      <c r="R2892">
        <v>1960.94</v>
      </c>
      <c r="S2892" t="s">
        <v>29</v>
      </c>
    </row>
    <row r="2893" spans="1:19" x14ac:dyDescent="0.3">
      <c r="A2893" t="s">
        <v>2963</v>
      </c>
      <c r="B2893">
        <v>34</v>
      </c>
      <c r="C2893" t="s">
        <v>31</v>
      </c>
      <c r="D2893" t="s">
        <v>61</v>
      </c>
      <c r="E2893" s="1">
        <v>45108</v>
      </c>
      <c r="F2893" s="3">
        <v>45110</v>
      </c>
      <c r="G2893" t="s">
        <v>52</v>
      </c>
      <c r="H2893" t="s">
        <v>53</v>
      </c>
      <c r="I2893" t="s">
        <v>91</v>
      </c>
      <c r="J2893">
        <v>2699.79</v>
      </c>
      <c r="K2893">
        <v>2</v>
      </c>
      <c r="L2893" t="s">
        <v>24</v>
      </c>
      <c r="M2893" t="s">
        <v>25</v>
      </c>
      <c r="N2893" t="s">
        <v>55</v>
      </c>
      <c r="O2893" t="s">
        <v>56</v>
      </c>
      <c r="P2893" t="s">
        <v>50</v>
      </c>
      <c r="Q2893">
        <v>3</v>
      </c>
      <c r="R2893">
        <v>489.27</v>
      </c>
      <c r="S2893" t="s">
        <v>29</v>
      </c>
    </row>
    <row r="2894" spans="1:19" x14ac:dyDescent="0.3">
      <c r="A2894" t="s">
        <v>2964</v>
      </c>
      <c r="B2894">
        <v>28</v>
      </c>
      <c r="C2894" t="s">
        <v>31</v>
      </c>
      <c r="D2894" t="s">
        <v>32</v>
      </c>
      <c r="E2894" s="1">
        <v>45250</v>
      </c>
      <c r="F2894" s="3">
        <v>45265</v>
      </c>
      <c r="G2894" t="s">
        <v>48</v>
      </c>
      <c r="H2894" t="s">
        <v>22</v>
      </c>
      <c r="I2894" t="s">
        <v>54</v>
      </c>
      <c r="J2894">
        <v>9399.57</v>
      </c>
      <c r="K2894">
        <v>15</v>
      </c>
      <c r="L2894" t="s">
        <v>36</v>
      </c>
      <c r="M2894" t="s">
        <v>101</v>
      </c>
      <c r="N2894" t="s">
        <v>44</v>
      </c>
      <c r="O2894" t="s">
        <v>37</v>
      </c>
      <c r="P2894" t="s">
        <v>28</v>
      </c>
      <c r="Q2894">
        <v>12</v>
      </c>
      <c r="R2894">
        <v>2829.3</v>
      </c>
      <c r="S2894" t="s">
        <v>29</v>
      </c>
    </row>
    <row r="2895" spans="1:19" x14ac:dyDescent="0.3">
      <c r="A2895" t="s">
        <v>2965</v>
      </c>
      <c r="B2895">
        <v>19</v>
      </c>
      <c r="C2895" t="s">
        <v>19</v>
      </c>
      <c r="D2895" t="s">
        <v>47</v>
      </c>
      <c r="E2895" s="1">
        <v>45074</v>
      </c>
      <c r="F2895" s="3">
        <v>45097</v>
      </c>
      <c r="G2895" t="s">
        <v>41</v>
      </c>
      <c r="H2895" t="s">
        <v>42</v>
      </c>
      <c r="I2895" t="s">
        <v>91</v>
      </c>
      <c r="J2895">
        <v>15720.87</v>
      </c>
      <c r="K2895">
        <v>23</v>
      </c>
      <c r="L2895" t="s">
        <v>24</v>
      </c>
      <c r="M2895" t="s">
        <v>25</v>
      </c>
      <c r="N2895" t="s">
        <v>55</v>
      </c>
      <c r="O2895" t="s">
        <v>49</v>
      </c>
      <c r="P2895" t="s">
        <v>50</v>
      </c>
      <c r="Q2895">
        <v>3</v>
      </c>
      <c r="R2895">
        <v>4388.83</v>
      </c>
      <c r="S2895" t="s">
        <v>29</v>
      </c>
    </row>
    <row r="2896" spans="1:19" x14ac:dyDescent="0.3">
      <c r="A2896" t="s">
        <v>2966</v>
      </c>
      <c r="B2896">
        <v>58</v>
      </c>
      <c r="C2896" t="s">
        <v>31</v>
      </c>
      <c r="D2896" t="s">
        <v>79</v>
      </c>
      <c r="E2896" s="1">
        <v>45492</v>
      </c>
      <c r="F2896" s="3">
        <v>45504</v>
      </c>
      <c r="G2896" t="s">
        <v>52</v>
      </c>
      <c r="H2896" t="s">
        <v>53</v>
      </c>
      <c r="I2896" t="s">
        <v>81</v>
      </c>
      <c r="J2896">
        <v>14304.57</v>
      </c>
      <c r="K2896">
        <v>12</v>
      </c>
      <c r="L2896" t="s">
        <v>36</v>
      </c>
      <c r="M2896" t="s">
        <v>25</v>
      </c>
      <c r="N2896" t="s">
        <v>44</v>
      </c>
      <c r="O2896" t="s">
        <v>49</v>
      </c>
      <c r="P2896" t="s">
        <v>38</v>
      </c>
      <c r="Q2896">
        <v>8</v>
      </c>
      <c r="R2896">
        <v>3888.01</v>
      </c>
      <c r="S2896" t="s">
        <v>39</v>
      </c>
    </row>
    <row r="2897" spans="1:19" x14ac:dyDescent="0.3">
      <c r="A2897" t="s">
        <v>2967</v>
      </c>
      <c r="B2897">
        <v>33</v>
      </c>
      <c r="C2897" t="s">
        <v>19</v>
      </c>
      <c r="D2897" t="s">
        <v>70</v>
      </c>
      <c r="E2897" s="1">
        <v>45347</v>
      </c>
      <c r="F2897" s="3">
        <v>45357</v>
      </c>
      <c r="G2897" t="s">
        <v>48</v>
      </c>
      <c r="H2897" t="s">
        <v>22</v>
      </c>
      <c r="I2897" t="s">
        <v>35</v>
      </c>
      <c r="J2897">
        <v>10896.82</v>
      </c>
      <c r="K2897">
        <v>10</v>
      </c>
      <c r="L2897" t="s">
        <v>24</v>
      </c>
      <c r="M2897" t="s">
        <v>25</v>
      </c>
      <c r="N2897" t="s">
        <v>26</v>
      </c>
      <c r="O2897" t="s">
        <v>49</v>
      </c>
      <c r="P2897" t="s">
        <v>45</v>
      </c>
      <c r="Q2897">
        <v>7</v>
      </c>
      <c r="R2897">
        <v>2321.9499999999998</v>
      </c>
      <c r="S2897" t="s">
        <v>29</v>
      </c>
    </row>
    <row r="2898" spans="1:19" x14ac:dyDescent="0.3">
      <c r="A2898" t="s">
        <v>2968</v>
      </c>
      <c r="B2898">
        <v>69</v>
      </c>
      <c r="C2898" t="s">
        <v>31</v>
      </c>
      <c r="D2898" t="s">
        <v>61</v>
      </c>
      <c r="E2898" s="1">
        <v>45195</v>
      </c>
      <c r="F2898" s="3">
        <v>45200</v>
      </c>
      <c r="G2898" t="s">
        <v>93</v>
      </c>
      <c r="H2898" t="s">
        <v>72</v>
      </c>
      <c r="I2898" t="s">
        <v>43</v>
      </c>
      <c r="J2898">
        <v>8398.76</v>
      </c>
      <c r="K2898">
        <v>5</v>
      </c>
      <c r="L2898" t="s">
        <v>24</v>
      </c>
      <c r="M2898" t="s">
        <v>25</v>
      </c>
      <c r="N2898" t="s">
        <v>55</v>
      </c>
      <c r="O2898" t="s">
        <v>49</v>
      </c>
      <c r="P2898" t="s">
        <v>38</v>
      </c>
      <c r="Q2898">
        <v>10</v>
      </c>
      <c r="R2898">
        <v>2990.73</v>
      </c>
      <c r="S2898" t="s">
        <v>29</v>
      </c>
    </row>
    <row r="2899" spans="1:19" x14ac:dyDescent="0.3">
      <c r="A2899" t="s">
        <v>2969</v>
      </c>
      <c r="B2899">
        <v>44</v>
      </c>
      <c r="C2899" t="s">
        <v>31</v>
      </c>
      <c r="D2899" t="s">
        <v>66</v>
      </c>
      <c r="E2899" s="1">
        <v>45760</v>
      </c>
      <c r="F2899" s="3">
        <v>45767</v>
      </c>
      <c r="G2899" t="s">
        <v>71</v>
      </c>
      <c r="H2899" t="s">
        <v>72</v>
      </c>
      <c r="I2899" t="s">
        <v>83</v>
      </c>
      <c r="J2899">
        <v>2676.9</v>
      </c>
      <c r="K2899">
        <v>7</v>
      </c>
      <c r="L2899" t="s">
        <v>36</v>
      </c>
      <c r="M2899" t="s">
        <v>76</v>
      </c>
      <c r="N2899" t="s">
        <v>26</v>
      </c>
      <c r="O2899" t="s">
        <v>37</v>
      </c>
      <c r="P2899" t="s">
        <v>45</v>
      </c>
      <c r="Q2899">
        <v>13</v>
      </c>
      <c r="R2899">
        <v>1011.65</v>
      </c>
      <c r="S2899" t="s">
        <v>29</v>
      </c>
    </row>
    <row r="2900" spans="1:19" x14ac:dyDescent="0.3">
      <c r="A2900" t="s">
        <v>2970</v>
      </c>
      <c r="B2900">
        <v>25</v>
      </c>
      <c r="C2900" t="s">
        <v>31</v>
      </c>
      <c r="D2900" t="s">
        <v>79</v>
      </c>
      <c r="E2900" s="1">
        <v>45685</v>
      </c>
      <c r="F2900" s="3">
        <v>45695</v>
      </c>
      <c r="G2900" t="s">
        <v>33</v>
      </c>
      <c r="H2900" t="s">
        <v>34</v>
      </c>
      <c r="I2900" t="s">
        <v>91</v>
      </c>
      <c r="J2900">
        <v>3701.48</v>
      </c>
      <c r="K2900">
        <v>10</v>
      </c>
      <c r="L2900" t="s">
        <v>36</v>
      </c>
      <c r="M2900" t="s">
        <v>101</v>
      </c>
      <c r="N2900" t="s">
        <v>26</v>
      </c>
      <c r="O2900" t="s">
        <v>37</v>
      </c>
      <c r="P2900" t="s">
        <v>45</v>
      </c>
      <c r="Q2900">
        <v>3</v>
      </c>
      <c r="R2900">
        <v>1096.52</v>
      </c>
      <c r="S2900" t="s">
        <v>29</v>
      </c>
    </row>
    <row r="2901" spans="1:19" x14ac:dyDescent="0.3">
      <c r="A2901" t="s">
        <v>2971</v>
      </c>
      <c r="B2901">
        <v>55</v>
      </c>
      <c r="C2901" t="s">
        <v>19</v>
      </c>
      <c r="D2901" t="s">
        <v>32</v>
      </c>
      <c r="E2901" s="1">
        <v>45515</v>
      </c>
      <c r="F2901" s="3">
        <v>45528</v>
      </c>
      <c r="G2901" t="s">
        <v>74</v>
      </c>
      <c r="H2901" t="s">
        <v>75</v>
      </c>
      <c r="I2901" t="s">
        <v>23</v>
      </c>
      <c r="J2901">
        <v>14961.87</v>
      </c>
      <c r="K2901">
        <v>13</v>
      </c>
      <c r="L2901" t="s">
        <v>24</v>
      </c>
      <c r="M2901" t="s">
        <v>25</v>
      </c>
      <c r="N2901" t="s">
        <v>55</v>
      </c>
      <c r="O2901" t="s">
        <v>49</v>
      </c>
      <c r="P2901" t="s">
        <v>28</v>
      </c>
      <c r="Q2901">
        <v>12</v>
      </c>
      <c r="R2901">
        <v>3216.59</v>
      </c>
      <c r="S2901" t="s">
        <v>29</v>
      </c>
    </row>
    <row r="2902" spans="1:19" x14ac:dyDescent="0.3">
      <c r="A2902" t="s">
        <v>2972</v>
      </c>
      <c r="B2902">
        <v>43</v>
      </c>
      <c r="C2902" t="s">
        <v>31</v>
      </c>
      <c r="D2902" t="s">
        <v>89</v>
      </c>
      <c r="E2902" s="1">
        <v>45257</v>
      </c>
      <c r="F2902" s="3">
        <v>45276</v>
      </c>
      <c r="G2902" t="s">
        <v>48</v>
      </c>
      <c r="H2902" t="s">
        <v>22</v>
      </c>
      <c r="I2902" t="s">
        <v>35</v>
      </c>
      <c r="J2902">
        <v>5798.03</v>
      </c>
      <c r="K2902">
        <v>19</v>
      </c>
      <c r="L2902" t="s">
        <v>24</v>
      </c>
      <c r="M2902" t="s">
        <v>25</v>
      </c>
      <c r="N2902" t="s">
        <v>44</v>
      </c>
      <c r="O2902" t="s">
        <v>27</v>
      </c>
      <c r="P2902" t="s">
        <v>28</v>
      </c>
      <c r="Q2902">
        <v>4</v>
      </c>
      <c r="R2902">
        <v>997.79</v>
      </c>
      <c r="S2902" t="s">
        <v>29</v>
      </c>
    </row>
    <row r="2903" spans="1:19" x14ac:dyDescent="0.3">
      <c r="A2903" t="s">
        <v>2973</v>
      </c>
      <c r="B2903">
        <v>88</v>
      </c>
      <c r="C2903" t="s">
        <v>19</v>
      </c>
      <c r="D2903" t="s">
        <v>47</v>
      </c>
      <c r="E2903" s="1">
        <v>45769</v>
      </c>
      <c r="F2903" s="3">
        <v>45776</v>
      </c>
      <c r="G2903" t="s">
        <v>52</v>
      </c>
      <c r="H2903" t="s">
        <v>53</v>
      </c>
      <c r="I2903" t="s">
        <v>43</v>
      </c>
      <c r="J2903">
        <v>2119.3200000000002</v>
      </c>
      <c r="K2903">
        <v>7</v>
      </c>
      <c r="L2903" t="s">
        <v>36</v>
      </c>
      <c r="M2903" t="s">
        <v>25</v>
      </c>
      <c r="N2903" t="s">
        <v>55</v>
      </c>
      <c r="O2903" t="s">
        <v>27</v>
      </c>
      <c r="P2903" t="s">
        <v>38</v>
      </c>
      <c r="Q2903">
        <v>1</v>
      </c>
      <c r="R2903">
        <v>594.82000000000005</v>
      </c>
      <c r="S2903" t="s">
        <v>29</v>
      </c>
    </row>
    <row r="2904" spans="1:19" x14ac:dyDescent="0.3">
      <c r="A2904" t="s">
        <v>2974</v>
      </c>
      <c r="B2904">
        <v>22</v>
      </c>
      <c r="C2904" t="s">
        <v>19</v>
      </c>
      <c r="D2904" t="s">
        <v>66</v>
      </c>
      <c r="E2904" s="1">
        <v>45563</v>
      </c>
      <c r="F2904" s="3">
        <v>45583</v>
      </c>
      <c r="G2904" t="s">
        <v>48</v>
      </c>
      <c r="H2904" t="s">
        <v>22</v>
      </c>
      <c r="I2904" t="s">
        <v>43</v>
      </c>
      <c r="J2904">
        <v>12010.31</v>
      </c>
      <c r="K2904">
        <v>20</v>
      </c>
      <c r="L2904" t="s">
        <v>36</v>
      </c>
      <c r="M2904" t="s">
        <v>25</v>
      </c>
      <c r="N2904" t="s">
        <v>55</v>
      </c>
      <c r="O2904" t="s">
        <v>37</v>
      </c>
      <c r="P2904" t="s">
        <v>50</v>
      </c>
      <c r="Q2904">
        <v>10</v>
      </c>
      <c r="R2904">
        <v>2010.49</v>
      </c>
      <c r="S2904" t="s">
        <v>29</v>
      </c>
    </row>
    <row r="2905" spans="1:19" x14ac:dyDescent="0.3">
      <c r="A2905" t="s">
        <v>2975</v>
      </c>
      <c r="B2905">
        <v>36</v>
      </c>
      <c r="C2905" t="s">
        <v>19</v>
      </c>
      <c r="D2905" t="s">
        <v>70</v>
      </c>
      <c r="E2905" s="1">
        <v>45698</v>
      </c>
      <c r="F2905" s="3">
        <v>45703</v>
      </c>
      <c r="G2905" t="s">
        <v>67</v>
      </c>
      <c r="H2905" t="s">
        <v>42</v>
      </c>
      <c r="I2905" t="s">
        <v>91</v>
      </c>
      <c r="J2905">
        <v>2706.7</v>
      </c>
      <c r="K2905">
        <v>5</v>
      </c>
      <c r="L2905" t="s">
        <v>24</v>
      </c>
      <c r="M2905" t="s">
        <v>25</v>
      </c>
      <c r="N2905" t="s">
        <v>26</v>
      </c>
      <c r="O2905" t="s">
        <v>27</v>
      </c>
      <c r="P2905" t="s">
        <v>45</v>
      </c>
      <c r="Q2905">
        <v>1</v>
      </c>
      <c r="R2905">
        <v>718.51</v>
      </c>
      <c r="S2905" t="s">
        <v>29</v>
      </c>
    </row>
    <row r="2906" spans="1:19" x14ac:dyDescent="0.3">
      <c r="A2906" t="s">
        <v>2976</v>
      </c>
      <c r="B2906">
        <v>50</v>
      </c>
      <c r="C2906" t="s">
        <v>31</v>
      </c>
      <c r="D2906" t="s">
        <v>70</v>
      </c>
      <c r="E2906" s="1">
        <v>45328</v>
      </c>
      <c r="F2906" s="3">
        <v>45329</v>
      </c>
      <c r="G2906" t="s">
        <v>48</v>
      </c>
      <c r="H2906" t="s">
        <v>22</v>
      </c>
      <c r="I2906" t="s">
        <v>43</v>
      </c>
      <c r="J2906">
        <v>2197.8000000000002</v>
      </c>
      <c r="K2906">
        <v>1</v>
      </c>
      <c r="L2906" t="s">
        <v>24</v>
      </c>
      <c r="M2906" t="s">
        <v>25</v>
      </c>
      <c r="N2906" t="s">
        <v>44</v>
      </c>
      <c r="O2906" t="s">
        <v>27</v>
      </c>
      <c r="P2906" t="s">
        <v>28</v>
      </c>
      <c r="Q2906">
        <v>6</v>
      </c>
      <c r="R2906">
        <v>745.36</v>
      </c>
      <c r="S2906" t="s">
        <v>29</v>
      </c>
    </row>
    <row r="2907" spans="1:19" x14ac:dyDescent="0.3">
      <c r="A2907" t="s">
        <v>2977</v>
      </c>
      <c r="B2907">
        <v>75</v>
      </c>
      <c r="C2907" t="s">
        <v>19</v>
      </c>
      <c r="D2907" t="s">
        <v>66</v>
      </c>
      <c r="E2907" s="1">
        <v>45577</v>
      </c>
      <c r="F2907" s="3">
        <v>45596</v>
      </c>
      <c r="G2907" t="s">
        <v>93</v>
      </c>
      <c r="H2907" t="s">
        <v>72</v>
      </c>
      <c r="I2907" t="s">
        <v>35</v>
      </c>
      <c r="J2907">
        <v>7369.17</v>
      </c>
      <c r="K2907">
        <v>19</v>
      </c>
      <c r="L2907" t="s">
        <v>36</v>
      </c>
      <c r="M2907" t="s">
        <v>25</v>
      </c>
      <c r="N2907" t="s">
        <v>26</v>
      </c>
      <c r="O2907" t="s">
        <v>56</v>
      </c>
      <c r="P2907" t="s">
        <v>45</v>
      </c>
      <c r="Q2907">
        <v>10</v>
      </c>
      <c r="R2907">
        <v>2688.92</v>
      </c>
      <c r="S2907" t="s">
        <v>29</v>
      </c>
    </row>
    <row r="2908" spans="1:19" x14ac:dyDescent="0.3">
      <c r="A2908" t="s">
        <v>2978</v>
      </c>
      <c r="B2908">
        <v>41</v>
      </c>
      <c r="C2908" t="s">
        <v>31</v>
      </c>
      <c r="D2908" t="s">
        <v>89</v>
      </c>
      <c r="E2908" s="1">
        <v>45870</v>
      </c>
      <c r="F2908" s="3">
        <v>45877</v>
      </c>
      <c r="G2908" t="s">
        <v>41</v>
      </c>
      <c r="H2908" t="s">
        <v>42</v>
      </c>
      <c r="I2908" t="s">
        <v>54</v>
      </c>
      <c r="J2908">
        <v>2287.4499999999998</v>
      </c>
      <c r="K2908">
        <v>7</v>
      </c>
      <c r="L2908" t="s">
        <v>36</v>
      </c>
      <c r="M2908" t="s">
        <v>59</v>
      </c>
      <c r="N2908" t="s">
        <v>44</v>
      </c>
      <c r="O2908" t="s">
        <v>27</v>
      </c>
      <c r="P2908" t="s">
        <v>38</v>
      </c>
      <c r="Q2908">
        <v>4</v>
      </c>
      <c r="R2908">
        <v>581.48</v>
      </c>
      <c r="S2908" t="s">
        <v>29</v>
      </c>
    </row>
    <row r="2909" spans="1:19" x14ac:dyDescent="0.3">
      <c r="A2909" t="s">
        <v>2979</v>
      </c>
      <c r="B2909">
        <v>59</v>
      </c>
      <c r="C2909" t="s">
        <v>19</v>
      </c>
      <c r="D2909" t="s">
        <v>47</v>
      </c>
      <c r="E2909" s="1">
        <v>45564</v>
      </c>
      <c r="F2909" s="3">
        <v>45568</v>
      </c>
      <c r="G2909" t="s">
        <v>21</v>
      </c>
      <c r="H2909" t="s">
        <v>22</v>
      </c>
      <c r="I2909" t="s">
        <v>91</v>
      </c>
      <c r="J2909">
        <v>4591.46</v>
      </c>
      <c r="K2909">
        <v>4</v>
      </c>
      <c r="L2909" t="s">
        <v>24</v>
      </c>
      <c r="M2909" t="s">
        <v>59</v>
      </c>
      <c r="N2909" t="s">
        <v>55</v>
      </c>
      <c r="O2909" t="s">
        <v>56</v>
      </c>
      <c r="P2909" t="s">
        <v>28</v>
      </c>
      <c r="Q2909">
        <v>8</v>
      </c>
      <c r="R2909">
        <v>1048.8399999999999</v>
      </c>
      <c r="S2909" t="s">
        <v>29</v>
      </c>
    </row>
    <row r="2910" spans="1:19" x14ac:dyDescent="0.3">
      <c r="A2910" t="s">
        <v>2980</v>
      </c>
      <c r="B2910">
        <v>54</v>
      </c>
      <c r="C2910" t="s">
        <v>19</v>
      </c>
      <c r="D2910" t="s">
        <v>47</v>
      </c>
      <c r="E2910" s="1">
        <v>45186</v>
      </c>
      <c r="F2910" s="3">
        <v>45191</v>
      </c>
      <c r="G2910" t="s">
        <v>93</v>
      </c>
      <c r="H2910" t="s">
        <v>72</v>
      </c>
      <c r="I2910" t="s">
        <v>91</v>
      </c>
      <c r="J2910">
        <v>5570.56</v>
      </c>
      <c r="K2910">
        <v>5</v>
      </c>
      <c r="L2910" t="s">
        <v>24</v>
      </c>
      <c r="M2910" t="s">
        <v>76</v>
      </c>
      <c r="N2910" t="s">
        <v>26</v>
      </c>
      <c r="O2910" t="s">
        <v>37</v>
      </c>
      <c r="P2910" t="s">
        <v>50</v>
      </c>
      <c r="Q2910">
        <v>7</v>
      </c>
      <c r="R2910">
        <v>2088.02</v>
      </c>
      <c r="S2910" t="s">
        <v>29</v>
      </c>
    </row>
    <row r="2911" spans="1:19" x14ac:dyDescent="0.3">
      <c r="A2911" t="s">
        <v>2981</v>
      </c>
      <c r="B2911">
        <v>66</v>
      </c>
      <c r="C2911" t="s">
        <v>19</v>
      </c>
      <c r="D2911" t="s">
        <v>47</v>
      </c>
      <c r="E2911" s="1">
        <v>44965</v>
      </c>
      <c r="F2911" s="3">
        <v>44981</v>
      </c>
      <c r="G2911" t="s">
        <v>33</v>
      </c>
      <c r="H2911" t="s">
        <v>34</v>
      </c>
      <c r="I2911" t="s">
        <v>43</v>
      </c>
      <c r="J2911">
        <v>13809.28</v>
      </c>
      <c r="K2911">
        <v>16</v>
      </c>
      <c r="L2911" t="s">
        <v>24</v>
      </c>
      <c r="M2911" t="s">
        <v>25</v>
      </c>
      <c r="N2911" t="s">
        <v>44</v>
      </c>
      <c r="O2911" t="s">
        <v>49</v>
      </c>
      <c r="P2911" t="s">
        <v>50</v>
      </c>
      <c r="Q2911">
        <v>9</v>
      </c>
      <c r="R2911">
        <v>3869.93</v>
      </c>
      <c r="S2911" t="s">
        <v>29</v>
      </c>
    </row>
    <row r="2912" spans="1:19" x14ac:dyDescent="0.3">
      <c r="A2912" t="s">
        <v>2982</v>
      </c>
      <c r="B2912">
        <v>33</v>
      </c>
      <c r="C2912" t="s">
        <v>31</v>
      </c>
      <c r="D2912" t="s">
        <v>32</v>
      </c>
      <c r="E2912" s="1">
        <v>45374</v>
      </c>
      <c r="F2912" s="3">
        <v>45404</v>
      </c>
      <c r="G2912" t="s">
        <v>62</v>
      </c>
      <c r="H2912" t="s">
        <v>63</v>
      </c>
      <c r="I2912" t="s">
        <v>91</v>
      </c>
      <c r="J2912">
        <v>25723.71</v>
      </c>
      <c r="K2912">
        <v>30</v>
      </c>
      <c r="L2912" t="s">
        <v>24</v>
      </c>
      <c r="M2912" t="s">
        <v>101</v>
      </c>
      <c r="N2912" t="s">
        <v>44</v>
      </c>
      <c r="O2912" t="s">
        <v>49</v>
      </c>
      <c r="P2912" t="s">
        <v>45</v>
      </c>
      <c r="Q2912">
        <v>10</v>
      </c>
      <c r="R2912">
        <v>4802.3100000000004</v>
      </c>
      <c r="S2912" t="s">
        <v>29</v>
      </c>
    </row>
    <row r="2913" spans="1:19" x14ac:dyDescent="0.3">
      <c r="A2913" t="s">
        <v>2983</v>
      </c>
      <c r="B2913">
        <v>43</v>
      </c>
      <c r="C2913" t="s">
        <v>31</v>
      </c>
      <c r="D2913" t="s">
        <v>89</v>
      </c>
      <c r="E2913" s="1">
        <v>45547</v>
      </c>
      <c r="F2913" s="3">
        <v>45561</v>
      </c>
      <c r="G2913" t="s">
        <v>48</v>
      </c>
      <c r="H2913" t="s">
        <v>22</v>
      </c>
      <c r="I2913" t="s">
        <v>35</v>
      </c>
      <c r="J2913">
        <v>5805.53</v>
      </c>
      <c r="K2913">
        <v>14</v>
      </c>
      <c r="L2913" t="s">
        <v>36</v>
      </c>
      <c r="M2913" t="s">
        <v>25</v>
      </c>
      <c r="N2913" t="s">
        <v>26</v>
      </c>
      <c r="O2913" t="s">
        <v>56</v>
      </c>
      <c r="P2913" t="s">
        <v>28</v>
      </c>
      <c r="Q2913">
        <v>14</v>
      </c>
      <c r="R2913">
        <v>1980.91</v>
      </c>
      <c r="S2913" t="s">
        <v>29</v>
      </c>
    </row>
    <row r="2914" spans="1:19" x14ac:dyDescent="0.3">
      <c r="A2914" t="s">
        <v>2984</v>
      </c>
      <c r="B2914">
        <v>20</v>
      </c>
      <c r="C2914" t="s">
        <v>19</v>
      </c>
      <c r="D2914" t="s">
        <v>70</v>
      </c>
      <c r="E2914" s="1">
        <v>45113</v>
      </c>
      <c r="F2914" s="3">
        <v>45133</v>
      </c>
      <c r="G2914" t="s">
        <v>48</v>
      </c>
      <c r="H2914" t="s">
        <v>22</v>
      </c>
      <c r="I2914" t="s">
        <v>54</v>
      </c>
      <c r="J2914">
        <v>12542.23</v>
      </c>
      <c r="K2914">
        <v>20</v>
      </c>
      <c r="L2914" t="s">
        <v>24</v>
      </c>
      <c r="M2914" t="s">
        <v>59</v>
      </c>
      <c r="N2914" t="s">
        <v>55</v>
      </c>
      <c r="O2914" t="s">
        <v>56</v>
      </c>
      <c r="P2914" t="s">
        <v>28</v>
      </c>
      <c r="Q2914">
        <v>10</v>
      </c>
      <c r="R2914">
        <v>2682.2</v>
      </c>
      <c r="S2914" t="s">
        <v>29</v>
      </c>
    </row>
    <row r="2915" spans="1:19" x14ac:dyDescent="0.3">
      <c r="A2915" t="s">
        <v>2985</v>
      </c>
      <c r="B2915">
        <v>32</v>
      </c>
      <c r="C2915" t="s">
        <v>31</v>
      </c>
      <c r="D2915" t="s">
        <v>89</v>
      </c>
      <c r="E2915" s="1">
        <v>45833</v>
      </c>
      <c r="F2915" s="3">
        <v>45841</v>
      </c>
      <c r="G2915" t="s">
        <v>48</v>
      </c>
      <c r="H2915" t="s">
        <v>22</v>
      </c>
      <c r="I2915" t="s">
        <v>83</v>
      </c>
      <c r="J2915">
        <v>7865.49</v>
      </c>
      <c r="K2915">
        <v>8</v>
      </c>
      <c r="L2915" t="s">
        <v>24</v>
      </c>
      <c r="M2915" t="s">
        <v>25</v>
      </c>
      <c r="N2915" t="s">
        <v>44</v>
      </c>
      <c r="O2915" t="s">
        <v>37</v>
      </c>
      <c r="P2915" t="s">
        <v>45</v>
      </c>
      <c r="Q2915">
        <v>9</v>
      </c>
      <c r="R2915">
        <v>2554.48</v>
      </c>
      <c r="S2915" t="s">
        <v>29</v>
      </c>
    </row>
    <row r="2916" spans="1:19" x14ac:dyDescent="0.3">
      <c r="A2916" t="s">
        <v>2986</v>
      </c>
      <c r="B2916">
        <v>63</v>
      </c>
      <c r="C2916" t="s">
        <v>31</v>
      </c>
      <c r="D2916" t="s">
        <v>79</v>
      </c>
      <c r="E2916" s="1">
        <v>44964</v>
      </c>
      <c r="F2916" s="3">
        <v>44980</v>
      </c>
      <c r="G2916" t="s">
        <v>62</v>
      </c>
      <c r="H2916" t="s">
        <v>63</v>
      </c>
      <c r="I2916" t="s">
        <v>23</v>
      </c>
      <c r="J2916">
        <v>2961.47</v>
      </c>
      <c r="K2916">
        <v>16</v>
      </c>
      <c r="L2916" t="s">
        <v>36</v>
      </c>
      <c r="M2916" t="s">
        <v>25</v>
      </c>
      <c r="N2916" t="s">
        <v>55</v>
      </c>
      <c r="O2916" t="s">
        <v>56</v>
      </c>
      <c r="P2916" t="s">
        <v>28</v>
      </c>
      <c r="Q2916">
        <v>10</v>
      </c>
      <c r="R2916">
        <v>796.93</v>
      </c>
      <c r="S2916" t="s">
        <v>29</v>
      </c>
    </row>
    <row r="2917" spans="1:19" x14ac:dyDescent="0.3">
      <c r="A2917" t="s">
        <v>2987</v>
      </c>
      <c r="B2917">
        <v>90</v>
      </c>
      <c r="C2917" t="s">
        <v>31</v>
      </c>
      <c r="D2917" t="s">
        <v>47</v>
      </c>
      <c r="E2917" s="1">
        <v>45691</v>
      </c>
      <c r="F2917" s="3">
        <v>45701</v>
      </c>
      <c r="G2917" t="s">
        <v>93</v>
      </c>
      <c r="H2917" t="s">
        <v>72</v>
      </c>
      <c r="I2917" t="s">
        <v>58</v>
      </c>
      <c r="J2917">
        <v>12676.22</v>
      </c>
      <c r="K2917">
        <v>10</v>
      </c>
      <c r="L2917" t="s">
        <v>24</v>
      </c>
      <c r="M2917" t="s">
        <v>76</v>
      </c>
      <c r="N2917" t="s">
        <v>26</v>
      </c>
      <c r="O2917" t="s">
        <v>49</v>
      </c>
      <c r="P2917" t="s">
        <v>45</v>
      </c>
      <c r="Q2917">
        <v>4</v>
      </c>
      <c r="R2917">
        <v>4627.0200000000004</v>
      </c>
      <c r="S2917" t="s">
        <v>29</v>
      </c>
    </row>
    <row r="2918" spans="1:19" x14ac:dyDescent="0.3">
      <c r="A2918" t="s">
        <v>2988</v>
      </c>
      <c r="B2918">
        <v>68</v>
      </c>
      <c r="C2918" t="s">
        <v>19</v>
      </c>
      <c r="D2918" t="s">
        <v>66</v>
      </c>
      <c r="E2918" s="1">
        <v>45756</v>
      </c>
      <c r="F2918" s="3">
        <v>45773</v>
      </c>
      <c r="G2918" t="s">
        <v>62</v>
      </c>
      <c r="H2918" t="s">
        <v>63</v>
      </c>
      <c r="I2918" t="s">
        <v>43</v>
      </c>
      <c r="J2918">
        <v>6561.34</v>
      </c>
      <c r="K2918">
        <v>17</v>
      </c>
      <c r="L2918" t="s">
        <v>24</v>
      </c>
      <c r="M2918" t="s">
        <v>25</v>
      </c>
      <c r="N2918" t="s">
        <v>26</v>
      </c>
      <c r="O2918" t="s">
        <v>37</v>
      </c>
      <c r="P2918" t="s">
        <v>50</v>
      </c>
      <c r="Q2918">
        <v>9</v>
      </c>
      <c r="R2918">
        <v>1155.6400000000001</v>
      </c>
      <c r="S2918" t="s">
        <v>39</v>
      </c>
    </row>
    <row r="2919" spans="1:19" x14ac:dyDescent="0.3">
      <c r="A2919" t="s">
        <v>2989</v>
      </c>
      <c r="B2919">
        <v>70</v>
      </c>
      <c r="C2919" t="s">
        <v>31</v>
      </c>
      <c r="D2919" t="s">
        <v>70</v>
      </c>
      <c r="E2919" s="1">
        <v>45743</v>
      </c>
      <c r="F2919" s="3">
        <v>45748</v>
      </c>
      <c r="G2919" t="s">
        <v>71</v>
      </c>
      <c r="H2919" t="s">
        <v>72</v>
      </c>
      <c r="I2919" t="s">
        <v>54</v>
      </c>
      <c r="J2919">
        <v>4180.0600000000004</v>
      </c>
      <c r="K2919">
        <v>5</v>
      </c>
      <c r="L2919" t="s">
        <v>24</v>
      </c>
      <c r="M2919" t="s">
        <v>59</v>
      </c>
      <c r="N2919" t="s">
        <v>55</v>
      </c>
      <c r="O2919" t="s">
        <v>56</v>
      </c>
      <c r="P2919" t="s">
        <v>50</v>
      </c>
      <c r="Q2919">
        <v>15</v>
      </c>
      <c r="R2919">
        <v>664.21</v>
      </c>
      <c r="S2919" t="s">
        <v>29</v>
      </c>
    </row>
    <row r="2920" spans="1:19" x14ac:dyDescent="0.3">
      <c r="A2920" t="s">
        <v>2990</v>
      </c>
      <c r="B2920">
        <v>18</v>
      </c>
      <c r="C2920" t="s">
        <v>31</v>
      </c>
      <c r="D2920" t="s">
        <v>79</v>
      </c>
      <c r="E2920" s="1">
        <v>45130</v>
      </c>
      <c r="F2920" s="3">
        <v>45131</v>
      </c>
      <c r="G2920" t="s">
        <v>71</v>
      </c>
      <c r="H2920" t="s">
        <v>72</v>
      </c>
      <c r="I2920" t="s">
        <v>91</v>
      </c>
      <c r="J2920">
        <v>2973.7</v>
      </c>
      <c r="K2920">
        <v>1</v>
      </c>
      <c r="L2920" t="s">
        <v>24</v>
      </c>
      <c r="M2920" t="s">
        <v>25</v>
      </c>
      <c r="N2920" t="s">
        <v>44</v>
      </c>
      <c r="O2920" t="s">
        <v>56</v>
      </c>
      <c r="P2920" t="s">
        <v>28</v>
      </c>
      <c r="Q2920">
        <v>1</v>
      </c>
      <c r="R2920">
        <v>634.79</v>
      </c>
      <c r="S2920" t="s">
        <v>29</v>
      </c>
    </row>
    <row r="2921" spans="1:19" x14ac:dyDescent="0.3">
      <c r="A2921" t="s">
        <v>2991</v>
      </c>
      <c r="B2921">
        <v>58</v>
      </c>
      <c r="C2921" t="s">
        <v>31</v>
      </c>
      <c r="D2921" t="s">
        <v>89</v>
      </c>
      <c r="E2921" s="1">
        <v>45841</v>
      </c>
      <c r="F2921" s="3">
        <v>45846</v>
      </c>
      <c r="G2921" t="s">
        <v>33</v>
      </c>
      <c r="H2921" t="s">
        <v>34</v>
      </c>
      <c r="I2921" t="s">
        <v>35</v>
      </c>
      <c r="J2921">
        <v>10812.46</v>
      </c>
      <c r="K2921">
        <v>5</v>
      </c>
      <c r="L2921" t="s">
        <v>36</v>
      </c>
      <c r="M2921" t="s">
        <v>25</v>
      </c>
      <c r="N2921" t="s">
        <v>55</v>
      </c>
      <c r="O2921" t="s">
        <v>49</v>
      </c>
      <c r="P2921" t="s">
        <v>38</v>
      </c>
      <c r="Q2921">
        <v>15</v>
      </c>
      <c r="R2921">
        <v>4112.43</v>
      </c>
      <c r="S2921" t="s">
        <v>29</v>
      </c>
    </row>
    <row r="2922" spans="1:19" x14ac:dyDescent="0.3">
      <c r="A2922" t="s">
        <v>2992</v>
      </c>
      <c r="B2922">
        <v>57</v>
      </c>
      <c r="C2922" t="s">
        <v>19</v>
      </c>
      <c r="D2922" t="s">
        <v>79</v>
      </c>
      <c r="E2922" s="1">
        <v>45168</v>
      </c>
      <c r="F2922" s="3">
        <v>45180</v>
      </c>
      <c r="G2922" t="s">
        <v>67</v>
      </c>
      <c r="H2922" t="s">
        <v>42</v>
      </c>
      <c r="I2922" t="s">
        <v>81</v>
      </c>
      <c r="J2922">
        <v>5415.63</v>
      </c>
      <c r="K2922">
        <v>12</v>
      </c>
      <c r="L2922" t="s">
        <v>36</v>
      </c>
      <c r="M2922" t="s">
        <v>25</v>
      </c>
      <c r="N2922" t="s">
        <v>55</v>
      </c>
      <c r="O2922" t="s">
        <v>56</v>
      </c>
      <c r="P2922" t="s">
        <v>28</v>
      </c>
      <c r="Q2922">
        <v>8</v>
      </c>
      <c r="R2922">
        <v>1786.62</v>
      </c>
      <c r="S2922" t="s">
        <v>39</v>
      </c>
    </row>
    <row r="2923" spans="1:19" x14ac:dyDescent="0.3">
      <c r="A2923" t="s">
        <v>2993</v>
      </c>
      <c r="B2923">
        <v>26</v>
      </c>
      <c r="C2923" t="s">
        <v>19</v>
      </c>
      <c r="D2923" t="s">
        <v>79</v>
      </c>
      <c r="E2923" s="1">
        <v>45066</v>
      </c>
      <c r="F2923" s="3">
        <v>45085</v>
      </c>
      <c r="G2923" t="s">
        <v>52</v>
      </c>
      <c r="H2923" t="s">
        <v>53</v>
      </c>
      <c r="I2923" t="s">
        <v>81</v>
      </c>
      <c r="J2923">
        <v>12694.26</v>
      </c>
      <c r="K2923">
        <v>19</v>
      </c>
      <c r="L2923" t="s">
        <v>36</v>
      </c>
      <c r="M2923" t="s">
        <v>25</v>
      </c>
      <c r="N2923" t="s">
        <v>44</v>
      </c>
      <c r="O2923" t="s">
        <v>49</v>
      </c>
      <c r="P2923" t="s">
        <v>50</v>
      </c>
      <c r="Q2923">
        <v>15</v>
      </c>
      <c r="R2923">
        <v>4064.72</v>
      </c>
      <c r="S2923" t="s">
        <v>29</v>
      </c>
    </row>
    <row r="2924" spans="1:19" x14ac:dyDescent="0.3">
      <c r="A2924" t="s">
        <v>2994</v>
      </c>
      <c r="B2924">
        <v>75</v>
      </c>
      <c r="C2924" t="s">
        <v>31</v>
      </c>
      <c r="D2924" t="s">
        <v>79</v>
      </c>
      <c r="E2924" s="1">
        <v>45618</v>
      </c>
      <c r="F2924" s="3">
        <v>45627</v>
      </c>
      <c r="G2924" t="s">
        <v>71</v>
      </c>
      <c r="H2924" t="s">
        <v>72</v>
      </c>
      <c r="I2924" t="s">
        <v>43</v>
      </c>
      <c r="J2924">
        <v>4409.26</v>
      </c>
      <c r="K2924">
        <v>9</v>
      </c>
      <c r="L2924" t="s">
        <v>36</v>
      </c>
      <c r="M2924" t="s">
        <v>101</v>
      </c>
      <c r="N2924" t="s">
        <v>26</v>
      </c>
      <c r="O2924" t="s">
        <v>56</v>
      </c>
      <c r="P2924" t="s">
        <v>28</v>
      </c>
      <c r="Q2924">
        <v>1</v>
      </c>
      <c r="R2924">
        <v>1114.0899999999999</v>
      </c>
      <c r="S2924" t="s">
        <v>29</v>
      </c>
    </row>
    <row r="2925" spans="1:19" x14ac:dyDescent="0.3">
      <c r="A2925" t="s">
        <v>2995</v>
      </c>
      <c r="B2925">
        <v>81</v>
      </c>
      <c r="C2925" t="s">
        <v>31</v>
      </c>
      <c r="D2925" t="s">
        <v>79</v>
      </c>
      <c r="E2925" s="1">
        <v>45749</v>
      </c>
      <c r="F2925" s="3">
        <v>45755</v>
      </c>
      <c r="G2925" t="s">
        <v>74</v>
      </c>
      <c r="H2925" t="s">
        <v>75</v>
      </c>
      <c r="I2925" t="s">
        <v>58</v>
      </c>
      <c r="J2925">
        <v>3785.89</v>
      </c>
      <c r="K2925">
        <v>6</v>
      </c>
      <c r="L2925" t="s">
        <v>24</v>
      </c>
      <c r="M2925" t="s">
        <v>25</v>
      </c>
      <c r="N2925" t="s">
        <v>55</v>
      </c>
      <c r="O2925" t="s">
        <v>37</v>
      </c>
      <c r="P2925" t="s">
        <v>28</v>
      </c>
      <c r="Q2925">
        <v>9</v>
      </c>
      <c r="R2925">
        <v>1257.6400000000001</v>
      </c>
      <c r="S2925" t="s">
        <v>39</v>
      </c>
    </row>
    <row r="2926" spans="1:19" x14ac:dyDescent="0.3">
      <c r="A2926" t="s">
        <v>2996</v>
      </c>
      <c r="B2926">
        <v>18</v>
      </c>
      <c r="C2926" t="s">
        <v>19</v>
      </c>
      <c r="D2926" t="s">
        <v>79</v>
      </c>
      <c r="E2926" s="1">
        <v>45278</v>
      </c>
      <c r="F2926" s="3">
        <v>45281</v>
      </c>
      <c r="G2926" t="s">
        <v>62</v>
      </c>
      <c r="H2926" t="s">
        <v>63</v>
      </c>
      <c r="I2926" t="s">
        <v>43</v>
      </c>
      <c r="J2926">
        <v>3270.69</v>
      </c>
      <c r="K2926">
        <v>3</v>
      </c>
      <c r="L2926" t="s">
        <v>24</v>
      </c>
      <c r="M2926" t="s">
        <v>25</v>
      </c>
      <c r="N2926" t="s">
        <v>44</v>
      </c>
      <c r="O2926" t="s">
        <v>27</v>
      </c>
      <c r="P2926" t="s">
        <v>38</v>
      </c>
      <c r="Q2926">
        <v>10</v>
      </c>
      <c r="R2926">
        <v>706.2</v>
      </c>
      <c r="S2926" t="s">
        <v>29</v>
      </c>
    </row>
    <row r="2927" spans="1:19" x14ac:dyDescent="0.3">
      <c r="A2927" t="s">
        <v>2997</v>
      </c>
      <c r="B2927">
        <v>36</v>
      </c>
      <c r="C2927" t="s">
        <v>31</v>
      </c>
      <c r="D2927" t="s">
        <v>70</v>
      </c>
      <c r="E2927" s="1">
        <v>45004</v>
      </c>
      <c r="F2927" s="3">
        <v>45008</v>
      </c>
      <c r="G2927" t="s">
        <v>52</v>
      </c>
      <c r="H2927" t="s">
        <v>53</v>
      </c>
      <c r="I2927" t="s">
        <v>58</v>
      </c>
      <c r="J2927">
        <v>3243.44</v>
      </c>
      <c r="K2927">
        <v>4</v>
      </c>
      <c r="L2927" t="s">
        <v>24</v>
      </c>
      <c r="M2927" t="s">
        <v>25</v>
      </c>
      <c r="N2927" t="s">
        <v>26</v>
      </c>
      <c r="O2927" t="s">
        <v>37</v>
      </c>
      <c r="P2927" t="s">
        <v>38</v>
      </c>
      <c r="Q2927">
        <v>13</v>
      </c>
      <c r="R2927">
        <v>1013.19</v>
      </c>
      <c r="S2927" t="s">
        <v>39</v>
      </c>
    </row>
    <row r="2928" spans="1:19" x14ac:dyDescent="0.3">
      <c r="A2928" t="s">
        <v>2998</v>
      </c>
      <c r="B2928">
        <v>80</v>
      </c>
      <c r="C2928" t="s">
        <v>19</v>
      </c>
      <c r="D2928" t="s">
        <v>79</v>
      </c>
      <c r="E2928" s="1">
        <v>45459</v>
      </c>
      <c r="F2928" s="3">
        <v>45460</v>
      </c>
      <c r="G2928" t="s">
        <v>52</v>
      </c>
      <c r="H2928" t="s">
        <v>53</v>
      </c>
      <c r="I2928" t="s">
        <v>58</v>
      </c>
      <c r="J2928">
        <v>1760.03</v>
      </c>
      <c r="K2928">
        <v>1</v>
      </c>
      <c r="L2928" t="s">
        <v>24</v>
      </c>
      <c r="M2928" t="s">
        <v>25</v>
      </c>
      <c r="N2928" t="s">
        <v>44</v>
      </c>
      <c r="O2928" t="s">
        <v>56</v>
      </c>
      <c r="P2928" t="s">
        <v>45</v>
      </c>
      <c r="Q2928">
        <v>5</v>
      </c>
      <c r="R2928">
        <v>448.74</v>
      </c>
      <c r="S2928" t="s">
        <v>29</v>
      </c>
    </row>
    <row r="2929" spans="1:19" x14ac:dyDescent="0.3">
      <c r="A2929" t="s">
        <v>2999</v>
      </c>
      <c r="B2929">
        <v>19</v>
      </c>
      <c r="C2929" t="s">
        <v>31</v>
      </c>
      <c r="D2929" t="s">
        <v>70</v>
      </c>
      <c r="E2929" s="1">
        <v>45653</v>
      </c>
      <c r="F2929" s="3">
        <v>45662</v>
      </c>
      <c r="G2929" t="s">
        <v>74</v>
      </c>
      <c r="H2929" t="s">
        <v>75</v>
      </c>
      <c r="I2929" t="s">
        <v>35</v>
      </c>
      <c r="J2929">
        <v>6799.4</v>
      </c>
      <c r="K2929">
        <v>9</v>
      </c>
      <c r="L2929" t="s">
        <v>24</v>
      </c>
      <c r="M2929" t="s">
        <v>25</v>
      </c>
      <c r="N2929" t="s">
        <v>55</v>
      </c>
      <c r="O2929" t="s">
        <v>37</v>
      </c>
      <c r="P2929" t="s">
        <v>45</v>
      </c>
      <c r="Q2929">
        <v>15</v>
      </c>
      <c r="R2929">
        <v>1583.36</v>
      </c>
      <c r="S2929" t="s">
        <v>29</v>
      </c>
    </row>
    <row r="2930" spans="1:19" x14ac:dyDescent="0.3">
      <c r="A2930" t="s">
        <v>3000</v>
      </c>
      <c r="B2930">
        <v>72</v>
      </c>
      <c r="C2930" t="s">
        <v>19</v>
      </c>
      <c r="D2930" t="s">
        <v>32</v>
      </c>
      <c r="E2930" s="1">
        <v>45248</v>
      </c>
      <c r="F2930" s="3">
        <v>45253</v>
      </c>
      <c r="G2930" t="s">
        <v>93</v>
      </c>
      <c r="H2930" t="s">
        <v>72</v>
      </c>
      <c r="I2930" t="s">
        <v>23</v>
      </c>
      <c r="J2930">
        <v>5023.2</v>
      </c>
      <c r="K2930">
        <v>5</v>
      </c>
      <c r="L2930" t="s">
        <v>24</v>
      </c>
      <c r="M2930" t="s">
        <v>25</v>
      </c>
      <c r="N2930" t="s">
        <v>26</v>
      </c>
      <c r="O2930" t="s">
        <v>27</v>
      </c>
      <c r="P2930" t="s">
        <v>45</v>
      </c>
      <c r="Q2930">
        <v>7</v>
      </c>
      <c r="R2930">
        <v>1250.01</v>
      </c>
      <c r="S2930" t="s">
        <v>29</v>
      </c>
    </row>
    <row r="2931" spans="1:19" x14ac:dyDescent="0.3">
      <c r="A2931" t="s">
        <v>3001</v>
      </c>
      <c r="B2931">
        <v>72</v>
      </c>
      <c r="C2931" t="s">
        <v>31</v>
      </c>
      <c r="D2931" t="s">
        <v>61</v>
      </c>
      <c r="E2931" s="1">
        <v>45693</v>
      </c>
      <c r="F2931" s="3">
        <v>45697</v>
      </c>
      <c r="G2931" t="s">
        <v>74</v>
      </c>
      <c r="H2931" t="s">
        <v>75</v>
      </c>
      <c r="I2931" t="s">
        <v>83</v>
      </c>
      <c r="J2931">
        <v>3093.77</v>
      </c>
      <c r="K2931">
        <v>4</v>
      </c>
      <c r="L2931" t="s">
        <v>24</v>
      </c>
      <c r="M2931" t="s">
        <v>25</v>
      </c>
      <c r="N2931" t="s">
        <v>44</v>
      </c>
      <c r="O2931" t="s">
        <v>27</v>
      </c>
      <c r="P2931" t="s">
        <v>50</v>
      </c>
      <c r="Q2931">
        <v>3</v>
      </c>
      <c r="R2931">
        <v>518.54</v>
      </c>
      <c r="S2931" t="s">
        <v>29</v>
      </c>
    </row>
    <row r="2932" spans="1:19" x14ac:dyDescent="0.3">
      <c r="A2932" t="s">
        <v>3002</v>
      </c>
      <c r="B2932">
        <v>51</v>
      </c>
      <c r="C2932" t="s">
        <v>19</v>
      </c>
      <c r="D2932" t="s">
        <v>47</v>
      </c>
      <c r="E2932" s="1">
        <v>45023</v>
      </c>
      <c r="F2932" s="3">
        <v>45052</v>
      </c>
      <c r="G2932" t="s">
        <v>62</v>
      </c>
      <c r="H2932" t="s">
        <v>63</v>
      </c>
      <c r="I2932" t="s">
        <v>83</v>
      </c>
      <c r="J2932">
        <v>12645.85</v>
      </c>
      <c r="K2932">
        <v>29</v>
      </c>
      <c r="L2932" t="s">
        <v>24</v>
      </c>
      <c r="M2932" t="s">
        <v>25</v>
      </c>
      <c r="N2932" t="s">
        <v>55</v>
      </c>
      <c r="O2932" t="s">
        <v>49</v>
      </c>
      <c r="P2932" t="s">
        <v>45</v>
      </c>
      <c r="Q2932">
        <v>11</v>
      </c>
      <c r="R2932">
        <v>3704.55</v>
      </c>
      <c r="S2932" t="s">
        <v>29</v>
      </c>
    </row>
    <row r="2933" spans="1:19" x14ac:dyDescent="0.3">
      <c r="A2933" t="s">
        <v>3003</v>
      </c>
      <c r="B2933">
        <v>28</v>
      </c>
      <c r="C2933" t="s">
        <v>19</v>
      </c>
      <c r="D2933" t="s">
        <v>66</v>
      </c>
      <c r="E2933" s="1">
        <v>45923</v>
      </c>
      <c r="F2933" s="3">
        <v>45926</v>
      </c>
      <c r="G2933" t="s">
        <v>74</v>
      </c>
      <c r="H2933" t="s">
        <v>75</v>
      </c>
      <c r="I2933" t="s">
        <v>83</v>
      </c>
      <c r="J2933">
        <v>3137.52</v>
      </c>
      <c r="K2933">
        <v>3</v>
      </c>
      <c r="L2933" t="s">
        <v>36</v>
      </c>
      <c r="M2933" t="s">
        <v>25</v>
      </c>
      <c r="N2933" t="s">
        <v>44</v>
      </c>
      <c r="O2933" t="s">
        <v>56</v>
      </c>
      <c r="P2933" t="s">
        <v>38</v>
      </c>
      <c r="Q2933">
        <v>12</v>
      </c>
      <c r="R2933">
        <v>976.53</v>
      </c>
      <c r="S2933" t="s">
        <v>29</v>
      </c>
    </row>
    <row r="2934" spans="1:19" x14ac:dyDescent="0.3">
      <c r="A2934" t="s">
        <v>3004</v>
      </c>
      <c r="B2934">
        <v>66</v>
      </c>
      <c r="C2934" t="s">
        <v>19</v>
      </c>
      <c r="D2934" t="s">
        <v>70</v>
      </c>
      <c r="E2934" s="1">
        <v>45690</v>
      </c>
      <c r="F2934" s="3">
        <v>45701</v>
      </c>
      <c r="G2934" t="s">
        <v>41</v>
      </c>
      <c r="H2934" t="s">
        <v>42</v>
      </c>
      <c r="I2934" t="s">
        <v>23</v>
      </c>
      <c r="J2934">
        <v>7309.51</v>
      </c>
      <c r="K2934">
        <v>11</v>
      </c>
      <c r="L2934" t="s">
        <v>24</v>
      </c>
      <c r="M2934" t="s">
        <v>25</v>
      </c>
      <c r="N2934" t="s">
        <v>26</v>
      </c>
      <c r="O2934" t="s">
        <v>37</v>
      </c>
      <c r="P2934" t="s">
        <v>50</v>
      </c>
      <c r="Q2934">
        <v>6</v>
      </c>
      <c r="R2934">
        <v>1508.73</v>
      </c>
      <c r="S2934" t="s">
        <v>29</v>
      </c>
    </row>
    <row r="2935" spans="1:19" x14ac:dyDescent="0.3">
      <c r="A2935" t="s">
        <v>3005</v>
      </c>
      <c r="B2935">
        <v>62</v>
      </c>
      <c r="C2935" t="s">
        <v>19</v>
      </c>
      <c r="D2935" t="s">
        <v>70</v>
      </c>
      <c r="E2935" s="1">
        <v>45176</v>
      </c>
      <c r="F2935" s="3">
        <v>45190</v>
      </c>
      <c r="G2935" t="s">
        <v>41</v>
      </c>
      <c r="H2935" t="s">
        <v>42</v>
      </c>
      <c r="I2935" t="s">
        <v>35</v>
      </c>
      <c r="J2935">
        <v>3701.96</v>
      </c>
      <c r="K2935">
        <v>14</v>
      </c>
      <c r="L2935" t="s">
        <v>24</v>
      </c>
      <c r="M2935" t="s">
        <v>25</v>
      </c>
      <c r="N2935" t="s">
        <v>44</v>
      </c>
      <c r="O2935" t="s">
        <v>37</v>
      </c>
      <c r="P2935" t="s">
        <v>28</v>
      </c>
      <c r="Q2935">
        <v>8</v>
      </c>
      <c r="R2935">
        <v>816.45</v>
      </c>
      <c r="S2935" t="s">
        <v>29</v>
      </c>
    </row>
    <row r="2936" spans="1:19" x14ac:dyDescent="0.3">
      <c r="A2936" t="s">
        <v>3006</v>
      </c>
      <c r="B2936">
        <v>65</v>
      </c>
      <c r="C2936" t="s">
        <v>31</v>
      </c>
      <c r="D2936" t="s">
        <v>61</v>
      </c>
      <c r="E2936" s="1">
        <v>45346</v>
      </c>
      <c r="F2936" s="3">
        <v>45350</v>
      </c>
      <c r="G2936" t="s">
        <v>52</v>
      </c>
      <c r="H2936" t="s">
        <v>53</v>
      </c>
      <c r="I2936" t="s">
        <v>23</v>
      </c>
      <c r="J2936">
        <v>3682.34</v>
      </c>
      <c r="K2936">
        <v>4</v>
      </c>
      <c r="L2936" t="s">
        <v>36</v>
      </c>
      <c r="M2936" t="s">
        <v>25</v>
      </c>
      <c r="N2936" t="s">
        <v>26</v>
      </c>
      <c r="O2936" t="s">
        <v>56</v>
      </c>
      <c r="P2936" t="s">
        <v>45</v>
      </c>
      <c r="Q2936">
        <v>12</v>
      </c>
      <c r="R2936">
        <v>1385.63</v>
      </c>
      <c r="S2936" t="s">
        <v>29</v>
      </c>
    </row>
    <row r="2937" spans="1:19" x14ac:dyDescent="0.3">
      <c r="A2937" t="s">
        <v>3007</v>
      </c>
      <c r="B2937">
        <v>26</v>
      </c>
      <c r="C2937" t="s">
        <v>19</v>
      </c>
      <c r="D2937" t="s">
        <v>61</v>
      </c>
      <c r="E2937" s="1">
        <v>45926</v>
      </c>
      <c r="F2937" s="3">
        <v>45942</v>
      </c>
      <c r="G2937" t="s">
        <v>41</v>
      </c>
      <c r="H2937" t="s">
        <v>42</v>
      </c>
      <c r="I2937" t="s">
        <v>91</v>
      </c>
      <c r="J2937">
        <v>8677.48</v>
      </c>
      <c r="K2937">
        <v>16</v>
      </c>
      <c r="L2937" t="s">
        <v>36</v>
      </c>
      <c r="M2937" t="s">
        <v>59</v>
      </c>
      <c r="N2937" t="s">
        <v>44</v>
      </c>
      <c r="O2937" t="s">
        <v>56</v>
      </c>
      <c r="P2937" t="s">
        <v>28</v>
      </c>
      <c r="Q2937">
        <v>13</v>
      </c>
      <c r="R2937">
        <v>1838.21</v>
      </c>
      <c r="S2937" t="s">
        <v>29</v>
      </c>
    </row>
    <row r="2938" spans="1:19" x14ac:dyDescent="0.3">
      <c r="A2938" t="s">
        <v>3008</v>
      </c>
      <c r="B2938">
        <v>50</v>
      </c>
      <c r="C2938" t="s">
        <v>31</v>
      </c>
      <c r="D2938" t="s">
        <v>70</v>
      </c>
      <c r="E2938" s="1">
        <v>45352</v>
      </c>
      <c r="F2938" s="3">
        <v>45360</v>
      </c>
      <c r="G2938" t="s">
        <v>52</v>
      </c>
      <c r="H2938" t="s">
        <v>53</v>
      </c>
      <c r="I2938" t="s">
        <v>23</v>
      </c>
      <c r="J2938">
        <v>6211.41</v>
      </c>
      <c r="K2938">
        <v>8</v>
      </c>
      <c r="L2938" t="s">
        <v>36</v>
      </c>
      <c r="M2938" t="s">
        <v>25</v>
      </c>
      <c r="N2938" t="s">
        <v>55</v>
      </c>
      <c r="O2938" t="s">
        <v>37</v>
      </c>
      <c r="P2938" t="s">
        <v>38</v>
      </c>
      <c r="Q2938">
        <v>12</v>
      </c>
      <c r="R2938">
        <v>1298.8900000000001</v>
      </c>
      <c r="S2938" t="s">
        <v>29</v>
      </c>
    </row>
    <row r="2939" spans="1:19" x14ac:dyDescent="0.3">
      <c r="A2939" t="s">
        <v>3009</v>
      </c>
      <c r="B2939">
        <v>41</v>
      </c>
      <c r="C2939" t="s">
        <v>19</v>
      </c>
      <c r="D2939" t="s">
        <v>79</v>
      </c>
      <c r="E2939" s="1">
        <v>44946</v>
      </c>
      <c r="F2939" s="3">
        <v>44960</v>
      </c>
      <c r="G2939" t="s">
        <v>62</v>
      </c>
      <c r="H2939" t="s">
        <v>63</v>
      </c>
      <c r="I2939" t="s">
        <v>43</v>
      </c>
      <c r="J2939">
        <v>10612.82</v>
      </c>
      <c r="K2939">
        <v>14</v>
      </c>
      <c r="L2939" t="s">
        <v>36</v>
      </c>
      <c r="M2939" t="s">
        <v>59</v>
      </c>
      <c r="N2939" t="s">
        <v>55</v>
      </c>
      <c r="O2939" t="s">
        <v>37</v>
      </c>
      <c r="P2939" t="s">
        <v>28</v>
      </c>
      <c r="Q2939">
        <v>13</v>
      </c>
      <c r="R2939">
        <v>3393.06</v>
      </c>
      <c r="S2939" t="s">
        <v>29</v>
      </c>
    </row>
    <row r="2940" spans="1:19" x14ac:dyDescent="0.3">
      <c r="A2940" t="s">
        <v>3010</v>
      </c>
      <c r="B2940">
        <v>79</v>
      </c>
      <c r="C2940" t="s">
        <v>19</v>
      </c>
      <c r="D2940" t="s">
        <v>70</v>
      </c>
      <c r="E2940" s="1">
        <v>45613</v>
      </c>
      <c r="F2940" s="3">
        <v>45623</v>
      </c>
      <c r="G2940" t="s">
        <v>62</v>
      </c>
      <c r="H2940" t="s">
        <v>63</v>
      </c>
      <c r="I2940" t="s">
        <v>91</v>
      </c>
      <c r="J2940">
        <v>5741.69</v>
      </c>
      <c r="K2940">
        <v>10</v>
      </c>
      <c r="L2940" t="s">
        <v>24</v>
      </c>
      <c r="M2940" t="s">
        <v>25</v>
      </c>
      <c r="N2940" t="s">
        <v>44</v>
      </c>
      <c r="O2940" t="s">
        <v>56</v>
      </c>
      <c r="P2940" t="s">
        <v>50</v>
      </c>
      <c r="Q2940">
        <v>15</v>
      </c>
      <c r="R2940">
        <v>2006.93</v>
      </c>
      <c r="S2940" t="s">
        <v>29</v>
      </c>
    </row>
    <row r="2941" spans="1:19" x14ac:dyDescent="0.3">
      <c r="A2941" t="s">
        <v>3011</v>
      </c>
      <c r="B2941">
        <v>22</v>
      </c>
      <c r="C2941" t="s">
        <v>19</v>
      </c>
      <c r="D2941" t="s">
        <v>66</v>
      </c>
      <c r="E2941" s="1">
        <v>45600</v>
      </c>
      <c r="F2941" s="3">
        <v>45605</v>
      </c>
      <c r="G2941" t="s">
        <v>21</v>
      </c>
      <c r="H2941" t="s">
        <v>22</v>
      </c>
      <c r="I2941" t="s">
        <v>91</v>
      </c>
      <c r="J2941">
        <v>4261.12</v>
      </c>
      <c r="K2941">
        <v>5</v>
      </c>
      <c r="L2941" t="s">
        <v>24</v>
      </c>
      <c r="M2941" t="s">
        <v>25</v>
      </c>
      <c r="N2941" t="s">
        <v>44</v>
      </c>
      <c r="O2941" t="s">
        <v>27</v>
      </c>
      <c r="P2941" t="s">
        <v>50</v>
      </c>
      <c r="Q2941">
        <v>5</v>
      </c>
      <c r="R2941">
        <v>1188.46</v>
      </c>
      <c r="S2941" t="s">
        <v>39</v>
      </c>
    </row>
    <row r="2942" spans="1:19" x14ac:dyDescent="0.3">
      <c r="A2942" t="s">
        <v>3012</v>
      </c>
      <c r="B2942">
        <v>21</v>
      </c>
      <c r="C2942" t="s">
        <v>19</v>
      </c>
      <c r="D2942" t="s">
        <v>70</v>
      </c>
      <c r="E2942" s="1">
        <v>45122</v>
      </c>
      <c r="F2942" s="3">
        <v>45126</v>
      </c>
      <c r="G2942" t="s">
        <v>71</v>
      </c>
      <c r="H2942" t="s">
        <v>72</v>
      </c>
      <c r="I2942" t="s">
        <v>43</v>
      </c>
      <c r="J2942">
        <v>8616.69</v>
      </c>
      <c r="K2942">
        <v>4</v>
      </c>
      <c r="L2942" t="s">
        <v>24</v>
      </c>
      <c r="M2942" t="s">
        <v>25</v>
      </c>
      <c r="N2942" t="s">
        <v>55</v>
      </c>
      <c r="O2942" t="s">
        <v>49</v>
      </c>
      <c r="P2942" t="s">
        <v>28</v>
      </c>
      <c r="Q2942">
        <v>8</v>
      </c>
      <c r="R2942">
        <v>1821.68</v>
      </c>
      <c r="S2942" t="s">
        <v>29</v>
      </c>
    </row>
    <row r="2943" spans="1:19" x14ac:dyDescent="0.3">
      <c r="A2943" t="s">
        <v>3013</v>
      </c>
      <c r="B2943">
        <v>49</v>
      </c>
      <c r="C2943" t="s">
        <v>19</v>
      </c>
      <c r="D2943" t="s">
        <v>61</v>
      </c>
      <c r="E2943" s="1">
        <v>45326</v>
      </c>
      <c r="F2943" s="3">
        <v>45340</v>
      </c>
      <c r="G2943" t="s">
        <v>33</v>
      </c>
      <c r="H2943" t="s">
        <v>34</v>
      </c>
      <c r="I2943" t="s">
        <v>91</v>
      </c>
      <c r="J2943">
        <v>9737.64</v>
      </c>
      <c r="K2943">
        <v>14</v>
      </c>
      <c r="L2943" t="s">
        <v>36</v>
      </c>
      <c r="M2943" t="s">
        <v>25</v>
      </c>
      <c r="N2943" t="s">
        <v>26</v>
      </c>
      <c r="O2943" t="s">
        <v>56</v>
      </c>
      <c r="P2943" t="s">
        <v>28</v>
      </c>
      <c r="Q2943">
        <v>4</v>
      </c>
      <c r="R2943">
        <v>1796.8</v>
      </c>
      <c r="S2943" t="s">
        <v>29</v>
      </c>
    </row>
    <row r="2944" spans="1:19" x14ac:dyDescent="0.3">
      <c r="A2944" t="s">
        <v>3014</v>
      </c>
      <c r="B2944">
        <v>53</v>
      </c>
      <c r="C2944" t="s">
        <v>31</v>
      </c>
      <c r="D2944" t="s">
        <v>20</v>
      </c>
      <c r="E2944" s="1">
        <v>45714</v>
      </c>
      <c r="F2944" s="3">
        <v>45727</v>
      </c>
      <c r="G2944" t="s">
        <v>33</v>
      </c>
      <c r="H2944" t="s">
        <v>34</v>
      </c>
      <c r="I2944" t="s">
        <v>83</v>
      </c>
      <c r="J2944">
        <v>10981.07</v>
      </c>
      <c r="K2944">
        <v>13</v>
      </c>
      <c r="L2944" t="s">
        <v>24</v>
      </c>
      <c r="M2944" t="s">
        <v>59</v>
      </c>
      <c r="N2944" t="s">
        <v>55</v>
      </c>
      <c r="O2944" t="s">
        <v>49</v>
      </c>
      <c r="P2944" t="s">
        <v>28</v>
      </c>
      <c r="Q2944">
        <v>8</v>
      </c>
      <c r="R2944">
        <v>2070.46</v>
      </c>
      <c r="S2944" t="s">
        <v>29</v>
      </c>
    </row>
    <row r="2945" spans="1:19" x14ac:dyDescent="0.3">
      <c r="A2945" t="s">
        <v>3015</v>
      </c>
      <c r="B2945">
        <v>39</v>
      </c>
      <c r="C2945" t="s">
        <v>19</v>
      </c>
      <c r="D2945" t="s">
        <v>79</v>
      </c>
      <c r="E2945" s="1">
        <v>45129</v>
      </c>
      <c r="F2945" s="3">
        <v>45134</v>
      </c>
      <c r="G2945" t="s">
        <v>71</v>
      </c>
      <c r="H2945" t="s">
        <v>72</v>
      </c>
      <c r="I2945" t="s">
        <v>81</v>
      </c>
      <c r="J2945">
        <v>2672.79</v>
      </c>
      <c r="K2945">
        <v>5</v>
      </c>
      <c r="L2945" t="s">
        <v>24</v>
      </c>
      <c r="M2945" t="s">
        <v>101</v>
      </c>
      <c r="N2945" t="s">
        <v>55</v>
      </c>
      <c r="O2945" t="s">
        <v>27</v>
      </c>
      <c r="P2945" t="s">
        <v>45</v>
      </c>
      <c r="Q2945">
        <v>3</v>
      </c>
      <c r="R2945">
        <v>751.16</v>
      </c>
      <c r="S2945" t="s">
        <v>29</v>
      </c>
    </row>
    <row r="2946" spans="1:19" x14ac:dyDescent="0.3">
      <c r="A2946" t="s">
        <v>3016</v>
      </c>
      <c r="B2946">
        <v>22</v>
      </c>
      <c r="C2946" t="s">
        <v>19</v>
      </c>
      <c r="D2946" t="s">
        <v>79</v>
      </c>
      <c r="E2946" s="1">
        <v>45612</v>
      </c>
      <c r="F2946" s="3">
        <v>45626</v>
      </c>
      <c r="G2946" t="s">
        <v>52</v>
      </c>
      <c r="H2946" t="s">
        <v>53</v>
      </c>
      <c r="I2946" t="s">
        <v>35</v>
      </c>
      <c r="J2946">
        <v>4921.8999999999996</v>
      </c>
      <c r="K2946">
        <v>14</v>
      </c>
      <c r="L2946" t="s">
        <v>24</v>
      </c>
      <c r="M2946" t="s">
        <v>25</v>
      </c>
      <c r="N2946" t="s">
        <v>26</v>
      </c>
      <c r="O2946" t="s">
        <v>37</v>
      </c>
      <c r="P2946" t="s">
        <v>50</v>
      </c>
      <c r="Q2946">
        <v>5</v>
      </c>
      <c r="R2946">
        <v>1548.65</v>
      </c>
      <c r="S2946" t="s">
        <v>29</v>
      </c>
    </row>
    <row r="2947" spans="1:19" x14ac:dyDescent="0.3">
      <c r="A2947" t="s">
        <v>3017</v>
      </c>
      <c r="B2947">
        <v>86</v>
      </c>
      <c r="C2947" t="s">
        <v>19</v>
      </c>
      <c r="D2947" t="s">
        <v>79</v>
      </c>
      <c r="E2947" s="1">
        <v>45759</v>
      </c>
      <c r="F2947" s="3">
        <v>45770</v>
      </c>
      <c r="G2947" t="s">
        <v>71</v>
      </c>
      <c r="H2947" t="s">
        <v>72</v>
      </c>
      <c r="I2947" t="s">
        <v>81</v>
      </c>
      <c r="J2947">
        <v>6738.17</v>
      </c>
      <c r="K2947">
        <v>11</v>
      </c>
      <c r="L2947" t="s">
        <v>36</v>
      </c>
      <c r="M2947" t="s">
        <v>25</v>
      </c>
      <c r="N2947" t="s">
        <v>26</v>
      </c>
      <c r="O2947" t="s">
        <v>37</v>
      </c>
      <c r="P2947" t="s">
        <v>38</v>
      </c>
      <c r="Q2947">
        <v>10</v>
      </c>
      <c r="R2947">
        <v>2221.5</v>
      </c>
      <c r="S2947" t="s">
        <v>29</v>
      </c>
    </row>
    <row r="2948" spans="1:19" x14ac:dyDescent="0.3">
      <c r="A2948" t="s">
        <v>3018</v>
      </c>
      <c r="B2948">
        <v>82</v>
      </c>
      <c r="C2948" t="s">
        <v>19</v>
      </c>
      <c r="D2948" t="s">
        <v>79</v>
      </c>
      <c r="E2948" s="1">
        <v>45236</v>
      </c>
      <c r="F2948" s="3">
        <v>45237</v>
      </c>
      <c r="G2948" t="s">
        <v>33</v>
      </c>
      <c r="H2948" t="s">
        <v>34</v>
      </c>
      <c r="I2948" t="s">
        <v>91</v>
      </c>
      <c r="J2948">
        <v>2004.29</v>
      </c>
      <c r="K2948">
        <v>1</v>
      </c>
      <c r="L2948" t="s">
        <v>36</v>
      </c>
      <c r="M2948" t="s">
        <v>25</v>
      </c>
      <c r="N2948" t="s">
        <v>44</v>
      </c>
      <c r="O2948" t="s">
        <v>56</v>
      </c>
      <c r="P2948" t="s">
        <v>38</v>
      </c>
      <c r="Q2948">
        <v>5</v>
      </c>
      <c r="R2948">
        <v>563</v>
      </c>
      <c r="S2948" t="s">
        <v>29</v>
      </c>
    </row>
    <row r="2949" spans="1:19" x14ac:dyDescent="0.3">
      <c r="A2949" t="s">
        <v>3019</v>
      </c>
      <c r="B2949">
        <v>27</v>
      </c>
      <c r="C2949" t="s">
        <v>31</v>
      </c>
      <c r="D2949" t="s">
        <v>61</v>
      </c>
      <c r="E2949" s="1">
        <v>45760</v>
      </c>
      <c r="F2949" s="3">
        <v>45768</v>
      </c>
      <c r="G2949" t="s">
        <v>52</v>
      </c>
      <c r="H2949" t="s">
        <v>53</v>
      </c>
      <c r="I2949" t="s">
        <v>83</v>
      </c>
      <c r="J2949">
        <v>10995.77</v>
      </c>
      <c r="K2949">
        <v>8</v>
      </c>
      <c r="L2949" t="s">
        <v>24</v>
      </c>
      <c r="M2949" t="s">
        <v>25</v>
      </c>
      <c r="N2949" t="s">
        <v>26</v>
      </c>
      <c r="O2949" t="s">
        <v>49</v>
      </c>
      <c r="P2949" t="s">
        <v>45</v>
      </c>
      <c r="Q2949">
        <v>7</v>
      </c>
      <c r="R2949">
        <v>2350.64</v>
      </c>
      <c r="S2949" t="s">
        <v>29</v>
      </c>
    </row>
    <row r="2950" spans="1:19" x14ac:dyDescent="0.3">
      <c r="A2950" t="s">
        <v>3020</v>
      </c>
      <c r="B2950">
        <v>19</v>
      </c>
      <c r="C2950" t="s">
        <v>31</v>
      </c>
      <c r="D2950" t="s">
        <v>70</v>
      </c>
      <c r="E2950" s="1">
        <v>45555</v>
      </c>
      <c r="F2950" s="3">
        <v>45556</v>
      </c>
      <c r="G2950" t="s">
        <v>74</v>
      </c>
      <c r="H2950" t="s">
        <v>75</v>
      </c>
      <c r="I2950" t="s">
        <v>43</v>
      </c>
      <c r="J2950">
        <v>2907.91</v>
      </c>
      <c r="K2950">
        <v>1</v>
      </c>
      <c r="L2950" t="s">
        <v>24</v>
      </c>
      <c r="M2950" t="s">
        <v>25</v>
      </c>
      <c r="N2950" t="s">
        <v>44</v>
      </c>
      <c r="O2950" t="s">
        <v>37</v>
      </c>
      <c r="P2950" t="s">
        <v>38</v>
      </c>
      <c r="Q2950">
        <v>6</v>
      </c>
      <c r="R2950">
        <v>463.62</v>
      </c>
      <c r="S2950" t="s">
        <v>29</v>
      </c>
    </row>
    <row r="2951" spans="1:19" x14ac:dyDescent="0.3">
      <c r="A2951" t="s">
        <v>3021</v>
      </c>
      <c r="B2951">
        <v>45</v>
      </c>
      <c r="C2951" t="s">
        <v>19</v>
      </c>
      <c r="D2951" t="s">
        <v>47</v>
      </c>
      <c r="E2951" s="1">
        <v>45839</v>
      </c>
      <c r="F2951" s="3">
        <v>45840</v>
      </c>
      <c r="G2951" t="s">
        <v>67</v>
      </c>
      <c r="H2951" t="s">
        <v>42</v>
      </c>
      <c r="I2951" t="s">
        <v>35</v>
      </c>
      <c r="J2951">
        <v>3017.18</v>
      </c>
      <c r="K2951">
        <v>1</v>
      </c>
      <c r="L2951" t="s">
        <v>36</v>
      </c>
      <c r="M2951" t="s">
        <v>59</v>
      </c>
      <c r="N2951" t="s">
        <v>26</v>
      </c>
      <c r="O2951" t="s">
        <v>27</v>
      </c>
      <c r="P2951" t="s">
        <v>28</v>
      </c>
      <c r="Q2951">
        <v>2</v>
      </c>
      <c r="R2951">
        <v>978.62</v>
      </c>
      <c r="S2951" t="s">
        <v>29</v>
      </c>
    </row>
    <row r="2952" spans="1:19" x14ac:dyDescent="0.3">
      <c r="A2952" t="s">
        <v>3022</v>
      </c>
      <c r="B2952">
        <v>86</v>
      </c>
      <c r="C2952" t="s">
        <v>19</v>
      </c>
      <c r="D2952" t="s">
        <v>47</v>
      </c>
      <c r="E2952" s="1">
        <v>45898</v>
      </c>
      <c r="F2952" s="3">
        <v>45912</v>
      </c>
      <c r="G2952" t="s">
        <v>74</v>
      </c>
      <c r="H2952" t="s">
        <v>75</v>
      </c>
      <c r="I2952" t="s">
        <v>91</v>
      </c>
      <c r="J2952">
        <v>13038.75</v>
      </c>
      <c r="K2952">
        <v>14</v>
      </c>
      <c r="L2952" t="s">
        <v>36</v>
      </c>
      <c r="M2952" t="s">
        <v>25</v>
      </c>
      <c r="N2952" t="s">
        <v>26</v>
      </c>
      <c r="O2952" t="s">
        <v>49</v>
      </c>
      <c r="P2952" t="s">
        <v>45</v>
      </c>
      <c r="Q2952">
        <v>9</v>
      </c>
      <c r="R2952">
        <v>3088.97</v>
      </c>
      <c r="S2952" t="s">
        <v>29</v>
      </c>
    </row>
    <row r="2953" spans="1:19" x14ac:dyDescent="0.3">
      <c r="A2953" t="s">
        <v>3023</v>
      </c>
      <c r="B2953">
        <v>37</v>
      </c>
      <c r="C2953" t="s">
        <v>19</v>
      </c>
      <c r="D2953" t="s">
        <v>32</v>
      </c>
      <c r="E2953" s="1">
        <v>45620</v>
      </c>
      <c r="F2953" s="3">
        <v>45636</v>
      </c>
      <c r="G2953" t="s">
        <v>93</v>
      </c>
      <c r="H2953" t="s">
        <v>72</v>
      </c>
      <c r="I2953" t="s">
        <v>54</v>
      </c>
      <c r="J2953">
        <v>3499.42</v>
      </c>
      <c r="K2953">
        <v>16</v>
      </c>
      <c r="L2953" t="s">
        <v>24</v>
      </c>
      <c r="M2953" t="s">
        <v>25</v>
      </c>
      <c r="N2953" t="s">
        <v>44</v>
      </c>
      <c r="O2953" t="s">
        <v>27</v>
      </c>
      <c r="P2953" t="s">
        <v>50</v>
      </c>
      <c r="Q2953">
        <v>1</v>
      </c>
      <c r="R2953">
        <v>1152.29</v>
      </c>
      <c r="S2953" t="s">
        <v>29</v>
      </c>
    </row>
    <row r="2954" spans="1:19" x14ac:dyDescent="0.3">
      <c r="A2954" t="s">
        <v>3024</v>
      </c>
      <c r="B2954">
        <v>60</v>
      </c>
      <c r="C2954" t="s">
        <v>31</v>
      </c>
      <c r="D2954" t="s">
        <v>20</v>
      </c>
      <c r="E2954" s="1">
        <v>45245</v>
      </c>
      <c r="F2954" s="3">
        <v>45258</v>
      </c>
      <c r="G2954" t="s">
        <v>52</v>
      </c>
      <c r="H2954" t="s">
        <v>53</v>
      </c>
      <c r="I2954" t="s">
        <v>54</v>
      </c>
      <c r="J2954">
        <v>5816.43</v>
      </c>
      <c r="K2954">
        <v>13</v>
      </c>
      <c r="L2954" t="s">
        <v>24</v>
      </c>
      <c r="M2954" t="s">
        <v>59</v>
      </c>
      <c r="N2954" t="s">
        <v>44</v>
      </c>
      <c r="O2954" t="s">
        <v>56</v>
      </c>
      <c r="P2954" t="s">
        <v>38</v>
      </c>
      <c r="Q2954">
        <v>2</v>
      </c>
      <c r="R2954">
        <v>1356.26</v>
      </c>
      <c r="S2954" t="s">
        <v>29</v>
      </c>
    </row>
    <row r="2955" spans="1:19" x14ac:dyDescent="0.3">
      <c r="A2955" t="s">
        <v>3025</v>
      </c>
      <c r="B2955">
        <v>73</v>
      </c>
      <c r="C2955" t="s">
        <v>19</v>
      </c>
      <c r="D2955" t="s">
        <v>32</v>
      </c>
      <c r="E2955" s="1">
        <v>45384</v>
      </c>
      <c r="F2955" s="3">
        <v>45385</v>
      </c>
      <c r="G2955" t="s">
        <v>62</v>
      </c>
      <c r="H2955" t="s">
        <v>63</v>
      </c>
      <c r="I2955" t="s">
        <v>91</v>
      </c>
      <c r="J2955">
        <v>1099.4000000000001</v>
      </c>
      <c r="K2955">
        <v>1</v>
      </c>
      <c r="L2955" t="s">
        <v>36</v>
      </c>
      <c r="M2955" t="s">
        <v>25</v>
      </c>
      <c r="N2955" t="s">
        <v>55</v>
      </c>
      <c r="O2955" t="s">
        <v>56</v>
      </c>
      <c r="P2955" t="s">
        <v>28</v>
      </c>
      <c r="Q2955">
        <v>1</v>
      </c>
      <c r="R2955">
        <v>243.71</v>
      </c>
      <c r="S2955" t="s">
        <v>29</v>
      </c>
    </row>
    <row r="2956" spans="1:19" x14ac:dyDescent="0.3">
      <c r="A2956" t="s">
        <v>3026</v>
      </c>
      <c r="B2956">
        <v>89</v>
      </c>
      <c r="C2956" t="s">
        <v>19</v>
      </c>
      <c r="D2956" t="s">
        <v>70</v>
      </c>
      <c r="E2956" s="1">
        <v>45212</v>
      </c>
      <c r="F2956" s="3">
        <v>45219</v>
      </c>
      <c r="G2956" t="s">
        <v>71</v>
      </c>
      <c r="H2956" t="s">
        <v>72</v>
      </c>
      <c r="I2956" t="s">
        <v>43</v>
      </c>
      <c r="J2956">
        <v>2996.75</v>
      </c>
      <c r="K2956">
        <v>7</v>
      </c>
      <c r="L2956" t="s">
        <v>36</v>
      </c>
      <c r="M2956" t="s">
        <v>25</v>
      </c>
      <c r="N2956" t="s">
        <v>55</v>
      </c>
      <c r="O2956" t="s">
        <v>56</v>
      </c>
      <c r="P2956" t="s">
        <v>50</v>
      </c>
      <c r="Q2956">
        <v>4</v>
      </c>
      <c r="R2956">
        <v>1022.03</v>
      </c>
      <c r="S2956" t="s">
        <v>29</v>
      </c>
    </row>
    <row r="2957" spans="1:19" x14ac:dyDescent="0.3">
      <c r="A2957" t="s">
        <v>3027</v>
      </c>
      <c r="B2957">
        <v>58</v>
      </c>
      <c r="C2957" t="s">
        <v>19</v>
      </c>
      <c r="D2957" t="s">
        <v>32</v>
      </c>
      <c r="E2957" s="1">
        <v>45496</v>
      </c>
      <c r="F2957" s="3">
        <v>45499</v>
      </c>
      <c r="G2957" t="s">
        <v>52</v>
      </c>
      <c r="H2957" t="s">
        <v>53</v>
      </c>
      <c r="I2957" t="s">
        <v>43</v>
      </c>
      <c r="J2957">
        <v>3175.53</v>
      </c>
      <c r="K2957">
        <v>3</v>
      </c>
      <c r="L2957" t="s">
        <v>36</v>
      </c>
      <c r="M2957" t="s">
        <v>25</v>
      </c>
      <c r="N2957" t="s">
        <v>26</v>
      </c>
      <c r="O2957" t="s">
        <v>56</v>
      </c>
      <c r="P2957" t="s">
        <v>38</v>
      </c>
      <c r="Q2957">
        <v>11</v>
      </c>
      <c r="R2957">
        <v>1142.17</v>
      </c>
      <c r="S2957" t="s">
        <v>29</v>
      </c>
    </row>
    <row r="2958" spans="1:19" x14ac:dyDescent="0.3">
      <c r="A2958" t="s">
        <v>3028</v>
      </c>
      <c r="B2958">
        <v>70</v>
      </c>
      <c r="C2958" t="s">
        <v>19</v>
      </c>
      <c r="D2958" t="s">
        <v>47</v>
      </c>
      <c r="E2958" s="1">
        <v>45664</v>
      </c>
      <c r="F2958" s="3">
        <v>45675</v>
      </c>
      <c r="G2958" t="s">
        <v>33</v>
      </c>
      <c r="H2958" t="s">
        <v>34</v>
      </c>
      <c r="I2958" t="s">
        <v>35</v>
      </c>
      <c r="J2958">
        <v>9952.3700000000008</v>
      </c>
      <c r="K2958">
        <v>11</v>
      </c>
      <c r="L2958" t="s">
        <v>36</v>
      </c>
      <c r="M2958" t="s">
        <v>25</v>
      </c>
      <c r="N2958" t="s">
        <v>55</v>
      </c>
      <c r="O2958" t="s">
        <v>27</v>
      </c>
      <c r="P2958" t="s">
        <v>38</v>
      </c>
      <c r="Q2958">
        <v>15</v>
      </c>
      <c r="R2958">
        <v>3584.04</v>
      </c>
      <c r="S2958" t="s">
        <v>29</v>
      </c>
    </row>
    <row r="2959" spans="1:19" x14ac:dyDescent="0.3">
      <c r="A2959" t="s">
        <v>3029</v>
      </c>
      <c r="B2959">
        <v>80</v>
      </c>
      <c r="C2959" t="s">
        <v>19</v>
      </c>
      <c r="D2959" t="s">
        <v>20</v>
      </c>
      <c r="E2959" s="1">
        <v>45381</v>
      </c>
      <c r="F2959" s="3">
        <v>45387</v>
      </c>
      <c r="G2959" t="s">
        <v>41</v>
      </c>
      <c r="H2959" t="s">
        <v>42</v>
      </c>
      <c r="I2959" t="s">
        <v>35</v>
      </c>
      <c r="J2959">
        <v>3008.45</v>
      </c>
      <c r="K2959">
        <v>6</v>
      </c>
      <c r="L2959" t="s">
        <v>36</v>
      </c>
      <c r="M2959" t="s">
        <v>25</v>
      </c>
      <c r="N2959" t="s">
        <v>44</v>
      </c>
      <c r="O2959" t="s">
        <v>27</v>
      </c>
      <c r="P2959" t="s">
        <v>45</v>
      </c>
      <c r="Q2959">
        <v>12</v>
      </c>
      <c r="R2959">
        <v>982.63</v>
      </c>
      <c r="S2959" t="s">
        <v>29</v>
      </c>
    </row>
    <row r="2960" spans="1:19" x14ac:dyDescent="0.3">
      <c r="A2960" t="s">
        <v>3030</v>
      </c>
      <c r="B2960">
        <v>61</v>
      </c>
      <c r="C2960" t="s">
        <v>31</v>
      </c>
      <c r="D2960" t="s">
        <v>79</v>
      </c>
      <c r="E2960" s="1">
        <v>45727</v>
      </c>
      <c r="F2960" s="3">
        <v>45741</v>
      </c>
      <c r="G2960" t="s">
        <v>21</v>
      </c>
      <c r="H2960" t="s">
        <v>22</v>
      </c>
      <c r="I2960" t="s">
        <v>23</v>
      </c>
      <c r="J2960">
        <v>8076.1</v>
      </c>
      <c r="K2960">
        <v>14</v>
      </c>
      <c r="L2960" t="s">
        <v>24</v>
      </c>
      <c r="M2960" t="s">
        <v>25</v>
      </c>
      <c r="N2960" t="s">
        <v>26</v>
      </c>
      <c r="O2960" t="s">
        <v>56</v>
      </c>
      <c r="P2960" t="s">
        <v>38</v>
      </c>
      <c r="Q2960">
        <v>14</v>
      </c>
      <c r="R2960">
        <v>3015.52</v>
      </c>
      <c r="S2960" t="s">
        <v>29</v>
      </c>
    </row>
    <row r="2961" spans="1:19" x14ac:dyDescent="0.3">
      <c r="A2961" t="s">
        <v>3031</v>
      </c>
      <c r="B2961">
        <v>28</v>
      </c>
      <c r="C2961" t="s">
        <v>19</v>
      </c>
      <c r="D2961" t="s">
        <v>61</v>
      </c>
      <c r="E2961" s="1">
        <v>45529</v>
      </c>
      <c r="F2961" s="3">
        <v>45551</v>
      </c>
      <c r="G2961" t="s">
        <v>33</v>
      </c>
      <c r="H2961" t="s">
        <v>34</v>
      </c>
      <c r="I2961" t="s">
        <v>23</v>
      </c>
      <c r="J2961">
        <v>16023.22</v>
      </c>
      <c r="K2961">
        <v>22</v>
      </c>
      <c r="L2961" t="s">
        <v>36</v>
      </c>
      <c r="M2961" t="s">
        <v>25</v>
      </c>
      <c r="N2961" t="s">
        <v>55</v>
      </c>
      <c r="O2961" t="s">
        <v>49</v>
      </c>
      <c r="P2961" t="s">
        <v>38</v>
      </c>
      <c r="Q2961">
        <v>7</v>
      </c>
      <c r="R2961">
        <v>2410.2600000000002</v>
      </c>
      <c r="S2961" t="s">
        <v>39</v>
      </c>
    </row>
    <row r="2962" spans="1:19" x14ac:dyDescent="0.3">
      <c r="A2962" t="s">
        <v>3032</v>
      </c>
      <c r="B2962">
        <v>79</v>
      </c>
      <c r="C2962" t="s">
        <v>31</v>
      </c>
      <c r="D2962" t="s">
        <v>32</v>
      </c>
      <c r="E2962" s="1">
        <v>45059</v>
      </c>
      <c r="F2962" s="3">
        <v>45072</v>
      </c>
      <c r="G2962" t="s">
        <v>41</v>
      </c>
      <c r="H2962" t="s">
        <v>42</v>
      </c>
      <c r="I2962" t="s">
        <v>83</v>
      </c>
      <c r="J2962">
        <v>11120.29</v>
      </c>
      <c r="K2962">
        <v>13</v>
      </c>
      <c r="L2962" t="s">
        <v>36</v>
      </c>
      <c r="M2962" t="s">
        <v>25</v>
      </c>
      <c r="N2962" t="s">
        <v>55</v>
      </c>
      <c r="O2962" t="s">
        <v>37</v>
      </c>
      <c r="P2962" t="s">
        <v>28</v>
      </c>
      <c r="Q2962">
        <v>1</v>
      </c>
      <c r="R2962">
        <v>3269.23</v>
      </c>
      <c r="S2962" t="s">
        <v>29</v>
      </c>
    </row>
    <row r="2963" spans="1:19" x14ac:dyDescent="0.3">
      <c r="A2963" t="s">
        <v>3033</v>
      </c>
      <c r="B2963">
        <v>65</v>
      </c>
      <c r="C2963" t="s">
        <v>31</v>
      </c>
      <c r="D2963" t="s">
        <v>79</v>
      </c>
      <c r="E2963" s="1">
        <v>44970</v>
      </c>
      <c r="F2963" s="3">
        <v>44972</v>
      </c>
      <c r="G2963" t="s">
        <v>71</v>
      </c>
      <c r="H2963" t="s">
        <v>72</v>
      </c>
      <c r="I2963" t="s">
        <v>35</v>
      </c>
      <c r="J2963">
        <v>1728.18</v>
      </c>
      <c r="K2963">
        <v>2</v>
      </c>
      <c r="L2963" t="s">
        <v>24</v>
      </c>
      <c r="M2963" t="s">
        <v>59</v>
      </c>
      <c r="N2963" t="s">
        <v>26</v>
      </c>
      <c r="O2963" t="s">
        <v>27</v>
      </c>
      <c r="P2963" t="s">
        <v>45</v>
      </c>
      <c r="Q2963">
        <v>2</v>
      </c>
      <c r="R2963">
        <v>508.72</v>
      </c>
      <c r="S2963" t="s">
        <v>29</v>
      </c>
    </row>
    <row r="2964" spans="1:19" x14ac:dyDescent="0.3">
      <c r="A2964" t="s">
        <v>3034</v>
      </c>
      <c r="B2964">
        <v>41</v>
      </c>
      <c r="C2964" t="s">
        <v>19</v>
      </c>
      <c r="D2964" t="s">
        <v>89</v>
      </c>
      <c r="E2964" s="1">
        <v>45127</v>
      </c>
      <c r="F2964" s="3">
        <v>45131</v>
      </c>
      <c r="G2964" t="s">
        <v>33</v>
      </c>
      <c r="H2964" t="s">
        <v>34</v>
      </c>
      <c r="I2964" t="s">
        <v>35</v>
      </c>
      <c r="J2964">
        <v>4917.13</v>
      </c>
      <c r="K2964">
        <v>4</v>
      </c>
      <c r="L2964" t="s">
        <v>36</v>
      </c>
      <c r="M2964" t="s">
        <v>25</v>
      </c>
      <c r="N2964" t="s">
        <v>26</v>
      </c>
      <c r="O2964" t="s">
        <v>56</v>
      </c>
      <c r="P2964" t="s">
        <v>28</v>
      </c>
      <c r="Q2964">
        <v>13</v>
      </c>
      <c r="R2964">
        <v>1055.9000000000001</v>
      </c>
      <c r="S2964" t="s">
        <v>29</v>
      </c>
    </row>
    <row r="2965" spans="1:19" x14ac:dyDescent="0.3">
      <c r="A2965" t="s">
        <v>3035</v>
      </c>
      <c r="B2965">
        <v>28</v>
      </c>
      <c r="C2965" t="s">
        <v>19</v>
      </c>
      <c r="D2965" t="s">
        <v>61</v>
      </c>
      <c r="E2965" s="1">
        <v>45823</v>
      </c>
      <c r="F2965" s="3">
        <v>45840</v>
      </c>
      <c r="G2965" t="s">
        <v>93</v>
      </c>
      <c r="H2965" t="s">
        <v>72</v>
      </c>
      <c r="I2965" t="s">
        <v>43</v>
      </c>
      <c r="J2965">
        <v>11064.81</v>
      </c>
      <c r="K2965">
        <v>17</v>
      </c>
      <c r="L2965" t="s">
        <v>36</v>
      </c>
      <c r="M2965" t="s">
        <v>25</v>
      </c>
      <c r="N2965" t="s">
        <v>55</v>
      </c>
      <c r="O2965" t="s">
        <v>49</v>
      </c>
      <c r="P2965" t="s">
        <v>45</v>
      </c>
      <c r="Q2965">
        <v>7</v>
      </c>
      <c r="R2965">
        <v>3093.46</v>
      </c>
      <c r="S2965" t="s">
        <v>29</v>
      </c>
    </row>
    <row r="2966" spans="1:19" x14ac:dyDescent="0.3">
      <c r="A2966" t="s">
        <v>3036</v>
      </c>
      <c r="B2966">
        <v>49</v>
      </c>
      <c r="C2966" t="s">
        <v>31</v>
      </c>
      <c r="D2966" t="s">
        <v>61</v>
      </c>
      <c r="E2966" s="1">
        <v>45602</v>
      </c>
      <c r="F2966" s="3">
        <v>45615</v>
      </c>
      <c r="G2966" t="s">
        <v>52</v>
      </c>
      <c r="H2966" t="s">
        <v>53</v>
      </c>
      <c r="I2966" t="s">
        <v>58</v>
      </c>
      <c r="J2966">
        <v>7866.88</v>
      </c>
      <c r="K2966">
        <v>13</v>
      </c>
      <c r="L2966" t="s">
        <v>24</v>
      </c>
      <c r="M2966" t="s">
        <v>25</v>
      </c>
      <c r="N2966" t="s">
        <v>44</v>
      </c>
      <c r="O2966" t="s">
        <v>37</v>
      </c>
      <c r="P2966" t="s">
        <v>45</v>
      </c>
      <c r="Q2966">
        <v>13</v>
      </c>
      <c r="R2966">
        <v>1420.17</v>
      </c>
      <c r="S2966" t="s">
        <v>29</v>
      </c>
    </row>
    <row r="2967" spans="1:19" x14ac:dyDescent="0.3">
      <c r="A2967" t="s">
        <v>3037</v>
      </c>
      <c r="B2967">
        <v>31</v>
      </c>
      <c r="C2967" t="s">
        <v>19</v>
      </c>
      <c r="D2967" t="s">
        <v>70</v>
      </c>
      <c r="E2967" s="1">
        <v>45026</v>
      </c>
      <c r="F2967" s="3">
        <v>45036</v>
      </c>
      <c r="G2967" t="s">
        <v>62</v>
      </c>
      <c r="H2967" t="s">
        <v>63</v>
      </c>
      <c r="I2967" t="s">
        <v>91</v>
      </c>
      <c r="J2967">
        <v>4012.81</v>
      </c>
      <c r="K2967">
        <v>10</v>
      </c>
      <c r="L2967" t="s">
        <v>24</v>
      </c>
      <c r="M2967" t="s">
        <v>59</v>
      </c>
      <c r="N2967" t="s">
        <v>55</v>
      </c>
      <c r="O2967" t="s">
        <v>56</v>
      </c>
      <c r="P2967" t="s">
        <v>28</v>
      </c>
      <c r="Q2967">
        <v>9</v>
      </c>
      <c r="R2967">
        <v>1068.3900000000001</v>
      </c>
      <c r="S2967" t="s">
        <v>29</v>
      </c>
    </row>
    <row r="2968" spans="1:19" x14ac:dyDescent="0.3">
      <c r="A2968" t="s">
        <v>3038</v>
      </c>
      <c r="B2968">
        <v>49</v>
      </c>
      <c r="C2968" t="s">
        <v>31</v>
      </c>
      <c r="D2968" t="s">
        <v>89</v>
      </c>
      <c r="E2968" s="1">
        <v>45414</v>
      </c>
      <c r="F2968" s="3">
        <v>45430</v>
      </c>
      <c r="G2968" t="s">
        <v>33</v>
      </c>
      <c r="H2968" t="s">
        <v>34</v>
      </c>
      <c r="I2968" t="s">
        <v>58</v>
      </c>
      <c r="J2968">
        <v>13169.1</v>
      </c>
      <c r="K2968">
        <v>16</v>
      </c>
      <c r="L2968" t="s">
        <v>36</v>
      </c>
      <c r="M2968" t="s">
        <v>25</v>
      </c>
      <c r="N2968" t="s">
        <v>55</v>
      </c>
      <c r="O2968" t="s">
        <v>37</v>
      </c>
      <c r="P2968" t="s">
        <v>50</v>
      </c>
      <c r="Q2968">
        <v>14</v>
      </c>
      <c r="R2968">
        <v>2298.8000000000002</v>
      </c>
      <c r="S2968" t="s">
        <v>29</v>
      </c>
    </row>
    <row r="2969" spans="1:19" x14ac:dyDescent="0.3">
      <c r="A2969" t="s">
        <v>3039</v>
      </c>
      <c r="B2969">
        <v>57</v>
      </c>
      <c r="C2969" t="s">
        <v>31</v>
      </c>
      <c r="D2969" t="s">
        <v>47</v>
      </c>
      <c r="E2969" s="1">
        <v>45593</v>
      </c>
      <c r="F2969" s="3">
        <v>45612</v>
      </c>
      <c r="G2969" t="s">
        <v>74</v>
      </c>
      <c r="H2969" t="s">
        <v>75</v>
      </c>
      <c r="I2969" t="s">
        <v>23</v>
      </c>
      <c r="J2969">
        <v>5680.29</v>
      </c>
      <c r="K2969">
        <v>19</v>
      </c>
      <c r="L2969" t="s">
        <v>24</v>
      </c>
      <c r="M2969" t="s">
        <v>25</v>
      </c>
      <c r="N2969" t="s">
        <v>55</v>
      </c>
      <c r="O2969" t="s">
        <v>37</v>
      </c>
      <c r="P2969" t="s">
        <v>50</v>
      </c>
      <c r="Q2969">
        <v>10</v>
      </c>
      <c r="R2969">
        <v>1477.8</v>
      </c>
      <c r="S2969" t="s">
        <v>29</v>
      </c>
    </row>
    <row r="2970" spans="1:19" x14ac:dyDescent="0.3">
      <c r="A2970" t="s">
        <v>3040</v>
      </c>
      <c r="B2970">
        <v>43</v>
      </c>
      <c r="C2970" t="s">
        <v>19</v>
      </c>
      <c r="D2970" t="s">
        <v>61</v>
      </c>
      <c r="E2970" s="1">
        <v>45793</v>
      </c>
      <c r="F2970" s="3">
        <v>45804</v>
      </c>
      <c r="G2970" t="s">
        <v>41</v>
      </c>
      <c r="H2970" t="s">
        <v>42</v>
      </c>
      <c r="I2970" t="s">
        <v>91</v>
      </c>
      <c r="J2970">
        <v>8164.8</v>
      </c>
      <c r="K2970">
        <v>11</v>
      </c>
      <c r="L2970" t="s">
        <v>24</v>
      </c>
      <c r="M2970" t="s">
        <v>25</v>
      </c>
      <c r="N2970" t="s">
        <v>44</v>
      </c>
      <c r="O2970" t="s">
        <v>49</v>
      </c>
      <c r="P2970" t="s">
        <v>28</v>
      </c>
      <c r="Q2970">
        <v>8</v>
      </c>
      <c r="R2970">
        <v>1643.65</v>
      </c>
      <c r="S2970" t="s">
        <v>29</v>
      </c>
    </row>
    <row r="2971" spans="1:19" x14ac:dyDescent="0.3">
      <c r="A2971" t="s">
        <v>3041</v>
      </c>
      <c r="B2971">
        <v>71</v>
      </c>
      <c r="C2971" t="s">
        <v>31</v>
      </c>
      <c r="D2971" t="s">
        <v>89</v>
      </c>
      <c r="E2971" s="1">
        <v>44992</v>
      </c>
      <c r="F2971" s="3">
        <v>45005</v>
      </c>
      <c r="G2971" t="s">
        <v>74</v>
      </c>
      <c r="H2971" t="s">
        <v>75</v>
      </c>
      <c r="I2971" t="s">
        <v>81</v>
      </c>
      <c r="J2971">
        <v>7694.54</v>
      </c>
      <c r="K2971">
        <v>13</v>
      </c>
      <c r="L2971" t="s">
        <v>24</v>
      </c>
      <c r="M2971" t="s">
        <v>25</v>
      </c>
      <c r="N2971" t="s">
        <v>44</v>
      </c>
      <c r="O2971" t="s">
        <v>27</v>
      </c>
      <c r="P2971" t="s">
        <v>50</v>
      </c>
      <c r="Q2971">
        <v>4</v>
      </c>
      <c r="R2971">
        <v>1752.21</v>
      </c>
      <c r="S2971" t="s">
        <v>29</v>
      </c>
    </row>
    <row r="2972" spans="1:19" x14ac:dyDescent="0.3">
      <c r="A2972" t="s">
        <v>3042</v>
      </c>
      <c r="B2972">
        <v>74</v>
      </c>
      <c r="C2972" t="s">
        <v>31</v>
      </c>
      <c r="D2972" t="s">
        <v>66</v>
      </c>
      <c r="E2972" s="1">
        <v>45244</v>
      </c>
      <c r="F2972" s="3">
        <v>45264</v>
      </c>
      <c r="G2972" t="s">
        <v>93</v>
      </c>
      <c r="H2972" t="s">
        <v>72</v>
      </c>
      <c r="I2972" t="s">
        <v>54</v>
      </c>
      <c r="J2972">
        <v>4755.8999999999996</v>
      </c>
      <c r="K2972">
        <v>20</v>
      </c>
      <c r="L2972" t="s">
        <v>24</v>
      </c>
      <c r="M2972" t="s">
        <v>25</v>
      </c>
      <c r="N2972" t="s">
        <v>55</v>
      </c>
      <c r="O2972" t="s">
        <v>27</v>
      </c>
      <c r="P2972" t="s">
        <v>28</v>
      </c>
      <c r="Q2972">
        <v>6</v>
      </c>
      <c r="R2972">
        <v>1742.66</v>
      </c>
      <c r="S2972" t="s">
        <v>29</v>
      </c>
    </row>
    <row r="2973" spans="1:19" x14ac:dyDescent="0.3">
      <c r="A2973" t="s">
        <v>3043</v>
      </c>
      <c r="B2973">
        <v>41</v>
      </c>
      <c r="C2973" t="s">
        <v>31</v>
      </c>
      <c r="D2973" t="s">
        <v>47</v>
      </c>
      <c r="E2973" s="1">
        <v>45285</v>
      </c>
      <c r="F2973" s="3">
        <v>45286</v>
      </c>
      <c r="G2973" t="s">
        <v>93</v>
      </c>
      <c r="H2973" t="s">
        <v>72</v>
      </c>
      <c r="I2973" t="s">
        <v>81</v>
      </c>
      <c r="J2973">
        <v>2247.09</v>
      </c>
      <c r="K2973">
        <v>1</v>
      </c>
      <c r="L2973" t="s">
        <v>36</v>
      </c>
      <c r="M2973" t="s">
        <v>25</v>
      </c>
      <c r="N2973" t="s">
        <v>55</v>
      </c>
      <c r="O2973" t="s">
        <v>27</v>
      </c>
      <c r="P2973" t="s">
        <v>45</v>
      </c>
      <c r="Q2973">
        <v>9</v>
      </c>
      <c r="R2973">
        <v>888.54</v>
      </c>
      <c r="S2973" t="s">
        <v>29</v>
      </c>
    </row>
    <row r="2974" spans="1:19" x14ac:dyDescent="0.3">
      <c r="A2974" t="s">
        <v>3044</v>
      </c>
      <c r="B2974">
        <v>58</v>
      </c>
      <c r="C2974" t="s">
        <v>31</v>
      </c>
      <c r="D2974" t="s">
        <v>79</v>
      </c>
      <c r="E2974" s="1">
        <v>44961</v>
      </c>
      <c r="F2974" s="3">
        <v>44977</v>
      </c>
      <c r="G2974" t="s">
        <v>62</v>
      </c>
      <c r="H2974" t="s">
        <v>63</v>
      </c>
      <c r="I2974" t="s">
        <v>58</v>
      </c>
      <c r="J2974">
        <v>13039.45</v>
      </c>
      <c r="K2974">
        <v>16</v>
      </c>
      <c r="L2974" t="s">
        <v>36</v>
      </c>
      <c r="M2974" t="s">
        <v>25</v>
      </c>
      <c r="N2974" t="s">
        <v>26</v>
      </c>
      <c r="O2974" t="s">
        <v>49</v>
      </c>
      <c r="P2974" t="s">
        <v>38</v>
      </c>
      <c r="Q2974">
        <v>2</v>
      </c>
      <c r="R2974">
        <v>3354.97</v>
      </c>
      <c r="S2974" t="s">
        <v>29</v>
      </c>
    </row>
    <row r="2975" spans="1:19" x14ac:dyDescent="0.3">
      <c r="A2975" t="s">
        <v>3045</v>
      </c>
      <c r="B2975">
        <v>78</v>
      </c>
      <c r="C2975" t="s">
        <v>19</v>
      </c>
      <c r="D2975" t="s">
        <v>66</v>
      </c>
      <c r="E2975" s="1">
        <v>45202</v>
      </c>
      <c r="F2975" s="3">
        <v>45218</v>
      </c>
      <c r="G2975" t="s">
        <v>93</v>
      </c>
      <c r="H2975" t="s">
        <v>72</v>
      </c>
      <c r="I2975" t="s">
        <v>35</v>
      </c>
      <c r="J2975">
        <v>8866.58</v>
      </c>
      <c r="K2975">
        <v>16</v>
      </c>
      <c r="L2975" t="s">
        <v>24</v>
      </c>
      <c r="M2975" t="s">
        <v>25</v>
      </c>
      <c r="N2975" t="s">
        <v>44</v>
      </c>
      <c r="O2975" t="s">
        <v>37</v>
      </c>
      <c r="P2975" t="s">
        <v>50</v>
      </c>
      <c r="Q2975">
        <v>15</v>
      </c>
      <c r="R2975">
        <v>2682.5</v>
      </c>
      <c r="S2975" t="s">
        <v>29</v>
      </c>
    </row>
    <row r="2976" spans="1:19" x14ac:dyDescent="0.3">
      <c r="A2976" t="s">
        <v>3046</v>
      </c>
      <c r="B2976">
        <v>60</v>
      </c>
      <c r="C2976" t="s">
        <v>31</v>
      </c>
      <c r="D2976" t="s">
        <v>70</v>
      </c>
      <c r="E2976" s="1">
        <v>45282</v>
      </c>
      <c r="F2976" s="3">
        <v>45295</v>
      </c>
      <c r="G2976" t="s">
        <v>52</v>
      </c>
      <c r="H2976" t="s">
        <v>53</v>
      </c>
      <c r="I2976" t="s">
        <v>81</v>
      </c>
      <c r="J2976">
        <v>4112.55</v>
      </c>
      <c r="K2976">
        <v>13</v>
      </c>
      <c r="L2976" t="s">
        <v>36</v>
      </c>
      <c r="M2976" t="s">
        <v>25</v>
      </c>
      <c r="N2976" t="s">
        <v>55</v>
      </c>
      <c r="O2976" t="s">
        <v>56</v>
      </c>
      <c r="P2976" t="s">
        <v>38</v>
      </c>
      <c r="Q2976">
        <v>10</v>
      </c>
      <c r="R2976">
        <v>1496.17</v>
      </c>
      <c r="S2976" t="s">
        <v>39</v>
      </c>
    </row>
    <row r="2977" spans="1:19" x14ac:dyDescent="0.3">
      <c r="A2977" t="s">
        <v>3047</v>
      </c>
      <c r="B2977">
        <v>53</v>
      </c>
      <c r="C2977" t="s">
        <v>19</v>
      </c>
      <c r="D2977" t="s">
        <v>47</v>
      </c>
      <c r="E2977" s="1">
        <v>45613</v>
      </c>
      <c r="F2977" s="3">
        <v>45614</v>
      </c>
      <c r="G2977" t="s">
        <v>48</v>
      </c>
      <c r="H2977" t="s">
        <v>22</v>
      </c>
      <c r="I2977" t="s">
        <v>81</v>
      </c>
      <c r="J2977">
        <v>1527.5</v>
      </c>
      <c r="K2977">
        <v>1</v>
      </c>
      <c r="L2977" t="s">
        <v>36</v>
      </c>
      <c r="M2977" t="s">
        <v>25</v>
      </c>
      <c r="N2977" t="s">
        <v>55</v>
      </c>
      <c r="O2977" t="s">
        <v>27</v>
      </c>
      <c r="P2977" t="s">
        <v>28</v>
      </c>
      <c r="Q2977">
        <v>2</v>
      </c>
      <c r="R2977">
        <v>539.35</v>
      </c>
      <c r="S2977" t="s">
        <v>29</v>
      </c>
    </row>
    <row r="2978" spans="1:19" x14ac:dyDescent="0.3">
      <c r="A2978" t="s">
        <v>3048</v>
      </c>
      <c r="B2978">
        <v>62</v>
      </c>
      <c r="C2978" t="s">
        <v>31</v>
      </c>
      <c r="D2978" t="s">
        <v>32</v>
      </c>
      <c r="E2978" s="1">
        <v>45636</v>
      </c>
      <c r="F2978" s="3">
        <v>45646</v>
      </c>
      <c r="G2978" t="s">
        <v>21</v>
      </c>
      <c r="H2978" t="s">
        <v>22</v>
      </c>
      <c r="I2978" t="s">
        <v>23</v>
      </c>
      <c r="J2978">
        <v>6730.79</v>
      </c>
      <c r="K2978">
        <v>10</v>
      </c>
      <c r="L2978" t="s">
        <v>36</v>
      </c>
      <c r="M2978" t="s">
        <v>59</v>
      </c>
      <c r="N2978" t="s">
        <v>26</v>
      </c>
      <c r="O2978" t="s">
        <v>37</v>
      </c>
      <c r="P2978" t="s">
        <v>28</v>
      </c>
      <c r="Q2978">
        <v>2</v>
      </c>
      <c r="R2978">
        <v>2294.61</v>
      </c>
      <c r="S2978" t="s">
        <v>29</v>
      </c>
    </row>
    <row r="2979" spans="1:19" x14ac:dyDescent="0.3">
      <c r="A2979" t="s">
        <v>3049</v>
      </c>
      <c r="B2979">
        <v>36</v>
      </c>
      <c r="C2979" t="s">
        <v>31</v>
      </c>
      <c r="D2979" t="s">
        <v>32</v>
      </c>
      <c r="E2979" s="1">
        <v>45632</v>
      </c>
      <c r="F2979" s="3">
        <v>45648</v>
      </c>
      <c r="G2979" t="s">
        <v>67</v>
      </c>
      <c r="H2979" t="s">
        <v>42</v>
      </c>
      <c r="I2979" t="s">
        <v>58</v>
      </c>
      <c r="J2979">
        <v>12329.21</v>
      </c>
      <c r="K2979">
        <v>16</v>
      </c>
      <c r="L2979" t="s">
        <v>24</v>
      </c>
      <c r="M2979" t="s">
        <v>25</v>
      </c>
      <c r="N2979" t="s">
        <v>26</v>
      </c>
      <c r="O2979" t="s">
        <v>49</v>
      </c>
      <c r="P2979" t="s">
        <v>38</v>
      </c>
      <c r="Q2979">
        <v>7</v>
      </c>
      <c r="R2979">
        <v>2051.64</v>
      </c>
      <c r="S2979" t="s">
        <v>29</v>
      </c>
    </row>
    <row r="2980" spans="1:19" x14ac:dyDescent="0.3">
      <c r="A2980" t="s">
        <v>3050</v>
      </c>
      <c r="B2980">
        <v>32</v>
      </c>
      <c r="C2980" t="s">
        <v>19</v>
      </c>
      <c r="D2980" t="s">
        <v>20</v>
      </c>
      <c r="E2980" s="1">
        <v>45336</v>
      </c>
      <c r="F2980" s="3">
        <v>45342</v>
      </c>
      <c r="G2980" t="s">
        <v>52</v>
      </c>
      <c r="H2980" t="s">
        <v>53</v>
      </c>
      <c r="I2980" t="s">
        <v>54</v>
      </c>
      <c r="J2980">
        <v>5659.66</v>
      </c>
      <c r="K2980">
        <v>6</v>
      </c>
      <c r="L2980" t="s">
        <v>36</v>
      </c>
      <c r="M2980" t="s">
        <v>25</v>
      </c>
      <c r="N2980" t="s">
        <v>44</v>
      </c>
      <c r="O2980" t="s">
        <v>27</v>
      </c>
      <c r="P2980" t="s">
        <v>28</v>
      </c>
      <c r="Q2980">
        <v>5</v>
      </c>
      <c r="R2980">
        <v>1989.88</v>
      </c>
      <c r="S2980" t="s">
        <v>29</v>
      </c>
    </row>
    <row r="2981" spans="1:19" x14ac:dyDescent="0.3">
      <c r="A2981" t="s">
        <v>3051</v>
      </c>
      <c r="B2981">
        <v>37</v>
      </c>
      <c r="C2981" t="s">
        <v>19</v>
      </c>
      <c r="D2981" t="s">
        <v>70</v>
      </c>
      <c r="E2981" s="1">
        <v>45147</v>
      </c>
      <c r="F2981" s="3">
        <v>45153</v>
      </c>
      <c r="G2981" t="s">
        <v>74</v>
      </c>
      <c r="H2981" t="s">
        <v>75</v>
      </c>
      <c r="I2981" t="s">
        <v>58</v>
      </c>
      <c r="J2981">
        <v>3790.68</v>
      </c>
      <c r="K2981">
        <v>6</v>
      </c>
      <c r="L2981" t="s">
        <v>36</v>
      </c>
      <c r="M2981" t="s">
        <v>25</v>
      </c>
      <c r="N2981" t="s">
        <v>44</v>
      </c>
      <c r="O2981" t="s">
        <v>27</v>
      </c>
      <c r="P2981" t="s">
        <v>28</v>
      </c>
      <c r="Q2981">
        <v>6</v>
      </c>
      <c r="R2981">
        <v>992.5</v>
      </c>
      <c r="S2981" t="s">
        <v>29</v>
      </c>
    </row>
    <row r="2982" spans="1:19" x14ac:dyDescent="0.3">
      <c r="A2982" t="s">
        <v>3052</v>
      </c>
      <c r="B2982">
        <v>86</v>
      </c>
      <c r="C2982" t="s">
        <v>19</v>
      </c>
      <c r="D2982" t="s">
        <v>70</v>
      </c>
      <c r="E2982" s="1">
        <v>45864</v>
      </c>
      <c r="F2982" s="3">
        <v>45868</v>
      </c>
      <c r="G2982" t="s">
        <v>71</v>
      </c>
      <c r="H2982" t="s">
        <v>72</v>
      </c>
      <c r="I2982" t="s">
        <v>58</v>
      </c>
      <c r="J2982">
        <v>4517.5600000000004</v>
      </c>
      <c r="K2982">
        <v>4</v>
      </c>
      <c r="L2982" t="s">
        <v>36</v>
      </c>
      <c r="M2982" t="s">
        <v>25</v>
      </c>
      <c r="N2982" t="s">
        <v>26</v>
      </c>
      <c r="O2982" t="s">
        <v>27</v>
      </c>
      <c r="P2982" t="s">
        <v>50</v>
      </c>
      <c r="Q2982">
        <v>13</v>
      </c>
      <c r="R2982">
        <v>1251.83</v>
      </c>
      <c r="S2982" t="s">
        <v>29</v>
      </c>
    </row>
    <row r="2983" spans="1:19" x14ac:dyDescent="0.3">
      <c r="A2983" t="s">
        <v>3053</v>
      </c>
      <c r="B2983">
        <v>88</v>
      </c>
      <c r="C2983" t="s">
        <v>19</v>
      </c>
      <c r="D2983" t="s">
        <v>89</v>
      </c>
      <c r="E2983" s="1">
        <v>45888</v>
      </c>
      <c r="F2983" s="3">
        <v>45897</v>
      </c>
      <c r="G2983" t="s">
        <v>21</v>
      </c>
      <c r="H2983" t="s">
        <v>22</v>
      </c>
      <c r="I2983" t="s">
        <v>81</v>
      </c>
      <c r="J2983">
        <v>4404.9799999999996</v>
      </c>
      <c r="K2983">
        <v>9</v>
      </c>
      <c r="L2983" t="s">
        <v>36</v>
      </c>
      <c r="M2983" t="s">
        <v>25</v>
      </c>
      <c r="N2983" t="s">
        <v>26</v>
      </c>
      <c r="O2983" t="s">
        <v>27</v>
      </c>
      <c r="P2983" t="s">
        <v>45</v>
      </c>
      <c r="Q2983">
        <v>3</v>
      </c>
      <c r="R2983">
        <v>1388.76</v>
      </c>
      <c r="S2983" t="s">
        <v>29</v>
      </c>
    </row>
    <row r="2984" spans="1:19" x14ac:dyDescent="0.3">
      <c r="A2984" t="s">
        <v>3054</v>
      </c>
      <c r="B2984">
        <v>50</v>
      </c>
      <c r="C2984" t="s">
        <v>19</v>
      </c>
      <c r="D2984" t="s">
        <v>20</v>
      </c>
      <c r="E2984" s="1">
        <v>45239</v>
      </c>
      <c r="F2984" s="3">
        <v>45256</v>
      </c>
      <c r="G2984" t="s">
        <v>93</v>
      </c>
      <c r="H2984" t="s">
        <v>72</v>
      </c>
      <c r="I2984" t="s">
        <v>54</v>
      </c>
      <c r="J2984">
        <v>7209.01</v>
      </c>
      <c r="K2984">
        <v>17</v>
      </c>
      <c r="L2984" t="s">
        <v>24</v>
      </c>
      <c r="M2984" t="s">
        <v>25</v>
      </c>
      <c r="N2984" t="s">
        <v>44</v>
      </c>
      <c r="O2984" t="s">
        <v>37</v>
      </c>
      <c r="P2984" t="s">
        <v>45</v>
      </c>
      <c r="Q2984">
        <v>8</v>
      </c>
      <c r="R2984">
        <v>1262.76</v>
      </c>
      <c r="S2984" t="s">
        <v>29</v>
      </c>
    </row>
    <row r="2985" spans="1:19" x14ac:dyDescent="0.3">
      <c r="A2985" t="s">
        <v>3055</v>
      </c>
      <c r="B2985">
        <v>78</v>
      </c>
      <c r="C2985" t="s">
        <v>19</v>
      </c>
      <c r="D2985" t="s">
        <v>66</v>
      </c>
      <c r="E2985" s="1">
        <v>45170</v>
      </c>
      <c r="F2985" s="3">
        <v>45188</v>
      </c>
      <c r="G2985" t="s">
        <v>41</v>
      </c>
      <c r="H2985" t="s">
        <v>42</v>
      </c>
      <c r="I2985" t="s">
        <v>43</v>
      </c>
      <c r="J2985">
        <v>14552.6</v>
      </c>
      <c r="K2985">
        <v>18</v>
      </c>
      <c r="L2985" t="s">
        <v>36</v>
      </c>
      <c r="M2985" t="s">
        <v>25</v>
      </c>
      <c r="N2985" t="s">
        <v>44</v>
      </c>
      <c r="O2985" t="s">
        <v>49</v>
      </c>
      <c r="P2985" t="s">
        <v>38</v>
      </c>
      <c r="Q2985">
        <v>6</v>
      </c>
      <c r="R2985">
        <v>2802.4</v>
      </c>
      <c r="S2985" t="s">
        <v>29</v>
      </c>
    </row>
    <row r="2986" spans="1:19" x14ac:dyDescent="0.3">
      <c r="A2986" t="s">
        <v>3056</v>
      </c>
      <c r="B2986">
        <v>47</v>
      </c>
      <c r="C2986" t="s">
        <v>31</v>
      </c>
      <c r="D2986" t="s">
        <v>89</v>
      </c>
      <c r="E2986" s="1">
        <v>45007</v>
      </c>
      <c r="F2986" s="3">
        <v>45023</v>
      </c>
      <c r="G2986" t="s">
        <v>48</v>
      </c>
      <c r="H2986" t="s">
        <v>22</v>
      </c>
      <c r="I2986" t="s">
        <v>83</v>
      </c>
      <c r="J2986">
        <v>12595.57</v>
      </c>
      <c r="K2986">
        <v>16</v>
      </c>
      <c r="L2986" t="s">
        <v>24</v>
      </c>
      <c r="M2986" t="s">
        <v>25</v>
      </c>
      <c r="N2986" t="s">
        <v>55</v>
      </c>
      <c r="O2986" t="s">
        <v>56</v>
      </c>
      <c r="P2986" t="s">
        <v>45</v>
      </c>
      <c r="Q2986">
        <v>13</v>
      </c>
      <c r="R2986">
        <v>4788.78</v>
      </c>
      <c r="S2986" t="s">
        <v>29</v>
      </c>
    </row>
    <row r="2987" spans="1:19" x14ac:dyDescent="0.3">
      <c r="A2987" t="s">
        <v>3057</v>
      </c>
      <c r="B2987">
        <v>75</v>
      </c>
      <c r="C2987" t="s">
        <v>19</v>
      </c>
      <c r="D2987" t="s">
        <v>79</v>
      </c>
      <c r="E2987" s="1">
        <v>45206</v>
      </c>
      <c r="F2987" s="3">
        <v>45220</v>
      </c>
      <c r="G2987" t="s">
        <v>41</v>
      </c>
      <c r="H2987" t="s">
        <v>42</v>
      </c>
      <c r="I2987" t="s">
        <v>91</v>
      </c>
      <c r="J2987">
        <v>9097.81</v>
      </c>
      <c r="K2987">
        <v>14</v>
      </c>
      <c r="L2987" t="s">
        <v>36</v>
      </c>
      <c r="M2987" t="s">
        <v>59</v>
      </c>
      <c r="N2987" t="s">
        <v>26</v>
      </c>
      <c r="O2987" t="s">
        <v>27</v>
      </c>
      <c r="P2987" t="s">
        <v>38</v>
      </c>
      <c r="Q2987">
        <v>4</v>
      </c>
      <c r="R2987">
        <v>2143.9699999999998</v>
      </c>
      <c r="S2987" t="s">
        <v>29</v>
      </c>
    </row>
    <row r="2988" spans="1:19" x14ac:dyDescent="0.3">
      <c r="A2988" t="s">
        <v>3058</v>
      </c>
      <c r="B2988">
        <v>25</v>
      </c>
      <c r="C2988" t="s">
        <v>19</v>
      </c>
      <c r="D2988" t="s">
        <v>61</v>
      </c>
      <c r="E2988" s="1">
        <v>45683</v>
      </c>
      <c r="F2988" s="3">
        <v>45684</v>
      </c>
      <c r="G2988" t="s">
        <v>41</v>
      </c>
      <c r="H2988" t="s">
        <v>42</v>
      </c>
      <c r="I2988" t="s">
        <v>23</v>
      </c>
      <c r="J2988">
        <v>2225.9899999999998</v>
      </c>
      <c r="K2988">
        <v>1</v>
      </c>
      <c r="L2988" t="s">
        <v>36</v>
      </c>
      <c r="M2988" t="s">
        <v>25</v>
      </c>
      <c r="N2988" t="s">
        <v>44</v>
      </c>
      <c r="O2988" t="s">
        <v>27</v>
      </c>
      <c r="P2988" t="s">
        <v>50</v>
      </c>
      <c r="Q2988">
        <v>10</v>
      </c>
      <c r="R2988">
        <v>564.80999999999995</v>
      </c>
      <c r="S2988" t="s">
        <v>29</v>
      </c>
    </row>
    <row r="2989" spans="1:19" x14ac:dyDescent="0.3">
      <c r="A2989" t="s">
        <v>3059</v>
      </c>
      <c r="B2989">
        <v>76</v>
      </c>
      <c r="C2989" t="s">
        <v>19</v>
      </c>
      <c r="D2989" t="s">
        <v>32</v>
      </c>
      <c r="E2989" s="1">
        <v>45730</v>
      </c>
      <c r="F2989" s="3">
        <v>45745</v>
      </c>
      <c r="G2989" t="s">
        <v>21</v>
      </c>
      <c r="H2989" t="s">
        <v>22</v>
      </c>
      <c r="I2989" t="s">
        <v>43</v>
      </c>
      <c r="J2989">
        <v>14892.31</v>
      </c>
      <c r="K2989">
        <v>15</v>
      </c>
      <c r="L2989" t="s">
        <v>24</v>
      </c>
      <c r="M2989" t="s">
        <v>59</v>
      </c>
      <c r="N2989" t="s">
        <v>55</v>
      </c>
      <c r="O2989" t="s">
        <v>49</v>
      </c>
      <c r="P2989" t="s">
        <v>45</v>
      </c>
      <c r="Q2989">
        <v>8</v>
      </c>
      <c r="R2989">
        <v>4210.7</v>
      </c>
      <c r="S2989" t="s">
        <v>29</v>
      </c>
    </row>
    <row r="2990" spans="1:19" x14ac:dyDescent="0.3">
      <c r="A2990" t="s">
        <v>3060</v>
      </c>
      <c r="B2990">
        <v>75</v>
      </c>
      <c r="C2990" t="s">
        <v>19</v>
      </c>
      <c r="D2990" t="s">
        <v>32</v>
      </c>
      <c r="E2990" s="1">
        <v>44994</v>
      </c>
      <c r="F2990" s="3">
        <v>45024</v>
      </c>
      <c r="G2990" t="s">
        <v>52</v>
      </c>
      <c r="H2990" t="s">
        <v>53</v>
      </c>
      <c r="I2990" t="s">
        <v>81</v>
      </c>
      <c r="J2990">
        <v>25745.87</v>
      </c>
      <c r="K2990">
        <v>30</v>
      </c>
      <c r="L2990" t="s">
        <v>36</v>
      </c>
      <c r="M2990" t="s">
        <v>25</v>
      </c>
      <c r="N2990" t="s">
        <v>55</v>
      </c>
      <c r="O2990" t="s">
        <v>49</v>
      </c>
      <c r="P2990" t="s">
        <v>28</v>
      </c>
      <c r="Q2990">
        <v>7</v>
      </c>
      <c r="R2990">
        <v>4062.46</v>
      </c>
      <c r="S2990" t="s">
        <v>29</v>
      </c>
    </row>
    <row r="2991" spans="1:19" x14ac:dyDescent="0.3">
      <c r="A2991" t="s">
        <v>3061</v>
      </c>
      <c r="B2991">
        <v>65</v>
      </c>
      <c r="C2991" t="s">
        <v>19</v>
      </c>
      <c r="D2991" t="s">
        <v>89</v>
      </c>
      <c r="E2991" s="1">
        <v>44965</v>
      </c>
      <c r="F2991" s="3">
        <v>44970</v>
      </c>
      <c r="G2991" t="s">
        <v>52</v>
      </c>
      <c r="H2991" t="s">
        <v>53</v>
      </c>
      <c r="I2991" t="s">
        <v>91</v>
      </c>
      <c r="J2991">
        <v>3676.61</v>
      </c>
      <c r="K2991">
        <v>5</v>
      </c>
      <c r="L2991" t="s">
        <v>24</v>
      </c>
      <c r="M2991" t="s">
        <v>25</v>
      </c>
      <c r="N2991" t="s">
        <v>55</v>
      </c>
      <c r="O2991" t="s">
        <v>27</v>
      </c>
      <c r="P2991" t="s">
        <v>38</v>
      </c>
      <c r="Q2991">
        <v>15</v>
      </c>
      <c r="R2991">
        <v>1284.52</v>
      </c>
      <c r="S2991" t="s">
        <v>29</v>
      </c>
    </row>
    <row r="2992" spans="1:19" x14ac:dyDescent="0.3">
      <c r="A2992" t="s">
        <v>3062</v>
      </c>
      <c r="B2992">
        <v>54</v>
      </c>
      <c r="C2992" t="s">
        <v>19</v>
      </c>
      <c r="D2992" t="s">
        <v>89</v>
      </c>
      <c r="E2992" s="1">
        <v>45554</v>
      </c>
      <c r="F2992" s="3">
        <v>45558</v>
      </c>
      <c r="G2992" t="s">
        <v>33</v>
      </c>
      <c r="H2992" t="s">
        <v>34</v>
      </c>
      <c r="I2992" t="s">
        <v>83</v>
      </c>
      <c r="J2992">
        <v>2141.9299999999998</v>
      </c>
      <c r="K2992">
        <v>4</v>
      </c>
      <c r="L2992" t="s">
        <v>36</v>
      </c>
      <c r="M2992" t="s">
        <v>25</v>
      </c>
      <c r="N2992" t="s">
        <v>44</v>
      </c>
      <c r="O2992" t="s">
        <v>27</v>
      </c>
      <c r="P2992" t="s">
        <v>28</v>
      </c>
      <c r="Q2992">
        <v>8</v>
      </c>
      <c r="R2992">
        <v>338.36</v>
      </c>
      <c r="S2992" t="s">
        <v>29</v>
      </c>
    </row>
    <row r="2993" spans="1:19" x14ac:dyDescent="0.3">
      <c r="A2993" t="s">
        <v>3063</v>
      </c>
      <c r="B2993">
        <v>44</v>
      </c>
      <c r="C2993" t="s">
        <v>19</v>
      </c>
      <c r="D2993" t="s">
        <v>66</v>
      </c>
      <c r="E2993" s="1">
        <v>45199</v>
      </c>
      <c r="F2993" s="3">
        <v>45210</v>
      </c>
      <c r="G2993" t="s">
        <v>67</v>
      </c>
      <c r="H2993" t="s">
        <v>42</v>
      </c>
      <c r="I2993" t="s">
        <v>43</v>
      </c>
      <c r="J2993">
        <v>4860.97</v>
      </c>
      <c r="K2993">
        <v>11</v>
      </c>
      <c r="L2993" t="s">
        <v>24</v>
      </c>
      <c r="M2993" t="s">
        <v>25</v>
      </c>
      <c r="N2993" t="s">
        <v>26</v>
      </c>
      <c r="O2993" t="s">
        <v>27</v>
      </c>
      <c r="P2993" t="s">
        <v>38</v>
      </c>
      <c r="Q2993">
        <v>5</v>
      </c>
      <c r="R2993">
        <v>1437.6</v>
      </c>
      <c r="S2993" t="s">
        <v>29</v>
      </c>
    </row>
    <row r="2994" spans="1:19" x14ac:dyDescent="0.3">
      <c r="A2994" t="s">
        <v>3064</v>
      </c>
      <c r="B2994">
        <v>87</v>
      </c>
      <c r="C2994" t="s">
        <v>19</v>
      </c>
      <c r="D2994" t="s">
        <v>79</v>
      </c>
      <c r="E2994" s="1">
        <v>45679</v>
      </c>
      <c r="F2994" s="3">
        <v>45692</v>
      </c>
      <c r="G2994" t="s">
        <v>52</v>
      </c>
      <c r="H2994" t="s">
        <v>53</v>
      </c>
      <c r="I2994" t="s">
        <v>54</v>
      </c>
      <c r="J2994">
        <v>8494.85</v>
      </c>
      <c r="K2994">
        <v>13</v>
      </c>
      <c r="L2994" t="s">
        <v>24</v>
      </c>
      <c r="M2994" t="s">
        <v>25</v>
      </c>
      <c r="N2994" t="s">
        <v>44</v>
      </c>
      <c r="O2994" t="s">
        <v>56</v>
      </c>
      <c r="P2994" t="s">
        <v>45</v>
      </c>
      <c r="Q2994">
        <v>13</v>
      </c>
      <c r="R2994">
        <v>3055.32</v>
      </c>
      <c r="S2994" t="s">
        <v>29</v>
      </c>
    </row>
    <row r="2995" spans="1:19" x14ac:dyDescent="0.3">
      <c r="A2995" t="s">
        <v>3065</v>
      </c>
      <c r="B2995">
        <v>63</v>
      </c>
      <c r="C2995" t="s">
        <v>19</v>
      </c>
      <c r="D2995" t="s">
        <v>47</v>
      </c>
      <c r="E2995" s="1">
        <v>45102</v>
      </c>
      <c r="F2995" s="3">
        <v>45104</v>
      </c>
      <c r="G2995" t="s">
        <v>74</v>
      </c>
      <c r="H2995" t="s">
        <v>75</v>
      </c>
      <c r="I2995" t="s">
        <v>81</v>
      </c>
      <c r="J2995">
        <v>3546.44</v>
      </c>
      <c r="K2995">
        <v>2</v>
      </c>
      <c r="L2995" t="s">
        <v>36</v>
      </c>
      <c r="M2995" t="s">
        <v>25</v>
      </c>
      <c r="N2995" t="s">
        <v>26</v>
      </c>
      <c r="O2995" t="s">
        <v>27</v>
      </c>
      <c r="P2995" t="s">
        <v>45</v>
      </c>
      <c r="Q2995">
        <v>11</v>
      </c>
      <c r="R2995">
        <v>680.3</v>
      </c>
      <c r="S2995" t="s">
        <v>29</v>
      </c>
    </row>
    <row r="2996" spans="1:19" x14ac:dyDescent="0.3">
      <c r="A2996" t="s">
        <v>3066</v>
      </c>
      <c r="B2996">
        <v>85</v>
      </c>
      <c r="C2996" t="s">
        <v>31</v>
      </c>
      <c r="D2996" t="s">
        <v>66</v>
      </c>
      <c r="E2996" s="1">
        <v>45011</v>
      </c>
      <c r="F2996" s="3">
        <v>45017</v>
      </c>
      <c r="G2996" t="s">
        <v>62</v>
      </c>
      <c r="H2996" t="s">
        <v>63</v>
      </c>
      <c r="I2996" t="s">
        <v>81</v>
      </c>
      <c r="J2996">
        <v>5617.4</v>
      </c>
      <c r="K2996">
        <v>6</v>
      </c>
      <c r="L2996" t="s">
        <v>36</v>
      </c>
      <c r="M2996" t="s">
        <v>25</v>
      </c>
      <c r="N2996" t="s">
        <v>26</v>
      </c>
      <c r="O2996" t="s">
        <v>37</v>
      </c>
      <c r="P2996" t="s">
        <v>38</v>
      </c>
      <c r="Q2996">
        <v>13</v>
      </c>
      <c r="R2996">
        <v>1259.97</v>
      </c>
      <c r="S2996" t="s">
        <v>29</v>
      </c>
    </row>
    <row r="2997" spans="1:19" x14ac:dyDescent="0.3">
      <c r="A2997" t="s">
        <v>3067</v>
      </c>
      <c r="B2997">
        <v>38</v>
      </c>
      <c r="C2997" t="s">
        <v>19</v>
      </c>
      <c r="D2997" t="s">
        <v>89</v>
      </c>
      <c r="E2997" s="1">
        <v>45506</v>
      </c>
      <c r="F2997" s="3">
        <v>45513</v>
      </c>
      <c r="G2997" t="s">
        <v>33</v>
      </c>
      <c r="H2997" t="s">
        <v>34</v>
      </c>
      <c r="I2997" t="s">
        <v>81</v>
      </c>
      <c r="J2997">
        <v>4057.16</v>
      </c>
      <c r="K2997">
        <v>7</v>
      </c>
      <c r="L2997" t="s">
        <v>24</v>
      </c>
      <c r="M2997" t="s">
        <v>25</v>
      </c>
      <c r="N2997" t="s">
        <v>26</v>
      </c>
      <c r="O2997" t="s">
        <v>56</v>
      </c>
      <c r="P2997" t="s">
        <v>45</v>
      </c>
      <c r="Q2997">
        <v>14</v>
      </c>
      <c r="R2997">
        <v>1440.8</v>
      </c>
      <c r="S2997" t="s">
        <v>29</v>
      </c>
    </row>
    <row r="2998" spans="1:19" x14ac:dyDescent="0.3">
      <c r="A2998" t="s">
        <v>3068</v>
      </c>
      <c r="B2998">
        <v>77</v>
      </c>
      <c r="C2998" t="s">
        <v>19</v>
      </c>
      <c r="D2998" t="s">
        <v>89</v>
      </c>
      <c r="E2998" s="1">
        <v>45049</v>
      </c>
      <c r="F2998" s="3">
        <v>45053</v>
      </c>
      <c r="G2998" t="s">
        <v>41</v>
      </c>
      <c r="H2998" t="s">
        <v>42</v>
      </c>
      <c r="I2998" t="s">
        <v>58</v>
      </c>
      <c r="J2998">
        <v>3109.17</v>
      </c>
      <c r="K2998">
        <v>4</v>
      </c>
      <c r="L2998" t="s">
        <v>36</v>
      </c>
      <c r="M2998" t="s">
        <v>25</v>
      </c>
      <c r="N2998" t="s">
        <v>55</v>
      </c>
      <c r="O2998" t="s">
        <v>27</v>
      </c>
      <c r="P2998" t="s">
        <v>45</v>
      </c>
      <c r="Q2998">
        <v>14</v>
      </c>
      <c r="R2998">
        <v>504.28</v>
      </c>
      <c r="S2998" t="s">
        <v>29</v>
      </c>
    </row>
    <row r="2999" spans="1:19" x14ac:dyDescent="0.3">
      <c r="A2999" t="s">
        <v>3069</v>
      </c>
      <c r="B2999">
        <v>49</v>
      </c>
      <c r="C2999" t="s">
        <v>19</v>
      </c>
      <c r="D2999" t="s">
        <v>32</v>
      </c>
      <c r="E2999" s="1">
        <v>45852</v>
      </c>
      <c r="F2999" s="3">
        <v>45864</v>
      </c>
      <c r="G2999" t="s">
        <v>67</v>
      </c>
      <c r="H2999" t="s">
        <v>42</v>
      </c>
      <c r="I2999" t="s">
        <v>43</v>
      </c>
      <c r="J2999">
        <v>9503.16</v>
      </c>
      <c r="K2999">
        <v>12</v>
      </c>
      <c r="L2999" t="s">
        <v>36</v>
      </c>
      <c r="M2999" t="s">
        <v>25</v>
      </c>
      <c r="N2999" t="s">
        <v>26</v>
      </c>
      <c r="O2999" t="s">
        <v>56</v>
      </c>
      <c r="P2999" t="s">
        <v>45</v>
      </c>
      <c r="Q2999">
        <v>3</v>
      </c>
      <c r="R2999">
        <v>2583.09</v>
      </c>
      <c r="S2999" t="s">
        <v>29</v>
      </c>
    </row>
    <row r="3000" spans="1:19" x14ac:dyDescent="0.3">
      <c r="A3000" t="s">
        <v>3070</v>
      </c>
      <c r="B3000">
        <v>20</v>
      </c>
      <c r="C3000" t="s">
        <v>31</v>
      </c>
      <c r="D3000" t="s">
        <v>32</v>
      </c>
      <c r="E3000" s="1">
        <v>45797</v>
      </c>
      <c r="F3000" s="3">
        <v>45824</v>
      </c>
      <c r="G3000" t="s">
        <v>21</v>
      </c>
      <c r="H3000" t="s">
        <v>22</v>
      </c>
      <c r="I3000" t="s">
        <v>91</v>
      </c>
      <c r="J3000">
        <v>15373.11</v>
      </c>
      <c r="K3000">
        <v>27</v>
      </c>
      <c r="L3000" t="s">
        <v>36</v>
      </c>
      <c r="M3000" t="s">
        <v>25</v>
      </c>
      <c r="N3000" t="s">
        <v>26</v>
      </c>
      <c r="O3000" t="s">
        <v>49</v>
      </c>
      <c r="P3000" t="s">
        <v>50</v>
      </c>
      <c r="Q3000">
        <v>15</v>
      </c>
      <c r="R3000">
        <v>5499.08</v>
      </c>
      <c r="S3000" t="s">
        <v>39</v>
      </c>
    </row>
    <row r="3001" spans="1:19" x14ac:dyDescent="0.3">
      <c r="A3001" t="s">
        <v>3071</v>
      </c>
      <c r="B3001">
        <v>32</v>
      </c>
      <c r="C3001" t="s">
        <v>31</v>
      </c>
      <c r="D3001" t="s">
        <v>70</v>
      </c>
      <c r="E3001" s="1">
        <v>45569</v>
      </c>
      <c r="F3001" s="3">
        <v>45579</v>
      </c>
      <c r="G3001" t="s">
        <v>93</v>
      </c>
      <c r="H3001" t="s">
        <v>72</v>
      </c>
      <c r="I3001" t="s">
        <v>35</v>
      </c>
      <c r="J3001">
        <v>3790.67</v>
      </c>
      <c r="K3001">
        <v>10</v>
      </c>
      <c r="L3001" t="s">
        <v>24</v>
      </c>
      <c r="M3001" t="s">
        <v>101</v>
      </c>
      <c r="N3001" t="s">
        <v>26</v>
      </c>
      <c r="O3001" t="s">
        <v>56</v>
      </c>
      <c r="P3001" t="s">
        <v>45</v>
      </c>
      <c r="Q3001">
        <v>15</v>
      </c>
      <c r="R3001">
        <v>661.64</v>
      </c>
      <c r="S3001" t="s">
        <v>29</v>
      </c>
    </row>
    <row r="3002" spans="1:19" x14ac:dyDescent="0.3">
      <c r="A3002" t="s">
        <v>3072</v>
      </c>
      <c r="B3002">
        <v>27</v>
      </c>
      <c r="C3002" t="s">
        <v>31</v>
      </c>
      <c r="D3002" t="s">
        <v>70</v>
      </c>
      <c r="E3002" s="1">
        <v>45527</v>
      </c>
      <c r="F3002" s="3">
        <v>45532</v>
      </c>
      <c r="G3002" t="s">
        <v>21</v>
      </c>
      <c r="H3002" t="s">
        <v>22</v>
      </c>
      <c r="I3002" t="s">
        <v>83</v>
      </c>
      <c r="J3002">
        <v>3488.24</v>
      </c>
      <c r="K3002">
        <v>5</v>
      </c>
      <c r="L3002" t="s">
        <v>24</v>
      </c>
      <c r="M3002" t="s">
        <v>25</v>
      </c>
      <c r="N3002" t="s">
        <v>55</v>
      </c>
      <c r="O3002" t="s">
        <v>56</v>
      </c>
      <c r="P3002" t="s">
        <v>38</v>
      </c>
      <c r="Q3002">
        <v>8</v>
      </c>
      <c r="R3002">
        <v>720.95</v>
      </c>
      <c r="S3002" t="s">
        <v>29</v>
      </c>
    </row>
    <row r="3003" spans="1:19" x14ac:dyDescent="0.3">
      <c r="A3003" t="s">
        <v>3073</v>
      </c>
      <c r="B3003">
        <v>48</v>
      </c>
      <c r="C3003" t="s">
        <v>31</v>
      </c>
      <c r="D3003" t="s">
        <v>66</v>
      </c>
      <c r="E3003" s="1">
        <v>45289</v>
      </c>
      <c r="F3003" s="3">
        <v>45304</v>
      </c>
      <c r="G3003" t="s">
        <v>52</v>
      </c>
      <c r="H3003" t="s">
        <v>53</v>
      </c>
      <c r="I3003" t="s">
        <v>54</v>
      </c>
      <c r="J3003">
        <v>9671.7800000000007</v>
      </c>
      <c r="K3003">
        <v>15</v>
      </c>
      <c r="L3003" t="s">
        <v>36</v>
      </c>
      <c r="M3003" t="s">
        <v>101</v>
      </c>
      <c r="N3003" t="s">
        <v>44</v>
      </c>
      <c r="O3003" t="s">
        <v>49</v>
      </c>
      <c r="P3003" t="s">
        <v>45</v>
      </c>
      <c r="Q3003">
        <v>12</v>
      </c>
      <c r="R3003">
        <v>3727.81</v>
      </c>
      <c r="S3003" t="s">
        <v>29</v>
      </c>
    </row>
    <row r="3004" spans="1:19" x14ac:dyDescent="0.3">
      <c r="A3004" t="s">
        <v>3074</v>
      </c>
      <c r="B3004">
        <v>52</v>
      </c>
      <c r="C3004" t="s">
        <v>31</v>
      </c>
      <c r="D3004" t="s">
        <v>79</v>
      </c>
      <c r="E3004" s="1">
        <v>45571</v>
      </c>
      <c r="F3004" s="3">
        <v>45579</v>
      </c>
      <c r="G3004" t="s">
        <v>41</v>
      </c>
      <c r="H3004" t="s">
        <v>42</v>
      </c>
      <c r="I3004" t="s">
        <v>91</v>
      </c>
      <c r="J3004">
        <v>6326.01</v>
      </c>
      <c r="K3004">
        <v>8</v>
      </c>
      <c r="L3004" t="s">
        <v>36</v>
      </c>
      <c r="M3004" t="s">
        <v>25</v>
      </c>
      <c r="N3004" t="s">
        <v>26</v>
      </c>
      <c r="O3004" t="s">
        <v>27</v>
      </c>
      <c r="P3004" t="s">
        <v>45</v>
      </c>
      <c r="Q3004">
        <v>4</v>
      </c>
      <c r="R3004">
        <v>1497.19</v>
      </c>
      <c r="S3004" t="s">
        <v>29</v>
      </c>
    </row>
    <row r="3005" spans="1:19" x14ac:dyDescent="0.3">
      <c r="A3005" t="s">
        <v>3075</v>
      </c>
      <c r="B3005">
        <v>33</v>
      </c>
      <c r="C3005" t="s">
        <v>19</v>
      </c>
      <c r="D3005" t="s">
        <v>70</v>
      </c>
      <c r="E3005" s="1">
        <v>45535</v>
      </c>
      <c r="F3005" s="3">
        <v>45542</v>
      </c>
      <c r="G3005" t="s">
        <v>93</v>
      </c>
      <c r="H3005" t="s">
        <v>72</v>
      </c>
      <c r="I3005" t="s">
        <v>58</v>
      </c>
      <c r="J3005">
        <v>6234.8</v>
      </c>
      <c r="K3005">
        <v>7</v>
      </c>
      <c r="L3005" t="s">
        <v>36</v>
      </c>
      <c r="M3005" t="s">
        <v>25</v>
      </c>
      <c r="N3005" t="s">
        <v>44</v>
      </c>
      <c r="O3005" t="s">
        <v>27</v>
      </c>
      <c r="P3005" t="s">
        <v>38</v>
      </c>
      <c r="Q3005">
        <v>15</v>
      </c>
      <c r="R3005">
        <v>1050.19</v>
      </c>
      <c r="S3005" t="s">
        <v>39</v>
      </c>
    </row>
    <row r="3006" spans="1:19" x14ac:dyDescent="0.3">
      <c r="A3006" t="s">
        <v>3076</v>
      </c>
      <c r="B3006">
        <v>50</v>
      </c>
      <c r="C3006" t="s">
        <v>31</v>
      </c>
      <c r="D3006" t="s">
        <v>89</v>
      </c>
      <c r="E3006" s="1">
        <v>45668</v>
      </c>
      <c r="F3006" s="3">
        <v>45685</v>
      </c>
      <c r="G3006" t="s">
        <v>62</v>
      </c>
      <c r="H3006" t="s">
        <v>63</v>
      </c>
      <c r="I3006" t="s">
        <v>35</v>
      </c>
      <c r="J3006">
        <v>13044.77</v>
      </c>
      <c r="K3006">
        <v>17</v>
      </c>
      <c r="L3006" t="s">
        <v>24</v>
      </c>
      <c r="M3006" t="s">
        <v>25</v>
      </c>
      <c r="N3006" t="s">
        <v>44</v>
      </c>
      <c r="O3006" t="s">
        <v>27</v>
      </c>
      <c r="P3006" t="s">
        <v>28</v>
      </c>
      <c r="Q3006">
        <v>3</v>
      </c>
      <c r="R3006">
        <v>5071.3</v>
      </c>
      <c r="S3006" t="s">
        <v>29</v>
      </c>
    </row>
    <row r="3007" spans="1:19" x14ac:dyDescent="0.3">
      <c r="A3007" t="s">
        <v>3077</v>
      </c>
      <c r="B3007">
        <v>35</v>
      </c>
      <c r="C3007" t="s">
        <v>31</v>
      </c>
      <c r="D3007" t="s">
        <v>66</v>
      </c>
      <c r="E3007" s="1">
        <v>45005</v>
      </c>
      <c r="F3007" s="3">
        <v>45013</v>
      </c>
      <c r="G3007" t="s">
        <v>41</v>
      </c>
      <c r="H3007" t="s">
        <v>42</v>
      </c>
      <c r="I3007" t="s">
        <v>83</v>
      </c>
      <c r="J3007">
        <v>11666.75</v>
      </c>
      <c r="K3007">
        <v>8</v>
      </c>
      <c r="L3007" t="s">
        <v>36</v>
      </c>
      <c r="M3007" t="s">
        <v>59</v>
      </c>
      <c r="N3007" t="s">
        <v>55</v>
      </c>
      <c r="O3007" t="s">
        <v>49</v>
      </c>
      <c r="P3007" t="s">
        <v>38</v>
      </c>
      <c r="Q3007">
        <v>5</v>
      </c>
      <c r="R3007">
        <v>2489.7199999999998</v>
      </c>
      <c r="S3007" t="s">
        <v>29</v>
      </c>
    </row>
    <row r="3008" spans="1:19" x14ac:dyDescent="0.3">
      <c r="A3008" t="s">
        <v>3078</v>
      </c>
      <c r="B3008">
        <v>61</v>
      </c>
      <c r="C3008" t="s">
        <v>19</v>
      </c>
      <c r="D3008" t="s">
        <v>47</v>
      </c>
      <c r="E3008" s="1">
        <v>45840</v>
      </c>
      <c r="F3008" s="3">
        <v>45850</v>
      </c>
      <c r="G3008" t="s">
        <v>67</v>
      </c>
      <c r="H3008" t="s">
        <v>42</v>
      </c>
      <c r="I3008" t="s">
        <v>58</v>
      </c>
      <c r="J3008">
        <v>4869.88</v>
      </c>
      <c r="K3008">
        <v>10</v>
      </c>
      <c r="L3008" t="s">
        <v>24</v>
      </c>
      <c r="M3008" t="s">
        <v>25</v>
      </c>
      <c r="N3008" t="s">
        <v>55</v>
      </c>
      <c r="O3008" t="s">
        <v>37</v>
      </c>
      <c r="P3008" t="s">
        <v>28</v>
      </c>
      <c r="Q3008">
        <v>11</v>
      </c>
      <c r="R3008">
        <v>1478.72</v>
      </c>
      <c r="S3008" t="s">
        <v>29</v>
      </c>
    </row>
    <row r="3009" spans="1:19" x14ac:dyDescent="0.3">
      <c r="A3009" t="s">
        <v>3079</v>
      </c>
      <c r="B3009">
        <v>21</v>
      </c>
      <c r="C3009" t="s">
        <v>31</v>
      </c>
      <c r="D3009" t="s">
        <v>20</v>
      </c>
      <c r="E3009" s="1">
        <v>45757</v>
      </c>
      <c r="F3009" s="3">
        <v>45765</v>
      </c>
      <c r="G3009" t="s">
        <v>41</v>
      </c>
      <c r="H3009" t="s">
        <v>42</v>
      </c>
      <c r="I3009" t="s">
        <v>91</v>
      </c>
      <c r="J3009">
        <v>4493.7700000000004</v>
      </c>
      <c r="K3009">
        <v>8</v>
      </c>
      <c r="L3009" t="s">
        <v>24</v>
      </c>
      <c r="M3009" t="s">
        <v>25</v>
      </c>
      <c r="N3009" t="s">
        <v>55</v>
      </c>
      <c r="O3009" t="s">
        <v>27</v>
      </c>
      <c r="P3009" t="s">
        <v>38</v>
      </c>
      <c r="Q3009">
        <v>7</v>
      </c>
      <c r="R3009">
        <v>1186.93</v>
      </c>
      <c r="S3009" t="s">
        <v>29</v>
      </c>
    </row>
    <row r="3010" spans="1:19" x14ac:dyDescent="0.3">
      <c r="A3010" t="s">
        <v>3080</v>
      </c>
      <c r="B3010">
        <v>25</v>
      </c>
      <c r="C3010" t="s">
        <v>19</v>
      </c>
      <c r="D3010" t="s">
        <v>32</v>
      </c>
      <c r="E3010" s="1">
        <v>45197</v>
      </c>
      <c r="F3010" s="3">
        <v>45214</v>
      </c>
      <c r="G3010" t="s">
        <v>93</v>
      </c>
      <c r="H3010" t="s">
        <v>72</v>
      </c>
      <c r="I3010" t="s">
        <v>23</v>
      </c>
      <c r="J3010">
        <v>10853.77</v>
      </c>
      <c r="K3010">
        <v>17</v>
      </c>
      <c r="L3010" t="s">
        <v>24</v>
      </c>
      <c r="M3010" t="s">
        <v>25</v>
      </c>
      <c r="N3010" t="s">
        <v>55</v>
      </c>
      <c r="O3010" t="s">
        <v>56</v>
      </c>
      <c r="P3010" t="s">
        <v>50</v>
      </c>
      <c r="Q3010">
        <v>13</v>
      </c>
      <c r="R3010">
        <v>2716.1</v>
      </c>
      <c r="S3010" t="s">
        <v>29</v>
      </c>
    </row>
    <row r="3011" spans="1:19" x14ac:dyDescent="0.3">
      <c r="A3011" t="s">
        <v>3081</v>
      </c>
      <c r="B3011">
        <v>27</v>
      </c>
      <c r="C3011" t="s">
        <v>19</v>
      </c>
      <c r="D3011" t="s">
        <v>61</v>
      </c>
      <c r="E3011" s="1">
        <v>45025</v>
      </c>
      <c r="F3011" s="3">
        <v>45029</v>
      </c>
      <c r="G3011" t="s">
        <v>33</v>
      </c>
      <c r="H3011" t="s">
        <v>34</v>
      </c>
      <c r="I3011" t="s">
        <v>83</v>
      </c>
      <c r="J3011">
        <v>3995.95</v>
      </c>
      <c r="K3011">
        <v>4</v>
      </c>
      <c r="L3011" t="s">
        <v>36</v>
      </c>
      <c r="M3011" t="s">
        <v>59</v>
      </c>
      <c r="N3011" t="s">
        <v>26</v>
      </c>
      <c r="O3011" t="s">
        <v>56</v>
      </c>
      <c r="P3011" t="s">
        <v>38</v>
      </c>
      <c r="Q3011">
        <v>2</v>
      </c>
      <c r="R3011">
        <v>1465.54</v>
      </c>
      <c r="S3011" t="s">
        <v>29</v>
      </c>
    </row>
    <row r="3012" spans="1:19" x14ac:dyDescent="0.3">
      <c r="A3012" t="s">
        <v>3082</v>
      </c>
      <c r="B3012">
        <v>42</v>
      </c>
      <c r="C3012" t="s">
        <v>31</v>
      </c>
      <c r="D3012" t="s">
        <v>79</v>
      </c>
      <c r="E3012" s="1">
        <v>45519</v>
      </c>
      <c r="F3012" s="3">
        <v>45520</v>
      </c>
      <c r="G3012" t="s">
        <v>48</v>
      </c>
      <c r="H3012" t="s">
        <v>22</v>
      </c>
      <c r="I3012" t="s">
        <v>91</v>
      </c>
      <c r="J3012">
        <v>1170.06</v>
      </c>
      <c r="K3012">
        <v>1</v>
      </c>
      <c r="L3012" t="s">
        <v>24</v>
      </c>
      <c r="M3012" t="s">
        <v>25</v>
      </c>
      <c r="N3012" t="s">
        <v>55</v>
      </c>
      <c r="O3012" t="s">
        <v>37</v>
      </c>
      <c r="P3012" t="s">
        <v>28</v>
      </c>
      <c r="Q3012">
        <v>15</v>
      </c>
      <c r="R3012">
        <v>321.73</v>
      </c>
      <c r="S3012" t="s">
        <v>29</v>
      </c>
    </row>
    <row r="3013" spans="1:19" x14ac:dyDescent="0.3">
      <c r="A3013" t="s">
        <v>3083</v>
      </c>
      <c r="B3013">
        <v>18</v>
      </c>
      <c r="C3013" t="s">
        <v>19</v>
      </c>
      <c r="D3013" t="s">
        <v>66</v>
      </c>
      <c r="E3013" s="1">
        <v>45081</v>
      </c>
      <c r="F3013" s="3">
        <v>45094</v>
      </c>
      <c r="G3013" t="s">
        <v>21</v>
      </c>
      <c r="H3013" t="s">
        <v>22</v>
      </c>
      <c r="I3013" t="s">
        <v>43</v>
      </c>
      <c r="J3013">
        <v>12496.34</v>
      </c>
      <c r="K3013">
        <v>13</v>
      </c>
      <c r="L3013" t="s">
        <v>36</v>
      </c>
      <c r="M3013" t="s">
        <v>25</v>
      </c>
      <c r="N3013" t="s">
        <v>26</v>
      </c>
      <c r="O3013" t="s">
        <v>49</v>
      </c>
      <c r="P3013" t="s">
        <v>50</v>
      </c>
      <c r="Q3013">
        <v>7</v>
      </c>
      <c r="R3013">
        <v>2011.08</v>
      </c>
      <c r="S3013" t="s">
        <v>29</v>
      </c>
    </row>
    <row r="3014" spans="1:19" x14ac:dyDescent="0.3">
      <c r="A3014" t="s">
        <v>3084</v>
      </c>
      <c r="B3014">
        <v>30</v>
      </c>
      <c r="C3014" t="s">
        <v>19</v>
      </c>
      <c r="D3014" t="s">
        <v>32</v>
      </c>
      <c r="E3014" s="1">
        <v>45039</v>
      </c>
      <c r="F3014" s="3">
        <v>45053</v>
      </c>
      <c r="G3014" t="s">
        <v>71</v>
      </c>
      <c r="H3014" t="s">
        <v>72</v>
      </c>
      <c r="I3014" t="s">
        <v>43</v>
      </c>
      <c r="J3014">
        <v>9844.2099999999991</v>
      </c>
      <c r="K3014">
        <v>14</v>
      </c>
      <c r="L3014" t="s">
        <v>24</v>
      </c>
      <c r="M3014" t="s">
        <v>76</v>
      </c>
      <c r="N3014" t="s">
        <v>44</v>
      </c>
      <c r="O3014" t="s">
        <v>37</v>
      </c>
      <c r="P3014" t="s">
        <v>45</v>
      </c>
      <c r="Q3014">
        <v>10</v>
      </c>
      <c r="R3014">
        <v>2688.25</v>
      </c>
      <c r="S3014" t="s">
        <v>29</v>
      </c>
    </row>
    <row r="3015" spans="1:19" x14ac:dyDescent="0.3">
      <c r="A3015" t="s">
        <v>3085</v>
      </c>
      <c r="B3015">
        <v>23</v>
      </c>
      <c r="C3015" t="s">
        <v>31</v>
      </c>
      <c r="D3015" t="s">
        <v>61</v>
      </c>
      <c r="E3015" s="1">
        <v>45364</v>
      </c>
      <c r="F3015" s="3">
        <v>45379</v>
      </c>
      <c r="G3015" t="s">
        <v>41</v>
      </c>
      <c r="H3015" t="s">
        <v>42</v>
      </c>
      <c r="I3015" t="s">
        <v>83</v>
      </c>
      <c r="J3015">
        <v>10594.26</v>
      </c>
      <c r="K3015">
        <v>15</v>
      </c>
      <c r="L3015" t="s">
        <v>36</v>
      </c>
      <c r="M3015" t="s">
        <v>25</v>
      </c>
      <c r="N3015" t="s">
        <v>44</v>
      </c>
      <c r="O3015" t="s">
        <v>56</v>
      </c>
      <c r="P3015" t="s">
        <v>50</v>
      </c>
      <c r="Q3015">
        <v>8</v>
      </c>
      <c r="R3015">
        <v>1681.67</v>
      </c>
      <c r="S3015" t="s">
        <v>39</v>
      </c>
    </row>
    <row r="3016" spans="1:19" x14ac:dyDescent="0.3">
      <c r="A3016" t="s">
        <v>3086</v>
      </c>
      <c r="B3016">
        <v>29</v>
      </c>
      <c r="C3016" t="s">
        <v>31</v>
      </c>
      <c r="D3016" t="s">
        <v>47</v>
      </c>
      <c r="E3016" s="1">
        <v>45910</v>
      </c>
      <c r="F3016" s="3">
        <v>45922</v>
      </c>
      <c r="G3016" t="s">
        <v>74</v>
      </c>
      <c r="H3016" t="s">
        <v>75</v>
      </c>
      <c r="I3016" t="s">
        <v>35</v>
      </c>
      <c r="J3016">
        <v>12114.44</v>
      </c>
      <c r="K3016">
        <v>12</v>
      </c>
      <c r="L3016" t="s">
        <v>24</v>
      </c>
      <c r="M3016" t="s">
        <v>25</v>
      </c>
      <c r="N3016" t="s">
        <v>55</v>
      </c>
      <c r="O3016" t="s">
        <v>49</v>
      </c>
      <c r="P3016" t="s">
        <v>45</v>
      </c>
      <c r="Q3016">
        <v>9</v>
      </c>
      <c r="R3016">
        <v>4723.72</v>
      </c>
      <c r="S3016" t="s">
        <v>29</v>
      </c>
    </row>
    <row r="3017" spans="1:19" x14ac:dyDescent="0.3">
      <c r="A3017" t="s">
        <v>3087</v>
      </c>
      <c r="B3017">
        <v>75</v>
      </c>
      <c r="C3017" t="s">
        <v>19</v>
      </c>
      <c r="D3017" t="s">
        <v>79</v>
      </c>
      <c r="E3017" s="1">
        <v>45080</v>
      </c>
      <c r="F3017" s="3">
        <v>45084</v>
      </c>
      <c r="G3017" t="s">
        <v>33</v>
      </c>
      <c r="H3017" t="s">
        <v>34</v>
      </c>
      <c r="I3017" t="s">
        <v>81</v>
      </c>
      <c r="J3017">
        <v>3377.4</v>
      </c>
      <c r="K3017">
        <v>4</v>
      </c>
      <c r="L3017" t="s">
        <v>24</v>
      </c>
      <c r="M3017" t="s">
        <v>25</v>
      </c>
      <c r="N3017" t="s">
        <v>44</v>
      </c>
      <c r="O3017" t="s">
        <v>56</v>
      </c>
      <c r="P3017" t="s">
        <v>28</v>
      </c>
      <c r="Q3017">
        <v>13</v>
      </c>
      <c r="R3017">
        <v>813.34</v>
      </c>
      <c r="S3017" t="s">
        <v>29</v>
      </c>
    </row>
    <row r="3018" spans="1:19" x14ac:dyDescent="0.3">
      <c r="A3018" t="s">
        <v>3088</v>
      </c>
      <c r="B3018">
        <v>29</v>
      </c>
      <c r="C3018" t="s">
        <v>31</v>
      </c>
      <c r="D3018" t="s">
        <v>61</v>
      </c>
      <c r="E3018" s="1">
        <v>45066</v>
      </c>
      <c r="F3018" s="3">
        <v>45072</v>
      </c>
      <c r="G3018" t="s">
        <v>41</v>
      </c>
      <c r="H3018" t="s">
        <v>42</v>
      </c>
      <c r="I3018" t="s">
        <v>58</v>
      </c>
      <c r="J3018">
        <v>9381.76</v>
      </c>
      <c r="K3018">
        <v>6</v>
      </c>
      <c r="L3018" t="s">
        <v>36</v>
      </c>
      <c r="M3018" t="s">
        <v>25</v>
      </c>
      <c r="N3018" t="s">
        <v>26</v>
      </c>
      <c r="O3018" t="s">
        <v>49</v>
      </c>
      <c r="P3018" t="s">
        <v>45</v>
      </c>
      <c r="Q3018">
        <v>4</v>
      </c>
      <c r="R3018">
        <v>2418.3000000000002</v>
      </c>
      <c r="S3018" t="s">
        <v>29</v>
      </c>
    </row>
    <row r="3019" spans="1:19" x14ac:dyDescent="0.3">
      <c r="A3019" t="s">
        <v>3089</v>
      </c>
      <c r="B3019">
        <v>63</v>
      </c>
      <c r="C3019" t="s">
        <v>19</v>
      </c>
      <c r="D3019" t="s">
        <v>61</v>
      </c>
      <c r="E3019" s="1">
        <v>45359</v>
      </c>
      <c r="F3019" s="3">
        <v>45369</v>
      </c>
      <c r="G3019" t="s">
        <v>67</v>
      </c>
      <c r="H3019" t="s">
        <v>42</v>
      </c>
      <c r="I3019" t="s">
        <v>91</v>
      </c>
      <c r="J3019">
        <v>3656.46</v>
      </c>
      <c r="K3019">
        <v>10</v>
      </c>
      <c r="L3019" t="s">
        <v>36</v>
      </c>
      <c r="M3019" t="s">
        <v>25</v>
      </c>
      <c r="N3019" t="s">
        <v>44</v>
      </c>
      <c r="O3019" t="s">
        <v>37</v>
      </c>
      <c r="P3019" t="s">
        <v>50</v>
      </c>
      <c r="Q3019">
        <v>8</v>
      </c>
      <c r="R3019">
        <v>991.48</v>
      </c>
      <c r="S3019" t="s">
        <v>29</v>
      </c>
    </row>
    <row r="3020" spans="1:19" x14ac:dyDescent="0.3">
      <c r="A3020" t="s">
        <v>3090</v>
      </c>
      <c r="B3020">
        <v>40</v>
      </c>
      <c r="C3020" t="s">
        <v>31</v>
      </c>
      <c r="D3020" t="s">
        <v>20</v>
      </c>
      <c r="E3020" s="1">
        <v>45075</v>
      </c>
      <c r="F3020" s="3">
        <v>45103</v>
      </c>
      <c r="G3020" t="s">
        <v>93</v>
      </c>
      <c r="H3020" t="s">
        <v>72</v>
      </c>
      <c r="I3020" t="s">
        <v>81</v>
      </c>
      <c r="J3020">
        <v>19706.23</v>
      </c>
      <c r="K3020">
        <v>28</v>
      </c>
      <c r="L3020" t="s">
        <v>36</v>
      </c>
      <c r="M3020" t="s">
        <v>59</v>
      </c>
      <c r="N3020" t="s">
        <v>55</v>
      </c>
      <c r="O3020" t="s">
        <v>49</v>
      </c>
      <c r="P3020" t="s">
        <v>38</v>
      </c>
      <c r="Q3020">
        <v>3</v>
      </c>
      <c r="R3020">
        <v>3509.44</v>
      </c>
      <c r="S3020" t="s">
        <v>29</v>
      </c>
    </row>
    <row r="3021" spans="1:19" x14ac:dyDescent="0.3">
      <c r="A3021" t="s">
        <v>3091</v>
      </c>
      <c r="B3021">
        <v>59</v>
      </c>
      <c r="C3021" t="s">
        <v>31</v>
      </c>
      <c r="D3021" t="s">
        <v>70</v>
      </c>
      <c r="E3021" s="1">
        <v>45669</v>
      </c>
      <c r="F3021" s="3">
        <v>45687</v>
      </c>
      <c r="G3021" t="s">
        <v>71</v>
      </c>
      <c r="H3021" t="s">
        <v>72</v>
      </c>
      <c r="I3021" t="s">
        <v>81</v>
      </c>
      <c r="J3021">
        <v>14659.11</v>
      </c>
      <c r="K3021">
        <v>18</v>
      </c>
      <c r="L3021" t="s">
        <v>24</v>
      </c>
      <c r="M3021" t="s">
        <v>25</v>
      </c>
      <c r="N3021" t="s">
        <v>26</v>
      </c>
      <c r="O3021" t="s">
        <v>37</v>
      </c>
      <c r="P3021" t="s">
        <v>50</v>
      </c>
      <c r="Q3021">
        <v>7</v>
      </c>
      <c r="R3021">
        <v>4407.51</v>
      </c>
      <c r="S3021" t="s">
        <v>29</v>
      </c>
    </row>
    <row r="3022" spans="1:19" x14ac:dyDescent="0.3">
      <c r="A3022" t="s">
        <v>3092</v>
      </c>
      <c r="B3022">
        <v>21</v>
      </c>
      <c r="C3022" t="s">
        <v>31</v>
      </c>
      <c r="D3022" t="s">
        <v>79</v>
      </c>
      <c r="E3022" s="1">
        <v>45734</v>
      </c>
      <c r="F3022" s="3">
        <v>45740</v>
      </c>
      <c r="G3022" t="s">
        <v>52</v>
      </c>
      <c r="H3022" t="s">
        <v>53</v>
      </c>
      <c r="I3022" t="s">
        <v>35</v>
      </c>
      <c r="J3022">
        <v>11599.89</v>
      </c>
      <c r="K3022">
        <v>6</v>
      </c>
      <c r="L3022" t="s">
        <v>24</v>
      </c>
      <c r="M3022" t="s">
        <v>25</v>
      </c>
      <c r="N3022" t="s">
        <v>44</v>
      </c>
      <c r="O3022" t="s">
        <v>49</v>
      </c>
      <c r="P3022" t="s">
        <v>50</v>
      </c>
      <c r="Q3022">
        <v>12</v>
      </c>
      <c r="R3022">
        <v>4384.99</v>
      </c>
      <c r="S3022" t="s">
        <v>29</v>
      </c>
    </row>
    <row r="3023" spans="1:19" x14ac:dyDescent="0.3">
      <c r="A3023" t="s">
        <v>3093</v>
      </c>
      <c r="B3023">
        <v>85</v>
      </c>
      <c r="C3023" t="s">
        <v>19</v>
      </c>
      <c r="D3023" t="s">
        <v>89</v>
      </c>
      <c r="E3023" s="1">
        <v>45301</v>
      </c>
      <c r="F3023" s="3">
        <v>45314</v>
      </c>
      <c r="G3023" t="s">
        <v>74</v>
      </c>
      <c r="H3023" t="s">
        <v>75</v>
      </c>
      <c r="I3023" t="s">
        <v>35</v>
      </c>
      <c r="J3023">
        <v>4723.3900000000003</v>
      </c>
      <c r="K3023">
        <v>13</v>
      </c>
      <c r="L3023" t="s">
        <v>36</v>
      </c>
      <c r="M3023" t="s">
        <v>25</v>
      </c>
      <c r="N3023" t="s">
        <v>44</v>
      </c>
      <c r="O3023" t="s">
        <v>27</v>
      </c>
      <c r="P3023" t="s">
        <v>28</v>
      </c>
      <c r="Q3023">
        <v>11</v>
      </c>
      <c r="R3023">
        <v>1347.95</v>
      </c>
      <c r="S3023" t="s">
        <v>29</v>
      </c>
    </row>
    <row r="3024" spans="1:19" x14ac:dyDescent="0.3">
      <c r="A3024" t="s">
        <v>3094</v>
      </c>
      <c r="B3024">
        <v>46</v>
      </c>
      <c r="C3024" t="s">
        <v>19</v>
      </c>
      <c r="D3024" t="s">
        <v>89</v>
      </c>
      <c r="E3024" s="1">
        <v>45734</v>
      </c>
      <c r="F3024" s="3">
        <v>45736</v>
      </c>
      <c r="G3024" t="s">
        <v>33</v>
      </c>
      <c r="H3024" t="s">
        <v>34</v>
      </c>
      <c r="I3024" t="s">
        <v>91</v>
      </c>
      <c r="J3024">
        <v>1485.15</v>
      </c>
      <c r="K3024">
        <v>2</v>
      </c>
      <c r="L3024" t="s">
        <v>24</v>
      </c>
      <c r="M3024" t="s">
        <v>25</v>
      </c>
      <c r="N3024" t="s">
        <v>55</v>
      </c>
      <c r="O3024" t="s">
        <v>56</v>
      </c>
      <c r="P3024" t="s">
        <v>28</v>
      </c>
      <c r="Q3024">
        <v>12</v>
      </c>
      <c r="R3024">
        <v>245.48</v>
      </c>
      <c r="S3024" t="s">
        <v>29</v>
      </c>
    </row>
    <row r="3025" spans="1:19" x14ac:dyDescent="0.3">
      <c r="A3025" t="s">
        <v>3095</v>
      </c>
      <c r="B3025">
        <v>48</v>
      </c>
      <c r="C3025" t="s">
        <v>31</v>
      </c>
      <c r="D3025" t="s">
        <v>89</v>
      </c>
      <c r="E3025" s="1">
        <v>45111</v>
      </c>
      <c r="F3025" s="3">
        <v>45119</v>
      </c>
      <c r="G3025" t="s">
        <v>21</v>
      </c>
      <c r="H3025" t="s">
        <v>22</v>
      </c>
      <c r="I3025" t="s">
        <v>91</v>
      </c>
      <c r="J3025">
        <v>3781.88</v>
      </c>
      <c r="K3025">
        <v>8</v>
      </c>
      <c r="L3025" t="s">
        <v>24</v>
      </c>
      <c r="M3025" t="s">
        <v>101</v>
      </c>
      <c r="N3025" t="s">
        <v>26</v>
      </c>
      <c r="O3025" t="s">
        <v>27</v>
      </c>
      <c r="P3025" t="s">
        <v>38</v>
      </c>
      <c r="Q3025">
        <v>8</v>
      </c>
      <c r="R3025">
        <v>605.16999999999996</v>
      </c>
      <c r="S3025" t="s">
        <v>39</v>
      </c>
    </row>
    <row r="3026" spans="1:19" x14ac:dyDescent="0.3">
      <c r="A3026" t="s">
        <v>3096</v>
      </c>
      <c r="B3026">
        <v>28</v>
      </c>
      <c r="C3026" t="s">
        <v>31</v>
      </c>
      <c r="D3026" t="s">
        <v>47</v>
      </c>
      <c r="E3026" s="1">
        <v>45913</v>
      </c>
      <c r="F3026" s="3">
        <v>45933</v>
      </c>
      <c r="G3026" t="s">
        <v>71</v>
      </c>
      <c r="H3026" t="s">
        <v>72</v>
      </c>
      <c r="I3026" t="s">
        <v>54</v>
      </c>
      <c r="J3026">
        <v>7921.17</v>
      </c>
      <c r="K3026">
        <v>20</v>
      </c>
      <c r="L3026" t="s">
        <v>36</v>
      </c>
      <c r="M3026" t="s">
        <v>25</v>
      </c>
      <c r="N3026" t="s">
        <v>44</v>
      </c>
      <c r="O3026" t="s">
        <v>56</v>
      </c>
      <c r="P3026" t="s">
        <v>50</v>
      </c>
      <c r="Q3026">
        <v>1</v>
      </c>
      <c r="R3026">
        <v>2667.58</v>
      </c>
      <c r="S3026" t="s">
        <v>29</v>
      </c>
    </row>
    <row r="3027" spans="1:19" x14ac:dyDescent="0.3">
      <c r="A3027" t="s">
        <v>3097</v>
      </c>
      <c r="B3027">
        <v>41</v>
      </c>
      <c r="C3027" t="s">
        <v>31</v>
      </c>
      <c r="D3027" t="s">
        <v>47</v>
      </c>
      <c r="E3027" s="1">
        <v>45337</v>
      </c>
      <c r="F3027" s="3">
        <v>45358</v>
      </c>
      <c r="G3027" t="s">
        <v>48</v>
      </c>
      <c r="H3027" t="s">
        <v>22</v>
      </c>
      <c r="I3027" t="s">
        <v>83</v>
      </c>
      <c r="J3027">
        <v>17002.57</v>
      </c>
      <c r="K3027">
        <v>21</v>
      </c>
      <c r="L3027" t="s">
        <v>24</v>
      </c>
      <c r="M3027" t="s">
        <v>59</v>
      </c>
      <c r="N3027" t="s">
        <v>55</v>
      </c>
      <c r="O3027" t="s">
        <v>49</v>
      </c>
      <c r="P3027" t="s">
        <v>45</v>
      </c>
      <c r="Q3027">
        <v>14</v>
      </c>
      <c r="R3027">
        <v>3978.85</v>
      </c>
      <c r="S3027" t="s">
        <v>29</v>
      </c>
    </row>
    <row r="3028" spans="1:19" x14ac:dyDescent="0.3">
      <c r="A3028" t="s">
        <v>3098</v>
      </c>
      <c r="B3028">
        <v>51</v>
      </c>
      <c r="C3028" t="s">
        <v>31</v>
      </c>
      <c r="D3028" t="s">
        <v>89</v>
      </c>
      <c r="E3028" s="1">
        <v>45205</v>
      </c>
      <c r="F3028" s="3">
        <v>45221</v>
      </c>
      <c r="G3028" t="s">
        <v>74</v>
      </c>
      <c r="H3028" t="s">
        <v>75</v>
      </c>
      <c r="I3028" t="s">
        <v>23</v>
      </c>
      <c r="J3028">
        <v>13307</v>
      </c>
      <c r="K3028">
        <v>16</v>
      </c>
      <c r="L3028" t="s">
        <v>24</v>
      </c>
      <c r="M3028" t="s">
        <v>25</v>
      </c>
      <c r="N3028" t="s">
        <v>44</v>
      </c>
      <c r="O3028" t="s">
        <v>27</v>
      </c>
      <c r="P3028" t="s">
        <v>28</v>
      </c>
      <c r="Q3028">
        <v>6</v>
      </c>
      <c r="R3028">
        <v>3670.88</v>
      </c>
      <c r="S3028" t="s">
        <v>29</v>
      </c>
    </row>
    <row r="3029" spans="1:19" x14ac:dyDescent="0.3">
      <c r="A3029" t="s">
        <v>3099</v>
      </c>
      <c r="B3029">
        <v>61</v>
      </c>
      <c r="C3029" t="s">
        <v>19</v>
      </c>
      <c r="D3029" t="s">
        <v>61</v>
      </c>
      <c r="E3029" s="1">
        <v>45758</v>
      </c>
      <c r="F3029" s="3">
        <v>45763</v>
      </c>
      <c r="G3029" t="s">
        <v>74</v>
      </c>
      <c r="H3029" t="s">
        <v>75</v>
      </c>
      <c r="I3029" t="s">
        <v>81</v>
      </c>
      <c r="J3029">
        <v>3194.46</v>
      </c>
      <c r="K3029">
        <v>5</v>
      </c>
      <c r="L3029" t="s">
        <v>24</v>
      </c>
      <c r="M3029" t="s">
        <v>25</v>
      </c>
      <c r="N3029" t="s">
        <v>26</v>
      </c>
      <c r="O3029" t="s">
        <v>37</v>
      </c>
      <c r="P3029" t="s">
        <v>45</v>
      </c>
      <c r="Q3029">
        <v>1</v>
      </c>
      <c r="R3029">
        <v>1011.41</v>
      </c>
      <c r="S3029" t="s">
        <v>29</v>
      </c>
    </row>
    <row r="3030" spans="1:19" x14ac:dyDescent="0.3">
      <c r="A3030" t="s">
        <v>3100</v>
      </c>
      <c r="B3030">
        <v>82</v>
      </c>
      <c r="C3030" t="s">
        <v>31</v>
      </c>
      <c r="D3030" t="s">
        <v>47</v>
      </c>
      <c r="E3030" s="1">
        <v>45704</v>
      </c>
      <c r="F3030" s="3">
        <v>45714</v>
      </c>
      <c r="G3030" t="s">
        <v>62</v>
      </c>
      <c r="H3030" t="s">
        <v>63</v>
      </c>
      <c r="I3030" t="s">
        <v>35</v>
      </c>
      <c r="J3030">
        <v>7941.83</v>
      </c>
      <c r="K3030">
        <v>10</v>
      </c>
      <c r="L3030" t="s">
        <v>24</v>
      </c>
      <c r="M3030" t="s">
        <v>25</v>
      </c>
      <c r="N3030" t="s">
        <v>44</v>
      </c>
      <c r="O3030" t="s">
        <v>37</v>
      </c>
      <c r="P3030" t="s">
        <v>28</v>
      </c>
      <c r="Q3030">
        <v>9</v>
      </c>
      <c r="R3030">
        <v>3113.71</v>
      </c>
      <c r="S3030" t="s">
        <v>29</v>
      </c>
    </row>
    <row r="3031" spans="1:19" x14ac:dyDescent="0.3">
      <c r="A3031" t="s">
        <v>3101</v>
      </c>
      <c r="B3031">
        <v>59</v>
      </c>
      <c r="C3031" t="s">
        <v>31</v>
      </c>
      <c r="D3031" t="s">
        <v>47</v>
      </c>
      <c r="E3031" s="1">
        <v>45012</v>
      </c>
      <c r="F3031" s="3">
        <v>45022</v>
      </c>
      <c r="G3031" t="s">
        <v>62</v>
      </c>
      <c r="H3031" t="s">
        <v>63</v>
      </c>
      <c r="I3031" t="s">
        <v>83</v>
      </c>
      <c r="J3031">
        <v>13265.21</v>
      </c>
      <c r="K3031">
        <v>10</v>
      </c>
      <c r="L3031" t="s">
        <v>24</v>
      </c>
      <c r="M3031" t="s">
        <v>25</v>
      </c>
      <c r="N3031" t="s">
        <v>26</v>
      </c>
      <c r="O3031" t="s">
        <v>49</v>
      </c>
      <c r="P3031" t="s">
        <v>45</v>
      </c>
      <c r="Q3031">
        <v>7</v>
      </c>
      <c r="R3031">
        <v>5045.88</v>
      </c>
      <c r="S3031" t="s">
        <v>29</v>
      </c>
    </row>
    <row r="3032" spans="1:19" x14ac:dyDescent="0.3">
      <c r="A3032" t="s">
        <v>3102</v>
      </c>
      <c r="B3032">
        <v>89</v>
      </c>
      <c r="C3032" t="s">
        <v>31</v>
      </c>
      <c r="D3032" t="s">
        <v>32</v>
      </c>
      <c r="E3032" s="1">
        <v>45697</v>
      </c>
      <c r="F3032" s="3">
        <v>45701</v>
      </c>
      <c r="G3032" t="s">
        <v>62</v>
      </c>
      <c r="H3032" t="s">
        <v>63</v>
      </c>
      <c r="I3032" t="s">
        <v>35</v>
      </c>
      <c r="J3032">
        <v>1560.65</v>
      </c>
      <c r="K3032">
        <v>4</v>
      </c>
      <c r="L3032" t="s">
        <v>36</v>
      </c>
      <c r="M3032" t="s">
        <v>59</v>
      </c>
      <c r="N3032" t="s">
        <v>26</v>
      </c>
      <c r="O3032" t="s">
        <v>27</v>
      </c>
      <c r="P3032" t="s">
        <v>45</v>
      </c>
      <c r="Q3032">
        <v>11</v>
      </c>
      <c r="R3032">
        <v>302.16000000000003</v>
      </c>
      <c r="S3032" t="s">
        <v>29</v>
      </c>
    </row>
    <row r="3033" spans="1:19" x14ac:dyDescent="0.3">
      <c r="A3033" t="s">
        <v>3103</v>
      </c>
      <c r="B3033">
        <v>56</v>
      </c>
      <c r="C3033" t="s">
        <v>31</v>
      </c>
      <c r="D3033" t="s">
        <v>79</v>
      </c>
      <c r="E3033" s="1">
        <v>45585</v>
      </c>
      <c r="F3033" s="3">
        <v>45596</v>
      </c>
      <c r="G3033" t="s">
        <v>41</v>
      </c>
      <c r="H3033" t="s">
        <v>42</v>
      </c>
      <c r="I3033" t="s">
        <v>43</v>
      </c>
      <c r="J3033">
        <v>5470.17</v>
      </c>
      <c r="K3033">
        <v>11</v>
      </c>
      <c r="L3033" t="s">
        <v>36</v>
      </c>
      <c r="M3033" t="s">
        <v>25</v>
      </c>
      <c r="N3033" t="s">
        <v>26</v>
      </c>
      <c r="O3033" t="s">
        <v>56</v>
      </c>
      <c r="P3033" t="s">
        <v>28</v>
      </c>
      <c r="Q3033">
        <v>8</v>
      </c>
      <c r="R3033">
        <v>1642.22</v>
      </c>
      <c r="S3033" t="s">
        <v>29</v>
      </c>
    </row>
    <row r="3034" spans="1:19" x14ac:dyDescent="0.3">
      <c r="A3034" t="s">
        <v>3104</v>
      </c>
      <c r="B3034">
        <v>84</v>
      </c>
      <c r="C3034" t="s">
        <v>31</v>
      </c>
      <c r="D3034" t="s">
        <v>20</v>
      </c>
      <c r="E3034" s="1">
        <v>45865</v>
      </c>
      <c r="F3034" s="3">
        <v>45876</v>
      </c>
      <c r="G3034" t="s">
        <v>74</v>
      </c>
      <c r="H3034" t="s">
        <v>75</v>
      </c>
      <c r="I3034" t="s">
        <v>58</v>
      </c>
      <c r="J3034">
        <v>2348.6999999999998</v>
      </c>
      <c r="K3034">
        <v>11</v>
      </c>
      <c r="L3034" t="s">
        <v>36</v>
      </c>
      <c r="M3034" t="s">
        <v>25</v>
      </c>
      <c r="N3034" t="s">
        <v>55</v>
      </c>
      <c r="O3034" t="s">
        <v>37</v>
      </c>
      <c r="P3034" t="s">
        <v>28</v>
      </c>
      <c r="Q3034">
        <v>8</v>
      </c>
      <c r="R3034">
        <v>877.28</v>
      </c>
      <c r="S3034" t="s">
        <v>29</v>
      </c>
    </row>
    <row r="3035" spans="1:19" x14ac:dyDescent="0.3">
      <c r="A3035" t="s">
        <v>3105</v>
      </c>
      <c r="B3035">
        <v>21</v>
      </c>
      <c r="C3035" t="s">
        <v>31</v>
      </c>
      <c r="D3035" t="s">
        <v>47</v>
      </c>
      <c r="E3035" s="1">
        <v>45218</v>
      </c>
      <c r="F3035" s="3">
        <v>45228</v>
      </c>
      <c r="G3035" t="s">
        <v>71</v>
      </c>
      <c r="H3035" t="s">
        <v>72</v>
      </c>
      <c r="I3035" t="s">
        <v>83</v>
      </c>
      <c r="J3035">
        <v>8102.4</v>
      </c>
      <c r="K3035">
        <v>10</v>
      </c>
      <c r="L3035" t="s">
        <v>24</v>
      </c>
      <c r="M3035" t="s">
        <v>25</v>
      </c>
      <c r="N3035" t="s">
        <v>44</v>
      </c>
      <c r="O3035" t="s">
        <v>27</v>
      </c>
      <c r="P3035" t="s">
        <v>50</v>
      </c>
      <c r="Q3035">
        <v>10</v>
      </c>
      <c r="R3035">
        <v>2282.4</v>
      </c>
      <c r="S3035" t="s">
        <v>29</v>
      </c>
    </row>
    <row r="3036" spans="1:19" x14ac:dyDescent="0.3">
      <c r="A3036" t="s">
        <v>3106</v>
      </c>
      <c r="B3036">
        <v>45</v>
      </c>
      <c r="C3036" t="s">
        <v>31</v>
      </c>
      <c r="D3036" t="s">
        <v>32</v>
      </c>
      <c r="E3036" s="1">
        <v>45266</v>
      </c>
      <c r="F3036" s="3">
        <v>45280</v>
      </c>
      <c r="G3036" t="s">
        <v>71</v>
      </c>
      <c r="H3036" t="s">
        <v>72</v>
      </c>
      <c r="I3036" t="s">
        <v>83</v>
      </c>
      <c r="J3036">
        <v>10519.99</v>
      </c>
      <c r="K3036">
        <v>14</v>
      </c>
      <c r="L3036" t="s">
        <v>36</v>
      </c>
      <c r="M3036" t="s">
        <v>59</v>
      </c>
      <c r="N3036" t="s">
        <v>44</v>
      </c>
      <c r="O3036" t="s">
        <v>56</v>
      </c>
      <c r="P3036" t="s">
        <v>38</v>
      </c>
      <c r="Q3036">
        <v>11</v>
      </c>
      <c r="R3036">
        <v>3360.26</v>
      </c>
      <c r="S3036" t="s">
        <v>29</v>
      </c>
    </row>
    <row r="3037" spans="1:19" x14ac:dyDescent="0.3">
      <c r="A3037" t="s">
        <v>3107</v>
      </c>
      <c r="B3037">
        <v>64</v>
      </c>
      <c r="C3037" t="s">
        <v>31</v>
      </c>
      <c r="D3037" t="s">
        <v>47</v>
      </c>
      <c r="E3037" s="1">
        <v>45691</v>
      </c>
      <c r="F3037" s="3">
        <v>45718</v>
      </c>
      <c r="G3037" t="s">
        <v>21</v>
      </c>
      <c r="H3037" t="s">
        <v>22</v>
      </c>
      <c r="I3037" t="s">
        <v>23</v>
      </c>
      <c r="J3037">
        <v>12668.75</v>
      </c>
      <c r="K3037">
        <v>27</v>
      </c>
      <c r="L3037" t="s">
        <v>24</v>
      </c>
      <c r="M3037" t="s">
        <v>25</v>
      </c>
      <c r="N3037" t="s">
        <v>55</v>
      </c>
      <c r="O3037" t="s">
        <v>49</v>
      </c>
      <c r="P3037" t="s">
        <v>28</v>
      </c>
      <c r="Q3037">
        <v>13</v>
      </c>
      <c r="R3037">
        <v>3266.42</v>
      </c>
      <c r="S3037" t="s">
        <v>29</v>
      </c>
    </row>
    <row r="3038" spans="1:19" x14ac:dyDescent="0.3">
      <c r="A3038" t="s">
        <v>3108</v>
      </c>
      <c r="B3038">
        <v>90</v>
      </c>
      <c r="C3038" t="s">
        <v>19</v>
      </c>
      <c r="D3038" t="s">
        <v>79</v>
      </c>
      <c r="E3038" s="1">
        <v>44947</v>
      </c>
      <c r="F3038" s="3">
        <v>44961</v>
      </c>
      <c r="G3038" t="s">
        <v>74</v>
      </c>
      <c r="H3038" t="s">
        <v>75</v>
      </c>
      <c r="I3038" t="s">
        <v>43</v>
      </c>
      <c r="J3038">
        <v>10155.41</v>
      </c>
      <c r="K3038">
        <v>14</v>
      </c>
      <c r="L3038" t="s">
        <v>36</v>
      </c>
      <c r="M3038" t="s">
        <v>25</v>
      </c>
      <c r="N3038" t="s">
        <v>26</v>
      </c>
      <c r="O3038" t="s">
        <v>56</v>
      </c>
      <c r="P3038" t="s">
        <v>45</v>
      </c>
      <c r="Q3038">
        <v>8</v>
      </c>
      <c r="R3038">
        <v>3566.51</v>
      </c>
      <c r="S3038" t="s">
        <v>29</v>
      </c>
    </row>
    <row r="3039" spans="1:19" x14ac:dyDescent="0.3">
      <c r="A3039" t="s">
        <v>3109</v>
      </c>
      <c r="B3039">
        <v>61</v>
      </c>
      <c r="C3039" t="s">
        <v>19</v>
      </c>
      <c r="D3039" t="s">
        <v>66</v>
      </c>
      <c r="E3039" s="1">
        <v>45319</v>
      </c>
      <c r="F3039" s="3">
        <v>45328</v>
      </c>
      <c r="G3039" t="s">
        <v>21</v>
      </c>
      <c r="H3039" t="s">
        <v>22</v>
      </c>
      <c r="I3039" t="s">
        <v>35</v>
      </c>
      <c r="J3039">
        <v>10203.34</v>
      </c>
      <c r="K3039">
        <v>9</v>
      </c>
      <c r="L3039" t="s">
        <v>24</v>
      </c>
      <c r="M3039" t="s">
        <v>25</v>
      </c>
      <c r="N3039" t="s">
        <v>55</v>
      </c>
      <c r="O3039" t="s">
        <v>49</v>
      </c>
      <c r="P3039" t="s">
        <v>38</v>
      </c>
      <c r="Q3039">
        <v>2</v>
      </c>
      <c r="R3039">
        <v>3971.96</v>
      </c>
      <c r="S3039" t="s">
        <v>29</v>
      </c>
    </row>
    <row r="3040" spans="1:19" x14ac:dyDescent="0.3">
      <c r="A3040" t="s">
        <v>3110</v>
      </c>
      <c r="B3040">
        <v>36</v>
      </c>
      <c r="C3040" t="s">
        <v>19</v>
      </c>
      <c r="D3040" t="s">
        <v>61</v>
      </c>
      <c r="E3040" s="1">
        <v>45003</v>
      </c>
      <c r="F3040" s="3">
        <v>45005</v>
      </c>
      <c r="G3040" t="s">
        <v>41</v>
      </c>
      <c r="H3040" t="s">
        <v>42</v>
      </c>
      <c r="I3040" t="s">
        <v>58</v>
      </c>
      <c r="J3040">
        <v>2729.6</v>
      </c>
      <c r="K3040">
        <v>2</v>
      </c>
      <c r="L3040" t="s">
        <v>24</v>
      </c>
      <c r="M3040" t="s">
        <v>25</v>
      </c>
      <c r="N3040" t="s">
        <v>55</v>
      </c>
      <c r="O3040" t="s">
        <v>27</v>
      </c>
      <c r="P3040" t="s">
        <v>28</v>
      </c>
      <c r="Q3040">
        <v>10</v>
      </c>
      <c r="R3040">
        <v>1086.25</v>
      </c>
      <c r="S3040" t="s">
        <v>29</v>
      </c>
    </row>
    <row r="3041" spans="1:19" x14ac:dyDescent="0.3">
      <c r="A3041" t="s">
        <v>3111</v>
      </c>
      <c r="B3041">
        <v>72</v>
      </c>
      <c r="C3041" t="s">
        <v>19</v>
      </c>
      <c r="D3041" t="s">
        <v>61</v>
      </c>
      <c r="E3041" s="1">
        <v>45847</v>
      </c>
      <c r="F3041" s="3">
        <v>45853</v>
      </c>
      <c r="G3041" t="s">
        <v>71</v>
      </c>
      <c r="H3041" t="s">
        <v>72</v>
      </c>
      <c r="I3041" t="s">
        <v>91</v>
      </c>
      <c r="J3041">
        <v>4345.54</v>
      </c>
      <c r="K3041">
        <v>6</v>
      </c>
      <c r="L3041" t="s">
        <v>24</v>
      </c>
      <c r="M3041" t="s">
        <v>25</v>
      </c>
      <c r="N3041" t="s">
        <v>44</v>
      </c>
      <c r="O3041" t="s">
        <v>27</v>
      </c>
      <c r="P3041" t="s">
        <v>38</v>
      </c>
      <c r="Q3041">
        <v>3</v>
      </c>
      <c r="R3041">
        <v>1135.5899999999999</v>
      </c>
      <c r="S3041" t="s">
        <v>29</v>
      </c>
    </row>
    <row r="3042" spans="1:19" x14ac:dyDescent="0.3">
      <c r="A3042" t="s">
        <v>3112</v>
      </c>
      <c r="B3042">
        <v>63</v>
      </c>
      <c r="C3042" t="s">
        <v>19</v>
      </c>
      <c r="D3042" t="s">
        <v>47</v>
      </c>
      <c r="E3042" s="1">
        <v>45714</v>
      </c>
      <c r="F3042" s="3">
        <v>45733</v>
      </c>
      <c r="G3042" t="s">
        <v>48</v>
      </c>
      <c r="H3042" t="s">
        <v>22</v>
      </c>
      <c r="I3042" t="s">
        <v>83</v>
      </c>
      <c r="J3042">
        <v>12882.69</v>
      </c>
      <c r="K3042">
        <v>19</v>
      </c>
      <c r="L3042" t="s">
        <v>36</v>
      </c>
      <c r="M3042" t="s">
        <v>59</v>
      </c>
      <c r="N3042" t="s">
        <v>26</v>
      </c>
      <c r="O3042" t="s">
        <v>37</v>
      </c>
      <c r="P3042" t="s">
        <v>45</v>
      </c>
      <c r="Q3042">
        <v>9</v>
      </c>
      <c r="R3042">
        <v>3821.22</v>
      </c>
      <c r="S3042" t="s">
        <v>29</v>
      </c>
    </row>
    <row r="3043" spans="1:19" x14ac:dyDescent="0.3">
      <c r="A3043" t="s">
        <v>3113</v>
      </c>
      <c r="B3043">
        <v>57</v>
      </c>
      <c r="C3043" t="s">
        <v>19</v>
      </c>
      <c r="D3043" t="s">
        <v>89</v>
      </c>
      <c r="E3043" s="1">
        <v>45808</v>
      </c>
      <c r="F3043" s="3">
        <v>45811</v>
      </c>
      <c r="G3043" t="s">
        <v>71</v>
      </c>
      <c r="H3043" t="s">
        <v>72</v>
      </c>
      <c r="I3043" t="s">
        <v>23</v>
      </c>
      <c r="J3043">
        <v>9099.52</v>
      </c>
      <c r="K3043">
        <v>3</v>
      </c>
      <c r="L3043" t="s">
        <v>24</v>
      </c>
      <c r="M3043" t="s">
        <v>25</v>
      </c>
      <c r="N3043" t="s">
        <v>55</v>
      </c>
      <c r="O3043" t="s">
        <v>49</v>
      </c>
      <c r="P3043" t="s">
        <v>28</v>
      </c>
      <c r="Q3043">
        <v>10</v>
      </c>
      <c r="R3043">
        <v>2100.5</v>
      </c>
      <c r="S3043" t="s">
        <v>29</v>
      </c>
    </row>
    <row r="3044" spans="1:19" x14ac:dyDescent="0.3">
      <c r="A3044" t="s">
        <v>3114</v>
      </c>
      <c r="B3044">
        <v>24</v>
      </c>
      <c r="C3044" t="s">
        <v>31</v>
      </c>
      <c r="D3044" t="s">
        <v>70</v>
      </c>
      <c r="E3044" s="1">
        <v>45592</v>
      </c>
      <c r="F3044" s="3">
        <v>45597</v>
      </c>
      <c r="G3044" t="s">
        <v>33</v>
      </c>
      <c r="H3044" t="s">
        <v>34</v>
      </c>
      <c r="I3044" t="s">
        <v>81</v>
      </c>
      <c r="J3044">
        <v>2341.8000000000002</v>
      </c>
      <c r="K3044">
        <v>5</v>
      </c>
      <c r="L3044" t="s">
        <v>24</v>
      </c>
      <c r="M3044" t="s">
        <v>25</v>
      </c>
      <c r="N3044" t="s">
        <v>55</v>
      </c>
      <c r="O3044" t="s">
        <v>37</v>
      </c>
      <c r="P3044" t="s">
        <v>38</v>
      </c>
      <c r="Q3044">
        <v>9</v>
      </c>
      <c r="R3044">
        <v>784.83</v>
      </c>
      <c r="S3044" t="s">
        <v>29</v>
      </c>
    </row>
    <row r="3045" spans="1:19" x14ac:dyDescent="0.3">
      <c r="A3045" t="s">
        <v>3115</v>
      </c>
      <c r="B3045">
        <v>77</v>
      </c>
      <c r="C3045" t="s">
        <v>31</v>
      </c>
      <c r="D3045" t="s">
        <v>61</v>
      </c>
      <c r="E3045" s="1">
        <v>44929</v>
      </c>
      <c r="F3045" s="3">
        <v>44940</v>
      </c>
      <c r="G3045" t="s">
        <v>67</v>
      </c>
      <c r="H3045" t="s">
        <v>42</v>
      </c>
      <c r="I3045" t="s">
        <v>54</v>
      </c>
      <c r="J3045">
        <v>8492.64</v>
      </c>
      <c r="K3045">
        <v>11</v>
      </c>
      <c r="L3045" t="s">
        <v>24</v>
      </c>
      <c r="M3045" t="s">
        <v>101</v>
      </c>
      <c r="N3045" t="s">
        <v>55</v>
      </c>
      <c r="O3045" t="s">
        <v>37</v>
      </c>
      <c r="P3045" t="s">
        <v>38</v>
      </c>
      <c r="Q3045">
        <v>14</v>
      </c>
      <c r="R3045">
        <v>2886.86</v>
      </c>
      <c r="S3045" t="s">
        <v>29</v>
      </c>
    </row>
    <row r="3046" spans="1:19" x14ac:dyDescent="0.3">
      <c r="A3046" t="s">
        <v>3116</v>
      </c>
      <c r="B3046">
        <v>40</v>
      </c>
      <c r="C3046" t="s">
        <v>31</v>
      </c>
      <c r="D3046" t="s">
        <v>79</v>
      </c>
      <c r="E3046" s="1">
        <v>45834</v>
      </c>
      <c r="F3046" s="3">
        <v>45843</v>
      </c>
      <c r="G3046" t="s">
        <v>74</v>
      </c>
      <c r="H3046" t="s">
        <v>75</v>
      </c>
      <c r="I3046" t="s">
        <v>54</v>
      </c>
      <c r="J3046">
        <v>9744.89</v>
      </c>
      <c r="K3046">
        <v>9</v>
      </c>
      <c r="L3046" t="s">
        <v>24</v>
      </c>
      <c r="M3046" t="s">
        <v>101</v>
      </c>
      <c r="N3046" t="s">
        <v>55</v>
      </c>
      <c r="O3046" t="s">
        <v>49</v>
      </c>
      <c r="P3046" t="s">
        <v>45</v>
      </c>
      <c r="Q3046">
        <v>10</v>
      </c>
      <c r="R3046">
        <v>1521.69</v>
      </c>
      <c r="S3046" t="s">
        <v>29</v>
      </c>
    </row>
    <row r="3047" spans="1:19" x14ac:dyDescent="0.3">
      <c r="A3047" t="s">
        <v>3117</v>
      </c>
      <c r="B3047">
        <v>35</v>
      </c>
      <c r="C3047" t="s">
        <v>19</v>
      </c>
      <c r="D3047" t="s">
        <v>61</v>
      </c>
      <c r="E3047" s="1">
        <v>45637</v>
      </c>
      <c r="F3047" s="3">
        <v>45643</v>
      </c>
      <c r="G3047" t="s">
        <v>62</v>
      </c>
      <c r="H3047" t="s">
        <v>63</v>
      </c>
      <c r="I3047" t="s">
        <v>91</v>
      </c>
      <c r="J3047">
        <v>8932.7800000000007</v>
      </c>
      <c r="K3047">
        <v>6</v>
      </c>
      <c r="L3047" t="s">
        <v>24</v>
      </c>
      <c r="M3047" t="s">
        <v>101</v>
      </c>
      <c r="N3047" t="s">
        <v>55</v>
      </c>
      <c r="O3047" t="s">
        <v>49</v>
      </c>
      <c r="P3047" t="s">
        <v>28</v>
      </c>
      <c r="Q3047">
        <v>8</v>
      </c>
      <c r="R3047">
        <v>3228.25</v>
      </c>
      <c r="S3047" t="s">
        <v>29</v>
      </c>
    </row>
    <row r="3048" spans="1:19" x14ac:dyDescent="0.3">
      <c r="A3048" t="s">
        <v>3118</v>
      </c>
      <c r="B3048">
        <v>84</v>
      </c>
      <c r="C3048" t="s">
        <v>19</v>
      </c>
      <c r="D3048" t="s">
        <v>61</v>
      </c>
      <c r="E3048" s="1">
        <v>45711</v>
      </c>
      <c r="F3048" s="3">
        <v>45730</v>
      </c>
      <c r="G3048" t="s">
        <v>67</v>
      </c>
      <c r="H3048" t="s">
        <v>42</v>
      </c>
      <c r="I3048" t="s">
        <v>83</v>
      </c>
      <c r="J3048">
        <v>8266.17</v>
      </c>
      <c r="K3048">
        <v>19</v>
      </c>
      <c r="L3048" t="s">
        <v>36</v>
      </c>
      <c r="M3048" t="s">
        <v>25</v>
      </c>
      <c r="N3048" t="s">
        <v>44</v>
      </c>
      <c r="O3048" t="s">
        <v>27</v>
      </c>
      <c r="P3048" t="s">
        <v>50</v>
      </c>
      <c r="Q3048">
        <v>4</v>
      </c>
      <c r="R3048">
        <v>2551.96</v>
      </c>
      <c r="S3048" t="s">
        <v>29</v>
      </c>
    </row>
    <row r="3049" spans="1:19" x14ac:dyDescent="0.3">
      <c r="A3049" t="s">
        <v>3119</v>
      </c>
      <c r="B3049">
        <v>21</v>
      </c>
      <c r="C3049" t="s">
        <v>19</v>
      </c>
      <c r="D3049" t="s">
        <v>32</v>
      </c>
      <c r="E3049" s="1">
        <v>45314</v>
      </c>
      <c r="F3049" s="3">
        <v>45317</v>
      </c>
      <c r="G3049" t="s">
        <v>52</v>
      </c>
      <c r="H3049" t="s">
        <v>53</v>
      </c>
      <c r="I3049" t="s">
        <v>43</v>
      </c>
      <c r="J3049">
        <v>1974.56</v>
      </c>
      <c r="K3049">
        <v>3</v>
      </c>
      <c r="L3049" t="s">
        <v>24</v>
      </c>
      <c r="M3049" t="s">
        <v>25</v>
      </c>
      <c r="N3049" t="s">
        <v>55</v>
      </c>
      <c r="O3049" t="s">
        <v>56</v>
      </c>
      <c r="P3049" t="s">
        <v>50</v>
      </c>
      <c r="Q3049">
        <v>6</v>
      </c>
      <c r="R3049">
        <v>715.48</v>
      </c>
      <c r="S3049" t="s">
        <v>29</v>
      </c>
    </row>
    <row r="3050" spans="1:19" x14ac:dyDescent="0.3">
      <c r="A3050" t="s">
        <v>3120</v>
      </c>
      <c r="B3050">
        <v>28</v>
      </c>
      <c r="C3050" t="s">
        <v>31</v>
      </c>
      <c r="D3050" t="s">
        <v>20</v>
      </c>
      <c r="E3050" s="1">
        <v>44940</v>
      </c>
      <c r="F3050" s="3">
        <v>44952</v>
      </c>
      <c r="G3050" t="s">
        <v>48</v>
      </c>
      <c r="H3050" t="s">
        <v>22</v>
      </c>
      <c r="I3050" t="s">
        <v>83</v>
      </c>
      <c r="J3050">
        <v>12576.76</v>
      </c>
      <c r="K3050">
        <v>12</v>
      </c>
      <c r="L3050" t="s">
        <v>24</v>
      </c>
      <c r="M3050" t="s">
        <v>25</v>
      </c>
      <c r="N3050" t="s">
        <v>26</v>
      </c>
      <c r="O3050" t="s">
        <v>49</v>
      </c>
      <c r="P3050" t="s">
        <v>28</v>
      </c>
      <c r="Q3050">
        <v>12</v>
      </c>
      <c r="R3050">
        <v>3248.87</v>
      </c>
      <c r="S3050" t="s">
        <v>29</v>
      </c>
    </row>
    <row r="3051" spans="1:19" x14ac:dyDescent="0.3">
      <c r="A3051" t="s">
        <v>3121</v>
      </c>
      <c r="B3051">
        <v>23</v>
      </c>
      <c r="C3051" t="s">
        <v>31</v>
      </c>
      <c r="D3051" t="s">
        <v>47</v>
      </c>
      <c r="E3051" s="1">
        <v>45642</v>
      </c>
      <c r="F3051" s="3">
        <v>45662</v>
      </c>
      <c r="G3051" t="s">
        <v>62</v>
      </c>
      <c r="H3051" t="s">
        <v>63</v>
      </c>
      <c r="I3051" t="s">
        <v>81</v>
      </c>
      <c r="J3051">
        <v>8610.06</v>
      </c>
      <c r="K3051">
        <v>20</v>
      </c>
      <c r="L3051" t="s">
        <v>24</v>
      </c>
      <c r="M3051" t="s">
        <v>25</v>
      </c>
      <c r="N3051" t="s">
        <v>55</v>
      </c>
      <c r="O3051" t="s">
        <v>56</v>
      </c>
      <c r="P3051" t="s">
        <v>50</v>
      </c>
      <c r="Q3051">
        <v>11</v>
      </c>
      <c r="R3051">
        <v>2300.16</v>
      </c>
      <c r="S3051" t="s">
        <v>29</v>
      </c>
    </row>
    <row r="3052" spans="1:19" x14ac:dyDescent="0.3">
      <c r="A3052" t="s">
        <v>3122</v>
      </c>
      <c r="B3052">
        <v>52</v>
      </c>
      <c r="C3052" t="s">
        <v>19</v>
      </c>
      <c r="D3052" t="s">
        <v>20</v>
      </c>
      <c r="E3052" s="1">
        <v>44942</v>
      </c>
      <c r="F3052" s="3">
        <v>44951</v>
      </c>
      <c r="G3052" t="s">
        <v>67</v>
      </c>
      <c r="H3052" t="s">
        <v>42</v>
      </c>
      <c r="I3052" t="s">
        <v>35</v>
      </c>
      <c r="J3052">
        <v>2434.5100000000002</v>
      </c>
      <c r="K3052">
        <v>9</v>
      </c>
      <c r="L3052" t="s">
        <v>36</v>
      </c>
      <c r="M3052" t="s">
        <v>59</v>
      </c>
      <c r="N3052" t="s">
        <v>26</v>
      </c>
      <c r="O3052" t="s">
        <v>27</v>
      </c>
      <c r="P3052" t="s">
        <v>50</v>
      </c>
      <c r="Q3052">
        <v>14</v>
      </c>
      <c r="R3052">
        <v>932.7</v>
      </c>
      <c r="S3052" t="s">
        <v>29</v>
      </c>
    </row>
    <row r="3053" spans="1:19" x14ac:dyDescent="0.3">
      <c r="A3053" t="s">
        <v>3123</v>
      </c>
      <c r="B3053">
        <v>35</v>
      </c>
      <c r="C3053" t="s">
        <v>19</v>
      </c>
      <c r="D3053" t="s">
        <v>66</v>
      </c>
      <c r="E3053" s="1">
        <v>45791</v>
      </c>
      <c r="F3053" s="3">
        <v>45803</v>
      </c>
      <c r="G3053" t="s">
        <v>93</v>
      </c>
      <c r="H3053" t="s">
        <v>72</v>
      </c>
      <c r="I3053" t="s">
        <v>91</v>
      </c>
      <c r="J3053">
        <v>11323.93</v>
      </c>
      <c r="K3053">
        <v>12</v>
      </c>
      <c r="L3053" t="s">
        <v>36</v>
      </c>
      <c r="M3053" t="s">
        <v>59</v>
      </c>
      <c r="N3053" t="s">
        <v>26</v>
      </c>
      <c r="O3053" t="s">
        <v>56</v>
      </c>
      <c r="P3053" t="s">
        <v>50</v>
      </c>
      <c r="Q3053">
        <v>6</v>
      </c>
      <c r="R3053">
        <v>4505.57</v>
      </c>
      <c r="S3053" t="s">
        <v>29</v>
      </c>
    </row>
    <row r="3054" spans="1:19" x14ac:dyDescent="0.3">
      <c r="A3054" t="s">
        <v>3124</v>
      </c>
      <c r="B3054">
        <v>46</v>
      </c>
      <c r="C3054" t="s">
        <v>19</v>
      </c>
      <c r="D3054" t="s">
        <v>79</v>
      </c>
      <c r="E3054" s="1">
        <v>45313</v>
      </c>
      <c r="F3054" s="3">
        <v>45331</v>
      </c>
      <c r="G3054" t="s">
        <v>33</v>
      </c>
      <c r="H3054" t="s">
        <v>34</v>
      </c>
      <c r="I3054" t="s">
        <v>23</v>
      </c>
      <c r="J3054">
        <v>3603.53</v>
      </c>
      <c r="K3054">
        <v>18</v>
      </c>
      <c r="L3054" t="s">
        <v>24</v>
      </c>
      <c r="M3054" t="s">
        <v>25</v>
      </c>
      <c r="N3054" t="s">
        <v>44</v>
      </c>
      <c r="O3054" t="s">
        <v>56</v>
      </c>
      <c r="P3054" t="s">
        <v>38</v>
      </c>
      <c r="Q3054">
        <v>11</v>
      </c>
      <c r="R3054">
        <v>549.15</v>
      </c>
      <c r="S3054" t="s">
        <v>39</v>
      </c>
    </row>
    <row r="3055" spans="1:19" x14ac:dyDescent="0.3">
      <c r="A3055" t="s">
        <v>3125</v>
      </c>
      <c r="B3055">
        <v>29</v>
      </c>
      <c r="C3055" t="s">
        <v>19</v>
      </c>
      <c r="D3055" t="s">
        <v>20</v>
      </c>
      <c r="E3055" s="1">
        <v>45091</v>
      </c>
      <c r="F3055" s="3">
        <v>45094</v>
      </c>
      <c r="G3055" t="s">
        <v>52</v>
      </c>
      <c r="H3055" t="s">
        <v>53</v>
      </c>
      <c r="I3055" t="s">
        <v>83</v>
      </c>
      <c r="J3055">
        <v>6346.29</v>
      </c>
      <c r="K3055">
        <v>3</v>
      </c>
      <c r="L3055" t="s">
        <v>24</v>
      </c>
      <c r="M3055" t="s">
        <v>25</v>
      </c>
      <c r="N3055" t="s">
        <v>55</v>
      </c>
      <c r="O3055" t="s">
        <v>49</v>
      </c>
      <c r="P3055" t="s">
        <v>50</v>
      </c>
      <c r="Q3055">
        <v>13</v>
      </c>
      <c r="R3055">
        <v>2407.87</v>
      </c>
      <c r="S3055" t="s">
        <v>29</v>
      </c>
    </row>
    <row r="3056" spans="1:19" x14ac:dyDescent="0.3">
      <c r="A3056" t="s">
        <v>3126</v>
      </c>
      <c r="B3056">
        <v>87</v>
      </c>
      <c r="C3056" t="s">
        <v>31</v>
      </c>
      <c r="D3056" t="s">
        <v>32</v>
      </c>
      <c r="E3056" s="1">
        <v>45114</v>
      </c>
      <c r="F3056" s="3">
        <v>45120</v>
      </c>
      <c r="G3056" t="s">
        <v>33</v>
      </c>
      <c r="H3056" t="s">
        <v>34</v>
      </c>
      <c r="I3056" t="s">
        <v>35</v>
      </c>
      <c r="J3056">
        <v>9997.9699999999993</v>
      </c>
      <c r="K3056">
        <v>6</v>
      </c>
      <c r="L3056" t="s">
        <v>36</v>
      </c>
      <c r="M3056" t="s">
        <v>25</v>
      </c>
      <c r="N3056" t="s">
        <v>44</v>
      </c>
      <c r="O3056" t="s">
        <v>49</v>
      </c>
      <c r="P3056" t="s">
        <v>50</v>
      </c>
      <c r="Q3056">
        <v>8</v>
      </c>
      <c r="R3056">
        <v>3997.73</v>
      </c>
      <c r="S3056" t="s">
        <v>29</v>
      </c>
    </row>
    <row r="3057" spans="1:19" x14ac:dyDescent="0.3">
      <c r="A3057" t="s">
        <v>3127</v>
      </c>
      <c r="B3057">
        <v>57</v>
      </c>
      <c r="C3057" t="s">
        <v>31</v>
      </c>
      <c r="D3057" t="s">
        <v>79</v>
      </c>
      <c r="E3057" s="1">
        <v>45171</v>
      </c>
      <c r="F3057" s="3">
        <v>45176</v>
      </c>
      <c r="G3057" t="s">
        <v>52</v>
      </c>
      <c r="H3057" t="s">
        <v>53</v>
      </c>
      <c r="I3057" t="s">
        <v>23</v>
      </c>
      <c r="J3057">
        <v>5794.18</v>
      </c>
      <c r="K3057">
        <v>5</v>
      </c>
      <c r="L3057" t="s">
        <v>36</v>
      </c>
      <c r="M3057" t="s">
        <v>25</v>
      </c>
      <c r="N3057" t="s">
        <v>55</v>
      </c>
      <c r="O3057" t="s">
        <v>27</v>
      </c>
      <c r="P3057" t="s">
        <v>38</v>
      </c>
      <c r="Q3057">
        <v>2</v>
      </c>
      <c r="R3057">
        <v>1876.76</v>
      </c>
      <c r="S3057" t="s">
        <v>29</v>
      </c>
    </row>
    <row r="3058" spans="1:19" x14ac:dyDescent="0.3">
      <c r="A3058" t="s">
        <v>3128</v>
      </c>
      <c r="B3058">
        <v>18</v>
      </c>
      <c r="C3058" t="s">
        <v>31</v>
      </c>
      <c r="D3058" t="s">
        <v>70</v>
      </c>
      <c r="E3058" s="1">
        <v>45609</v>
      </c>
      <c r="F3058" s="3">
        <v>45614</v>
      </c>
      <c r="G3058" t="s">
        <v>93</v>
      </c>
      <c r="H3058" t="s">
        <v>72</v>
      </c>
      <c r="I3058" t="s">
        <v>43</v>
      </c>
      <c r="J3058">
        <v>3120.15</v>
      </c>
      <c r="K3058">
        <v>5</v>
      </c>
      <c r="L3058" t="s">
        <v>36</v>
      </c>
      <c r="M3058" t="s">
        <v>59</v>
      </c>
      <c r="N3058" t="s">
        <v>26</v>
      </c>
      <c r="O3058" t="s">
        <v>37</v>
      </c>
      <c r="P3058" t="s">
        <v>45</v>
      </c>
      <c r="Q3058">
        <v>3</v>
      </c>
      <c r="R3058">
        <v>881.99</v>
      </c>
      <c r="S3058" t="s">
        <v>29</v>
      </c>
    </row>
    <row r="3059" spans="1:19" x14ac:dyDescent="0.3">
      <c r="A3059" t="s">
        <v>3129</v>
      </c>
      <c r="B3059">
        <v>84</v>
      </c>
      <c r="C3059" t="s">
        <v>31</v>
      </c>
      <c r="D3059" t="s">
        <v>61</v>
      </c>
      <c r="E3059" s="1">
        <v>45865</v>
      </c>
      <c r="F3059" s="3">
        <v>45878</v>
      </c>
      <c r="G3059" t="s">
        <v>41</v>
      </c>
      <c r="H3059" t="s">
        <v>42</v>
      </c>
      <c r="I3059" t="s">
        <v>91</v>
      </c>
      <c r="J3059">
        <v>9330.7199999999993</v>
      </c>
      <c r="K3059">
        <v>13</v>
      </c>
      <c r="L3059" t="s">
        <v>24</v>
      </c>
      <c r="M3059" t="s">
        <v>101</v>
      </c>
      <c r="N3059" t="s">
        <v>26</v>
      </c>
      <c r="O3059" t="s">
        <v>56</v>
      </c>
      <c r="P3059" t="s">
        <v>28</v>
      </c>
      <c r="Q3059">
        <v>9</v>
      </c>
      <c r="R3059">
        <v>3299.86</v>
      </c>
      <c r="S3059" t="s">
        <v>29</v>
      </c>
    </row>
    <row r="3060" spans="1:19" x14ac:dyDescent="0.3">
      <c r="A3060" t="s">
        <v>3130</v>
      </c>
      <c r="B3060">
        <v>76</v>
      </c>
      <c r="C3060" t="s">
        <v>19</v>
      </c>
      <c r="D3060" t="s">
        <v>61</v>
      </c>
      <c r="E3060" s="1">
        <v>45173</v>
      </c>
      <c r="F3060" s="3">
        <v>45187</v>
      </c>
      <c r="G3060" t="s">
        <v>41</v>
      </c>
      <c r="H3060" t="s">
        <v>42</v>
      </c>
      <c r="I3060" t="s">
        <v>35</v>
      </c>
      <c r="J3060">
        <v>9199.3700000000008</v>
      </c>
      <c r="K3060">
        <v>14</v>
      </c>
      <c r="L3060" t="s">
        <v>24</v>
      </c>
      <c r="M3060" t="s">
        <v>25</v>
      </c>
      <c r="N3060" t="s">
        <v>55</v>
      </c>
      <c r="O3060" t="s">
        <v>37</v>
      </c>
      <c r="P3060" t="s">
        <v>38</v>
      </c>
      <c r="Q3060">
        <v>12</v>
      </c>
      <c r="R3060">
        <v>3038.35</v>
      </c>
      <c r="S3060" t="s">
        <v>39</v>
      </c>
    </row>
    <row r="3061" spans="1:19" x14ac:dyDescent="0.3">
      <c r="A3061" t="s">
        <v>3131</v>
      </c>
      <c r="B3061">
        <v>21</v>
      </c>
      <c r="C3061" t="s">
        <v>19</v>
      </c>
      <c r="D3061" t="s">
        <v>79</v>
      </c>
      <c r="E3061" s="1">
        <v>44992</v>
      </c>
      <c r="F3061" s="3">
        <v>45018</v>
      </c>
      <c r="G3061" t="s">
        <v>71</v>
      </c>
      <c r="H3061" t="s">
        <v>72</v>
      </c>
      <c r="I3061" t="s">
        <v>43</v>
      </c>
      <c r="J3061">
        <v>21732.99</v>
      </c>
      <c r="K3061">
        <v>26</v>
      </c>
      <c r="L3061" t="s">
        <v>36</v>
      </c>
      <c r="M3061" t="s">
        <v>59</v>
      </c>
      <c r="N3061" t="s">
        <v>55</v>
      </c>
      <c r="O3061" t="s">
        <v>49</v>
      </c>
      <c r="P3061" t="s">
        <v>28</v>
      </c>
      <c r="Q3061">
        <v>8</v>
      </c>
      <c r="R3061">
        <v>4169.5</v>
      </c>
      <c r="S3061" t="s">
        <v>29</v>
      </c>
    </row>
    <row r="3062" spans="1:19" x14ac:dyDescent="0.3">
      <c r="A3062" t="s">
        <v>3132</v>
      </c>
      <c r="B3062">
        <v>73</v>
      </c>
      <c r="C3062" t="s">
        <v>31</v>
      </c>
      <c r="D3062" t="s">
        <v>89</v>
      </c>
      <c r="E3062" s="1">
        <v>45068</v>
      </c>
      <c r="F3062" s="3">
        <v>45069</v>
      </c>
      <c r="G3062" t="s">
        <v>74</v>
      </c>
      <c r="H3062" t="s">
        <v>75</v>
      </c>
      <c r="I3062" t="s">
        <v>58</v>
      </c>
      <c r="J3062">
        <v>1560.15</v>
      </c>
      <c r="K3062">
        <v>1</v>
      </c>
      <c r="L3062" t="s">
        <v>36</v>
      </c>
      <c r="M3062" t="s">
        <v>25</v>
      </c>
      <c r="N3062" t="s">
        <v>55</v>
      </c>
      <c r="O3062" t="s">
        <v>27</v>
      </c>
      <c r="P3062" t="s">
        <v>28</v>
      </c>
      <c r="Q3062">
        <v>9</v>
      </c>
      <c r="R3062">
        <v>279.19</v>
      </c>
      <c r="S3062" t="s">
        <v>39</v>
      </c>
    </row>
    <row r="3063" spans="1:19" x14ac:dyDescent="0.3">
      <c r="A3063" t="s">
        <v>3133</v>
      </c>
      <c r="B3063">
        <v>71</v>
      </c>
      <c r="C3063" t="s">
        <v>19</v>
      </c>
      <c r="D3063" t="s">
        <v>66</v>
      </c>
      <c r="E3063" s="1">
        <v>45149</v>
      </c>
      <c r="F3063" s="3">
        <v>45153</v>
      </c>
      <c r="G3063" t="s">
        <v>33</v>
      </c>
      <c r="H3063" t="s">
        <v>34</v>
      </c>
      <c r="I3063" t="s">
        <v>58</v>
      </c>
      <c r="J3063">
        <v>3230.53</v>
      </c>
      <c r="K3063">
        <v>4</v>
      </c>
      <c r="L3063" t="s">
        <v>24</v>
      </c>
      <c r="M3063" t="s">
        <v>59</v>
      </c>
      <c r="N3063" t="s">
        <v>44</v>
      </c>
      <c r="O3063" t="s">
        <v>37</v>
      </c>
      <c r="P3063" t="s">
        <v>45</v>
      </c>
      <c r="Q3063">
        <v>15</v>
      </c>
      <c r="R3063">
        <v>1231.08</v>
      </c>
      <c r="S3063" t="s">
        <v>29</v>
      </c>
    </row>
    <row r="3064" spans="1:19" x14ac:dyDescent="0.3">
      <c r="A3064" t="s">
        <v>3134</v>
      </c>
      <c r="B3064">
        <v>63</v>
      </c>
      <c r="C3064" t="s">
        <v>19</v>
      </c>
      <c r="D3064" t="s">
        <v>61</v>
      </c>
      <c r="E3064" s="1">
        <v>45010</v>
      </c>
      <c r="F3064" s="3">
        <v>45027</v>
      </c>
      <c r="G3064" t="s">
        <v>33</v>
      </c>
      <c r="H3064" t="s">
        <v>34</v>
      </c>
      <c r="I3064" t="s">
        <v>83</v>
      </c>
      <c r="J3064">
        <v>14411.92</v>
      </c>
      <c r="K3064">
        <v>17</v>
      </c>
      <c r="L3064" t="s">
        <v>36</v>
      </c>
      <c r="M3064" t="s">
        <v>25</v>
      </c>
      <c r="N3064" t="s">
        <v>55</v>
      </c>
      <c r="O3064" t="s">
        <v>27</v>
      </c>
      <c r="P3064" t="s">
        <v>45</v>
      </c>
      <c r="Q3064">
        <v>2</v>
      </c>
      <c r="R3064">
        <v>2335.02</v>
      </c>
      <c r="S3064" t="s">
        <v>29</v>
      </c>
    </row>
    <row r="3065" spans="1:19" x14ac:dyDescent="0.3">
      <c r="A3065" t="s">
        <v>3135</v>
      </c>
      <c r="B3065">
        <v>23</v>
      </c>
      <c r="C3065" t="s">
        <v>19</v>
      </c>
      <c r="D3065" t="s">
        <v>32</v>
      </c>
      <c r="E3065" s="1">
        <v>45200</v>
      </c>
      <c r="F3065" s="3">
        <v>45218</v>
      </c>
      <c r="G3065" t="s">
        <v>21</v>
      </c>
      <c r="H3065" t="s">
        <v>22</v>
      </c>
      <c r="I3065" t="s">
        <v>91</v>
      </c>
      <c r="J3065">
        <v>8872.5</v>
      </c>
      <c r="K3065">
        <v>18</v>
      </c>
      <c r="L3065" t="s">
        <v>24</v>
      </c>
      <c r="M3065" t="s">
        <v>76</v>
      </c>
      <c r="N3065" t="s">
        <v>26</v>
      </c>
      <c r="O3065" t="s">
        <v>56</v>
      </c>
      <c r="P3065" t="s">
        <v>45</v>
      </c>
      <c r="Q3065">
        <v>5</v>
      </c>
      <c r="R3065">
        <v>3380.57</v>
      </c>
      <c r="S3065" t="s">
        <v>29</v>
      </c>
    </row>
    <row r="3066" spans="1:19" x14ac:dyDescent="0.3">
      <c r="A3066" t="s">
        <v>3136</v>
      </c>
      <c r="B3066">
        <v>33</v>
      </c>
      <c r="C3066" t="s">
        <v>31</v>
      </c>
      <c r="D3066" t="s">
        <v>79</v>
      </c>
      <c r="E3066" s="1">
        <v>45854</v>
      </c>
      <c r="F3066" s="3">
        <v>45861</v>
      </c>
      <c r="G3066" t="s">
        <v>52</v>
      </c>
      <c r="H3066" t="s">
        <v>53</v>
      </c>
      <c r="I3066" t="s">
        <v>35</v>
      </c>
      <c r="J3066">
        <v>4445.58</v>
      </c>
      <c r="K3066">
        <v>7</v>
      </c>
      <c r="L3066" t="s">
        <v>36</v>
      </c>
      <c r="M3066" t="s">
        <v>25</v>
      </c>
      <c r="N3066" t="s">
        <v>44</v>
      </c>
      <c r="O3066" t="s">
        <v>37</v>
      </c>
      <c r="P3066" t="s">
        <v>50</v>
      </c>
      <c r="Q3066">
        <v>15</v>
      </c>
      <c r="R3066">
        <v>1235.3900000000001</v>
      </c>
      <c r="S3066" t="s">
        <v>29</v>
      </c>
    </row>
    <row r="3067" spans="1:19" x14ac:dyDescent="0.3">
      <c r="A3067" t="s">
        <v>3137</v>
      </c>
      <c r="B3067">
        <v>79</v>
      </c>
      <c r="C3067" t="s">
        <v>19</v>
      </c>
      <c r="D3067" t="s">
        <v>89</v>
      </c>
      <c r="E3067" s="1">
        <v>45636</v>
      </c>
      <c r="F3067" s="3">
        <v>45640</v>
      </c>
      <c r="G3067" t="s">
        <v>67</v>
      </c>
      <c r="H3067" t="s">
        <v>42</v>
      </c>
      <c r="I3067" t="s">
        <v>35</v>
      </c>
      <c r="J3067">
        <v>2465.13</v>
      </c>
      <c r="K3067">
        <v>4</v>
      </c>
      <c r="L3067" t="s">
        <v>24</v>
      </c>
      <c r="M3067" t="s">
        <v>101</v>
      </c>
      <c r="N3067" t="s">
        <v>44</v>
      </c>
      <c r="O3067" t="s">
        <v>37</v>
      </c>
      <c r="P3067" t="s">
        <v>28</v>
      </c>
      <c r="Q3067">
        <v>13</v>
      </c>
      <c r="R3067">
        <v>642.91</v>
      </c>
      <c r="S3067" t="s">
        <v>29</v>
      </c>
    </row>
    <row r="3068" spans="1:19" x14ac:dyDescent="0.3">
      <c r="A3068" t="s">
        <v>3138</v>
      </c>
      <c r="B3068">
        <v>85</v>
      </c>
      <c r="C3068" t="s">
        <v>19</v>
      </c>
      <c r="D3068" t="s">
        <v>79</v>
      </c>
      <c r="E3068" s="1">
        <v>44997</v>
      </c>
      <c r="F3068" s="3">
        <v>45013</v>
      </c>
      <c r="G3068" t="s">
        <v>74</v>
      </c>
      <c r="H3068" t="s">
        <v>75</v>
      </c>
      <c r="I3068" t="s">
        <v>58</v>
      </c>
      <c r="J3068">
        <v>5142.1000000000004</v>
      </c>
      <c r="K3068">
        <v>16</v>
      </c>
      <c r="L3068" t="s">
        <v>24</v>
      </c>
      <c r="M3068" t="s">
        <v>25</v>
      </c>
      <c r="N3068" t="s">
        <v>44</v>
      </c>
      <c r="O3068" t="s">
        <v>37</v>
      </c>
      <c r="P3068" t="s">
        <v>38</v>
      </c>
      <c r="Q3068">
        <v>11</v>
      </c>
      <c r="R3068">
        <v>1614.9</v>
      </c>
      <c r="S3068" t="s">
        <v>29</v>
      </c>
    </row>
    <row r="3069" spans="1:19" x14ac:dyDescent="0.3">
      <c r="A3069" t="s">
        <v>3139</v>
      </c>
      <c r="B3069">
        <v>89</v>
      </c>
      <c r="C3069" t="s">
        <v>19</v>
      </c>
      <c r="D3069" t="s">
        <v>70</v>
      </c>
      <c r="E3069" s="1">
        <v>45528</v>
      </c>
      <c r="F3069" s="3">
        <v>45543</v>
      </c>
      <c r="G3069" t="s">
        <v>93</v>
      </c>
      <c r="H3069" t="s">
        <v>72</v>
      </c>
      <c r="I3069" t="s">
        <v>43</v>
      </c>
      <c r="J3069">
        <v>9230.68</v>
      </c>
      <c r="K3069">
        <v>15</v>
      </c>
      <c r="L3069" t="s">
        <v>36</v>
      </c>
      <c r="M3069" t="s">
        <v>25</v>
      </c>
      <c r="N3069" t="s">
        <v>55</v>
      </c>
      <c r="O3069" t="s">
        <v>27</v>
      </c>
      <c r="P3069" t="s">
        <v>28</v>
      </c>
      <c r="Q3069">
        <v>7</v>
      </c>
      <c r="R3069">
        <v>2013.76</v>
      </c>
      <c r="S3069" t="s">
        <v>39</v>
      </c>
    </row>
    <row r="3070" spans="1:19" x14ac:dyDescent="0.3">
      <c r="A3070" t="s">
        <v>3140</v>
      </c>
      <c r="B3070">
        <v>90</v>
      </c>
      <c r="C3070" t="s">
        <v>19</v>
      </c>
      <c r="D3070" t="s">
        <v>61</v>
      </c>
      <c r="E3070" s="1">
        <v>45059</v>
      </c>
      <c r="F3070" s="3">
        <v>45066</v>
      </c>
      <c r="G3070" t="s">
        <v>74</v>
      </c>
      <c r="H3070" t="s">
        <v>75</v>
      </c>
      <c r="I3070" t="s">
        <v>23</v>
      </c>
      <c r="J3070">
        <v>5160.51</v>
      </c>
      <c r="K3070">
        <v>7</v>
      </c>
      <c r="L3070" t="s">
        <v>24</v>
      </c>
      <c r="M3070" t="s">
        <v>25</v>
      </c>
      <c r="N3070" t="s">
        <v>26</v>
      </c>
      <c r="O3070" t="s">
        <v>37</v>
      </c>
      <c r="P3070" t="s">
        <v>45</v>
      </c>
      <c r="Q3070">
        <v>5</v>
      </c>
      <c r="R3070">
        <v>1259.53</v>
      </c>
      <c r="S3070" t="s">
        <v>29</v>
      </c>
    </row>
    <row r="3071" spans="1:19" x14ac:dyDescent="0.3">
      <c r="A3071" t="s">
        <v>3141</v>
      </c>
      <c r="B3071">
        <v>61</v>
      </c>
      <c r="C3071" t="s">
        <v>19</v>
      </c>
      <c r="D3071" t="s">
        <v>66</v>
      </c>
      <c r="E3071" s="1">
        <v>45724</v>
      </c>
      <c r="F3071" s="3">
        <v>45728</v>
      </c>
      <c r="G3071" t="s">
        <v>93</v>
      </c>
      <c r="H3071" t="s">
        <v>72</v>
      </c>
      <c r="I3071" t="s">
        <v>91</v>
      </c>
      <c r="J3071">
        <v>9280.08</v>
      </c>
      <c r="K3071">
        <v>4</v>
      </c>
      <c r="L3071" t="s">
        <v>24</v>
      </c>
      <c r="M3071" t="s">
        <v>101</v>
      </c>
      <c r="N3071" t="s">
        <v>55</v>
      </c>
      <c r="O3071" t="s">
        <v>49</v>
      </c>
      <c r="P3071" t="s">
        <v>28</v>
      </c>
      <c r="Q3071">
        <v>13</v>
      </c>
      <c r="R3071">
        <v>1847.23</v>
      </c>
      <c r="S3071" t="s">
        <v>29</v>
      </c>
    </row>
    <row r="3072" spans="1:19" x14ac:dyDescent="0.3">
      <c r="A3072" t="s">
        <v>3142</v>
      </c>
      <c r="B3072">
        <v>54</v>
      </c>
      <c r="C3072" t="s">
        <v>19</v>
      </c>
      <c r="D3072" t="s">
        <v>47</v>
      </c>
      <c r="E3072" s="1">
        <v>45309</v>
      </c>
      <c r="F3072" s="3">
        <v>45313</v>
      </c>
      <c r="G3072" t="s">
        <v>33</v>
      </c>
      <c r="H3072" t="s">
        <v>34</v>
      </c>
      <c r="I3072" t="s">
        <v>91</v>
      </c>
      <c r="J3072">
        <v>3713.54</v>
      </c>
      <c r="K3072">
        <v>4</v>
      </c>
      <c r="L3072" t="s">
        <v>24</v>
      </c>
      <c r="M3072" t="s">
        <v>25</v>
      </c>
      <c r="N3072" t="s">
        <v>26</v>
      </c>
      <c r="O3072" t="s">
        <v>56</v>
      </c>
      <c r="P3072" t="s">
        <v>38</v>
      </c>
      <c r="Q3072">
        <v>14</v>
      </c>
      <c r="R3072">
        <v>1130.19</v>
      </c>
      <c r="S3072" t="s">
        <v>29</v>
      </c>
    </row>
    <row r="3073" spans="1:19" x14ac:dyDescent="0.3">
      <c r="A3073" t="s">
        <v>3143</v>
      </c>
      <c r="B3073">
        <v>59</v>
      </c>
      <c r="C3073" t="s">
        <v>31</v>
      </c>
      <c r="D3073" t="s">
        <v>47</v>
      </c>
      <c r="E3073" s="1">
        <v>45782</v>
      </c>
      <c r="F3073" s="3">
        <v>45795</v>
      </c>
      <c r="G3073" t="s">
        <v>93</v>
      </c>
      <c r="H3073" t="s">
        <v>72</v>
      </c>
      <c r="I3073" t="s">
        <v>81</v>
      </c>
      <c r="J3073">
        <v>10169.35</v>
      </c>
      <c r="K3073">
        <v>13</v>
      </c>
      <c r="L3073" t="s">
        <v>36</v>
      </c>
      <c r="M3073" t="s">
        <v>76</v>
      </c>
      <c r="N3073" t="s">
        <v>44</v>
      </c>
      <c r="O3073" t="s">
        <v>56</v>
      </c>
      <c r="P3073" t="s">
        <v>50</v>
      </c>
      <c r="Q3073">
        <v>15</v>
      </c>
      <c r="R3073">
        <v>3244.14</v>
      </c>
      <c r="S3073" t="s">
        <v>29</v>
      </c>
    </row>
    <row r="3074" spans="1:19" x14ac:dyDescent="0.3">
      <c r="A3074" t="s">
        <v>3144</v>
      </c>
      <c r="B3074">
        <v>50</v>
      </c>
      <c r="C3074" t="s">
        <v>19</v>
      </c>
      <c r="D3074" t="s">
        <v>32</v>
      </c>
      <c r="E3074" s="1">
        <v>45428</v>
      </c>
      <c r="F3074" s="3">
        <v>45439</v>
      </c>
      <c r="G3074" t="s">
        <v>41</v>
      </c>
      <c r="H3074" t="s">
        <v>42</v>
      </c>
      <c r="I3074" t="s">
        <v>35</v>
      </c>
      <c r="J3074">
        <v>8971.0300000000007</v>
      </c>
      <c r="K3074">
        <v>11</v>
      </c>
      <c r="L3074" t="s">
        <v>36</v>
      </c>
      <c r="M3074" t="s">
        <v>25</v>
      </c>
      <c r="N3074" t="s">
        <v>55</v>
      </c>
      <c r="O3074" t="s">
        <v>56</v>
      </c>
      <c r="P3074" t="s">
        <v>50</v>
      </c>
      <c r="Q3074">
        <v>1</v>
      </c>
      <c r="R3074">
        <v>2812.38</v>
      </c>
      <c r="S3074" t="s">
        <v>29</v>
      </c>
    </row>
    <row r="3075" spans="1:19" x14ac:dyDescent="0.3">
      <c r="A3075" t="s">
        <v>3145</v>
      </c>
      <c r="B3075">
        <v>59</v>
      </c>
      <c r="C3075" t="s">
        <v>31</v>
      </c>
      <c r="D3075" t="s">
        <v>89</v>
      </c>
      <c r="E3075" s="1">
        <v>45166</v>
      </c>
      <c r="F3075" s="3">
        <v>45169</v>
      </c>
      <c r="G3075" t="s">
        <v>67</v>
      </c>
      <c r="H3075" t="s">
        <v>42</v>
      </c>
      <c r="I3075" t="s">
        <v>23</v>
      </c>
      <c r="J3075">
        <v>3214.03</v>
      </c>
      <c r="K3075">
        <v>3</v>
      </c>
      <c r="L3075" t="s">
        <v>24</v>
      </c>
      <c r="M3075" t="s">
        <v>25</v>
      </c>
      <c r="N3075" t="s">
        <v>55</v>
      </c>
      <c r="O3075" t="s">
        <v>37</v>
      </c>
      <c r="P3075" t="s">
        <v>50</v>
      </c>
      <c r="Q3075">
        <v>1</v>
      </c>
      <c r="R3075">
        <v>811</v>
      </c>
      <c r="S3075" t="s">
        <v>29</v>
      </c>
    </row>
    <row r="3076" spans="1:19" x14ac:dyDescent="0.3">
      <c r="A3076" t="s">
        <v>3146</v>
      </c>
      <c r="B3076">
        <v>63</v>
      </c>
      <c r="C3076" t="s">
        <v>19</v>
      </c>
      <c r="D3076" t="s">
        <v>20</v>
      </c>
      <c r="E3076" s="1">
        <v>45267</v>
      </c>
      <c r="F3076" s="3">
        <v>45271</v>
      </c>
      <c r="G3076" t="s">
        <v>62</v>
      </c>
      <c r="H3076" t="s">
        <v>63</v>
      </c>
      <c r="I3076" t="s">
        <v>81</v>
      </c>
      <c r="J3076">
        <v>2703.63</v>
      </c>
      <c r="K3076">
        <v>4</v>
      </c>
      <c r="L3076" t="s">
        <v>24</v>
      </c>
      <c r="M3076" t="s">
        <v>25</v>
      </c>
      <c r="N3076" t="s">
        <v>55</v>
      </c>
      <c r="O3076" t="s">
        <v>37</v>
      </c>
      <c r="P3076" t="s">
        <v>38</v>
      </c>
      <c r="Q3076">
        <v>6</v>
      </c>
      <c r="R3076">
        <v>501.11</v>
      </c>
      <c r="S3076" t="s">
        <v>29</v>
      </c>
    </row>
    <row r="3077" spans="1:19" x14ac:dyDescent="0.3">
      <c r="A3077" t="s">
        <v>3147</v>
      </c>
      <c r="B3077">
        <v>81</v>
      </c>
      <c r="C3077" t="s">
        <v>31</v>
      </c>
      <c r="D3077" t="s">
        <v>89</v>
      </c>
      <c r="E3077" s="1">
        <v>45507</v>
      </c>
      <c r="F3077" s="3">
        <v>45520</v>
      </c>
      <c r="G3077" t="s">
        <v>93</v>
      </c>
      <c r="H3077" t="s">
        <v>72</v>
      </c>
      <c r="I3077" t="s">
        <v>58</v>
      </c>
      <c r="J3077">
        <v>9040.73</v>
      </c>
      <c r="K3077">
        <v>13</v>
      </c>
      <c r="L3077" t="s">
        <v>24</v>
      </c>
      <c r="M3077" t="s">
        <v>25</v>
      </c>
      <c r="N3077" t="s">
        <v>26</v>
      </c>
      <c r="O3077" t="s">
        <v>49</v>
      </c>
      <c r="P3077" t="s">
        <v>45</v>
      </c>
      <c r="Q3077">
        <v>9</v>
      </c>
      <c r="R3077">
        <v>2095.98</v>
      </c>
      <c r="S3077" t="s">
        <v>29</v>
      </c>
    </row>
    <row r="3078" spans="1:19" x14ac:dyDescent="0.3">
      <c r="A3078" t="s">
        <v>3148</v>
      </c>
      <c r="B3078">
        <v>20</v>
      </c>
      <c r="C3078" t="s">
        <v>19</v>
      </c>
      <c r="D3078" t="s">
        <v>61</v>
      </c>
      <c r="E3078" s="1">
        <v>45146</v>
      </c>
      <c r="F3078" s="3">
        <v>45156</v>
      </c>
      <c r="G3078" t="s">
        <v>52</v>
      </c>
      <c r="H3078" t="s">
        <v>53</v>
      </c>
      <c r="I3078" t="s">
        <v>58</v>
      </c>
      <c r="J3078">
        <v>3867.1</v>
      </c>
      <c r="K3078">
        <v>10</v>
      </c>
      <c r="L3078" t="s">
        <v>24</v>
      </c>
      <c r="M3078" t="s">
        <v>25</v>
      </c>
      <c r="N3078" t="s">
        <v>55</v>
      </c>
      <c r="O3078" t="s">
        <v>56</v>
      </c>
      <c r="P3078" t="s">
        <v>50</v>
      </c>
      <c r="Q3078">
        <v>12</v>
      </c>
      <c r="R3078">
        <v>1498.33</v>
      </c>
      <c r="S3078" t="s">
        <v>29</v>
      </c>
    </row>
    <row r="3079" spans="1:19" x14ac:dyDescent="0.3">
      <c r="A3079" t="s">
        <v>3149</v>
      </c>
      <c r="B3079">
        <v>20</v>
      </c>
      <c r="C3079" t="s">
        <v>31</v>
      </c>
      <c r="D3079" t="s">
        <v>66</v>
      </c>
      <c r="E3079" s="1">
        <v>45851</v>
      </c>
      <c r="F3079" s="3">
        <v>45867</v>
      </c>
      <c r="G3079" t="s">
        <v>48</v>
      </c>
      <c r="H3079" t="s">
        <v>22</v>
      </c>
      <c r="I3079" t="s">
        <v>83</v>
      </c>
      <c r="J3079">
        <v>9110.5300000000007</v>
      </c>
      <c r="K3079">
        <v>16</v>
      </c>
      <c r="L3079" t="s">
        <v>36</v>
      </c>
      <c r="M3079" t="s">
        <v>25</v>
      </c>
      <c r="N3079" t="s">
        <v>55</v>
      </c>
      <c r="O3079" t="s">
        <v>37</v>
      </c>
      <c r="P3079" t="s">
        <v>28</v>
      </c>
      <c r="Q3079">
        <v>14</v>
      </c>
      <c r="R3079">
        <v>2028.73</v>
      </c>
      <c r="S3079" t="s">
        <v>29</v>
      </c>
    </row>
    <row r="3080" spans="1:19" x14ac:dyDescent="0.3">
      <c r="A3080" t="s">
        <v>3150</v>
      </c>
      <c r="B3080">
        <v>62</v>
      </c>
      <c r="C3080" t="s">
        <v>31</v>
      </c>
      <c r="D3080" t="s">
        <v>32</v>
      </c>
      <c r="E3080" s="1">
        <v>44998</v>
      </c>
      <c r="F3080" s="3">
        <v>45014</v>
      </c>
      <c r="G3080" t="s">
        <v>74</v>
      </c>
      <c r="H3080" t="s">
        <v>75</v>
      </c>
      <c r="I3080" t="s">
        <v>91</v>
      </c>
      <c r="J3080">
        <v>6423.56</v>
      </c>
      <c r="K3080">
        <v>16</v>
      </c>
      <c r="L3080" t="s">
        <v>24</v>
      </c>
      <c r="M3080" t="s">
        <v>25</v>
      </c>
      <c r="N3080" t="s">
        <v>44</v>
      </c>
      <c r="O3080" t="s">
        <v>37</v>
      </c>
      <c r="P3080" t="s">
        <v>45</v>
      </c>
      <c r="Q3080">
        <v>5</v>
      </c>
      <c r="R3080">
        <v>988.49</v>
      </c>
      <c r="S3080" t="s">
        <v>39</v>
      </c>
    </row>
    <row r="3081" spans="1:19" x14ac:dyDescent="0.3">
      <c r="A3081" t="s">
        <v>3151</v>
      </c>
      <c r="B3081">
        <v>56</v>
      </c>
      <c r="C3081" t="s">
        <v>31</v>
      </c>
      <c r="D3081" t="s">
        <v>89</v>
      </c>
      <c r="E3081" s="1">
        <v>45523</v>
      </c>
      <c r="F3081" s="3">
        <v>45531</v>
      </c>
      <c r="G3081" t="s">
        <v>71</v>
      </c>
      <c r="H3081" t="s">
        <v>72</v>
      </c>
      <c r="I3081" t="s">
        <v>35</v>
      </c>
      <c r="J3081">
        <v>9215.44</v>
      </c>
      <c r="K3081">
        <v>8</v>
      </c>
      <c r="L3081" t="s">
        <v>24</v>
      </c>
      <c r="M3081" t="s">
        <v>25</v>
      </c>
      <c r="N3081" t="s">
        <v>44</v>
      </c>
      <c r="O3081" t="s">
        <v>49</v>
      </c>
      <c r="P3081" t="s">
        <v>45</v>
      </c>
      <c r="Q3081">
        <v>9</v>
      </c>
      <c r="R3081">
        <v>1452.67</v>
      </c>
      <c r="S3081" t="s">
        <v>29</v>
      </c>
    </row>
    <row r="3082" spans="1:19" x14ac:dyDescent="0.3">
      <c r="A3082" t="s">
        <v>3152</v>
      </c>
      <c r="B3082">
        <v>23</v>
      </c>
      <c r="C3082" t="s">
        <v>19</v>
      </c>
      <c r="D3082" t="s">
        <v>61</v>
      </c>
      <c r="E3082" s="1">
        <v>45525</v>
      </c>
      <c r="F3082" s="3">
        <v>45537</v>
      </c>
      <c r="G3082" t="s">
        <v>21</v>
      </c>
      <c r="H3082" t="s">
        <v>22</v>
      </c>
      <c r="I3082" t="s">
        <v>35</v>
      </c>
      <c r="J3082">
        <v>10634.68</v>
      </c>
      <c r="K3082">
        <v>12</v>
      </c>
      <c r="L3082" t="s">
        <v>36</v>
      </c>
      <c r="M3082" t="s">
        <v>59</v>
      </c>
      <c r="N3082" t="s">
        <v>55</v>
      </c>
      <c r="O3082" t="s">
        <v>49</v>
      </c>
      <c r="P3082" t="s">
        <v>50</v>
      </c>
      <c r="Q3082">
        <v>13</v>
      </c>
      <c r="R3082">
        <v>3101.56</v>
      </c>
      <c r="S3082" t="s">
        <v>29</v>
      </c>
    </row>
    <row r="3083" spans="1:19" x14ac:dyDescent="0.3">
      <c r="A3083" t="s">
        <v>3153</v>
      </c>
      <c r="B3083">
        <v>67</v>
      </c>
      <c r="C3083" t="s">
        <v>31</v>
      </c>
      <c r="D3083" t="s">
        <v>79</v>
      </c>
      <c r="E3083" s="1">
        <v>45887</v>
      </c>
      <c r="F3083" s="3">
        <v>45889</v>
      </c>
      <c r="G3083" t="s">
        <v>41</v>
      </c>
      <c r="H3083" t="s">
        <v>42</v>
      </c>
      <c r="I3083" t="s">
        <v>23</v>
      </c>
      <c r="J3083">
        <v>3957.05</v>
      </c>
      <c r="K3083">
        <v>2</v>
      </c>
      <c r="L3083" t="s">
        <v>24</v>
      </c>
      <c r="M3083" t="s">
        <v>25</v>
      </c>
      <c r="N3083" t="s">
        <v>26</v>
      </c>
      <c r="O3083" t="s">
        <v>56</v>
      </c>
      <c r="P3083" t="s">
        <v>45</v>
      </c>
      <c r="Q3083">
        <v>3</v>
      </c>
      <c r="R3083">
        <v>1580.3</v>
      </c>
      <c r="S3083" t="s">
        <v>29</v>
      </c>
    </row>
    <row r="3084" spans="1:19" x14ac:dyDescent="0.3">
      <c r="A3084" t="s">
        <v>3154</v>
      </c>
      <c r="B3084">
        <v>54</v>
      </c>
      <c r="C3084" t="s">
        <v>19</v>
      </c>
      <c r="D3084" t="s">
        <v>47</v>
      </c>
      <c r="E3084" s="1">
        <v>45147</v>
      </c>
      <c r="F3084" s="3">
        <v>45159</v>
      </c>
      <c r="G3084" t="s">
        <v>33</v>
      </c>
      <c r="H3084" t="s">
        <v>34</v>
      </c>
      <c r="I3084" t="s">
        <v>58</v>
      </c>
      <c r="J3084">
        <v>4076.06</v>
      </c>
      <c r="K3084">
        <v>12</v>
      </c>
      <c r="L3084" t="s">
        <v>24</v>
      </c>
      <c r="M3084" t="s">
        <v>59</v>
      </c>
      <c r="N3084" t="s">
        <v>26</v>
      </c>
      <c r="O3084" t="s">
        <v>37</v>
      </c>
      <c r="P3084" t="s">
        <v>28</v>
      </c>
      <c r="Q3084">
        <v>3</v>
      </c>
      <c r="R3084">
        <v>1531.29</v>
      </c>
      <c r="S3084" t="s">
        <v>29</v>
      </c>
    </row>
    <row r="3085" spans="1:19" x14ac:dyDescent="0.3">
      <c r="A3085" t="s">
        <v>3155</v>
      </c>
      <c r="B3085">
        <v>58</v>
      </c>
      <c r="C3085" t="s">
        <v>31</v>
      </c>
      <c r="D3085" t="s">
        <v>47</v>
      </c>
      <c r="E3085" s="1">
        <v>45891</v>
      </c>
      <c r="F3085" s="3">
        <v>45898</v>
      </c>
      <c r="G3085" t="s">
        <v>74</v>
      </c>
      <c r="H3085" t="s">
        <v>75</v>
      </c>
      <c r="I3085" t="s">
        <v>35</v>
      </c>
      <c r="J3085">
        <v>5460.47</v>
      </c>
      <c r="K3085">
        <v>7</v>
      </c>
      <c r="L3085" t="s">
        <v>24</v>
      </c>
      <c r="M3085" t="s">
        <v>25</v>
      </c>
      <c r="N3085" t="s">
        <v>26</v>
      </c>
      <c r="O3085" t="s">
        <v>27</v>
      </c>
      <c r="P3085" t="s">
        <v>50</v>
      </c>
      <c r="Q3085">
        <v>2</v>
      </c>
      <c r="R3085">
        <v>985.59</v>
      </c>
      <c r="S3085" t="s">
        <v>29</v>
      </c>
    </row>
    <row r="3086" spans="1:19" x14ac:dyDescent="0.3">
      <c r="A3086" t="s">
        <v>3156</v>
      </c>
      <c r="B3086">
        <v>45</v>
      </c>
      <c r="C3086" t="s">
        <v>31</v>
      </c>
      <c r="D3086" t="s">
        <v>61</v>
      </c>
      <c r="E3086" s="1">
        <v>45680</v>
      </c>
      <c r="F3086" s="3">
        <v>45702</v>
      </c>
      <c r="G3086" t="s">
        <v>33</v>
      </c>
      <c r="H3086" t="s">
        <v>34</v>
      </c>
      <c r="I3086" t="s">
        <v>43</v>
      </c>
      <c r="J3086">
        <v>20918.84</v>
      </c>
      <c r="K3086">
        <v>22</v>
      </c>
      <c r="L3086" t="s">
        <v>24</v>
      </c>
      <c r="M3086" t="s">
        <v>25</v>
      </c>
      <c r="N3086" t="s">
        <v>26</v>
      </c>
      <c r="O3086" t="s">
        <v>49</v>
      </c>
      <c r="P3086" t="s">
        <v>28</v>
      </c>
      <c r="Q3086">
        <v>10</v>
      </c>
      <c r="R3086">
        <v>4439.76</v>
      </c>
      <c r="S3086" t="s">
        <v>29</v>
      </c>
    </row>
    <row r="3087" spans="1:19" x14ac:dyDescent="0.3">
      <c r="A3087" t="s">
        <v>3157</v>
      </c>
      <c r="B3087">
        <v>90</v>
      </c>
      <c r="C3087" t="s">
        <v>19</v>
      </c>
      <c r="D3087" t="s">
        <v>32</v>
      </c>
      <c r="E3087" s="1">
        <v>45387</v>
      </c>
      <c r="F3087" s="3">
        <v>45389</v>
      </c>
      <c r="G3087" t="s">
        <v>67</v>
      </c>
      <c r="H3087" t="s">
        <v>42</v>
      </c>
      <c r="I3087" t="s">
        <v>81</v>
      </c>
      <c r="J3087">
        <v>3550.94</v>
      </c>
      <c r="K3087">
        <v>2</v>
      </c>
      <c r="L3087" t="s">
        <v>36</v>
      </c>
      <c r="M3087" t="s">
        <v>25</v>
      </c>
      <c r="N3087" t="s">
        <v>55</v>
      </c>
      <c r="O3087" t="s">
        <v>27</v>
      </c>
      <c r="P3087" t="s">
        <v>50</v>
      </c>
      <c r="Q3087">
        <v>14</v>
      </c>
      <c r="R3087">
        <v>961.49</v>
      </c>
      <c r="S3087" t="s">
        <v>29</v>
      </c>
    </row>
    <row r="3088" spans="1:19" x14ac:dyDescent="0.3">
      <c r="A3088" t="s">
        <v>3158</v>
      </c>
      <c r="B3088">
        <v>84</v>
      </c>
      <c r="C3088" t="s">
        <v>19</v>
      </c>
      <c r="D3088" t="s">
        <v>32</v>
      </c>
      <c r="E3088" s="1">
        <v>45003</v>
      </c>
      <c r="F3088" s="3">
        <v>45022</v>
      </c>
      <c r="G3088" t="s">
        <v>52</v>
      </c>
      <c r="H3088" t="s">
        <v>53</v>
      </c>
      <c r="I3088" t="s">
        <v>91</v>
      </c>
      <c r="J3088">
        <v>13523.54</v>
      </c>
      <c r="K3088">
        <v>19</v>
      </c>
      <c r="L3088" t="s">
        <v>36</v>
      </c>
      <c r="M3088" t="s">
        <v>25</v>
      </c>
      <c r="N3088" t="s">
        <v>44</v>
      </c>
      <c r="O3088" t="s">
        <v>49</v>
      </c>
      <c r="P3088" t="s">
        <v>50</v>
      </c>
      <c r="Q3088">
        <v>10</v>
      </c>
      <c r="R3088">
        <v>2887.77</v>
      </c>
      <c r="S3088" t="s">
        <v>29</v>
      </c>
    </row>
    <row r="3089" spans="1:19" x14ac:dyDescent="0.3">
      <c r="A3089" t="s">
        <v>3159</v>
      </c>
      <c r="B3089">
        <v>20</v>
      </c>
      <c r="C3089" t="s">
        <v>19</v>
      </c>
      <c r="D3089" t="s">
        <v>61</v>
      </c>
      <c r="E3089" s="1">
        <v>45908</v>
      </c>
      <c r="F3089" s="3">
        <v>45915</v>
      </c>
      <c r="G3089" t="s">
        <v>67</v>
      </c>
      <c r="H3089" t="s">
        <v>42</v>
      </c>
      <c r="I3089" t="s">
        <v>58</v>
      </c>
      <c r="J3089">
        <v>4149.8900000000003</v>
      </c>
      <c r="K3089">
        <v>7</v>
      </c>
      <c r="L3089" t="s">
        <v>24</v>
      </c>
      <c r="M3089" t="s">
        <v>76</v>
      </c>
      <c r="N3089" t="s">
        <v>55</v>
      </c>
      <c r="O3089" t="s">
        <v>37</v>
      </c>
      <c r="P3089" t="s">
        <v>50</v>
      </c>
      <c r="Q3089">
        <v>13</v>
      </c>
      <c r="R3089">
        <v>1095.5899999999999</v>
      </c>
      <c r="S3089" t="s">
        <v>29</v>
      </c>
    </row>
    <row r="3090" spans="1:19" x14ac:dyDescent="0.3">
      <c r="A3090" t="s">
        <v>3160</v>
      </c>
      <c r="B3090">
        <v>51</v>
      </c>
      <c r="C3090" t="s">
        <v>19</v>
      </c>
      <c r="D3090" t="s">
        <v>89</v>
      </c>
      <c r="E3090" s="1">
        <v>45071</v>
      </c>
      <c r="F3090" s="3">
        <v>45075</v>
      </c>
      <c r="G3090" t="s">
        <v>52</v>
      </c>
      <c r="H3090" t="s">
        <v>53</v>
      </c>
      <c r="I3090" t="s">
        <v>54</v>
      </c>
      <c r="J3090">
        <v>4892.6099999999997</v>
      </c>
      <c r="K3090">
        <v>4</v>
      </c>
      <c r="L3090" t="s">
        <v>24</v>
      </c>
      <c r="M3090" t="s">
        <v>25</v>
      </c>
      <c r="N3090" t="s">
        <v>26</v>
      </c>
      <c r="O3090" t="s">
        <v>56</v>
      </c>
      <c r="P3090" t="s">
        <v>28</v>
      </c>
      <c r="Q3090">
        <v>12</v>
      </c>
      <c r="R3090">
        <v>1653.5</v>
      </c>
      <c r="S3090" t="s">
        <v>29</v>
      </c>
    </row>
    <row r="3091" spans="1:19" x14ac:dyDescent="0.3">
      <c r="A3091" t="s">
        <v>3161</v>
      </c>
      <c r="B3091">
        <v>48</v>
      </c>
      <c r="C3091" t="s">
        <v>19</v>
      </c>
      <c r="D3091" t="s">
        <v>20</v>
      </c>
      <c r="E3091" s="1">
        <v>45180</v>
      </c>
      <c r="F3091" s="3">
        <v>45197</v>
      </c>
      <c r="G3091" t="s">
        <v>52</v>
      </c>
      <c r="H3091" t="s">
        <v>53</v>
      </c>
      <c r="I3091" t="s">
        <v>54</v>
      </c>
      <c r="J3091">
        <v>7092.94</v>
      </c>
      <c r="K3091">
        <v>17</v>
      </c>
      <c r="L3091" t="s">
        <v>24</v>
      </c>
      <c r="M3091" t="s">
        <v>25</v>
      </c>
      <c r="N3091" t="s">
        <v>26</v>
      </c>
      <c r="O3091" t="s">
        <v>27</v>
      </c>
      <c r="P3091" t="s">
        <v>28</v>
      </c>
      <c r="Q3091">
        <v>8</v>
      </c>
      <c r="R3091">
        <v>1753.95</v>
      </c>
      <c r="S3091" t="s">
        <v>29</v>
      </c>
    </row>
    <row r="3092" spans="1:19" x14ac:dyDescent="0.3">
      <c r="A3092" t="s">
        <v>3162</v>
      </c>
      <c r="B3092">
        <v>87</v>
      </c>
      <c r="C3092" t="s">
        <v>19</v>
      </c>
      <c r="D3092" t="s">
        <v>70</v>
      </c>
      <c r="E3092" s="1">
        <v>45464</v>
      </c>
      <c r="F3092" s="3">
        <v>45479</v>
      </c>
      <c r="G3092" t="s">
        <v>48</v>
      </c>
      <c r="H3092" t="s">
        <v>22</v>
      </c>
      <c r="I3092" t="s">
        <v>91</v>
      </c>
      <c r="J3092">
        <v>8521.86</v>
      </c>
      <c r="K3092">
        <v>15</v>
      </c>
      <c r="L3092" t="s">
        <v>36</v>
      </c>
      <c r="M3092" t="s">
        <v>25</v>
      </c>
      <c r="N3092" t="s">
        <v>26</v>
      </c>
      <c r="O3092" t="s">
        <v>56</v>
      </c>
      <c r="P3092" t="s">
        <v>38</v>
      </c>
      <c r="Q3092">
        <v>14</v>
      </c>
      <c r="R3092">
        <v>1601.24</v>
      </c>
      <c r="S3092" t="s">
        <v>29</v>
      </c>
    </row>
    <row r="3093" spans="1:19" x14ac:dyDescent="0.3">
      <c r="A3093" t="s">
        <v>3163</v>
      </c>
      <c r="B3093">
        <v>45</v>
      </c>
      <c r="C3093" t="s">
        <v>31</v>
      </c>
      <c r="D3093" t="s">
        <v>32</v>
      </c>
      <c r="E3093" s="1">
        <v>45863</v>
      </c>
      <c r="F3093" s="3">
        <v>45876</v>
      </c>
      <c r="G3093" t="s">
        <v>74</v>
      </c>
      <c r="H3093" t="s">
        <v>75</v>
      </c>
      <c r="I3093" t="s">
        <v>91</v>
      </c>
      <c r="J3093">
        <v>6781.15</v>
      </c>
      <c r="K3093">
        <v>13</v>
      </c>
      <c r="L3093" t="s">
        <v>36</v>
      </c>
      <c r="M3093" t="s">
        <v>59</v>
      </c>
      <c r="N3093" t="s">
        <v>55</v>
      </c>
      <c r="O3093" t="s">
        <v>56</v>
      </c>
      <c r="P3093" t="s">
        <v>45</v>
      </c>
      <c r="Q3093">
        <v>13</v>
      </c>
      <c r="R3093">
        <v>1267.43</v>
      </c>
      <c r="S3093" t="s">
        <v>29</v>
      </c>
    </row>
    <row r="3094" spans="1:19" x14ac:dyDescent="0.3">
      <c r="A3094" t="s">
        <v>3164</v>
      </c>
      <c r="B3094">
        <v>47</v>
      </c>
      <c r="C3094" t="s">
        <v>19</v>
      </c>
      <c r="D3094" t="s">
        <v>89</v>
      </c>
      <c r="E3094" s="1">
        <v>45917</v>
      </c>
      <c r="F3094" s="3">
        <v>45926</v>
      </c>
      <c r="G3094" t="s">
        <v>41</v>
      </c>
      <c r="H3094" t="s">
        <v>42</v>
      </c>
      <c r="I3094" t="s">
        <v>35</v>
      </c>
      <c r="J3094">
        <v>7644.02</v>
      </c>
      <c r="K3094">
        <v>9</v>
      </c>
      <c r="L3094" t="s">
        <v>24</v>
      </c>
      <c r="M3094" t="s">
        <v>25</v>
      </c>
      <c r="N3094" t="s">
        <v>44</v>
      </c>
      <c r="O3094" t="s">
        <v>27</v>
      </c>
      <c r="P3094" t="s">
        <v>38</v>
      </c>
      <c r="Q3094">
        <v>12</v>
      </c>
      <c r="R3094">
        <v>1395.3</v>
      </c>
      <c r="S3094" t="s">
        <v>29</v>
      </c>
    </row>
    <row r="3095" spans="1:19" x14ac:dyDescent="0.3">
      <c r="A3095" t="s">
        <v>3165</v>
      </c>
      <c r="B3095">
        <v>89</v>
      </c>
      <c r="C3095" t="s">
        <v>31</v>
      </c>
      <c r="D3095" t="s">
        <v>89</v>
      </c>
      <c r="E3095" s="1">
        <v>45296</v>
      </c>
      <c r="F3095" s="3">
        <v>45301</v>
      </c>
      <c r="G3095" t="s">
        <v>93</v>
      </c>
      <c r="H3095" t="s">
        <v>72</v>
      </c>
      <c r="I3095" t="s">
        <v>58</v>
      </c>
      <c r="J3095">
        <v>3671.5</v>
      </c>
      <c r="K3095">
        <v>5</v>
      </c>
      <c r="L3095" t="s">
        <v>36</v>
      </c>
      <c r="M3095" t="s">
        <v>25</v>
      </c>
      <c r="N3095" t="s">
        <v>26</v>
      </c>
      <c r="O3095" t="s">
        <v>27</v>
      </c>
      <c r="P3095" t="s">
        <v>38</v>
      </c>
      <c r="Q3095">
        <v>3</v>
      </c>
      <c r="R3095">
        <v>683.86</v>
      </c>
      <c r="S3095" t="s">
        <v>29</v>
      </c>
    </row>
    <row r="3096" spans="1:19" x14ac:dyDescent="0.3">
      <c r="A3096" t="s">
        <v>3166</v>
      </c>
      <c r="B3096">
        <v>53</v>
      </c>
      <c r="C3096" t="s">
        <v>31</v>
      </c>
      <c r="D3096" t="s">
        <v>89</v>
      </c>
      <c r="E3096" s="1">
        <v>45267</v>
      </c>
      <c r="F3096" s="3">
        <v>45284</v>
      </c>
      <c r="G3096" t="s">
        <v>93</v>
      </c>
      <c r="H3096" t="s">
        <v>72</v>
      </c>
      <c r="I3096" t="s">
        <v>43</v>
      </c>
      <c r="J3096">
        <v>10489.03</v>
      </c>
      <c r="K3096">
        <v>17</v>
      </c>
      <c r="L3096" t="s">
        <v>36</v>
      </c>
      <c r="M3096" t="s">
        <v>25</v>
      </c>
      <c r="N3096" t="s">
        <v>44</v>
      </c>
      <c r="O3096" t="s">
        <v>37</v>
      </c>
      <c r="P3096" t="s">
        <v>50</v>
      </c>
      <c r="Q3096">
        <v>8</v>
      </c>
      <c r="R3096">
        <v>2197.52</v>
      </c>
      <c r="S3096" t="s">
        <v>29</v>
      </c>
    </row>
    <row r="3097" spans="1:19" x14ac:dyDescent="0.3">
      <c r="A3097" t="s">
        <v>3167</v>
      </c>
      <c r="B3097">
        <v>20</v>
      </c>
      <c r="C3097" t="s">
        <v>19</v>
      </c>
      <c r="D3097" t="s">
        <v>66</v>
      </c>
      <c r="E3097" s="1">
        <v>45924</v>
      </c>
      <c r="F3097" s="3">
        <v>45938</v>
      </c>
      <c r="G3097" t="s">
        <v>67</v>
      </c>
      <c r="H3097" t="s">
        <v>42</v>
      </c>
      <c r="I3097" t="s">
        <v>35</v>
      </c>
      <c r="J3097">
        <v>4435.59</v>
      </c>
      <c r="K3097">
        <v>14</v>
      </c>
      <c r="L3097" t="s">
        <v>24</v>
      </c>
      <c r="M3097" t="s">
        <v>25</v>
      </c>
      <c r="N3097" t="s">
        <v>26</v>
      </c>
      <c r="O3097" t="s">
        <v>27</v>
      </c>
      <c r="P3097" t="s">
        <v>38</v>
      </c>
      <c r="Q3097">
        <v>3</v>
      </c>
      <c r="R3097">
        <v>1670.53</v>
      </c>
      <c r="S3097" t="s">
        <v>29</v>
      </c>
    </row>
    <row r="3098" spans="1:19" x14ac:dyDescent="0.3">
      <c r="A3098" t="s">
        <v>3168</v>
      </c>
      <c r="B3098">
        <v>88</v>
      </c>
      <c r="C3098" t="s">
        <v>31</v>
      </c>
      <c r="D3098" t="s">
        <v>66</v>
      </c>
      <c r="E3098" s="1">
        <v>45826</v>
      </c>
      <c r="F3098" s="3">
        <v>45827</v>
      </c>
      <c r="G3098" t="s">
        <v>21</v>
      </c>
      <c r="H3098" t="s">
        <v>22</v>
      </c>
      <c r="I3098" t="s">
        <v>43</v>
      </c>
      <c r="J3098">
        <v>1548.71</v>
      </c>
      <c r="K3098">
        <v>1</v>
      </c>
      <c r="L3098" t="s">
        <v>36</v>
      </c>
      <c r="M3098" t="s">
        <v>25</v>
      </c>
      <c r="N3098" t="s">
        <v>44</v>
      </c>
      <c r="O3098" t="s">
        <v>37</v>
      </c>
      <c r="P3098" t="s">
        <v>28</v>
      </c>
      <c r="Q3098">
        <v>3</v>
      </c>
      <c r="R3098">
        <v>504.32</v>
      </c>
      <c r="S3098" t="s">
        <v>29</v>
      </c>
    </row>
    <row r="3099" spans="1:19" x14ac:dyDescent="0.3">
      <c r="A3099" t="s">
        <v>3169</v>
      </c>
      <c r="B3099">
        <v>76</v>
      </c>
      <c r="C3099" t="s">
        <v>31</v>
      </c>
      <c r="D3099" t="s">
        <v>47</v>
      </c>
      <c r="E3099" s="1">
        <v>44948</v>
      </c>
      <c r="F3099" s="3">
        <v>44956</v>
      </c>
      <c r="G3099" t="s">
        <v>71</v>
      </c>
      <c r="H3099" t="s">
        <v>72</v>
      </c>
      <c r="I3099" t="s">
        <v>23</v>
      </c>
      <c r="J3099">
        <v>2692.45</v>
      </c>
      <c r="K3099">
        <v>8</v>
      </c>
      <c r="L3099" t="s">
        <v>24</v>
      </c>
      <c r="M3099" t="s">
        <v>25</v>
      </c>
      <c r="N3099" t="s">
        <v>44</v>
      </c>
      <c r="O3099" t="s">
        <v>56</v>
      </c>
      <c r="P3099" t="s">
        <v>50</v>
      </c>
      <c r="Q3099">
        <v>8</v>
      </c>
      <c r="R3099">
        <v>986.34</v>
      </c>
      <c r="S3099" t="s">
        <v>29</v>
      </c>
    </row>
    <row r="3100" spans="1:19" x14ac:dyDescent="0.3">
      <c r="A3100" t="s">
        <v>3170</v>
      </c>
      <c r="B3100">
        <v>30</v>
      </c>
      <c r="C3100" t="s">
        <v>31</v>
      </c>
      <c r="D3100" t="s">
        <v>61</v>
      </c>
      <c r="E3100" s="1">
        <v>45426</v>
      </c>
      <c r="F3100" s="3">
        <v>45439</v>
      </c>
      <c r="G3100" t="s">
        <v>67</v>
      </c>
      <c r="H3100" t="s">
        <v>42</v>
      </c>
      <c r="I3100" t="s">
        <v>54</v>
      </c>
      <c r="J3100">
        <v>7655.59</v>
      </c>
      <c r="K3100">
        <v>13</v>
      </c>
      <c r="L3100" t="s">
        <v>36</v>
      </c>
      <c r="M3100" t="s">
        <v>25</v>
      </c>
      <c r="N3100" t="s">
        <v>55</v>
      </c>
      <c r="O3100" t="s">
        <v>56</v>
      </c>
      <c r="P3100" t="s">
        <v>50</v>
      </c>
      <c r="Q3100">
        <v>14</v>
      </c>
      <c r="R3100">
        <v>2669.4</v>
      </c>
      <c r="S3100" t="s">
        <v>29</v>
      </c>
    </row>
    <row r="3101" spans="1:19" x14ac:dyDescent="0.3">
      <c r="A3101" t="s">
        <v>3171</v>
      </c>
      <c r="B3101">
        <v>60</v>
      </c>
      <c r="C3101" t="s">
        <v>31</v>
      </c>
      <c r="D3101" t="s">
        <v>70</v>
      </c>
      <c r="E3101" s="1">
        <v>45195</v>
      </c>
      <c r="F3101" s="3">
        <v>45200</v>
      </c>
      <c r="G3101" t="s">
        <v>41</v>
      </c>
      <c r="H3101" t="s">
        <v>42</v>
      </c>
      <c r="I3101" t="s">
        <v>83</v>
      </c>
      <c r="J3101">
        <v>8245.65</v>
      </c>
      <c r="K3101">
        <v>5</v>
      </c>
      <c r="L3101" t="s">
        <v>36</v>
      </c>
      <c r="M3101" t="s">
        <v>25</v>
      </c>
      <c r="N3101" t="s">
        <v>55</v>
      </c>
      <c r="O3101" t="s">
        <v>49</v>
      </c>
      <c r="P3101" t="s">
        <v>50</v>
      </c>
      <c r="Q3101">
        <v>2</v>
      </c>
      <c r="R3101">
        <v>1284.56</v>
      </c>
      <c r="S3101" t="s">
        <v>29</v>
      </c>
    </row>
    <row r="3102" spans="1:19" x14ac:dyDescent="0.3">
      <c r="A3102" t="s">
        <v>3172</v>
      </c>
      <c r="B3102">
        <v>28</v>
      </c>
      <c r="C3102" t="s">
        <v>19</v>
      </c>
      <c r="D3102" t="s">
        <v>47</v>
      </c>
      <c r="E3102" s="1">
        <v>45757</v>
      </c>
      <c r="F3102" s="3">
        <v>45774</v>
      </c>
      <c r="G3102" t="s">
        <v>33</v>
      </c>
      <c r="H3102" t="s">
        <v>34</v>
      </c>
      <c r="I3102" t="s">
        <v>54</v>
      </c>
      <c r="J3102">
        <v>10145.450000000001</v>
      </c>
      <c r="K3102">
        <v>17</v>
      </c>
      <c r="L3102" t="s">
        <v>24</v>
      </c>
      <c r="M3102" t="s">
        <v>59</v>
      </c>
      <c r="N3102" t="s">
        <v>55</v>
      </c>
      <c r="O3102" t="s">
        <v>37</v>
      </c>
      <c r="P3102" t="s">
        <v>50</v>
      </c>
      <c r="Q3102">
        <v>9</v>
      </c>
      <c r="R3102">
        <v>1590.39</v>
      </c>
      <c r="S3102" t="s">
        <v>29</v>
      </c>
    </row>
    <row r="3103" spans="1:19" x14ac:dyDescent="0.3">
      <c r="A3103" t="s">
        <v>3173</v>
      </c>
      <c r="B3103">
        <v>74</v>
      </c>
      <c r="C3103" t="s">
        <v>31</v>
      </c>
      <c r="D3103" t="s">
        <v>89</v>
      </c>
      <c r="E3103" s="1">
        <v>45399</v>
      </c>
      <c r="F3103" s="3">
        <v>45404</v>
      </c>
      <c r="G3103" t="s">
        <v>67</v>
      </c>
      <c r="H3103" t="s">
        <v>42</v>
      </c>
      <c r="I3103" t="s">
        <v>35</v>
      </c>
      <c r="J3103">
        <v>5244.96</v>
      </c>
      <c r="K3103">
        <v>5</v>
      </c>
      <c r="L3103" t="s">
        <v>24</v>
      </c>
      <c r="M3103" t="s">
        <v>25</v>
      </c>
      <c r="N3103" t="s">
        <v>26</v>
      </c>
      <c r="O3103" t="s">
        <v>27</v>
      </c>
      <c r="P3103" t="s">
        <v>28</v>
      </c>
      <c r="Q3103">
        <v>1</v>
      </c>
      <c r="R3103">
        <v>1489.72</v>
      </c>
      <c r="S3103" t="s">
        <v>29</v>
      </c>
    </row>
    <row r="3104" spans="1:19" x14ac:dyDescent="0.3">
      <c r="A3104" t="s">
        <v>3174</v>
      </c>
      <c r="B3104">
        <v>46</v>
      </c>
      <c r="C3104" t="s">
        <v>19</v>
      </c>
      <c r="D3104" t="s">
        <v>61</v>
      </c>
      <c r="E3104" s="1">
        <v>45662</v>
      </c>
      <c r="F3104" s="3">
        <v>45687</v>
      </c>
      <c r="G3104" t="s">
        <v>74</v>
      </c>
      <c r="H3104" t="s">
        <v>75</v>
      </c>
      <c r="I3104" t="s">
        <v>35</v>
      </c>
      <c r="J3104">
        <v>16414.310000000001</v>
      </c>
      <c r="K3104">
        <v>25</v>
      </c>
      <c r="L3104" t="s">
        <v>36</v>
      </c>
      <c r="M3104" t="s">
        <v>25</v>
      </c>
      <c r="N3104" t="s">
        <v>55</v>
      </c>
      <c r="O3104" t="s">
        <v>49</v>
      </c>
      <c r="P3104" t="s">
        <v>28</v>
      </c>
      <c r="Q3104">
        <v>8</v>
      </c>
      <c r="R3104">
        <v>6456.85</v>
      </c>
      <c r="S3104" t="s">
        <v>39</v>
      </c>
    </row>
    <row r="3105" spans="1:19" x14ac:dyDescent="0.3">
      <c r="A3105" t="s">
        <v>3175</v>
      </c>
      <c r="B3105">
        <v>90</v>
      </c>
      <c r="C3105" t="s">
        <v>19</v>
      </c>
      <c r="D3105" t="s">
        <v>70</v>
      </c>
      <c r="E3105" s="1">
        <v>45367</v>
      </c>
      <c r="F3105" s="3">
        <v>45387</v>
      </c>
      <c r="G3105" t="s">
        <v>52</v>
      </c>
      <c r="H3105" t="s">
        <v>53</v>
      </c>
      <c r="I3105" t="s">
        <v>91</v>
      </c>
      <c r="J3105">
        <v>12148.52</v>
      </c>
      <c r="K3105">
        <v>20</v>
      </c>
      <c r="L3105" t="s">
        <v>24</v>
      </c>
      <c r="M3105" t="s">
        <v>101</v>
      </c>
      <c r="N3105" t="s">
        <v>26</v>
      </c>
      <c r="O3105" t="s">
        <v>27</v>
      </c>
      <c r="P3105" t="s">
        <v>38</v>
      </c>
      <c r="Q3105">
        <v>9</v>
      </c>
      <c r="R3105">
        <v>4473.53</v>
      </c>
      <c r="S3105" t="s">
        <v>29</v>
      </c>
    </row>
    <row r="3106" spans="1:19" x14ac:dyDescent="0.3">
      <c r="A3106" t="s">
        <v>3176</v>
      </c>
      <c r="B3106">
        <v>54</v>
      </c>
      <c r="C3106" t="s">
        <v>19</v>
      </c>
      <c r="D3106" t="s">
        <v>66</v>
      </c>
      <c r="E3106" s="1">
        <v>45073</v>
      </c>
      <c r="F3106" s="3">
        <v>45093</v>
      </c>
      <c r="G3106" t="s">
        <v>48</v>
      </c>
      <c r="H3106" t="s">
        <v>22</v>
      </c>
      <c r="I3106" t="s">
        <v>35</v>
      </c>
      <c r="J3106">
        <v>10833.97</v>
      </c>
      <c r="K3106">
        <v>20</v>
      </c>
      <c r="L3106" t="s">
        <v>36</v>
      </c>
      <c r="M3106" t="s">
        <v>59</v>
      </c>
      <c r="N3106" t="s">
        <v>44</v>
      </c>
      <c r="O3106" t="s">
        <v>56</v>
      </c>
      <c r="P3106" t="s">
        <v>38</v>
      </c>
      <c r="Q3106">
        <v>15</v>
      </c>
      <c r="R3106">
        <v>2092.04</v>
      </c>
      <c r="S3106" t="s">
        <v>29</v>
      </c>
    </row>
    <row r="3107" spans="1:19" x14ac:dyDescent="0.3">
      <c r="A3107" t="s">
        <v>3177</v>
      </c>
      <c r="B3107">
        <v>88</v>
      </c>
      <c r="C3107" t="s">
        <v>19</v>
      </c>
      <c r="D3107" t="s">
        <v>89</v>
      </c>
      <c r="E3107" s="1">
        <v>45194</v>
      </c>
      <c r="F3107" s="3">
        <v>45195</v>
      </c>
      <c r="G3107" t="s">
        <v>62</v>
      </c>
      <c r="H3107" t="s">
        <v>63</v>
      </c>
      <c r="I3107" t="s">
        <v>35</v>
      </c>
      <c r="J3107">
        <v>2131.2800000000002</v>
      </c>
      <c r="K3107">
        <v>1</v>
      </c>
      <c r="L3107" t="s">
        <v>24</v>
      </c>
      <c r="M3107" t="s">
        <v>25</v>
      </c>
      <c r="N3107" t="s">
        <v>26</v>
      </c>
      <c r="O3107" t="s">
        <v>56</v>
      </c>
      <c r="P3107" t="s">
        <v>38</v>
      </c>
      <c r="Q3107">
        <v>6</v>
      </c>
      <c r="R3107">
        <v>478.76</v>
      </c>
      <c r="S3107" t="s">
        <v>39</v>
      </c>
    </row>
    <row r="3108" spans="1:19" x14ac:dyDescent="0.3">
      <c r="A3108" t="s">
        <v>3178</v>
      </c>
      <c r="B3108">
        <v>63</v>
      </c>
      <c r="C3108" t="s">
        <v>19</v>
      </c>
      <c r="D3108" t="s">
        <v>20</v>
      </c>
      <c r="E3108" s="1">
        <v>45168</v>
      </c>
      <c r="F3108" s="3">
        <v>45181</v>
      </c>
      <c r="G3108" t="s">
        <v>41</v>
      </c>
      <c r="H3108" t="s">
        <v>42</v>
      </c>
      <c r="I3108" t="s">
        <v>54</v>
      </c>
      <c r="J3108">
        <v>8568.01</v>
      </c>
      <c r="K3108">
        <v>13</v>
      </c>
      <c r="L3108" t="s">
        <v>36</v>
      </c>
      <c r="M3108" t="s">
        <v>25</v>
      </c>
      <c r="N3108" t="s">
        <v>44</v>
      </c>
      <c r="O3108" t="s">
        <v>56</v>
      </c>
      <c r="P3108" t="s">
        <v>45</v>
      </c>
      <c r="Q3108">
        <v>4</v>
      </c>
      <c r="R3108">
        <v>1563.61</v>
      </c>
      <c r="S3108" t="s">
        <v>29</v>
      </c>
    </row>
    <row r="3109" spans="1:19" x14ac:dyDescent="0.3">
      <c r="A3109" t="s">
        <v>3179</v>
      </c>
      <c r="B3109">
        <v>88</v>
      </c>
      <c r="C3109" t="s">
        <v>31</v>
      </c>
      <c r="D3109" t="s">
        <v>61</v>
      </c>
      <c r="E3109" s="1">
        <v>44984</v>
      </c>
      <c r="F3109" s="3">
        <v>44996</v>
      </c>
      <c r="G3109" t="s">
        <v>93</v>
      </c>
      <c r="H3109" t="s">
        <v>72</v>
      </c>
      <c r="I3109" t="s">
        <v>23</v>
      </c>
      <c r="J3109">
        <v>12507.21</v>
      </c>
      <c r="K3109">
        <v>12</v>
      </c>
      <c r="L3109" t="s">
        <v>36</v>
      </c>
      <c r="M3109" t="s">
        <v>101</v>
      </c>
      <c r="N3109" t="s">
        <v>44</v>
      </c>
      <c r="O3109" t="s">
        <v>49</v>
      </c>
      <c r="P3109" t="s">
        <v>50</v>
      </c>
      <c r="Q3109">
        <v>5</v>
      </c>
      <c r="R3109">
        <v>4272.3</v>
      </c>
      <c r="S3109" t="s">
        <v>29</v>
      </c>
    </row>
    <row r="3110" spans="1:19" x14ac:dyDescent="0.3">
      <c r="A3110" t="s">
        <v>3180</v>
      </c>
      <c r="B3110">
        <v>83</v>
      </c>
      <c r="C3110" t="s">
        <v>31</v>
      </c>
      <c r="D3110" t="s">
        <v>61</v>
      </c>
      <c r="E3110" s="1">
        <v>45496</v>
      </c>
      <c r="F3110" s="3">
        <v>45508</v>
      </c>
      <c r="G3110" t="s">
        <v>67</v>
      </c>
      <c r="H3110" t="s">
        <v>42</v>
      </c>
      <c r="I3110" t="s">
        <v>43</v>
      </c>
      <c r="J3110">
        <v>9997.7900000000009</v>
      </c>
      <c r="K3110">
        <v>12</v>
      </c>
      <c r="L3110" t="s">
        <v>24</v>
      </c>
      <c r="M3110" t="s">
        <v>25</v>
      </c>
      <c r="N3110" t="s">
        <v>55</v>
      </c>
      <c r="O3110" t="s">
        <v>56</v>
      </c>
      <c r="P3110" t="s">
        <v>45</v>
      </c>
      <c r="Q3110">
        <v>5</v>
      </c>
      <c r="R3110">
        <v>3538.12</v>
      </c>
      <c r="S3110" t="s">
        <v>29</v>
      </c>
    </row>
    <row r="3111" spans="1:19" x14ac:dyDescent="0.3">
      <c r="A3111" t="s">
        <v>3181</v>
      </c>
      <c r="B3111">
        <v>77</v>
      </c>
      <c r="C3111" t="s">
        <v>19</v>
      </c>
      <c r="D3111" t="s">
        <v>66</v>
      </c>
      <c r="E3111" s="1">
        <v>45645</v>
      </c>
      <c r="F3111" s="3">
        <v>45653</v>
      </c>
      <c r="G3111" t="s">
        <v>62</v>
      </c>
      <c r="H3111" t="s">
        <v>63</v>
      </c>
      <c r="I3111" t="s">
        <v>35</v>
      </c>
      <c r="J3111">
        <v>4679.6099999999997</v>
      </c>
      <c r="K3111">
        <v>8</v>
      </c>
      <c r="L3111" t="s">
        <v>24</v>
      </c>
      <c r="M3111" t="s">
        <v>25</v>
      </c>
      <c r="N3111" t="s">
        <v>26</v>
      </c>
      <c r="O3111" t="s">
        <v>37</v>
      </c>
      <c r="P3111" t="s">
        <v>45</v>
      </c>
      <c r="Q3111">
        <v>1</v>
      </c>
      <c r="R3111">
        <v>849.71</v>
      </c>
      <c r="S3111" t="s">
        <v>29</v>
      </c>
    </row>
    <row r="3112" spans="1:19" x14ac:dyDescent="0.3">
      <c r="A3112" t="s">
        <v>3182</v>
      </c>
      <c r="B3112">
        <v>65</v>
      </c>
      <c r="C3112" t="s">
        <v>19</v>
      </c>
      <c r="D3112" t="s">
        <v>20</v>
      </c>
      <c r="E3112" s="1">
        <v>45674</v>
      </c>
      <c r="F3112" s="3">
        <v>45680</v>
      </c>
      <c r="G3112" t="s">
        <v>33</v>
      </c>
      <c r="H3112" t="s">
        <v>34</v>
      </c>
      <c r="I3112" t="s">
        <v>23</v>
      </c>
      <c r="J3112">
        <v>11468.62</v>
      </c>
      <c r="K3112">
        <v>6</v>
      </c>
      <c r="L3112" t="s">
        <v>36</v>
      </c>
      <c r="M3112" t="s">
        <v>25</v>
      </c>
      <c r="N3112" t="s">
        <v>55</v>
      </c>
      <c r="O3112" t="s">
        <v>49</v>
      </c>
      <c r="P3112" t="s">
        <v>50</v>
      </c>
      <c r="Q3112">
        <v>10</v>
      </c>
      <c r="R3112">
        <v>2545.61</v>
      </c>
      <c r="S3112" t="s">
        <v>29</v>
      </c>
    </row>
    <row r="3113" spans="1:19" x14ac:dyDescent="0.3">
      <c r="A3113" t="s">
        <v>3183</v>
      </c>
      <c r="B3113">
        <v>22</v>
      </c>
      <c r="C3113" t="s">
        <v>31</v>
      </c>
      <c r="D3113" t="s">
        <v>47</v>
      </c>
      <c r="E3113" s="1">
        <v>45716</v>
      </c>
      <c r="F3113" s="3">
        <v>45735</v>
      </c>
      <c r="G3113" t="s">
        <v>71</v>
      </c>
      <c r="H3113" t="s">
        <v>72</v>
      </c>
      <c r="I3113" t="s">
        <v>81</v>
      </c>
      <c r="J3113">
        <v>19026.900000000001</v>
      </c>
      <c r="K3113">
        <v>19</v>
      </c>
      <c r="L3113" t="s">
        <v>36</v>
      </c>
      <c r="M3113" t="s">
        <v>59</v>
      </c>
      <c r="N3113" t="s">
        <v>55</v>
      </c>
      <c r="O3113" t="s">
        <v>49</v>
      </c>
      <c r="P3113" t="s">
        <v>50</v>
      </c>
      <c r="Q3113">
        <v>8</v>
      </c>
      <c r="R3113">
        <v>6530.56</v>
      </c>
      <c r="S3113" t="s">
        <v>29</v>
      </c>
    </row>
    <row r="3114" spans="1:19" x14ac:dyDescent="0.3">
      <c r="A3114" t="s">
        <v>3184</v>
      </c>
      <c r="B3114">
        <v>83</v>
      </c>
      <c r="C3114" t="s">
        <v>31</v>
      </c>
      <c r="D3114" t="s">
        <v>70</v>
      </c>
      <c r="E3114" s="1">
        <v>45919</v>
      </c>
      <c r="F3114" s="3">
        <v>45928</v>
      </c>
      <c r="G3114" t="s">
        <v>93</v>
      </c>
      <c r="H3114" t="s">
        <v>72</v>
      </c>
      <c r="I3114" t="s">
        <v>83</v>
      </c>
      <c r="J3114">
        <v>13905.64</v>
      </c>
      <c r="K3114">
        <v>9</v>
      </c>
      <c r="L3114" t="s">
        <v>24</v>
      </c>
      <c r="M3114" t="s">
        <v>25</v>
      </c>
      <c r="N3114" t="s">
        <v>26</v>
      </c>
      <c r="O3114" t="s">
        <v>49</v>
      </c>
      <c r="P3114" t="s">
        <v>28</v>
      </c>
      <c r="Q3114">
        <v>14</v>
      </c>
      <c r="R3114">
        <v>3486.06</v>
      </c>
      <c r="S3114" t="s">
        <v>29</v>
      </c>
    </row>
    <row r="3115" spans="1:19" x14ac:dyDescent="0.3">
      <c r="A3115" t="s">
        <v>3185</v>
      </c>
      <c r="B3115">
        <v>57</v>
      </c>
      <c r="C3115" t="s">
        <v>19</v>
      </c>
      <c r="D3115" t="s">
        <v>79</v>
      </c>
      <c r="E3115" s="1">
        <v>45141</v>
      </c>
      <c r="F3115" s="3">
        <v>45161</v>
      </c>
      <c r="G3115" t="s">
        <v>21</v>
      </c>
      <c r="H3115" t="s">
        <v>22</v>
      </c>
      <c r="I3115" t="s">
        <v>81</v>
      </c>
      <c r="J3115">
        <v>7980.63</v>
      </c>
      <c r="K3115">
        <v>20</v>
      </c>
      <c r="L3115" t="s">
        <v>24</v>
      </c>
      <c r="M3115" t="s">
        <v>25</v>
      </c>
      <c r="N3115" t="s">
        <v>44</v>
      </c>
      <c r="O3115" t="s">
        <v>56</v>
      </c>
      <c r="P3115" t="s">
        <v>45</v>
      </c>
      <c r="Q3115">
        <v>1</v>
      </c>
      <c r="R3115">
        <v>3147.56</v>
      </c>
      <c r="S3115" t="s">
        <v>39</v>
      </c>
    </row>
    <row r="3116" spans="1:19" x14ac:dyDescent="0.3">
      <c r="A3116" t="s">
        <v>3186</v>
      </c>
      <c r="B3116">
        <v>30</v>
      </c>
      <c r="C3116" t="s">
        <v>19</v>
      </c>
      <c r="D3116" t="s">
        <v>32</v>
      </c>
      <c r="E3116" s="1">
        <v>45365</v>
      </c>
      <c r="F3116" s="3">
        <v>45376</v>
      </c>
      <c r="G3116" t="s">
        <v>52</v>
      </c>
      <c r="H3116" t="s">
        <v>53</v>
      </c>
      <c r="I3116" t="s">
        <v>54</v>
      </c>
      <c r="J3116">
        <v>5225.1899999999996</v>
      </c>
      <c r="K3116">
        <v>11</v>
      </c>
      <c r="L3116" t="s">
        <v>36</v>
      </c>
      <c r="M3116" t="s">
        <v>59</v>
      </c>
      <c r="N3116" t="s">
        <v>44</v>
      </c>
      <c r="O3116" t="s">
        <v>27</v>
      </c>
      <c r="P3116" t="s">
        <v>28</v>
      </c>
      <c r="Q3116">
        <v>15</v>
      </c>
      <c r="R3116">
        <v>2076.65</v>
      </c>
      <c r="S3116" t="s">
        <v>29</v>
      </c>
    </row>
    <row r="3117" spans="1:19" x14ac:dyDescent="0.3">
      <c r="A3117" t="s">
        <v>3187</v>
      </c>
      <c r="B3117">
        <v>32</v>
      </c>
      <c r="C3117" t="s">
        <v>31</v>
      </c>
      <c r="D3117" t="s">
        <v>20</v>
      </c>
      <c r="E3117" s="1">
        <v>45219</v>
      </c>
      <c r="F3117" s="3">
        <v>45237</v>
      </c>
      <c r="G3117" t="s">
        <v>93</v>
      </c>
      <c r="H3117" t="s">
        <v>72</v>
      </c>
      <c r="I3117" t="s">
        <v>83</v>
      </c>
      <c r="J3117">
        <v>10745.8</v>
      </c>
      <c r="K3117">
        <v>18</v>
      </c>
      <c r="L3117" t="s">
        <v>24</v>
      </c>
      <c r="M3117" t="s">
        <v>25</v>
      </c>
      <c r="N3117" t="s">
        <v>26</v>
      </c>
      <c r="O3117" t="s">
        <v>37</v>
      </c>
      <c r="P3117" t="s">
        <v>28</v>
      </c>
      <c r="Q3117">
        <v>11</v>
      </c>
      <c r="R3117">
        <v>3825.74</v>
      </c>
      <c r="S3117" t="s">
        <v>29</v>
      </c>
    </row>
    <row r="3118" spans="1:19" x14ac:dyDescent="0.3">
      <c r="A3118" t="s">
        <v>3188</v>
      </c>
      <c r="B3118">
        <v>50</v>
      </c>
      <c r="C3118" t="s">
        <v>31</v>
      </c>
      <c r="D3118" t="s">
        <v>61</v>
      </c>
      <c r="E3118" s="1">
        <v>44934</v>
      </c>
      <c r="F3118" s="3">
        <v>44948</v>
      </c>
      <c r="G3118" t="s">
        <v>52</v>
      </c>
      <c r="H3118" t="s">
        <v>53</v>
      </c>
      <c r="I3118" t="s">
        <v>54</v>
      </c>
      <c r="J3118">
        <v>11797.86</v>
      </c>
      <c r="K3118">
        <v>14</v>
      </c>
      <c r="L3118" t="s">
        <v>24</v>
      </c>
      <c r="M3118" t="s">
        <v>25</v>
      </c>
      <c r="N3118" t="s">
        <v>44</v>
      </c>
      <c r="O3118" t="s">
        <v>49</v>
      </c>
      <c r="P3118" t="s">
        <v>50</v>
      </c>
      <c r="Q3118">
        <v>13</v>
      </c>
      <c r="R3118">
        <v>3958.17</v>
      </c>
      <c r="S3118" t="s">
        <v>29</v>
      </c>
    </row>
    <row r="3119" spans="1:19" x14ac:dyDescent="0.3">
      <c r="A3119" t="s">
        <v>3189</v>
      </c>
      <c r="B3119">
        <v>48</v>
      </c>
      <c r="C3119" t="s">
        <v>31</v>
      </c>
      <c r="D3119" t="s">
        <v>70</v>
      </c>
      <c r="E3119" s="1">
        <v>45843</v>
      </c>
      <c r="F3119" s="3">
        <v>45853</v>
      </c>
      <c r="G3119" t="s">
        <v>67</v>
      </c>
      <c r="H3119" t="s">
        <v>42</v>
      </c>
      <c r="I3119" t="s">
        <v>43</v>
      </c>
      <c r="J3119">
        <v>5642.65</v>
      </c>
      <c r="K3119">
        <v>10</v>
      </c>
      <c r="L3119" t="s">
        <v>24</v>
      </c>
      <c r="M3119" t="s">
        <v>25</v>
      </c>
      <c r="N3119" t="s">
        <v>44</v>
      </c>
      <c r="O3119" t="s">
        <v>37</v>
      </c>
      <c r="P3119" t="s">
        <v>45</v>
      </c>
      <c r="Q3119">
        <v>3</v>
      </c>
      <c r="R3119">
        <v>1337.1</v>
      </c>
      <c r="S3119" t="s">
        <v>39</v>
      </c>
    </row>
    <row r="3120" spans="1:19" x14ac:dyDescent="0.3">
      <c r="A3120" t="s">
        <v>3190</v>
      </c>
      <c r="B3120">
        <v>26</v>
      </c>
      <c r="C3120" t="s">
        <v>31</v>
      </c>
      <c r="D3120" t="s">
        <v>66</v>
      </c>
      <c r="E3120" s="1">
        <v>45079</v>
      </c>
      <c r="F3120" s="3">
        <v>45097</v>
      </c>
      <c r="G3120" t="s">
        <v>67</v>
      </c>
      <c r="H3120" t="s">
        <v>42</v>
      </c>
      <c r="I3120" t="s">
        <v>83</v>
      </c>
      <c r="J3120">
        <v>9019.9</v>
      </c>
      <c r="K3120">
        <v>18</v>
      </c>
      <c r="L3120" t="s">
        <v>24</v>
      </c>
      <c r="M3120" t="s">
        <v>25</v>
      </c>
      <c r="N3120" t="s">
        <v>55</v>
      </c>
      <c r="O3120" t="s">
        <v>27</v>
      </c>
      <c r="P3120" t="s">
        <v>38</v>
      </c>
      <c r="Q3120">
        <v>3</v>
      </c>
      <c r="R3120">
        <v>2334.34</v>
      </c>
      <c r="S3120" t="s">
        <v>29</v>
      </c>
    </row>
    <row r="3121" spans="1:19" x14ac:dyDescent="0.3">
      <c r="A3121" t="s">
        <v>3191</v>
      </c>
      <c r="B3121">
        <v>40</v>
      </c>
      <c r="C3121" t="s">
        <v>31</v>
      </c>
      <c r="D3121" t="s">
        <v>20</v>
      </c>
      <c r="E3121" s="1">
        <v>45167</v>
      </c>
      <c r="F3121" s="3">
        <v>45173</v>
      </c>
      <c r="G3121" t="s">
        <v>41</v>
      </c>
      <c r="H3121" t="s">
        <v>42</v>
      </c>
      <c r="I3121" t="s">
        <v>83</v>
      </c>
      <c r="J3121">
        <v>5000.3900000000003</v>
      </c>
      <c r="K3121">
        <v>6</v>
      </c>
      <c r="L3121" t="s">
        <v>24</v>
      </c>
      <c r="M3121" t="s">
        <v>59</v>
      </c>
      <c r="N3121" t="s">
        <v>55</v>
      </c>
      <c r="O3121" t="s">
        <v>27</v>
      </c>
      <c r="P3121" t="s">
        <v>50</v>
      </c>
      <c r="Q3121">
        <v>1</v>
      </c>
      <c r="R3121">
        <v>1013.87</v>
      </c>
      <c r="S3121" t="s">
        <v>29</v>
      </c>
    </row>
    <row r="3122" spans="1:19" x14ac:dyDescent="0.3">
      <c r="A3122" t="s">
        <v>3192</v>
      </c>
      <c r="B3122">
        <v>63</v>
      </c>
      <c r="C3122" t="s">
        <v>19</v>
      </c>
      <c r="D3122" t="s">
        <v>20</v>
      </c>
      <c r="E3122" s="1">
        <v>45069</v>
      </c>
      <c r="F3122" s="3">
        <v>45076</v>
      </c>
      <c r="G3122" t="s">
        <v>41</v>
      </c>
      <c r="H3122" t="s">
        <v>42</v>
      </c>
      <c r="I3122" t="s">
        <v>43</v>
      </c>
      <c r="J3122">
        <v>7655.12</v>
      </c>
      <c r="K3122">
        <v>7</v>
      </c>
      <c r="L3122" t="s">
        <v>36</v>
      </c>
      <c r="M3122" t="s">
        <v>25</v>
      </c>
      <c r="N3122" t="s">
        <v>26</v>
      </c>
      <c r="O3122" t="s">
        <v>49</v>
      </c>
      <c r="P3122" t="s">
        <v>28</v>
      </c>
      <c r="Q3122">
        <v>3</v>
      </c>
      <c r="R3122">
        <v>2086.87</v>
      </c>
      <c r="S3122" t="s">
        <v>39</v>
      </c>
    </row>
    <row r="3123" spans="1:19" x14ac:dyDescent="0.3">
      <c r="A3123" t="s">
        <v>3193</v>
      </c>
      <c r="B3123">
        <v>71</v>
      </c>
      <c r="C3123" t="s">
        <v>19</v>
      </c>
      <c r="D3123" t="s">
        <v>20</v>
      </c>
      <c r="E3123" s="1">
        <v>45065</v>
      </c>
      <c r="F3123" s="3">
        <v>45079</v>
      </c>
      <c r="G3123" t="s">
        <v>41</v>
      </c>
      <c r="H3123" t="s">
        <v>42</v>
      </c>
      <c r="I3123" t="s">
        <v>91</v>
      </c>
      <c r="J3123">
        <v>11267.19</v>
      </c>
      <c r="K3123">
        <v>14</v>
      </c>
      <c r="L3123" t="s">
        <v>36</v>
      </c>
      <c r="M3123" t="s">
        <v>25</v>
      </c>
      <c r="N3123" t="s">
        <v>55</v>
      </c>
      <c r="O3123" t="s">
        <v>27</v>
      </c>
      <c r="P3123" t="s">
        <v>38</v>
      </c>
      <c r="Q3123">
        <v>13</v>
      </c>
      <c r="R3123">
        <v>3231.51</v>
      </c>
      <c r="S3123" t="s">
        <v>29</v>
      </c>
    </row>
    <row r="3124" spans="1:19" x14ac:dyDescent="0.3">
      <c r="A3124" t="s">
        <v>3194</v>
      </c>
      <c r="B3124">
        <v>78</v>
      </c>
      <c r="C3124" t="s">
        <v>19</v>
      </c>
      <c r="D3124" t="s">
        <v>47</v>
      </c>
      <c r="E3124" s="1">
        <v>45370</v>
      </c>
      <c r="F3124" s="3">
        <v>45388</v>
      </c>
      <c r="G3124" t="s">
        <v>67</v>
      </c>
      <c r="H3124" t="s">
        <v>42</v>
      </c>
      <c r="I3124" t="s">
        <v>43</v>
      </c>
      <c r="J3124">
        <v>11215.51</v>
      </c>
      <c r="K3124">
        <v>18</v>
      </c>
      <c r="L3124" t="s">
        <v>24</v>
      </c>
      <c r="M3124" t="s">
        <v>25</v>
      </c>
      <c r="N3124" t="s">
        <v>44</v>
      </c>
      <c r="O3124" t="s">
        <v>49</v>
      </c>
      <c r="P3124" t="s">
        <v>28</v>
      </c>
      <c r="Q3124">
        <v>3</v>
      </c>
      <c r="R3124">
        <v>1924.59</v>
      </c>
      <c r="S3124" t="s">
        <v>29</v>
      </c>
    </row>
    <row r="3125" spans="1:19" x14ac:dyDescent="0.3">
      <c r="A3125" t="s">
        <v>3195</v>
      </c>
      <c r="B3125">
        <v>37</v>
      </c>
      <c r="C3125" t="s">
        <v>31</v>
      </c>
      <c r="D3125" t="s">
        <v>47</v>
      </c>
      <c r="E3125" s="1">
        <v>45603</v>
      </c>
      <c r="F3125" s="3">
        <v>45623</v>
      </c>
      <c r="G3125" t="s">
        <v>33</v>
      </c>
      <c r="H3125" t="s">
        <v>34</v>
      </c>
      <c r="I3125" t="s">
        <v>54</v>
      </c>
      <c r="J3125">
        <v>11398.83</v>
      </c>
      <c r="K3125">
        <v>20</v>
      </c>
      <c r="L3125" t="s">
        <v>24</v>
      </c>
      <c r="M3125" t="s">
        <v>25</v>
      </c>
      <c r="N3125" t="s">
        <v>55</v>
      </c>
      <c r="O3125" t="s">
        <v>27</v>
      </c>
      <c r="P3125" t="s">
        <v>45</v>
      </c>
      <c r="Q3125">
        <v>5</v>
      </c>
      <c r="R3125">
        <v>4438.51</v>
      </c>
      <c r="S3125" t="s">
        <v>29</v>
      </c>
    </row>
    <row r="3126" spans="1:19" x14ac:dyDescent="0.3">
      <c r="A3126" t="s">
        <v>3196</v>
      </c>
      <c r="B3126">
        <v>89</v>
      </c>
      <c r="C3126" t="s">
        <v>31</v>
      </c>
      <c r="D3126" t="s">
        <v>79</v>
      </c>
      <c r="E3126" s="1">
        <v>45222</v>
      </c>
      <c r="F3126" s="3">
        <v>45249</v>
      </c>
      <c r="G3126" t="s">
        <v>93</v>
      </c>
      <c r="H3126" t="s">
        <v>72</v>
      </c>
      <c r="I3126" t="s">
        <v>58</v>
      </c>
      <c r="J3126">
        <v>11200.23</v>
      </c>
      <c r="K3126">
        <v>27</v>
      </c>
      <c r="L3126" t="s">
        <v>24</v>
      </c>
      <c r="M3126" t="s">
        <v>25</v>
      </c>
      <c r="N3126" t="s">
        <v>44</v>
      </c>
      <c r="O3126" t="s">
        <v>49</v>
      </c>
      <c r="P3126" t="s">
        <v>28</v>
      </c>
      <c r="Q3126">
        <v>9</v>
      </c>
      <c r="R3126">
        <v>4384.24</v>
      </c>
      <c r="S3126" t="s">
        <v>29</v>
      </c>
    </row>
    <row r="3127" spans="1:19" x14ac:dyDescent="0.3">
      <c r="A3127" t="s">
        <v>3197</v>
      </c>
      <c r="B3127">
        <v>26</v>
      </c>
      <c r="C3127" t="s">
        <v>31</v>
      </c>
      <c r="D3127" t="s">
        <v>32</v>
      </c>
      <c r="E3127" s="1">
        <v>45796</v>
      </c>
      <c r="F3127" s="3">
        <v>45819</v>
      </c>
      <c r="G3127" t="s">
        <v>48</v>
      </c>
      <c r="H3127" t="s">
        <v>22</v>
      </c>
      <c r="I3127" t="s">
        <v>35</v>
      </c>
      <c r="J3127">
        <v>14311.13</v>
      </c>
      <c r="K3127">
        <v>23</v>
      </c>
      <c r="L3127" t="s">
        <v>24</v>
      </c>
      <c r="M3127" t="s">
        <v>25</v>
      </c>
      <c r="N3127" t="s">
        <v>26</v>
      </c>
      <c r="O3127" t="s">
        <v>49</v>
      </c>
      <c r="P3127" t="s">
        <v>28</v>
      </c>
      <c r="Q3127">
        <v>9</v>
      </c>
      <c r="R3127">
        <v>2557.5</v>
      </c>
      <c r="S3127" t="s">
        <v>39</v>
      </c>
    </row>
    <row r="3128" spans="1:19" x14ac:dyDescent="0.3">
      <c r="A3128" t="s">
        <v>3198</v>
      </c>
      <c r="B3128">
        <v>47</v>
      </c>
      <c r="C3128" t="s">
        <v>19</v>
      </c>
      <c r="D3128" t="s">
        <v>66</v>
      </c>
      <c r="E3128" s="1">
        <v>45196</v>
      </c>
      <c r="F3128" s="3">
        <v>45212</v>
      </c>
      <c r="G3128" t="s">
        <v>41</v>
      </c>
      <c r="H3128" t="s">
        <v>42</v>
      </c>
      <c r="I3128" t="s">
        <v>54</v>
      </c>
      <c r="J3128">
        <v>10514.93</v>
      </c>
      <c r="K3128">
        <v>16</v>
      </c>
      <c r="L3128" t="s">
        <v>36</v>
      </c>
      <c r="M3128" t="s">
        <v>25</v>
      </c>
      <c r="N3128" t="s">
        <v>26</v>
      </c>
      <c r="O3128" t="s">
        <v>37</v>
      </c>
      <c r="P3128" t="s">
        <v>50</v>
      </c>
      <c r="Q3128">
        <v>15</v>
      </c>
      <c r="R3128">
        <v>3185.56</v>
      </c>
      <c r="S3128" t="s">
        <v>29</v>
      </c>
    </row>
    <row r="3129" spans="1:19" x14ac:dyDescent="0.3">
      <c r="A3129" t="s">
        <v>3199</v>
      </c>
      <c r="B3129">
        <v>76</v>
      </c>
      <c r="C3129" t="s">
        <v>31</v>
      </c>
      <c r="D3129" t="s">
        <v>32</v>
      </c>
      <c r="E3129" s="1">
        <v>45486</v>
      </c>
      <c r="F3129" s="3">
        <v>45508</v>
      </c>
      <c r="G3129" t="s">
        <v>52</v>
      </c>
      <c r="H3129" t="s">
        <v>53</v>
      </c>
      <c r="I3129" t="s">
        <v>81</v>
      </c>
      <c r="J3129">
        <v>11004.01</v>
      </c>
      <c r="K3129">
        <v>22</v>
      </c>
      <c r="L3129" t="s">
        <v>24</v>
      </c>
      <c r="M3129" t="s">
        <v>76</v>
      </c>
      <c r="N3129" t="s">
        <v>26</v>
      </c>
      <c r="O3129" t="s">
        <v>49</v>
      </c>
      <c r="P3129" t="s">
        <v>28</v>
      </c>
      <c r="Q3129">
        <v>3</v>
      </c>
      <c r="R3129">
        <v>3694.53</v>
      </c>
      <c r="S3129" t="s">
        <v>29</v>
      </c>
    </row>
    <row r="3130" spans="1:19" x14ac:dyDescent="0.3">
      <c r="A3130" t="s">
        <v>3200</v>
      </c>
      <c r="B3130">
        <v>50</v>
      </c>
      <c r="C3130" t="s">
        <v>19</v>
      </c>
      <c r="D3130" t="s">
        <v>20</v>
      </c>
      <c r="E3130" s="1">
        <v>45229</v>
      </c>
      <c r="F3130" s="3">
        <v>45247</v>
      </c>
      <c r="G3130" t="s">
        <v>33</v>
      </c>
      <c r="H3130" t="s">
        <v>34</v>
      </c>
      <c r="I3130" t="s">
        <v>43</v>
      </c>
      <c r="J3130">
        <v>12129.72</v>
      </c>
      <c r="K3130">
        <v>18</v>
      </c>
      <c r="L3130" t="s">
        <v>36</v>
      </c>
      <c r="M3130" t="s">
        <v>25</v>
      </c>
      <c r="N3130" t="s">
        <v>26</v>
      </c>
      <c r="O3130" t="s">
        <v>49</v>
      </c>
      <c r="P3130" t="s">
        <v>50</v>
      </c>
      <c r="Q3130">
        <v>6</v>
      </c>
      <c r="R3130">
        <v>3716.33</v>
      </c>
      <c r="S3130" t="s">
        <v>29</v>
      </c>
    </row>
    <row r="3131" spans="1:19" x14ac:dyDescent="0.3">
      <c r="A3131" t="s">
        <v>3201</v>
      </c>
      <c r="B3131">
        <v>47</v>
      </c>
      <c r="C3131" t="s">
        <v>31</v>
      </c>
      <c r="D3131" t="s">
        <v>47</v>
      </c>
      <c r="E3131" s="1">
        <v>45220</v>
      </c>
      <c r="F3131" s="3">
        <v>45244</v>
      </c>
      <c r="G3131" t="s">
        <v>67</v>
      </c>
      <c r="H3131" t="s">
        <v>42</v>
      </c>
      <c r="I3131" t="s">
        <v>43</v>
      </c>
      <c r="J3131">
        <v>16061.33</v>
      </c>
      <c r="K3131">
        <v>24</v>
      </c>
      <c r="L3131" t="s">
        <v>36</v>
      </c>
      <c r="M3131" t="s">
        <v>25</v>
      </c>
      <c r="N3131" t="s">
        <v>26</v>
      </c>
      <c r="O3131" t="s">
        <v>49</v>
      </c>
      <c r="P3131" t="s">
        <v>28</v>
      </c>
      <c r="Q3131">
        <v>11</v>
      </c>
      <c r="R3131">
        <v>5534.23</v>
      </c>
      <c r="S3131" t="s">
        <v>29</v>
      </c>
    </row>
    <row r="3132" spans="1:19" x14ac:dyDescent="0.3">
      <c r="A3132" t="s">
        <v>3202</v>
      </c>
      <c r="B3132">
        <v>48</v>
      </c>
      <c r="C3132" t="s">
        <v>31</v>
      </c>
      <c r="D3132" t="s">
        <v>20</v>
      </c>
      <c r="E3132" s="1">
        <v>45696</v>
      </c>
      <c r="F3132" s="3">
        <v>45711</v>
      </c>
      <c r="G3132" t="s">
        <v>62</v>
      </c>
      <c r="H3132" t="s">
        <v>63</v>
      </c>
      <c r="I3132" t="s">
        <v>54</v>
      </c>
      <c r="J3132">
        <v>7997.97</v>
      </c>
      <c r="K3132">
        <v>15</v>
      </c>
      <c r="L3132" t="s">
        <v>36</v>
      </c>
      <c r="M3132" t="s">
        <v>25</v>
      </c>
      <c r="N3132" t="s">
        <v>26</v>
      </c>
      <c r="O3132" t="s">
        <v>37</v>
      </c>
      <c r="P3132" t="s">
        <v>50</v>
      </c>
      <c r="Q3132">
        <v>1</v>
      </c>
      <c r="R3132">
        <v>1269.3699999999999</v>
      </c>
      <c r="S3132" t="s">
        <v>29</v>
      </c>
    </row>
    <row r="3133" spans="1:19" x14ac:dyDescent="0.3">
      <c r="A3133" t="s">
        <v>3203</v>
      </c>
      <c r="B3133">
        <v>39</v>
      </c>
      <c r="C3133" t="s">
        <v>31</v>
      </c>
      <c r="D3133" t="s">
        <v>79</v>
      </c>
      <c r="E3133" s="1">
        <v>44998</v>
      </c>
      <c r="F3133" s="3">
        <v>45010</v>
      </c>
      <c r="G3133" t="s">
        <v>52</v>
      </c>
      <c r="H3133" t="s">
        <v>53</v>
      </c>
      <c r="I3133" t="s">
        <v>54</v>
      </c>
      <c r="J3133">
        <v>5250.76</v>
      </c>
      <c r="K3133">
        <v>12</v>
      </c>
      <c r="L3133" t="s">
        <v>36</v>
      </c>
      <c r="M3133" t="s">
        <v>59</v>
      </c>
      <c r="N3133" t="s">
        <v>55</v>
      </c>
      <c r="O3133" t="s">
        <v>56</v>
      </c>
      <c r="P3133" t="s">
        <v>28</v>
      </c>
      <c r="Q3133">
        <v>6</v>
      </c>
      <c r="R3133">
        <v>1428.48</v>
      </c>
      <c r="S3133" t="s">
        <v>29</v>
      </c>
    </row>
    <row r="3134" spans="1:19" x14ac:dyDescent="0.3">
      <c r="A3134" t="s">
        <v>3204</v>
      </c>
      <c r="B3134">
        <v>88</v>
      </c>
      <c r="C3134" t="s">
        <v>19</v>
      </c>
      <c r="D3134" t="s">
        <v>61</v>
      </c>
      <c r="E3134" s="1">
        <v>45710</v>
      </c>
      <c r="F3134" s="3">
        <v>45712</v>
      </c>
      <c r="G3134" t="s">
        <v>41</v>
      </c>
      <c r="H3134" t="s">
        <v>42</v>
      </c>
      <c r="I3134" t="s">
        <v>35</v>
      </c>
      <c r="J3134">
        <v>3322.78</v>
      </c>
      <c r="K3134">
        <v>2</v>
      </c>
      <c r="L3134" t="s">
        <v>24</v>
      </c>
      <c r="M3134" t="s">
        <v>101</v>
      </c>
      <c r="N3134" t="s">
        <v>44</v>
      </c>
      <c r="O3134" t="s">
        <v>56</v>
      </c>
      <c r="P3134" t="s">
        <v>45</v>
      </c>
      <c r="Q3134">
        <v>12</v>
      </c>
      <c r="R3134">
        <v>577.94000000000005</v>
      </c>
      <c r="S3134" t="s">
        <v>29</v>
      </c>
    </row>
    <row r="3135" spans="1:19" x14ac:dyDescent="0.3">
      <c r="A3135" t="s">
        <v>3205</v>
      </c>
      <c r="B3135">
        <v>25</v>
      </c>
      <c r="C3135" t="s">
        <v>31</v>
      </c>
      <c r="D3135" t="s">
        <v>79</v>
      </c>
      <c r="E3135" s="1">
        <v>45008</v>
      </c>
      <c r="F3135" s="3">
        <v>45012</v>
      </c>
      <c r="G3135" t="s">
        <v>41</v>
      </c>
      <c r="H3135" t="s">
        <v>42</v>
      </c>
      <c r="I3135" t="s">
        <v>83</v>
      </c>
      <c r="J3135">
        <v>7573.49</v>
      </c>
      <c r="K3135">
        <v>4</v>
      </c>
      <c r="L3135" t="s">
        <v>24</v>
      </c>
      <c r="M3135" t="s">
        <v>25</v>
      </c>
      <c r="N3135" t="s">
        <v>44</v>
      </c>
      <c r="O3135" t="s">
        <v>49</v>
      </c>
      <c r="P3135" t="s">
        <v>50</v>
      </c>
      <c r="Q3135">
        <v>5</v>
      </c>
      <c r="R3135">
        <v>1224.21</v>
      </c>
      <c r="S3135" t="s">
        <v>29</v>
      </c>
    </row>
    <row r="3136" spans="1:19" x14ac:dyDescent="0.3">
      <c r="A3136" t="s">
        <v>3206</v>
      </c>
      <c r="B3136">
        <v>24</v>
      </c>
      <c r="C3136" t="s">
        <v>19</v>
      </c>
      <c r="D3136" t="s">
        <v>70</v>
      </c>
      <c r="E3136" s="1">
        <v>45586</v>
      </c>
      <c r="F3136" s="3">
        <v>45599</v>
      </c>
      <c r="G3136" t="s">
        <v>74</v>
      </c>
      <c r="H3136" t="s">
        <v>75</v>
      </c>
      <c r="I3136" t="s">
        <v>91</v>
      </c>
      <c r="J3136">
        <v>8019.87</v>
      </c>
      <c r="K3136">
        <v>13</v>
      </c>
      <c r="L3136" t="s">
        <v>24</v>
      </c>
      <c r="M3136" t="s">
        <v>25</v>
      </c>
      <c r="N3136" t="s">
        <v>55</v>
      </c>
      <c r="O3136" t="s">
        <v>56</v>
      </c>
      <c r="P3136" t="s">
        <v>50</v>
      </c>
      <c r="Q3136">
        <v>12</v>
      </c>
      <c r="R3136">
        <v>1365.33</v>
      </c>
      <c r="S3136" t="s">
        <v>29</v>
      </c>
    </row>
    <row r="3137" spans="1:19" x14ac:dyDescent="0.3">
      <c r="A3137" t="s">
        <v>3207</v>
      </c>
      <c r="B3137">
        <v>63</v>
      </c>
      <c r="C3137" t="s">
        <v>19</v>
      </c>
      <c r="D3137" t="s">
        <v>32</v>
      </c>
      <c r="E3137" s="1">
        <v>44994</v>
      </c>
      <c r="F3137" s="3">
        <v>44998</v>
      </c>
      <c r="G3137" t="s">
        <v>67</v>
      </c>
      <c r="H3137" t="s">
        <v>42</v>
      </c>
      <c r="I3137" t="s">
        <v>58</v>
      </c>
      <c r="J3137">
        <v>1515.42</v>
      </c>
      <c r="K3137">
        <v>4</v>
      </c>
      <c r="L3137" t="s">
        <v>36</v>
      </c>
      <c r="M3137" t="s">
        <v>59</v>
      </c>
      <c r="N3137" t="s">
        <v>55</v>
      </c>
      <c r="O3137" t="s">
        <v>56</v>
      </c>
      <c r="P3137" t="s">
        <v>45</v>
      </c>
      <c r="Q3137">
        <v>15</v>
      </c>
      <c r="R3137">
        <v>595.53</v>
      </c>
      <c r="S3137" t="s">
        <v>29</v>
      </c>
    </row>
    <row r="3138" spans="1:19" x14ac:dyDescent="0.3">
      <c r="A3138" t="s">
        <v>3208</v>
      </c>
      <c r="B3138">
        <v>44</v>
      </c>
      <c r="C3138" t="s">
        <v>31</v>
      </c>
      <c r="D3138" t="s">
        <v>20</v>
      </c>
      <c r="E3138" s="1">
        <v>45488</v>
      </c>
      <c r="F3138" s="3">
        <v>45505</v>
      </c>
      <c r="G3138" t="s">
        <v>21</v>
      </c>
      <c r="H3138" t="s">
        <v>22</v>
      </c>
      <c r="I3138" t="s">
        <v>58</v>
      </c>
      <c r="J3138">
        <v>12031.74</v>
      </c>
      <c r="K3138">
        <v>17</v>
      </c>
      <c r="L3138" t="s">
        <v>36</v>
      </c>
      <c r="M3138" t="s">
        <v>25</v>
      </c>
      <c r="N3138" t="s">
        <v>55</v>
      </c>
      <c r="O3138" t="s">
        <v>56</v>
      </c>
      <c r="P3138" t="s">
        <v>45</v>
      </c>
      <c r="Q3138">
        <v>8</v>
      </c>
      <c r="R3138">
        <v>2936.59</v>
      </c>
      <c r="S3138" t="s">
        <v>29</v>
      </c>
    </row>
    <row r="3139" spans="1:19" x14ac:dyDescent="0.3">
      <c r="A3139" t="s">
        <v>3209</v>
      </c>
      <c r="B3139">
        <v>49</v>
      </c>
      <c r="C3139" t="s">
        <v>31</v>
      </c>
      <c r="D3139" t="s">
        <v>66</v>
      </c>
      <c r="E3139" s="1">
        <v>45322</v>
      </c>
      <c r="F3139" s="3">
        <v>45327</v>
      </c>
      <c r="G3139" t="s">
        <v>21</v>
      </c>
      <c r="H3139" t="s">
        <v>22</v>
      </c>
      <c r="I3139" t="s">
        <v>54</v>
      </c>
      <c r="J3139">
        <v>9100.75</v>
      </c>
      <c r="K3139">
        <v>5</v>
      </c>
      <c r="L3139" t="s">
        <v>24</v>
      </c>
      <c r="M3139" t="s">
        <v>25</v>
      </c>
      <c r="N3139" t="s">
        <v>26</v>
      </c>
      <c r="O3139" t="s">
        <v>49</v>
      </c>
      <c r="P3139" t="s">
        <v>45</v>
      </c>
      <c r="Q3139">
        <v>4</v>
      </c>
      <c r="R3139">
        <v>3492.8</v>
      </c>
      <c r="S3139" t="s">
        <v>29</v>
      </c>
    </row>
    <row r="3140" spans="1:19" x14ac:dyDescent="0.3">
      <c r="A3140" t="s">
        <v>3210</v>
      </c>
      <c r="B3140">
        <v>48</v>
      </c>
      <c r="C3140" t="s">
        <v>19</v>
      </c>
      <c r="D3140" t="s">
        <v>32</v>
      </c>
      <c r="E3140" s="1">
        <v>45333</v>
      </c>
      <c r="F3140" s="3">
        <v>45334</v>
      </c>
      <c r="G3140" t="s">
        <v>67</v>
      </c>
      <c r="H3140" t="s">
        <v>42</v>
      </c>
      <c r="I3140" t="s">
        <v>23</v>
      </c>
      <c r="J3140">
        <v>3390.69</v>
      </c>
      <c r="K3140">
        <v>1</v>
      </c>
      <c r="L3140" t="s">
        <v>24</v>
      </c>
      <c r="M3140" t="s">
        <v>25</v>
      </c>
      <c r="N3140" t="s">
        <v>26</v>
      </c>
      <c r="O3140" t="s">
        <v>37</v>
      </c>
      <c r="P3140" t="s">
        <v>45</v>
      </c>
      <c r="Q3140">
        <v>11</v>
      </c>
      <c r="R3140">
        <v>598.88</v>
      </c>
      <c r="S3140" t="s">
        <v>29</v>
      </c>
    </row>
    <row r="3141" spans="1:19" x14ac:dyDescent="0.3">
      <c r="A3141" t="s">
        <v>3211</v>
      </c>
      <c r="B3141">
        <v>86</v>
      </c>
      <c r="C3141" t="s">
        <v>31</v>
      </c>
      <c r="D3141" t="s">
        <v>47</v>
      </c>
      <c r="E3141" s="1">
        <v>45787</v>
      </c>
      <c r="F3141" s="3">
        <v>45793</v>
      </c>
      <c r="G3141" t="s">
        <v>71</v>
      </c>
      <c r="H3141" t="s">
        <v>72</v>
      </c>
      <c r="I3141" t="s">
        <v>23</v>
      </c>
      <c r="J3141">
        <v>9149.34</v>
      </c>
      <c r="K3141">
        <v>6</v>
      </c>
      <c r="L3141" t="s">
        <v>24</v>
      </c>
      <c r="M3141" t="s">
        <v>59</v>
      </c>
      <c r="N3141" t="s">
        <v>55</v>
      </c>
      <c r="O3141" t="s">
        <v>49</v>
      </c>
      <c r="P3141" t="s">
        <v>45</v>
      </c>
      <c r="Q3141">
        <v>7</v>
      </c>
      <c r="R3141">
        <v>3132.18</v>
      </c>
      <c r="S3141" t="s">
        <v>29</v>
      </c>
    </row>
    <row r="3142" spans="1:19" x14ac:dyDescent="0.3">
      <c r="A3142" t="s">
        <v>3212</v>
      </c>
      <c r="B3142">
        <v>79</v>
      </c>
      <c r="C3142" t="s">
        <v>19</v>
      </c>
      <c r="D3142" t="s">
        <v>66</v>
      </c>
      <c r="E3142" s="1">
        <v>45183</v>
      </c>
      <c r="F3142" s="3">
        <v>45198</v>
      </c>
      <c r="G3142" t="s">
        <v>62</v>
      </c>
      <c r="H3142" t="s">
        <v>63</v>
      </c>
      <c r="I3142" t="s">
        <v>54</v>
      </c>
      <c r="J3142">
        <v>11632.13</v>
      </c>
      <c r="K3142">
        <v>15</v>
      </c>
      <c r="L3142" t="s">
        <v>24</v>
      </c>
      <c r="M3142" t="s">
        <v>25</v>
      </c>
      <c r="N3142" t="s">
        <v>55</v>
      </c>
      <c r="O3142" t="s">
        <v>56</v>
      </c>
      <c r="P3142" t="s">
        <v>28</v>
      </c>
      <c r="Q3142">
        <v>3</v>
      </c>
      <c r="R3142">
        <v>3553.88</v>
      </c>
      <c r="S3142" t="s">
        <v>29</v>
      </c>
    </row>
    <row r="3143" spans="1:19" x14ac:dyDescent="0.3">
      <c r="A3143" t="s">
        <v>3213</v>
      </c>
      <c r="B3143">
        <v>26</v>
      </c>
      <c r="C3143" t="s">
        <v>31</v>
      </c>
      <c r="D3143" t="s">
        <v>61</v>
      </c>
      <c r="E3143" s="1">
        <v>44943</v>
      </c>
      <c r="F3143" s="3">
        <v>44970</v>
      </c>
      <c r="G3143" t="s">
        <v>48</v>
      </c>
      <c r="H3143" t="s">
        <v>22</v>
      </c>
      <c r="I3143" t="s">
        <v>23</v>
      </c>
      <c r="J3143">
        <v>19339.169999999998</v>
      </c>
      <c r="K3143">
        <v>27</v>
      </c>
      <c r="L3143" t="s">
        <v>36</v>
      </c>
      <c r="M3143" t="s">
        <v>25</v>
      </c>
      <c r="N3143" t="s">
        <v>26</v>
      </c>
      <c r="O3143" t="s">
        <v>49</v>
      </c>
      <c r="P3143" t="s">
        <v>50</v>
      </c>
      <c r="Q3143">
        <v>13</v>
      </c>
      <c r="R3143">
        <v>4491.3999999999996</v>
      </c>
      <c r="S3143" t="s">
        <v>29</v>
      </c>
    </row>
    <row r="3144" spans="1:19" x14ac:dyDescent="0.3">
      <c r="A3144" t="s">
        <v>3214</v>
      </c>
      <c r="B3144">
        <v>38</v>
      </c>
      <c r="C3144" t="s">
        <v>19</v>
      </c>
      <c r="D3144" t="s">
        <v>20</v>
      </c>
      <c r="E3144" s="1">
        <v>45814</v>
      </c>
      <c r="F3144" s="3">
        <v>45824</v>
      </c>
      <c r="G3144" t="s">
        <v>41</v>
      </c>
      <c r="H3144" t="s">
        <v>42</v>
      </c>
      <c r="I3144" t="s">
        <v>81</v>
      </c>
      <c r="J3144">
        <v>6067.42</v>
      </c>
      <c r="K3144">
        <v>10</v>
      </c>
      <c r="L3144" t="s">
        <v>36</v>
      </c>
      <c r="M3144" t="s">
        <v>25</v>
      </c>
      <c r="N3144" t="s">
        <v>44</v>
      </c>
      <c r="O3144" t="s">
        <v>56</v>
      </c>
      <c r="P3144" t="s">
        <v>45</v>
      </c>
      <c r="Q3144">
        <v>9</v>
      </c>
      <c r="R3144">
        <v>1291.33</v>
      </c>
      <c r="S3144" t="s">
        <v>29</v>
      </c>
    </row>
    <row r="3145" spans="1:19" x14ac:dyDescent="0.3">
      <c r="A3145" t="s">
        <v>3215</v>
      </c>
      <c r="B3145">
        <v>22</v>
      </c>
      <c r="C3145" t="s">
        <v>31</v>
      </c>
      <c r="D3145" t="s">
        <v>32</v>
      </c>
      <c r="E3145" s="1">
        <v>45368</v>
      </c>
      <c r="F3145" s="3">
        <v>45375</v>
      </c>
      <c r="G3145" t="s">
        <v>48</v>
      </c>
      <c r="H3145" t="s">
        <v>22</v>
      </c>
      <c r="I3145" t="s">
        <v>91</v>
      </c>
      <c r="J3145">
        <v>4284.17</v>
      </c>
      <c r="K3145">
        <v>7</v>
      </c>
      <c r="L3145" t="s">
        <v>24</v>
      </c>
      <c r="M3145" t="s">
        <v>25</v>
      </c>
      <c r="N3145" t="s">
        <v>44</v>
      </c>
      <c r="O3145" t="s">
        <v>56</v>
      </c>
      <c r="P3145" t="s">
        <v>45</v>
      </c>
      <c r="Q3145">
        <v>6</v>
      </c>
      <c r="R3145">
        <v>757.38</v>
      </c>
      <c r="S3145" t="s">
        <v>29</v>
      </c>
    </row>
    <row r="3146" spans="1:19" x14ac:dyDescent="0.3">
      <c r="A3146" t="s">
        <v>3216</v>
      </c>
      <c r="B3146">
        <v>56</v>
      </c>
      <c r="C3146" t="s">
        <v>19</v>
      </c>
      <c r="D3146" t="s">
        <v>32</v>
      </c>
      <c r="E3146" s="1">
        <v>45285</v>
      </c>
      <c r="F3146" s="3">
        <v>45289</v>
      </c>
      <c r="G3146" t="s">
        <v>33</v>
      </c>
      <c r="H3146" t="s">
        <v>34</v>
      </c>
      <c r="I3146" t="s">
        <v>58</v>
      </c>
      <c r="J3146">
        <v>2477.3000000000002</v>
      </c>
      <c r="K3146">
        <v>4</v>
      </c>
      <c r="L3146" t="s">
        <v>24</v>
      </c>
      <c r="M3146" t="s">
        <v>25</v>
      </c>
      <c r="N3146" t="s">
        <v>55</v>
      </c>
      <c r="O3146" t="s">
        <v>37</v>
      </c>
      <c r="P3146" t="s">
        <v>50</v>
      </c>
      <c r="Q3146">
        <v>11</v>
      </c>
      <c r="R3146">
        <v>888.64</v>
      </c>
      <c r="S3146" t="s">
        <v>29</v>
      </c>
    </row>
    <row r="3147" spans="1:19" x14ac:dyDescent="0.3">
      <c r="A3147" t="s">
        <v>3217</v>
      </c>
      <c r="B3147">
        <v>79</v>
      </c>
      <c r="C3147" t="s">
        <v>31</v>
      </c>
      <c r="D3147" t="s">
        <v>61</v>
      </c>
      <c r="E3147" s="1">
        <v>45608</v>
      </c>
      <c r="F3147" s="3">
        <v>45611</v>
      </c>
      <c r="G3147" t="s">
        <v>48</v>
      </c>
      <c r="H3147" t="s">
        <v>22</v>
      </c>
      <c r="I3147" t="s">
        <v>91</v>
      </c>
      <c r="J3147">
        <v>3504.95</v>
      </c>
      <c r="K3147">
        <v>3</v>
      </c>
      <c r="L3147" t="s">
        <v>24</v>
      </c>
      <c r="M3147" t="s">
        <v>25</v>
      </c>
      <c r="N3147" t="s">
        <v>26</v>
      </c>
      <c r="O3147" t="s">
        <v>56</v>
      </c>
      <c r="P3147" t="s">
        <v>45</v>
      </c>
      <c r="Q3147">
        <v>8</v>
      </c>
      <c r="R3147">
        <v>914.27</v>
      </c>
      <c r="S3147" t="s">
        <v>29</v>
      </c>
    </row>
    <row r="3148" spans="1:19" x14ac:dyDescent="0.3">
      <c r="A3148" t="s">
        <v>3218</v>
      </c>
      <c r="B3148">
        <v>46</v>
      </c>
      <c r="C3148" t="s">
        <v>19</v>
      </c>
      <c r="D3148" t="s">
        <v>20</v>
      </c>
      <c r="E3148" s="1">
        <v>45748</v>
      </c>
      <c r="F3148" s="3">
        <v>45756</v>
      </c>
      <c r="G3148" t="s">
        <v>62</v>
      </c>
      <c r="H3148" t="s">
        <v>63</v>
      </c>
      <c r="I3148" t="s">
        <v>35</v>
      </c>
      <c r="J3148">
        <v>5138.41</v>
      </c>
      <c r="K3148">
        <v>8</v>
      </c>
      <c r="L3148" t="s">
        <v>24</v>
      </c>
      <c r="M3148" t="s">
        <v>25</v>
      </c>
      <c r="N3148" t="s">
        <v>26</v>
      </c>
      <c r="O3148" t="s">
        <v>27</v>
      </c>
      <c r="P3148" t="s">
        <v>38</v>
      </c>
      <c r="Q3148">
        <v>8</v>
      </c>
      <c r="R3148">
        <v>1738.96</v>
      </c>
      <c r="S3148" t="s">
        <v>29</v>
      </c>
    </row>
    <row r="3149" spans="1:19" x14ac:dyDescent="0.3">
      <c r="A3149" t="s">
        <v>3219</v>
      </c>
      <c r="B3149">
        <v>72</v>
      </c>
      <c r="C3149" t="s">
        <v>19</v>
      </c>
      <c r="D3149" t="s">
        <v>66</v>
      </c>
      <c r="E3149" s="1">
        <v>45724</v>
      </c>
      <c r="F3149" s="3">
        <v>45730</v>
      </c>
      <c r="G3149" t="s">
        <v>33</v>
      </c>
      <c r="H3149" t="s">
        <v>34</v>
      </c>
      <c r="I3149" t="s">
        <v>81</v>
      </c>
      <c r="J3149">
        <v>8305.56</v>
      </c>
      <c r="K3149">
        <v>6</v>
      </c>
      <c r="L3149" t="s">
        <v>36</v>
      </c>
      <c r="M3149" t="s">
        <v>25</v>
      </c>
      <c r="N3149" t="s">
        <v>26</v>
      </c>
      <c r="O3149" t="s">
        <v>49</v>
      </c>
      <c r="P3149" t="s">
        <v>45</v>
      </c>
      <c r="Q3149">
        <v>3</v>
      </c>
      <c r="R3149">
        <v>3195.15</v>
      </c>
      <c r="S3149" t="s">
        <v>29</v>
      </c>
    </row>
    <row r="3150" spans="1:19" x14ac:dyDescent="0.3">
      <c r="A3150" t="s">
        <v>3220</v>
      </c>
      <c r="B3150">
        <v>81</v>
      </c>
      <c r="C3150" t="s">
        <v>31</v>
      </c>
      <c r="D3150" t="s">
        <v>61</v>
      </c>
      <c r="E3150" s="1">
        <v>45261</v>
      </c>
      <c r="F3150" s="3">
        <v>45269</v>
      </c>
      <c r="G3150" t="s">
        <v>52</v>
      </c>
      <c r="H3150" t="s">
        <v>53</v>
      </c>
      <c r="I3150" t="s">
        <v>58</v>
      </c>
      <c r="J3150">
        <v>5668.4</v>
      </c>
      <c r="K3150">
        <v>8</v>
      </c>
      <c r="L3150" t="s">
        <v>36</v>
      </c>
      <c r="M3150" t="s">
        <v>25</v>
      </c>
      <c r="N3150" t="s">
        <v>26</v>
      </c>
      <c r="O3150" t="s">
        <v>27</v>
      </c>
      <c r="P3150" t="s">
        <v>28</v>
      </c>
      <c r="Q3150">
        <v>6</v>
      </c>
      <c r="R3150">
        <v>1401.93</v>
      </c>
      <c r="S3150" t="s">
        <v>29</v>
      </c>
    </row>
    <row r="3151" spans="1:19" x14ac:dyDescent="0.3">
      <c r="A3151" t="s">
        <v>3221</v>
      </c>
      <c r="B3151">
        <v>89</v>
      </c>
      <c r="C3151" t="s">
        <v>19</v>
      </c>
      <c r="D3151" t="s">
        <v>61</v>
      </c>
      <c r="E3151" s="1">
        <v>45241</v>
      </c>
      <c r="F3151" s="3">
        <v>45243</v>
      </c>
      <c r="G3151" t="s">
        <v>48</v>
      </c>
      <c r="H3151" t="s">
        <v>22</v>
      </c>
      <c r="I3151" t="s">
        <v>81</v>
      </c>
      <c r="J3151">
        <v>3076.52</v>
      </c>
      <c r="K3151">
        <v>2</v>
      </c>
      <c r="L3151" t="s">
        <v>24</v>
      </c>
      <c r="M3151" t="s">
        <v>25</v>
      </c>
      <c r="N3151" t="s">
        <v>55</v>
      </c>
      <c r="O3151" t="s">
        <v>56</v>
      </c>
      <c r="P3151" t="s">
        <v>28</v>
      </c>
      <c r="Q3151">
        <v>12</v>
      </c>
      <c r="R3151">
        <v>1129.0899999999999</v>
      </c>
      <c r="S3151" t="s">
        <v>29</v>
      </c>
    </row>
    <row r="3152" spans="1:19" x14ac:dyDescent="0.3">
      <c r="A3152" t="s">
        <v>3222</v>
      </c>
      <c r="B3152">
        <v>85</v>
      </c>
      <c r="C3152" t="s">
        <v>31</v>
      </c>
      <c r="D3152" t="s">
        <v>32</v>
      </c>
      <c r="E3152" s="1">
        <v>45142</v>
      </c>
      <c r="F3152" s="3">
        <v>45145</v>
      </c>
      <c r="G3152" t="s">
        <v>62</v>
      </c>
      <c r="H3152" t="s">
        <v>63</v>
      </c>
      <c r="I3152" t="s">
        <v>91</v>
      </c>
      <c r="J3152">
        <v>3582.99</v>
      </c>
      <c r="K3152">
        <v>3</v>
      </c>
      <c r="L3152" t="s">
        <v>24</v>
      </c>
      <c r="M3152" t="s">
        <v>25</v>
      </c>
      <c r="N3152" t="s">
        <v>26</v>
      </c>
      <c r="O3152" t="s">
        <v>56</v>
      </c>
      <c r="P3152" t="s">
        <v>38</v>
      </c>
      <c r="Q3152">
        <v>4</v>
      </c>
      <c r="R3152">
        <v>749.04</v>
      </c>
      <c r="S3152" t="s">
        <v>29</v>
      </c>
    </row>
    <row r="3153" spans="1:19" x14ac:dyDescent="0.3">
      <c r="A3153" t="s">
        <v>3223</v>
      </c>
      <c r="B3153">
        <v>87</v>
      </c>
      <c r="C3153" t="s">
        <v>31</v>
      </c>
      <c r="D3153" t="s">
        <v>66</v>
      </c>
      <c r="E3153" s="1">
        <v>45628</v>
      </c>
      <c r="F3153" s="3">
        <v>45646</v>
      </c>
      <c r="G3153" t="s">
        <v>21</v>
      </c>
      <c r="H3153" t="s">
        <v>22</v>
      </c>
      <c r="I3153" t="s">
        <v>91</v>
      </c>
      <c r="J3153">
        <v>14461.12</v>
      </c>
      <c r="K3153">
        <v>18</v>
      </c>
      <c r="L3153" t="s">
        <v>24</v>
      </c>
      <c r="M3153" t="s">
        <v>25</v>
      </c>
      <c r="N3153" t="s">
        <v>55</v>
      </c>
      <c r="O3153" t="s">
        <v>49</v>
      </c>
      <c r="P3153" t="s">
        <v>45</v>
      </c>
      <c r="Q3153">
        <v>12</v>
      </c>
      <c r="R3153">
        <v>5515.92</v>
      </c>
      <c r="S3153" t="s">
        <v>29</v>
      </c>
    </row>
    <row r="3154" spans="1:19" x14ac:dyDescent="0.3">
      <c r="A3154" t="s">
        <v>3224</v>
      </c>
      <c r="B3154">
        <v>88</v>
      </c>
      <c r="C3154" t="s">
        <v>19</v>
      </c>
      <c r="D3154" t="s">
        <v>70</v>
      </c>
      <c r="E3154" s="1">
        <v>45008</v>
      </c>
      <c r="F3154" s="3">
        <v>45021</v>
      </c>
      <c r="G3154" t="s">
        <v>71</v>
      </c>
      <c r="H3154" t="s">
        <v>72</v>
      </c>
      <c r="I3154" t="s">
        <v>54</v>
      </c>
      <c r="J3154">
        <v>10121.6</v>
      </c>
      <c r="K3154">
        <v>13</v>
      </c>
      <c r="L3154" t="s">
        <v>24</v>
      </c>
      <c r="M3154" t="s">
        <v>101</v>
      </c>
      <c r="N3154" t="s">
        <v>55</v>
      </c>
      <c r="O3154" t="s">
        <v>27</v>
      </c>
      <c r="P3154" t="s">
        <v>28</v>
      </c>
      <c r="Q3154">
        <v>13</v>
      </c>
      <c r="R3154">
        <v>2997.2</v>
      </c>
      <c r="S3154" t="s">
        <v>29</v>
      </c>
    </row>
    <row r="3155" spans="1:19" x14ac:dyDescent="0.3">
      <c r="A3155" t="s">
        <v>3225</v>
      </c>
      <c r="B3155">
        <v>22</v>
      </c>
      <c r="C3155" t="s">
        <v>19</v>
      </c>
      <c r="D3155" t="s">
        <v>61</v>
      </c>
      <c r="E3155" s="1">
        <v>45659</v>
      </c>
      <c r="F3155" s="3">
        <v>45676</v>
      </c>
      <c r="G3155" t="s">
        <v>52</v>
      </c>
      <c r="H3155" t="s">
        <v>53</v>
      </c>
      <c r="I3155" t="s">
        <v>43</v>
      </c>
      <c r="J3155">
        <v>11155.17</v>
      </c>
      <c r="K3155">
        <v>17</v>
      </c>
      <c r="L3155" t="s">
        <v>24</v>
      </c>
      <c r="M3155" t="s">
        <v>59</v>
      </c>
      <c r="N3155" t="s">
        <v>55</v>
      </c>
      <c r="O3155" t="s">
        <v>37</v>
      </c>
      <c r="P3155" t="s">
        <v>28</v>
      </c>
      <c r="Q3155">
        <v>6</v>
      </c>
      <c r="R3155">
        <v>3888.32</v>
      </c>
      <c r="S3155" t="s">
        <v>39</v>
      </c>
    </row>
    <row r="3156" spans="1:19" x14ac:dyDescent="0.3">
      <c r="A3156" t="s">
        <v>3226</v>
      </c>
      <c r="B3156">
        <v>32</v>
      </c>
      <c r="C3156" t="s">
        <v>19</v>
      </c>
      <c r="D3156" t="s">
        <v>61</v>
      </c>
      <c r="E3156" s="1">
        <v>45076</v>
      </c>
      <c r="F3156" s="3">
        <v>45096</v>
      </c>
      <c r="G3156" t="s">
        <v>52</v>
      </c>
      <c r="H3156" t="s">
        <v>53</v>
      </c>
      <c r="I3156" t="s">
        <v>23</v>
      </c>
      <c r="J3156">
        <v>9035.49</v>
      </c>
      <c r="K3156">
        <v>20</v>
      </c>
      <c r="L3156" t="s">
        <v>24</v>
      </c>
      <c r="M3156" t="s">
        <v>25</v>
      </c>
      <c r="N3156" t="s">
        <v>55</v>
      </c>
      <c r="O3156" t="s">
        <v>37</v>
      </c>
      <c r="P3156" t="s">
        <v>45</v>
      </c>
      <c r="Q3156">
        <v>8</v>
      </c>
      <c r="R3156">
        <v>3595.68</v>
      </c>
      <c r="S3156" t="s">
        <v>29</v>
      </c>
    </row>
    <row r="3157" spans="1:19" x14ac:dyDescent="0.3">
      <c r="A3157" t="s">
        <v>3227</v>
      </c>
      <c r="B3157">
        <v>25</v>
      </c>
      <c r="C3157" t="s">
        <v>19</v>
      </c>
      <c r="D3157" t="s">
        <v>89</v>
      </c>
      <c r="E3157" s="1">
        <v>45027</v>
      </c>
      <c r="F3157" s="3">
        <v>45046</v>
      </c>
      <c r="G3157" t="s">
        <v>48</v>
      </c>
      <c r="H3157" t="s">
        <v>22</v>
      </c>
      <c r="I3157" t="s">
        <v>58</v>
      </c>
      <c r="J3157">
        <v>10036.69</v>
      </c>
      <c r="K3157">
        <v>19</v>
      </c>
      <c r="L3157" t="s">
        <v>36</v>
      </c>
      <c r="M3157" t="s">
        <v>25</v>
      </c>
      <c r="N3157" t="s">
        <v>55</v>
      </c>
      <c r="O3157" t="s">
        <v>27</v>
      </c>
      <c r="P3157" t="s">
        <v>38</v>
      </c>
      <c r="Q3157">
        <v>5</v>
      </c>
      <c r="R3157">
        <v>2642.66</v>
      </c>
      <c r="S3157" t="s">
        <v>39</v>
      </c>
    </row>
    <row r="3158" spans="1:19" x14ac:dyDescent="0.3">
      <c r="A3158" t="s">
        <v>3228</v>
      </c>
      <c r="B3158">
        <v>60</v>
      </c>
      <c r="C3158" t="s">
        <v>19</v>
      </c>
      <c r="D3158" t="s">
        <v>32</v>
      </c>
      <c r="E3158" s="1">
        <v>45224</v>
      </c>
      <c r="F3158" s="3">
        <v>45252</v>
      </c>
      <c r="G3158" t="s">
        <v>21</v>
      </c>
      <c r="H3158" t="s">
        <v>22</v>
      </c>
      <c r="I3158" t="s">
        <v>58</v>
      </c>
      <c r="J3158">
        <v>12182.57</v>
      </c>
      <c r="K3158">
        <v>28</v>
      </c>
      <c r="L3158" t="s">
        <v>36</v>
      </c>
      <c r="M3158" t="s">
        <v>25</v>
      </c>
      <c r="N3158" t="s">
        <v>55</v>
      </c>
      <c r="O3158" t="s">
        <v>49</v>
      </c>
      <c r="P3158" t="s">
        <v>28</v>
      </c>
      <c r="Q3158">
        <v>15</v>
      </c>
      <c r="R3158">
        <v>2837</v>
      </c>
      <c r="S3158" t="s">
        <v>29</v>
      </c>
    </row>
    <row r="3159" spans="1:19" x14ac:dyDescent="0.3">
      <c r="A3159" t="s">
        <v>3229</v>
      </c>
      <c r="B3159">
        <v>79</v>
      </c>
      <c r="C3159" t="s">
        <v>31</v>
      </c>
      <c r="D3159" t="s">
        <v>20</v>
      </c>
      <c r="E3159" s="1">
        <v>45333</v>
      </c>
      <c r="F3159" s="3">
        <v>45351</v>
      </c>
      <c r="G3159" t="s">
        <v>62</v>
      </c>
      <c r="H3159" t="s">
        <v>63</v>
      </c>
      <c r="I3159" t="s">
        <v>54</v>
      </c>
      <c r="J3159">
        <v>11852.94</v>
      </c>
      <c r="K3159">
        <v>18</v>
      </c>
      <c r="L3159" t="s">
        <v>24</v>
      </c>
      <c r="M3159" t="s">
        <v>25</v>
      </c>
      <c r="N3159" t="s">
        <v>44</v>
      </c>
      <c r="O3159" t="s">
        <v>27</v>
      </c>
      <c r="P3159" t="s">
        <v>50</v>
      </c>
      <c r="Q3159">
        <v>10</v>
      </c>
      <c r="R3159">
        <v>4034.83</v>
      </c>
      <c r="S3159" t="s">
        <v>29</v>
      </c>
    </row>
    <row r="3160" spans="1:19" x14ac:dyDescent="0.3">
      <c r="A3160" t="s">
        <v>3230</v>
      </c>
      <c r="B3160">
        <v>49</v>
      </c>
      <c r="C3160" t="s">
        <v>31</v>
      </c>
      <c r="D3160" t="s">
        <v>79</v>
      </c>
      <c r="E3160" s="1">
        <v>45327</v>
      </c>
      <c r="F3160" s="3">
        <v>45347</v>
      </c>
      <c r="G3160" t="s">
        <v>71</v>
      </c>
      <c r="H3160" t="s">
        <v>72</v>
      </c>
      <c r="I3160" t="s">
        <v>43</v>
      </c>
      <c r="J3160">
        <v>13796.03</v>
      </c>
      <c r="K3160">
        <v>20</v>
      </c>
      <c r="L3160" t="s">
        <v>36</v>
      </c>
      <c r="M3160" t="s">
        <v>25</v>
      </c>
      <c r="N3160" t="s">
        <v>26</v>
      </c>
      <c r="O3160" t="s">
        <v>37</v>
      </c>
      <c r="P3160" t="s">
        <v>50</v>
      </c>
      <c r="Q3160">
        <v>15</v>
      </c>
      <c r="R3160">
        <v>3533.28</v>
      </c>
      <c r="S3160" t="s">
        <v>29</v>
      </c>
    </row>
    <row r="3161" spans="1:19" x14ac:dyDescent="0.3">
      <c r="A3161" t="s">
        <v>3231</v>
      </c>
      <c r="B3161">
        <v>25</v>
      </c>
      <c r="C3161" t="s">
        <v>31</v>
      </c>
      <c r="D3161" t="s">
        <v>70</v>
      </c>
      <c r="E3161" s="1">
        <v>45095</v>
      </c>
      <c r="F3161" s="3">
        <v>45112</v>
      </c>
      <c r="G3161" t="s">
        <v>67</v>
      </c>
      <c r="H3161" t="s">
        <v>42</v>
      </c>
      <c r="I3161" t="s">
        <v>81</v>
      </c>
      <c r="J3161">
        <v>13504.98</v>
      </c>
      <c r="K3161">
        <v>17</v>
      </c>
      <c r="L3161" t="s">
        <v>24</v>
      </c>
      <c r="M3161" t="s">
        <v>25</v>
      </c>
      <c r="N3161" t="s">
        <v>44</v>
      </c>
      <c r="O3161" t="s">
        <v>37</v>
      </c>
      <c r="P3161" t="s">
        <v>50</v>
      </c>
      <c r="Q3161">
        <v>4</v>
      </c>
      <c r="R3161">
        <v>3919.18</v>
      </c>
      <c r="S3161" t="s">
        <v>29</v>
      </c>
    </row>
    <row r="3162" spans="1:19" x14ac:dyDescent="0.3">
      <c r="A3162" t="s">
        <v>3232</v>
      </c>
      <c r="B3162">
        <v>66</v>
      </c>
      <c r="C3162" t="s">
        <v>19</v>
      </c>
      <c r="D3162" t="s">
        <v>32</v>
      </c>
      <c r="E3162" s="1">
        <v>45071</v>
      </c>
      <c r="F3162" s="3">
        <v>45072</v>
      </c>
      <c r="G3162" t="s">
        <v>74</v>
      </c>
      <c r="H3162" t="s">
        <v>75</v>
      </c>
      <c r="I3162" t="s">
        <v>23</v>
      </c>
      <c r="J3162">
        <v>2178.42</v>
      </c>
      <c r="K3162">
        <v>1</v>
      </c>
      <c r="L3162" t="s">
        <v>36</v>
      </c>
      <c r="M3162" t="s">
        <v>25</v>
      </c>
      <c r="N3162" t="s">
        <v>55</v>
      </c>
      <c r="O3162" t="s">
        <v>27</v>
      </c>
      <c r="P3162" t="s">
        <v>38</v>
      </c>
      <c r="Q3162">
        <v>5</v>
      </c>
      <c r="R3162">
        <v>844.41</v>
      </c>
      <c r="S3162" t="s">
        <v>29</v>
      </c>
    </row>
    <row r="3163" spans="1:19" x14ac:dyDescent="0.3">
      <c r="A3163" t="s">
        <v>3233</v>
      </c>
      <c r="B3163">
        <v>77</v>
      </c>
      <c r="C3163" t="s">
        <v>31</v>
      </c>
      <c r="D3163" t="s">
        <v>47</v>
      </c>
      <c r="E3163" s="1">
        <v>45193</v>
      </c>
      <c r="F3163" s="3">
        <v>45208</v>
      </c>
      <c r="G3163" t="s">
        <v>71</v>
      </c>
      <c r="H3163" t="s">
        <v>72</v>
      </c>
      <c r="I3163" t="s">
        <v>43</v>
      </c>
      <c r="J3163">
        <v>4774.6499999999996</v>
      </c>
      <c r="K3163">
        <v>15</v>
      </c>
      <c r="L3163" t="s">
        <v>24</v>
      </c>
      <c r="M3163" t="s">
        <v>59</v>
      </c>
      <c r="N3163" t="s">
        <v>26</v>
      </c>
      <c r="O3163" t="s">
        <v>56</v>
      </c>
      <c r="P3163" t="s">
        <v>45</v>
      </c>
      <c r="Q3163">
        <v>3</v>
      </c>
      <c r="R3163">
        <v>1790.45</v>
      </c>
      <c r="S3163" t="s">
        <v>29</v>
      </c>
    </row>
    <row r="3164" spans="1:19" x14ac:dyDescent="0.3">
      <c r="A3164" t="s">
        <v>3234</v>
      </c>
      <c r="B3164">
        <v>51</v>
      </c>
      <c r="C3164" t="s">
        <v>19</v>
      </c>
      <c r="D3164" t="s">
        <v>79</v>
      </c>
      <c r="E3164" s="1">
        <v>45479</v>
      </c>
      <c r="F3164" s="3">
        <v>45497</v>
      </c>
      <c r="G3164" t="s">
        <v>33</v>
      </c>
      <c r="H3164" t="s">
        <v>34</v>
      </c>
      <c r="I3164" t="s">
        <v>83</v>
      </c>
      <c r="J3164">
        <v>12661.76</v>
      </c>
      <c r="K3164">
        <v>18</v>
      </c>
      <c r="L3164" t="s">
        <v>24</v>
      </c>
      <c r="M3164" t="s">
        <v>101</v>
      </c>
      <c r="N3164" t="s">
        <v>55</v>
      </c>
      <c r="O3164" t="s">
        <v>49</v>
      </c>
      <c r="P3164" t="s">
        <v>50</v>
      </c>
      <c r="Q3164">
        <v>1</v>
      </c>
      <c r="R3164">
        <v>1978.01</v>
      </c>
      <c r="S3164" t="s">
        <v>29</v>
      </c>
    </row>
    <row r="3165" spans="1:19" x14ac:dyDescent="0.3">
      <c r="A3165" t="s">
        <v>3235</v>
      </c>
      <c r="B3165">
        <v>54</v>
      </c>
      <c r="C3165" t="s">
        <v>31</v>
      </c>
      <c r="D3165" t="s">
        <v>61</v>
      </c>
      <c r="E3165" s="1">
        <v>45899</v>
      </c>
      <c r="F3165" s="3">
        <v>45900</v>
      </c>
      <c r="G3165" t="s">
        <v>67</v>
      </c>
      <c r="H3165" t="s">
        <v>42</v>
      </c>
      <c r="I3165" t="s">
        <v>35</v>
      </c>
      <c r="J3165">
        <v>2732.73</v>
      </c>
      <c r="K3165">
        <v>1</v>
      </c>
      <c r="L3165" t="s">
        <v>24</v>
      </c>
      <c r="M3165" t="s">
        <v>25</v>
      </c>
      <c r="N3165" t="s">
        <v>55</v>
      </c>
      <c r="O3165" t="s">
        <v>27</v>
      </c>
      <c r="P3165" t="s">
        <v>28</v>
      </c>
      <c r="Q3165">
        <v>14</v>
      </c>
      <c r="R3165">
        <v>856.24</v>
      </c>
      <c r="S3165" t="s">
        <v>29</v>
      </c>
    </row>
    <row r="3166" spans="1:19" x14ac:dyDescent="0.3">
      <c r="A3166" t="s">
        <v>3236</v>
      </c>
      <c r="B3166">
        <v>72</v>
      </c>
      <c r="C3166" t="s">
        <v>19</v>
      </c>
      <c r="D3166" t="s">
        <v>70</v>
      </c>
      <c r="E3166" s="1">
        <v>45306</v>
      </c>
      <c r="F3166" s="3">
        <v>45321</v>
      </c>
      <c r="G3166" t="s">
        <v>93</v>
      </c>
      <c r="H3166" t="s">
        <v>72</v>
      </c>
      <c r="I3166" t="s">
        <v>54</v>
      </c>
      <c r="J3166">
        <v>5178.1000000000004</v>
      </c>
      <c r="K3166">
        <v>15</v>
      </c>
      <c r="L3166" t="s">
        <v>24</v>
      </c>
      <c r="M3166" t="s">
        <v>59</v>
      </c>
      <c r="N3166" t="s">
        <v>26</v>
      </c>
      <c r="O3166" t="s">
        <v>37</v>
      </c>
      <c r="P3166" t="s">
        <v>50</v>
      </c>
      <c r="Q3166">
        <v>5</v>
      </c>
      <c r="R3166">
        <v>2030.13</v>
      </c>
      <c r="S3166" t="s">
        <v>29</v>
      </c>
    </row>
    <row r="3167" spans="1:19" x14ac:dyDescent="0.3">
      <c r="A3167" t="s">
        <v>3237</v>
      </c>
      <c r="B3167">
        <v>55</v>
      </c>
      <c r="C3167" t="s">
        <v>31</v>
      </c>
      <c r="D3167" t="s">
        <v>20</v>
      </c>
      <c r="E3167" s="1">
        <v>45793</v>
      </c>
      <c r="F3167" s="3">
        <v>45794</v>
      </c>
      <c r="G3167" t="s">
        <v>67</v>
      </c>
      <c r="H3167" t="s">
        <v>42</v>
      </c>
      <c r="I3167" t="s">
        <v>83</v>
      </c>
      <c r="J3167">
        <v>2014.71</v>
      </c>
      <c r="K3167">
        <v>1</v>
      </c>
      <c r="L3167" t="s">
        <v>36</v>
      </c>
      <c r="M3167" t="s">
        <v>25</v>
      </c>
      <c r="N3167" t="s">
        <v>44</v>
      </c>
      <c r="O3167" t="s">
        <v>27</v>
      </c>
      <c r="P3167" t="s">
        <v>50</v>
      </c>
      <c r="Q3167">
        <v>4</v>
      </c>
      <c r="R3167">
        <v>797.71</v>
      </c>
      <c r="S3167" t="s">
        <v>29</v>
      </c>
    </row>
    <row r="3168" spans="1:19" x14ac:dyDescent="0.3">
      <c r="A3168" t="s">
        <v>3238</v>
      </c>
      <c r="B3168">
        <v>80</v>
      </c>
      <c r="C3168" t="s">
        <v>19</v>
      </c>
      <c r="D3168" t="s">
        <v>61</v>
      </c>
      <c r="E3168" s="1">
        <v>45111</v>
      </c>
      <c r="F3168" s="3">
        <v>45128</v>
      </c>
      <c r="G3168" t="s">
        <v>33</v>
      </c>
      <c r="H3168" t="s">
        <v>34</v>
      </c>
      <c r="I3168" t="s">
        <v>58</v>
      </c>
      <c r="J3168">
        <v>13326.32</v>
      </c>
      <c r="K3168">
        <v>17</v>
      </c>
      <c r="L3168" t="s">
        <v>36</v>
      </c>
      <c r="M3168" t="s">
        <v>25</v>
      </c>
      <c r="N3168" t="s">
        <v>55</v>
      </c>
      <c r="O3168" t="s">
        <v>27</v>
      </c>
      <c r="P3168" t="s">
        <v>38</v>
      </c>
      <c r="Q3168">
        <v>13</v>
      </c>
      <c r="R3168">
        <v>4172.07</v>
      </c>
      <c r="S3168" t="s">
        <v>29</v>
      </c>
    </row>
    <row r="3169" spans="1:19" x14ac:dyDescent="0.3">
      <c r="A3169" t="s">
        <v>3239</v>
      </c>
      <c r="B3169">
        <v>76</v>
      </c>
      <c r="C3169" t="s">
        <v>19</v>
      </c>
      <c r="D3169" t="s">
        <v>66</v>
      </c>
      <c r="E3169" s="1">
        <v>45504</v>
      </c>
      <c r="F3169" s="3">
        <v>45505</v>
      </c>
      <c r="G3169" t="s">
        <v>21</v>
      </c>
      <c r="H3169" t="s">
        <v>22</v>
      </c>
      <c r="I3169" t="s">
        <v>35</v>
      </c>
      <c r="J3169">
        <v>859.31</v>
      </c>
      <c r="K3169">
        <v>1</v>
      </c>
      <c r="L3169" t="s">
        <v>36</v>
      </c>
      <c r="M3169" t="s">
        <v>101</v>
      </c>
      <c r="N3169" t="s">
        <v>44</v>
      </c>
      <c r="O3169" t="s">
        <v>56</v>
      </c>
      <c r="P3169" t="s">
        <v>38</v>
      </c>
      <c r="Q3169">
        <v>15</v>
      </c>
      <c r="R3169">
        <v>142.5</v>
      </c>
      <c r="S3169" t="s">
        <v>29</v>
      </c>
    </row>
    <row r="3170" spans="1:19" x14ac:dyDescent="0.3">
      <c r="A3170" t="s">
        <v>3240</v>
      </c>
      <c r="B3170">
        <v>47</v>
      </c>
      <c r="C3170" t="s">
        <v>31</v>
      </c>
      <c r="D3170" t="s">
        <v>20</v>
      </c>
      <c r="E3170" s="1">
        <v>44963</v>
      </c>
      <c r="F3170" s="3">
        <v>44970</v>
      </c>
      <c r="G3170" t="s">
        <v>33</v>
      </c>
      <c r="H3170" t="s">
        <v>34</v>
      </c>
      <c r="I3170" t="s">
        <v>35</v>
      </c>
      <c r="J3170">
        <v>5796.41</v>
      </c>
      <c r="K3170">
        <v>7</v>
      </c>
      <c r="L3170" t="s">
        <v>36</v>
      </c>
      <c r="M3170" t="s">
        <v>101</v>
      </c>
      <c r="N3170" t="s">
        <v>26</v>
      </c>
      <c r="O3170" t="s">
        <v>56</v>
      </c>
      <c r="P3170" t="s">
        <v>50</v>
      </c>
      <c r="Q3170">
        <v>1</v>
      </c>
      <c r="R3170">
        <v>1283.78</v>
      </c>
      <c r="S3170" t="s">
        <v>29</v>
      </c>
    </row>
    <row r="3171" spans="1:19" x14ac:dyDescent="0.3">
      <c r="A3171" t="s">
        <v>3241</v>
      </c>
      <c r="B3171">
        <v>54</v>
      </c>
      <c r="C3171" t="s">
        <v>31</v>
      </c>
      <c r="D3171" t="s">
        <v>20</v>
      </c>
      <c r="E3171" s="1">
        <v>45450</v>
      </c>
      <c r="F3171" s="3">
        <v>45460</v>
      </c>
      <c r="G3171" t="s">
        <v>71</v>
      </c>
      <c r="H3171" t="s">
        <v>72</v>
      </c>
      <c r="I3171" t="s">
        <v>54</v>
      </c>
      <c r="J3171">
        <v>10213.61</v>
      </c>
      <c r="K3171">
        <v>10</v>
      </c>
      <c r="L3171" t="s">
        <v>36</v>
      </c>
      <c r="M3171" t="s">
        <v>101</v>
      </c>
      <c r="N3171" t="s">
        <v>55</v>
      </c>
      <c r="O3171" t="s">
        <v>49</v>
      </c>
      <c r="P3171" t="s">
        <v>50</v>
      </c>
      <c r="Q3171">
        <v>8</v>
      </c>
      <c r="R3171">
        <v>2322.33</v>
      </c>
      <c r="S3171" t="s">
        <v>39</v>
      </c>
    </row>
    <row r="3172" spans="1:19" x14ac:dyDescent="0.3">
      <c r="A3172" t="s">
        <v>3242</v>
      </c>
      <c r="B3172">
        <v>70</v>
      </c>
      <c r="C3172" t="s">
        <v>31</v>
      </c>
      <c r="D3172" t="s">
        <v>20</v>
      </c>
      <c r="E3172" s="1">
        <v>45701</v>
      </c>
      <c r="F3172" s="3">
        <v>45713</v>
      </c>
      <c r="G3172" t="s">
        <v>71</v>
      </c>
      <c r="H3172" t="s">
        <v>72</v>
      </c>
      <c r="I3172" t="s">
        <v>23</v>
      </c>
      <c r="J3172">
        <v>9970.17</v>
      </c>
      <c r="K3172">
        <v>12</v>
      </c>
      <c r="L3172" t="s">
        <v>24</v>
      </c>
      <c r="M3172" t="s">
        <v>25</v>
      </c>
      <c r="N3172" t="s">
        <v>55</v>
      </c>
      <c r="O3172" t="s">
        <v>56</v>
      </c>
      <c r="P3172" t="s">
        <v>28</v>
      </c>
      <c r="Q3172">
        <v>2</v>
      </c>
      <c r="R3172">
        <v>2648.07</v>
      </c>
      <c r="S3172" t="s">
        <v>29</v>
      </c>
    </row>
    <row r="3173" spans="1:19" x14ac:dyDescent="0.3">
      <c r="A3173" t="s">
        <v>3243</v>
      </c>
      <c r="B3173">
        <v>34</v>
      </c>
      <c r="C3173" t="s">
        <v>19</v>
      </c>
      <c r="D3173" t="s">
        <v>70</v>
      </c>
      <c r="E3173" s="1">
        <v>45813</v>
      </c>
      <c r="F3173" s="3">
        <v>45817</v>
      </c>
      <c r="G3173" t="s">
        <v>93</v>
      </c>
      <c r="H3173" t="s">
        <v>72</v>
      </c>
      <c r="I3173" t="s">
        <v>23</v>
      </c>
      <c r="J3173">
        <v>2940.42</v>
      </c>
      <c r="K3173">
        <v>4</v>
      </c>
      <c r="L3173" t="s">
        <v>24</v>
      </c>
      <c r="M3173" t="s">
        <v>25</v>
      </c>
      <c r="N3173" t="s">
        <v>44</v>
      </c>
      <c r="O3173" t="s">
        <v>27</v>
      </c>
      <c r="P3173" t="s">
        <v>45</v>
      </c>
      <c r="Q3173">
        <v>9</v>
      </c>
      <c r="R3173">
        <v>784.3</v>
      </c>
      <c r="S3173" t="s">
        <v>29</v>
      </c>
    </row>
    <row r="3174" spans="1:19" x14ac:dyDescent="0.3">
      <c r="A3174" t="s">
        <v>3244</v>
      </c>
      <c r="B3174">
        <v>30</v>
      </c>
      <c r="C3174" t="s">
        <v>19</v>
      </c>
      <c r="D3174" t="s">
        <v>79</v>
      </c>
      <c r="E3174" s="1">
        <v>45014</v>
      </c>
      <c r="F3174" s="3">
        <v>45034</v>
      </c>
      <c r="G3174" t="s">
        <v>93</v>
      </c>
      <c r="H3174" t="s">
        <v>72</v>
      </c>
      <c r="I3174" t="s">
        <v>83</v>
      </c>
      <c r="J3174">
        <v>7697.35</v>
      </c>
      <c r="K3174">
        <v>20</v>
      </c>
      <c r="L3174" t="s">
        <v>36</v>
      </c>
      <c r="M3174" t="s">
        <v>25</v>
      </c>
      <c r="N3174" t="s">
        <v>26</v>
      </c>
      <c r="O3174" t="s">
        <v>37</v>
      </c>
      <c r="P3174" t="s">
        <v>50</v>
      </c>
      <c r="Q3174">
        <v>8</v>
      </c>
      <c r="R3174">
        <v>1258.22</v>
      </c>
      <c r="S3174" t="s">
        <v>29</v>
      </c>
    </row>
    <row r="3175" spans="1:19" x14ac:dyDescent="0.3">
      <c r="A3175" t="s">
        <v>3245</v>
      </c>
      <c r="B3175">
        <v>84</v>
      </c>
      <c r="C3175" t="s">
        <v>31</v>
      </c>
      <c r="D3175" t="s">
        <v>61</v>
      </c>
      <c r="E3175" s="1">
        <v>45866</v>
      </c>
      <c r="F3175" s="3">
        <v>45870</v>
      </c>
      <c r="G3175" t="s">
        <v>67</v>
      </c>
      <c r="H3175" t="s">
        <v>42</v>
      </c>
      <c r="I3175" t="s">
        <v>43</v>
      </c>
      <c r="J3175">
        <v>9215.0300000000007</v>
      </c>
      <c r="K3175">
        <v>4</v>
      </c>
      <c r="L3175" t="s">
        <v>36</v>
      </c>
      <c r="M3175" t="s">
        <v>25</v>
      </c>
      <c r="N3175" t="s">
        <v>44</v>
      </c>
      <c r="O3175" t="s">
        <v>49</v>
      </c>
      <c r="P3175" t="s">
        <v>50</v>
      </c>
      <c r="Q3175">
        <v>15</v>
      </c>
      <c r="R3175">
        <v>2832.41</v>
      </c>
      <c r="S3175" t="s">
        <v>29</v>
      </c>
    </row>
    <row r="3176" spans="1:19" x14ac:dyDescent="0.3">
      <c r="A3176" t="s">
        <v>3246</v>
      </c>
      <c r="B3176">
        <v>62</v>
      </c>
      <c r="C3176" t="s">
        <v>19</v>
      </c>
      <c r="D3176" t="s">
        <v>79</v>
      </c>
      <c r="E3176" s="1">
        <v>44938</v>
      </c>
      <c r="F3176" s="3">
        <v>44954</v>
      </c>
      <c r="G3176" t="s">
        <v>33</v>
      </c>
      <c r="H3176" t="s">
        <v>34</v>
      </c>
      <c r="I3176" t="s">
        <v>23</v>
      </c>
      <c r="J3176">
        <v>6146.27</v>
      </c>
      <c r="K3176">
        <v>16</v>
      </c>
      <c r="L3176" t="s">
        <v>36</v>
      </c>
      <c r="M3176" t="s">
        <v>25</v>
      </c>
      <c r="N3176" t="s">
        <v>55</v>
      </c>
      <c r="O3176" t="s">
        <v>56</v>
      </c>
      <c r="P3176" t="s">
        <v>45</v>
      </c>
      <c r="Q3176">
        <v>9</v>
      </c>
      <c r="R3176">
        <v>1036.0999999999999</v>
      </c>
      <c r="S3176" t="s">
        <v>29</v>
      </c>
    </row>
    <row r="3177" spans="1:19" x14ac:dyDescent="0.3">
      <c r="A3177" t="s">
        <v>3247</v>
      </c>
      <c r="B3177">
        <v>75</v>
      </c>
      <c r="C3177" t="s">
        <v>19</v>
      </c>
      <c r="D3177" t="s">
        <v>79</v>
      </c>
      <c r="E3177" s="1">
        <v>45313</v>
      </c>
      <c r="F3177" s="3">
        <v>45341</v>
      </c>
      <c r="G3177" t="s">
        <v>67</v>
      </c>
      <c r="H3177" t="s">
        <v>42</v>
      </c>
      <c r="I3177" t="s">
        <v>58</v>
      </c>
      <c r="J3177">
        <v>13616.42</v>
      </c>
      <c r="K3177">
        <v>28</v>
      </c>
      <c r="L3177" t="s">
        <v>24</v>
      </c>
      <c r="M3177" t="s">
        <v>76</v>
      </c>
      <c r="N3177" t="s">
        <v>44</v>
      </c>
      <c r="O3177" t="s">
        <v>49</v>
      </c>
      <c r="P3177" t="s">
        <v>28</v>
      </c>
      <c r="Q3177">
        <v>5</v>
      </c>
      <c r="R3177">
        <v>4345.21</v>
      </c>
      <c r="S3177" t="s">
        <v>39</v>
      </c>
    </row>
    <row r="3178" spans="1:19" x14ac:dyDescent="0.3">
      <c r="A3178" t="s">
        <v>3248</v>
      </c>
      <c r="B3178">
        <v>62</v>
      </c>
      <c r="C3178" t="s">
        <v>31</v>
      </c>
      <c r="D3178" t="s">
        <v>66</v>
      </c>
      <c r="E3178" s="1">
        <v>45377</v>
      </c>
      <c r="F3178" s="3">
        <v>45383</v>
      </c>
      <c r="G3178" t="s">
        <v>62</v>
      </c>
      <c r="H3178" t="s">
        <v>63</v>
      </c>
      <c r="I3178" t="s">
        <v>35</v>
      </c>
      <c r="J3178">
        <v>4397.1400000000003</v>
      </c>
      <c r="K3178">
        <v>6</v>
      </c>
      <c r="L3178" t="s">
        <v>24</v>
      </c>
      <c r="M3178" t="s">
        <v>25</v>
      </c>
      <c r="N3178" t="s">
        <v>44</v>
      </c>
      <c r="O3178" t="s">
        <v>56</v>
      </c>
      <c r="P3178" t="s">
        <v>45</v>
      </c>
      <c r="Q3178">
        <v>1</v>
      </c>
      <c r="R3178">
        <v>1304</v>
      </c>
      <c r="S3178" t="s">
        <v>29</v>
      </c>
    </row>
    <row r="3179" spans="1:19" x14ac:dyDescent="0.3">
      <c r="A3179" t="s">
        <v>3249</v>
      </c>
      <c r="B3179">
        <v>51</v>
      </c>
      <c r="C3179" t="s">
        <v>19</v>
      </c>
      <c r="D3179" t="s">
        <v>66</v>
      </c>
      <c r="E3179" s="1">
        <v>45410</v>
      </c>
      <c r="F3179" s="3">
        <v>45428</v>
      </c>
      <c r="G3179" t="s">
        <v>41</v>
      </c>
      <c r="H3179" t="s">
        <v>42</v>
      </c>
      <c r="I3179" t="s">
        <v>23</v>
      </c>
      <c r="J3179">
        <v>9418.69</v>
      </c>
      <c r="K3179">
        <v>18</v>
      </c>
      <c r="L3179" t="s">
        <v>36</v>
      </c>
      <c r="M3179" t="s">
        <v>25</v>
      </c>
      <c r="N3179" t="s">
        <v>44</v>
      </c>
      <c r="O3179" t="s">
        <v>37</v>
      </c>
      <c r="P3179" t="s">
        <v>45</v>
      </c>
      <c r="Q3179">
        <v>13</v>
      </c>
      <c r="R3179">
        <v>2273</v>
      </c>
      <c r="S3179" t="s">
        <v>29</v>
      </c>
    </row>
    <row r="3180" spans="1:19" x14ac:dyDescent="0.3">
      <c r="A3180" t="s">
        <v>3250</v>
      </c>
      <c r="B3180">
        <v>83</v>
      </c>
      <c r="C3180" t="s">
        <v>19</v>
      </c>
      <c r="D3180" t="s">
        <v>32</v>
      </c>
      <c r="E3180" s="1">
        <v>45014</v>
      </c>
      <c r="F3180" s="3">
        <v>45021</v>
      </c>
      <c r="G3180" t="s">
        <v>48</v>
      </c>
      <c r="H3180" t="s">
        <v>22</v>
      </c>
      <c r="I3180" t="s">
        <v>58</v>
      </c>
      <c r="J3180">
        <v>6229.88</v>
      </c>
      <c r="K3180">
        <v>7</v>
      </c>
      <c r="L3180" t="s">
        <v>24</v>
      </c>
      <c r="M3180" t="s">
        <v>59</v>
      </c>
      <c r="N3180" t="s">
        <v>26</v>
      </c>
      <c r="O3180" t="s">
        <v>27</v>
      </c>
      <c r="P3180" t="s">
        <v>28</v>
      </c>
      <c r="Q3180">
        <v>11</v>
      </c>
      <c r="R3180">
        <v>2378.56</v>
      </c>
      <c r="S3180" t="s">
        <v>29</v>
      </c>
    </row>
    <row r="3181" spans="1:19" x14ac:dyDescent="0.3">
      <c r="A3181" t="s">
        <v>3251</v>
      </c>
      <c r="B3181">
        <v>64</v>
      </c>
      <c r="C3181" t="s">
        <v>31</v>
      </c>
      <c r="D3181" t="s">
        <v>20</v>
      </c>
      <c r="E3181" s="1">
        <v>45223</v>
      </c>
      <c r="F3181" s="3">
        <v>45247</v>
      </c>
      <c r="G3181" t="s">
        <v>41</v>
      </c>
      <c r="H3181" t="s">
        <v>42</v>
      </c>
      <c r="I3181" t="s">
        <v>91</v>
      </c>
      <c r="J3181">
        <v>21626.720000000001</v>
      </c>
      <c r="K3181">
        <v>24</v>
      </c>
      <c r="L3181" t="s">
        <v>36</v>
      </c>
      <c r="M3181" t="s">
        <v>25</v>
      </c>
      <c r="N3181" t="s">
        <v>55</v>
      </c>
      <c r="O3181" t="s">
        <v>49</v>
      </c>
      <c r="P3181" t="s">
        <v>45</v>
      </c>
      <c r="Q3181">
        <v>2</v>
      </c>
      <c r="R3181">
        <v>3985.13</v>
      </c>
      <c r="S3181" t="s">
        <v>39</v>
      </c>
    </row>
    <row r="3182" spans="1:19" x14ac:dyDescent="0.3">
      <c r="A3182" t="s">
        <v>3252</v>
      </c>
      <c r="B3182">
        <v>29</v>
      </c>
      <c r="C3182" t="s">
        <v>19</v>
      </c>
      <c r="D3182" t="s">
        <v>20</v>
      </c>
      <c r="E3182" s="1">
        <v>45318</v>
      </c>
      <c r="F3182" s="3">
        <v>45324</v>
      </c>
      <c r="G3182" t="s">
        <v>41</v>
      </c>
      <c r="H3182" t="s">
        <v>42</v>
      </c>
      <c r="I3182" t="s">
        <v>58</v>
      </c>
      <c r="J3182">
        <v>10899.69</v>
      </c>
      <c r="K3182">
        <v>6</v>
      </c>
      <c r="L3182" t="s">
        <v>24</v>
      </c>
      <c r="M3182" t="s">
        <v>25</v>
      </c>
      <c r="N3182" t="s">
        <v>55</v>
      </c>
      <c r="O3182" t="s">
        <v>49</v>
      </c>
      <c r="P3182" t="s">
        <v>50</v>
      </c>
      <c r="Q3182">
        <v>5</v>
      </c>
      <c r="R3182">
        <v>3706.25</v>
      </c>
      <c r="S3182" t="s">
        <v>29</v>
      </c>
    </row>
    <row r="3183" spans="1:19" x14ac:dyDescent="0.3">
      <c r="A3183" t="s">
        <v>3253</v>
      </c>
      <c r="B3183">
        <v>67</v>
      </c>
      <c r="C3183" t="s">
        <v>31</v>
      </c>
      <c r="D3183" t="s">
        <v>89</v>
      </c>
      <c r="E3183" s="1">
        <v>45428</v>
      </c>
      <c r="F3183" s="3">
        <v>45439</v>
      </c>
      <c r="G3183" t="s">
        <v>48</v>
      </c>
      <c r="H3183" t="s">
        <v>22</v>
      </c>
      <c r="I3183" t="s">
        <v>58</v>
      </c>
      <c r="J3183">
        <v>4729.84</v>
      </c>
      <c r="K3183">
        <v>11</v>
      </c>
      <c r="L3183" t="s">
        <v>24</v>
      </c>
      <c r="M3183" t="s">
        <v>25</v>
      </c>
      <c r="N3183" t="s">
        <v>44</v>
      </c>
      <c r="O3183" t="s">
        <v>37</v>
      </c>
      <c r="P3183" t="s">
        <v>38</v>
      </c>
      <c r="Q3183">
        <v>6</v>
      </c>
      <c r="R3183">
        <v>1822.54</v>
      </c>
      <c r="S3183" t="s">
        <v>29</v>
      </c>
    </row>
    <row r="3184" spans="1:19" x14ac:dyDescent="0.3">
      <c r="A3184" t="s">
        <v>3254</v>
      </c>
      <c r="B3184">
        <v>63</v>
      </c>
      <c r="C3184" t="s">
        <v>19</v>
      </c>
      <c r="D3184" t="s">
        <v>89</v>
      </c>
      <c r="E3184" s="1">
        <v>45868</v>
      </c>
      <c r="F3184" s="3">
        <v>45884</v>
      </c>
      <c r="G3184" t="s">
        <v>74</v>
      </c>
      <c r="H3184" t="s">
        <v>75</v>
      </c>
      <c r="I3184" t="s">
        <v>35</v>
      </c>
      <c r="J3184">
        <v>4965.8</v>
      </c>
      <c r="K3184">
        <v>16</v>
      </c>
      <c r="L3184" t="s">
        <v>24</v>
      </c>
      <c r="M3184" t="s">
        <v>25</v>
      </c>
      <c r="N3184" t="s">
        <v>26</v>
      </c>
      <c r="O3184" t="s">
        <v>27</v>
      </c>
      <c r="P3184" t="s">
        <v>50</v>
      </c>
      <c r="Q3184">
        <v>2</v>
      </c>
      <c r="R3184">
        <v>1213.72</v>
      </c>
      <c r="S3184" t="s">
        <v>29</v>
      </c>
    </row>
    <row r="3185" spans="1:19" x14ac:dyDescent="0.3">
      <c r="A3185" t="s">
        <v>3255</v>
      </c>
      <c r="B3185">
        <v>39</v>
      </c>
      <c r="C3185" t="s">
        <v>19</v>
      </c>
      <c r="D3185" t="s">
        <v>79</v>
      </c>
      <c r="E3185" s="1">
        <v>45059</v>
      </c>
      <c r="F3185" s="3">
        <v>45079</v>
      </c>
      <c r="G3185" t="s">
        <v>48</v>
      </c>
      <c r="H3185" t="s">
        <v>22</v>
      </c>
      <c r="I3185" t="s">
        <v>35</v>
      </c>
      <c r="J3185">
        <v>14655.41</v>
      </c>
      <c r="K3185">
        <v>20</v>
      </c>
      <c r="L3185" t="s">
        <v>36</v>
      </c>
      <c r="M3185" t="s">
        <v>25</v>
      </c>
      <c r="N3185" t="s">
        <v>44</v>
      </c>
      <c r="O3185" t="s">
        <v>27</v>
      </c>
      <c r="P3185" t="s">
        <v>50</v>
      </c>
      <c r="Q3185">
        <v>14</v>
      </c>
      <c r="R3185">
        <v>3569.41</v>
      </c>
      <c r="S3185" t="s">
        <v>29</v>
      </c>
    </row>
    <row r="3186" spans="1:19" x14ac:dyDescent="0.3">
      <c r="A3186" t="s">
        <v>3256</v>
      </c>
      <c r="B3186">
        <v>32</v>
      </c>
      <c r="C3186" t="s">
        <v>31</v>
      </c>
      <c r="D3186" t="s">
        <v>70</v>
      </c>
      <c r="E3186" s="1">
        <v>45219</v>
      </c>
      <c r="F3186" s="3">
        <v>45231</v>
      </c>
      <c r="G3186" t="s">
        <v>93</v>
      </c>
      <c r="H3186" t="s">
        <v>72</v>
      </c>
      <c r="I3186" t="s">
        <v>23</v>
      </c>
      <c r="J3186">
        <v>8981.83</v>
      </c>
      <c r="K3186">
        <v>12</v>
      </c>
      <c r="L3186" t="s">
        <v>36</v>
      </c>
      <c r="M3186" t="s">
        <v>25</v>
      </c>
      <c r="N3186" t="s">
        <v>26</v>
      </c>
      <c r="O3186" t="s">
        <v>37</v>
      </c>
      <c r="P3186" t="s">
        <v>45</v>
      </c>
      <c r="Q3186">
        <v>12</v>
      </c>
      <c r="R3186">
        <v>2888.37</v>
      </c>
      <c r="S3186" t="s">
        <v>29</v>
      </c>
    </row>
    <row r="3187" spans="1:19" x14ac:dyDescent="0.3">
      <c r="A3187" t="s">
        <v>3257</v>
      </c>
      <c r="B3187">
        <v>64</v>
      </c>
      <c r="C3187" t="s">
        <v>31</v>
      </c>
      <c r="D3187" t="s">
        <v>47</v>
      </c>
      <c r="E3187" s="1">
        <v>45172</v>
      </c>
      <c r="F3187" s="3">
        <v>45200</v>
      </c>
      <c r="G3187" t="s">
        <v>93</v>
      </c>
      <c r="H3187" t="s">
        <v>72</v>
      </c>
      <c r="I3187" t="s">
        <v>91</v>
      </c>
      <c r="J3187">
        <v>14679.54</v>
      </c>
      <c r="K3187">
        <v>28</v>
      </c>
      <c r="L3187" t="s">
        <v>36</v>
      </c>
      <c r="M3187" t="s">
        <v>25</v>
      </c>
      <c r="N3187" t="s">
        <v>44</v>
      </c>
      <c r="O3187" t="s">
        <v>49</v>
      </c>
      <c r="P3187" t="s">
        <v>45</v>
      </c>
      <c r="Q3187">
        <v>7</v>
      </c>
      <c r="R3187">
        <v>3908</v>
      </c>
      <c r="S3187" t="s">
        <v>29</v>
      </c>
    </row>
    <row r="3188" spans="1:19" x14ac:dyDescent="0.3">
      <c r="A3188" t="s">
        <v>3258</v>
      </c>
      <c r="B3188">
        <v>50</v>
      </c>
      <c r="C3188" t="s">
        <v>19</v>
      </c>
      <c r="D3188" t="s">
        <v>20</v>
      </c>
      <c r="E3188" s="1">
        <v>45070</v>
      </c>
      <c r="F3188" s="3">
        <v>45073</v>
      </c>
      <c r="G3188" t="s">
        <v>67</v>
      </c>
      <c r="H3188" t="s">
        <v>42</v>
      </c>
      <c r="I3188" t="s">
        <v>58</v>
      </c>
      <c r="J3188">
        <v>2350.81</v>
      </c>
      <c r="K3188">
        <v>3</v>
      </c>
      <c r="L3188" t="s">
        <v>36</v>
      </c>
      <c r="M3188" t="s">
        <v>25</v>
      </c>
      <c r="N3188" t="s">
        <v>55</v>
      </c>
      <c r="O3188" t="s">
        <v>37</v>
      </c>
      <c r="P3188" t="s">
        <v>28</v>
      </c>
      <c r="Q3188">
        <v>6</v>
      </c>
      <c r="R3188">
        <v>425.4</v>
      </c>
      <c r="S3188" t="s">
        <v>29</v>
      </c>
    </row>
    <row r="3189" spans="1:19" x14ac:dyDescent="0.3">
      <c r="A3189" t="s">
        <v>3259</v>
      </c>
      <c r="B3189">
        <v>34</v>
      </c>
      <c r="C3189" t="s">
        <v>19</v>
      </c>
      <c r="D3189" t="s">
        <v>66</v>
      </c>
      <c r="E3189" s="1">
        <v>45729</v>
      </c>
      <c r="F3189" s="3">
        <v>45746</v>
      </c>
      <c r="G3189" t="s">
        <v>71</v>
      </c>
      <c r="H3189" t="s">
        <v>72</v>
      </c>
      <c r="I3189" t="s">
        <v>91</v>
      </c>
      <c r="J3189">
        <v>12625.14</v>
      </c>
      <c r="K3189">
        <v>17</v>
      </c>
      <c r="L3189" t="s">
        <v>36</v>
      </c>
      <c r="M3189" t="s">
        <v>59</v>
      </c>
      <c r="N3189" t="s">
        <v>44</v>
      </c>
      <c r="O3189" t="s">
        <v>56</v>
      </c>
      <c r="P3189" t="s">
        <v>50</v>
      </c>
      <c r="Q3189">
        <v>9</v>
      </c>
      <c r="R3189">
        <v>3875.32</v>
      </c>
      <c r="S3189" t="s">
        <v>29</v>
      </c>
    </row>
    <row r="3190" spans="1:19" x14ac:dyDescent="0.3">
      <c r="A3190" t="s">
        <v>3260</v>
      </c>
      <c r="B3190">
        <v>63</v>
      </c>
      <c r="C3190" t="s">
        <v>31</v>
      </c>
      <c r="D3190" t="s">
        <v>79</v>
      </c>
      <c r="E3190" s="1">
        <v>45476</v>
      </c>
      <c r="F3190" s="3">
        <v>45492</v>
      </c>
      <c r="G3190" t="s">
        <v>21</v>
      </c>
      <c r="H3190" t="s">
        <v>22</v>
      </c>
      <c r="I3190" t="s">
        <v>83</v>
      </c>
      <c r="J3190">
        <v>4949.71</v>
      </c>
      <c r="K3190">
        <v>16</v>
      </c>
      <c r="L3190" t="s">
        <v>24</v>
      </c>
      <c r="M3190" t="s">
        <v>25</v>
      </c>
      <c r="N3190" t="s">
        <v>26</v>
      </c>
      <c r="O3190" t="s">
        <v>37</v>
      </c>
      <c r="P3190" t="s">
        <v>50</v>
      </c>
      <c r="Q3190">
        <v>10</v>
      </c>
      <c r="R3190">
        <v>1904.04</v>
      </c>
      <c r="S3190" t="s">
        <v>29</v>
      </c>
    </row>
    <row r="3191" spans="1:19" x14ac:dyDescent="0.3">
      <c r="A3191" t="s">
        <v>3261</v>
      </c>
      <c r="B3191">
        <v>56</v>
      </c>
      <c r="C3191" t="s">
        <v>31</v>
      </c>
      <c r="D3191" t="s">
        <v>61</v>
      </c>
      <c r="E3191" s="1">
        <v>45289</v>
      </c>
      <c r="F3191" s="3">
        <v>45305</v>
      </c>
      <c r="G3191" t="s">
        <v>48</v>
      </c>
      <c r="H3191" t="s">
        <v>22</v>
      </c>
      <c r="I3191" t="s">
        <v>81</v>
      </c>
      <c r="J3191">
        <v>8376.75</v>
      </c>
      <c r="K3191">
        <v>16</v>
      </c>
      <c r="L3191" t="s">
        <v>24</v>
      </c>
      <c r="M3191" t="s">
        <v>25</v>
      </c>
      <c r="N3191" t="s">
        <v>55</v>
      </c>
      <c r="O3191" t="s">
        <v>27</v>
      </c>
      <c r="P3191" t="s">
        <v>28</v>
      </c>
      <c r="Q3191">
        <v>14</v>
      </c>
      <c r="R3191">
        <v>2108.44</v>
      </c>
      <c r="S3191" t="s">
        <v>39</v>
      </c>
    </row>
    <row r="3192" spans="1:19" x14ac:dyDescent="0.3">
      <c r="A3192" t="s">
        <v>3262</v>
      </c>
      <c r="B3192">
        <v>49</v>
      </c>
      <c r="C3192" t="s">
        <v>19</v>
      </c>
      <c r="D3192" t="s">
        <v>20</v>
      </c>
      <c r="E3192" s="1">
        <v>45117</v>
      </c>
      <c r="F3192" s="3">
        <v>45119</v>
      </c>
      <c r="G3192" t="s">
        <v>67</v>
      </c>
      <c r="H3192" t="s">
        <v>42</v>
      </c>
      <c r="I3192" t="s">
        <v>58</v>
      </c>
      <c r="J3192">
        <v>2951.82</v>
      </c>
      <c r="K3192">
        <v>2</v>
      </c>
      <c r="L3192" t="s">
        <v>36</v>
      </c>
      <c r="M3192" t="s">
        <v>25</v>
      </c>
      <c r="N3192" t="s">
        <v>44</v>
      </c>
      <c r="O3192" t="s">
        <v>37</v>
      </c>
      <c r="P3192" t="s">
        <v>45</v>
      </c>
      <c r="Q3192">
        <v>8</v>
      </c>
      <c r="R3192">
        <v>476.83</v>
      </c>
      <c r="S3192" t="s">
        <v>29</v>
      </c>
    </row>
    <row r="3193" spans="1:19" x14ac:dyDescent="0.3">
      <c r="A3193" t="s">
        <v>3263</v>
      </c>
      <c r="B3193">
        <v>52</v>
      </c>
      <c r="C3193" t="s">
        <v>19</v>
      </c>
      <c r="D3193" t="s">
        <v>20</v>
      </c>
      <c r="E3193" s="1">
        <v>45558</v>
      </c>
      <c r="F3193" s="3">
        <v>45559</v>
      </c>
      <c r="G3193" t="s">
        <v>52</v>
      </c>
      <c r="H3193" t="s">
        <v>53</v>
      </c>
      <c r="I3193" t="s">
        <v>91</v>
      </c>
      <c r="J3193">
        <v>2763.73</v>
      </c>
      <c r="K3193">
        <v>1</v>
      </c>
      <c r="L3193" t="s">
        <v>24</v>
      </c>
      <c r="M3193" t="s">
        <v>25</v>
      </c>
      <c r="N3193" t="s">
        <v>44</v>
      </c>
      <c r="O3193" t="s">
        <v>56</v>
      </c>
      <c r="P3193" t="s">
        <v>38</v>
      </c>
      <c r="Q3193">
        <v>11</v>
      </c>
      <c r="R3193">
        <v>528.4</v>
      </c>
      <c r="S3193" t="s">
        <v>29</v>
      </c>
    </row>
    <row r="3194" spans="1:19" x14ac:dyDescent="0.3">
      <c r="A3194" t="s">
        <v>3264</v>
      </c>
      <c r="B3194">
        <v>84</v>
      </c>
      <c r="C3194" t="s">
        <v>19</v>
      </c>
      <c r="D3194" t="s">
        <v>47</v>
      </c>
      <c r="E3194" s="1">
        <v>45119</v>
      </c>
      <c r="F3194" s="3">
        <v>45129</v>
      </c>
      <c r="G3194" t="s">
        <v>93</v>
      </c>
      <c r="H3194" t="s">
        <v>72</v>
      </c>
      <c r="I3194" t="s">
        <v>23</v>
      </c>
      <c r="J3194">
        <v>7091.36</v>
      </c>
      <c r="K3194">
        <v>10</v>
      </c>
      <c r="L3194" t="s">
        <v>24</v>
      </c>
      <c r="M3194" t="s">
        <v>25</v>
      </c>
      <c r="N3194" t="s">
        <v>44</v>
      </c>
      <c r="O3194" t="s">
        <v>27</v>
      </c>
      <c r="P3194" t="s">
        <v>50</v>
      </c>
      <c r="Q3194">
        <v>15</v>
      </c>
      <c r="R3194">
        <v>1090.27</v>
      </c>
      <c r="S3194" t="s">
        <v>29</v>
      </c>
    </row>
    <row r="3195" spans="1:19" x14ac:dyDescent="0.3">
      <c r="A3195" t="s">
        <v>3265</v>
      </c>
      <c r="B3195">
        <v>37</v>
      </c>
      <c r="C3195" t="s">
        <v>31</v>
      </c>
      <c r="D3195" t="s">
        <v>70</v>
      </c>
      <c r="E3195" s="1">
        <v>45499</v>
      </c>
      <c r="F3195" s="3">
        <v>45527</v>
      </c>
      <c r="G3195" t="s">
        <v>67</v>
      </c>
      <c r="H3195" t="s">
        <v>42</v>
      </c>
      <c r="I3195" t="s">
        <v>54</v>
      </c>
      <c r="J3195">
        <v>24607.01</v>
      </c>
      <c r="K3195">
        <v>28</v>
      </c>
      <c r="L3195" t="s">
        <v>36</v>
      </c>
      <c r="M3195" t="s">
        <v>25</v>
      </c>
      <c r="N3195" t="s">
        <v>44</v>
      </c>
      <c r="O3195" t="s">
        <v>49</v>
      </c>
      <c r="P3195" t="s">
        <v>50</v>
      </c>
      <c r="Q3195">
        <v>13</v>
      </c>
      <c r="R3195">
        <v>9515.57</v>
      </c>
      <c r="S3195" t="s">
        <v>29</v>
      </c>
    </row>
    <row r="3196" spans="1:19" x14ac:dyDescent="0.3">
      <c r="A3196" t="s">
        <v>3266</v>
      </c>
      <c r="B3196">
        <v>78</v>
      </c>
      <c r="C3196" t="s">
        <v>31</v>
      </c>
      <c r="D3196" t="s">
        <v>47</v>
      </c>
      <c r="E3196" s="1">
        <v>45754</v>
      </c>
      <c r="F3196" s="3">
        <v>45766</v>
      </c>
      <c r="G3196" t="s">
        <v>33</v>
      </c>
      <c r="H3196" t="s">
        <v>34</v>
      </c>
      <c r="I3196" t="s">
        <v>58</v>
      </c>
      <c r="J3196">
        <v>7471.15</v>
      </c>
      <c r="K3196">
        <v>12</v>
      </c>
      <c r="L3196" t="s">
        <v>24</v>
      </c>
      <c r="M3196" t="s">
        <v>25</v>
      </c>
      <c r="N3196" t="s">
        <v>44</v>
      </c>
      <c r="O3196" t="s">
        <v>49</v>
      </c>
      <c r="P3196" t="s">
        <v>28</v>
      </c>
      <c r="Q3196">
        <v>12</v>
      </c>
      <c r="R3196">
        <v>2326.7199999999998</v>
      </c>
      <c r="S3196" t="s">
        <v>29</v>
      </c>
    </row>
    <row r="3197" spans="1:19" x14ac:dyDescent="0.3">
      <c r="A3197" t="s">
        <v>3267</v>
      </c>
      <c r="B3197">
        <v>70</v>
      </c>
      <c r="C3197" t="s">
        <v>19</v>
      </c>
      <c r="D3197" t="s">
        <v>47</v>
      </c>
      <c r="E3197" s="1">
        <v>45664</v>
      </c>
      <c r="F3197" s="3">
        <v>45683</v>
      </c>
      <c r="G3197" t="s">
        <v>74</v>
      </c>
      <c r="H3197" t="s">
        <v>75</v>
      </c>
      <c r="I3197" t="s">
        <v>91</v>
      </c>
      <c r="J3197">
        <v>10312.44</v>
      </c>
      <c r="K3197">
        <v>19</v>
      </c>
      <c r="L3197" t="s">
        <v>36</v>
      </c>
      <c r="M3197" t="s">
        <v>101</v>
      </c>
      <c r="N3197" t="s">
        <v>44</v>
      </c>
      <c r="O3197" t="s">
        <v>37</v>
      </c>
      <c r="P3197" t="s">
        <v>28</v>
      </c>
      <c r="Q3197">
        <v>1</v>
      </c>
      <c r="R3197">
        <v>3500.29</v>
      </c>
      <c r="S3197" t="s">
        <v>29</v>
      </c>
    </row>
    <row r="3198" spans="1:19" x14ac:dyDescent="0.3">
      <c r="A3198" t="s">
        <v>3268</v>
      </c>
      <c r="B3198">
        <v>72</v>
      </c>
      <c r="C3198" t="s">
        <v>19</v>
      </c>
      <c r="D3198" t="s">
        <v>70</v>
      </c>
      <c r="E3198" s="1">
        <v>45209</v>
      </c>
      <c r="F3198" s="3">
        <v>45212</v>
      </c>
      <c r="G3198" t="s">
        <v>52</v>
      </c>
      <c r="H3198" t="s">
        <v>53</v>
      </c>
      <c r="I3198" t="s">
        <v>58</v>
      </c>
      <c r="J3198">
        <v>4082.24</v>
      </c>
      <c r="K3198">
        <v>3</v>
      </c>
      <c r="L3198" t="s">
        <v>24</v>
      </c>
      <c r="M3198" t="s">
        <v>25</v>
      </c>
      <c r="N3198" t="s">
        <v>55</v>
      </c>
      <c r="O3198" t="s">
        <v>56</v>
      </c>
      <c r="P3198" t="s">
        <v>50</v>
      </c>
      <c r="Q3198">
        <v>3</v>
      </c>
      <c r="R3198">
        <v>1219.2</v>
      </c>
      <c r="S3198" t="s">
        <v>29</v>
      </c>
    </row>
    <row r="3199" spans="1:19" x14ac:dyDescent="0.3">
      <c r="A3199" t="s">
        <v>3269</v>
      </c>
      <c r="B3199">
        <v>73</v>
      </c>
      <c r="C3199" t="s">
        <v>31</v>
      </c>
      <c r="D3199" t="s">
        <v>70</v>
      </c>
      <c r="E3199" s="1">
        <v>45161</v>
      </c>
      <c r="F3199" s="3">
        <v>45173</v>
      </c>
      <c r="G3199" t="s">
        <v>62</v>
      </c>
      <c r="H3199" t="s">
        <v>63</v>
      </c>
      <c r="I3199" t="s">
        <v>54</v>
      </c>
      <c r="J3199">
        <v>6924.35</v>
      </c>
      <c r="K3199">
        <v>12</v>
      </c>
      <c r="L3199" t="s">
        <v>24</v>
      </c>
      <c r="M3199" t="s">
        <v>25</v>
      </c>
      <c r="N3199" t="s">
        <v>44</v>
      </c>
      <c r="O3199" t="s">
        <v>37</v>
      </c>
      <c r="P3199" t="s">
        <v>28</v>
      </c>
      <c r="Q3199">
        <v>10</v>
      </c>
      <c r="R3199">
        <v>2161.31</v>
      </c>
      <c r="S3199" t="s">
        <v>29</v>
      </c>
    </row>
    <row r="3200" spans="1:19" x14ac:dyDescent="0.3">
      <c r="A3200" t="s">
        <v>3270</v>
      </c>
      <c r="B3200">
        <v>87</v>
      </c>
      <c r="C3200" t="s">
        <v>31</v>
      </c>
      <c r="D3200" t="s">
        <v>20</v>
      </c>
      <c r="E3200" s="1">
        <v>45015</v>
      </c>
      <c r="F3200" s="3">
        <v>45034</v>
      </c>
      <c r="G3200" t="s">
        <v>93</v>
      </c>
      <c r="H3200" t="s">
        <v>72</v>
      </c>
      <c r="I3200" t="s">
        <v>35</v>
      </c>
      <c r="J3200">
        <v>5001.07</v>
      </c>
      <c r="K3200">
        <v>19</v>
      </c>
      <c r="L3200" t="s">
        <v>24</v>
      </c>
      <c r="M3200" t="s">
        <v>25</v>
      </c>
      <c r="N3200" t="s">
        <v>26</v>
      </c>
      <c r="O3200" t="s">
        <v>37</v>
      </c>
      <c r="P3200" t="s">
        <v>45</v>
      </c>
      <c r="Q3200">
        <v>1</v>
      </c>
      <c r="R3200">
        <v>805.25</v>
      </c>
      <c r="S3200" t="s">
        <v>29</v>
      </c>
    </row>
    <row r="3201" spans="1:19" x14ac:dyDescent="0.3">
      <c r="A3201" t="s">
        <v>3271</v>
      </c>
      <c r="B3201">
        <v>33</v>
      </c>
      <c r="C3201" t="s">
        <v>19</v>
      </c>
      <c r="D3201" t="s">
        <v>61</v>
      </c>
      <c r="E3201" s="1">
        <v>45496</v>
      </c>
      <c r="F3201" s="3">
        <v>45498</v>
      </c>
      <c r="G3201" t="s">
        <v>71</v>
      </c>
      <c r="H3201" t="s">
        <v>72</v>
      </c>
      <c r="I3201" t="s">
        <v>81</v>
      </c>
      <c r="J3201">
        <v>3170.79</v>
      </c>
      <c r="K3201">
        <v>2</v>
      </c>
      <c r="L3201" t="s">
        <v>24</v>
      </c>
      <c r="M3201" t="s">
        <v>25</v>
      </c>
      <c r="N3201" t="s">
        <v>26</v>
      </c>
      <c r="O3201" t="s">
        <v>37</v>
      </c>
      <c r="P3201" t="s">
        <v>38</v>
      </c>
      <c r="Q3201">
        <v>8</v>
      </c>
      <c r="R3201">
        <v>663.74</v>
      </c>
      <c r="S3201" t="s">
        <v>29</v>
      </c>
    </row>
    <row r="3202" spans="1:19" x14ac:dyDescent="0.3">
      <c r="A3202" t="s">
        <v>3272</v>
      </c>
      <c r="B3202">
        <v>37</v>
      </c>
      <c r="C3202" t="s">
        <v>19</v>
      </c>
      <c r="D3202" t="s">
        <v>32</v>
      </c>
      <c r="E3202" s="1">
        <v>45832</v>
      </c>
      <c r="F3202" s="3">
        <v>45842</v>
      </c>
      <c r="G3202" t="s">
        <v>48</v>
      </c>
      <c r="H3202" t="s">
        <v>22</v>
      </c>
      <c r="I3202" t="s">
        <v>43</v>
      </c>
      <c r="J3202">
        <v>4460.47</v>
      </c>
      <c r="K3202">
        <v>10</v>
      </c>
      <c r="L3202" t="s">
        <v>36</v>
      </c>
      <c r="M3202" t="s">
        <v>25</v>
      </c>
      <c r="N3202" t="s">
        <v>26</v>
      </c>
      <c r="O3202" t="s">
        <v>27</v>
      </c>
      <c r="P3202" t="s">
        <v>38</v>
      </c>
      <c r="Q3202">
        <v>12</v>
      </c>
      <c r="R3202">
        <v>1019.49</v>
      </c>
      <c r="S3202" t="s">
        <v>29</v>
      </c>
    </row>
    <row r="3203" spans="1:19" x14ac:dyDescent="0.3">
      <c r="A3203" t="s">
        <v>3273</v>
      </c>
      <c r="B3203">
        <v>40</v>
      </c>
      <c r="C3203" t="s">
        <v>19</v>
      </c>
      <c r="D3203" t="s">
        <v>47</v>
      </c>
      <c r="E3203" s="1">
        <v>45537</v>
      </c>
      <c r="F3203" s="3">
        <v>45557</v>
      </c>
      <c r="G3203" t="s">
        <v>93</v>
      </c>
      <c r="H3203" t="s">
        <v>72</v>
      </c>
      <c r="I3203" t="s">
        <v>83</v>
      </c>
      <c r="J3203">
        <v>10281.11</v>
      </c>
      <c r="K3203">
        <v>20</v>
      </c>
      <c r="L3203" t="s">
        <v>36</v>
      </c>
      <c r="M3203" t="s">
        <v>25</v>
      </c>
      <c r="N3203" t="s">
        <v>55</v>
      </c>
      <c r="O3203" t="s">
        <v>56</v>
      </c>
      <c r="P3203" t="s">
        <v>38</v>
      </c>
      <c r="Q3203">
        <v>7</v>
      </c>
      <c r="R3203">
        <v>1732</v>
      </c>
      <c r="S3203" t="s">
        <v>29</v>
      </c>
    </row>
    <row r="3204" spans="1:19" x14ac:dyDescent="0.3">
      <c r="A3204" t="s">
        <v>3274</v>
      </c>
      <c r="B3204">
        <v>81</v>
      </c>
      <c r="C3204" t="s">
        <v>31</v>
      </c>
      <c r="D3204" t="s">
        <v>70</v>
      </c>
      <c r="E3204" s="1">
        <v>44929</v>
      </c>
      <c r="F3204" s="3">
        <v>44951</v>
      </c>
      <c r="G3204" t="s">
        <v>93</v>
      </c>
      <c r="H3204" t="s">
        <v>72</v>
      </c>
      <c r="I3204" t="s">
        <v>83</v>
      </c>
      <c r="J3204">
        <v>14864.3</v>
      </c>
      <c r="K3204">
        <v>22</v>
      </c>
      <c r="L3204" t="s">
        <v>24</v>
      </c>
      <c r="M3204" t="s">
        <v>25</v>
      </c>
      <c r="N3204" t="s">
        <v>44</v>
      </c>
      <c r="O3204" t="s">
        <v>49</v>
      </c>
      <c r="P3204" t="s">
        <v>28</v>
      </c>
      <c r="Q3204">
        <v>10</v>
      </c>
      <c r="R3204">
        <v>2423.36</v>
      </c>
      <c r="S3204" t="s">
        <v>29</v>
      </c>
    </row>
    <row r="3205" spans="1:19" x14ac:dyDescent="0.3">
      <c r="A3205" t="s">
        <v>3275</v>
      </c>
      <c r="B3205">
        <v>41</v>
      </c>
      <c r="C3205" t="s">
        <v>31</v>
      </c>
      <c r="D3205" t="s">
        <v>61</v>
      </c>
      <c r="E3205" s="1">
        <v>45919</v>
      </c>
      <c r="F3205" s="3">
        <v>45929</v>
      </c>
      <c r="G3205" t="s">
        <v>21</v>
      </c>
      <c r="H3205" t="s">
        <v>22</v>
      </c>
      <c r="I3205" t="s">
        <v>23</v>
      </c>
      <c r="J3205">
        <v>8585.6</v>
      </c>
      <c r="K3205">
        <v>10</v>
      </c>
      <c r="L3205" t="s">
        <v>36</v>
      </c>
      <c r="M3205" t="s">
        <v>25</v>
      </c>
      <c r="N3205" t="s">
        <v>55</v>
      </c>
      <c r="O3205" t="s">
        <v>27</v>
      </c>
      <c r="P3205" t="s">
        <v>45</v>
      </c>
      <c r="Q3205">
        <v>13</v>
      </c>
      <c r="R3205">
        <v>1948.41</v>
      </c>
      <c r="S3205" t="s">
        <v>29</v>
      </c>
    </row>
    <row r="3206" spans="1:19" x14ac:dyDescent="0.3">
      <c r="A3206" t="s">
        <v>3276</v>
      </c>
      <c r="B3206">
        <v>74</v>
      </c>
      <c r="C3206" t="s">
        <v>31</v>
      </c>
      <c r="D3206" t="s">
        <v>66</v>
      </c>
      <c r="E3206" s="1">
        <v>45873</v>
      </c>
      <c r="F3206" s="3">
        <v>45883</v>
      </c>
      <c r="G3206" t="s">
        <v>48</v>
      </c>
      <c r="H3206" t="s">
        <v>22</v>
      </c>
      <c r="I3206" t="s">
        <v>54</v>
      </c>
      <c r="J3206">
        <v>6125.71</v>
      </c>
      <c r="K3206">
        <v>10</v>
      </c>
      <c r="L3206" t="s">
        <v>24</v>
      </c>
      <c r="M3206" t="s">
        <v>25</v>
      </c>
      <c r="N3206" t="s">
        <v>44</v>
      </c>
      <c r="O3206" t="s">
        <v>37</v>
      </c>
      <c r="P3206" t="s">
        <v>38</v>
      </c>
      <c r="Q3206">
        <v>13</v>
      </c>
      <c r="R3206">
        <v>1175.5899999999999</v>
      </c>
      <c r="S3206" t="s">
        <v>29</v>
      </c>
    </row>
    <row r="3207" spans="1:19" x14ac:dyDescent="0.3">
      <c r="A3207" t="s">
        <v>3277</v>
      </c>
      <c r="B3207">
        <v>52</v>
      </c>
      <c r="C3207" t="s">
        <v>31</v>
      </c>
      <c r="D3207" t="s">
        <v>61</v>
      </c>
      <c r="E3207" s="1">
        <v>45607</v>
      </c>
      <c r="F3207" s="3">
        <v>45618</v>
      </c>
      <c r="G3207" t="s">
        <v>62</v>
      </c>
      <c r="H3207" t="s">
        <v>63</v>
      </c>
      <c r="I3207" t="s">
        <v>54</v>
      </c>
      <c r="J3207">
        <v>5866.13</v>
      </c>
      <c r="K3207">
        <v>11</v>
      </c>
      <c r="L3207" t="s">
        <v>24</v>
      </c>
      <c r="M3207" t="s">
        <v>25</v>
      </c>
      <c r="N3207" t="s">
        <v>26</v>
      </c>
      <c r="O3207" t="s">
        <v>56</v>
      </c>
      <c r="P3207" t="s">
        <v>38</v>
      </c>
      <c r="Q3207">
        <v>13</v>
      </c>
      <c r="R3207">
        <v>2278.16</v>
      </c>
      <c r="S3207" t="s">
        <v>29</v>
      </c>
    </row>
    <row r="3208" spans="1:19" x14ac:dyDescent="0.3">
      <c r="A3208" t="s">
        <v>3278</v>
      </c>
      <c r="B3208">
        <v>59</v>
      </c>
      <c r="C3208" t="s">
        <v>31</v>
      </c>
      <c r="D3208" t="s">
        <v>70</v>
      </c>
      <c r="E3208" s="1">
        <v>45848</v>
      </c>
      <c r="F3208" s="3">
        <v>45852</v>
      </c>
      <c r="G3208" t="s">
        <v>71</v>
      </c>
      <c r="H3208" t="s">
        <v>72</v>
      </c>
      <c r="I3208" t="s">
        <v>91</v>
      </c>
      <c r="J3208">
        <v>2082.4899999999998</v>
      </c>
      <c r="K3208">
        <v>4</v>
      </c>
      <c r="L3208" t="s">
        <v>24</v>
      </c>
      <c r="M3208" t="s">
        <v>25</v>
      </c>
      <c r="N3208" t="s">
        <v>55</v>
      </c>
      <c r="O3208" t="s">
        <v>56</v>
      </c>
      <c r="P3208" t="s">
        <v>38</v>
      </c>
      <c r="Q3208">
        <v>1</v>
      </c>
      <c r="R3208">
        <v>442.8</v>
      </c>
      <c r="S3208" t="s">
        <v>29</v>
      </c>
    </row>
    <row r="3209" spans="1:19" x14ac:dyDescent="0.3">
      <c r="A3209" t="s">
        <v>3279</v>
      </c>
      <c r="B3209">
        <v>85</v>
      </c>
      <c r="C3209" t="s">
        <v>31</v>
      </c>
      <c r="D3209" t="s">
        <v>89</v>
      </c>
      <c r="E3209" s="1">
        <v>44986</v>
      </c>
      <c r="F3209" s="3">
        <v>44993</v>
      </c>
      <c r="G3209" t="s">
        <v>33</v>
      </c>
      <c r="H3209" t="s">
        <v>34</v>
      </c>
      <c r="I3209" t="s">
        <v>35</v>
      </c>
      <c r="J3209">
        <v>5568.64</v>
      </c>
      <c r="K3209">
        <v>7</v>
      </c>
      <c r="L3209" t="s">
        <v>24</v>
      </c>
      <c r="M3209" t="s">
        <v>25</v>
      </c>
      <c r="N3209" t="s">
        <v>55</v>
      </c>
      <c r="O3209" t="s">
        <v>37</v>
      </c>
      <c r="P3209" t="s">
        <v>38</v>
      </c>
      <c r="Q3209">
        <v>15</v>
      </c>
      <c r="R3209">
        <v>1477.38</v>
      </c>
      <c r="S3209" t="s">
        <v>29</v>
      </c>
    </row>
    <row r="3210" spans="1:19" x14ac:dyDescent="0.3">
      <c r="A3210" t="s">
        <v>3280</v>
      </c>
      <c r="B3210">
        <v>27</v>
      </c>
      <c r="C3210" t="s">
        <v>19</v>
      </c>
      <c r="D3210" t="s">
        <v>66</v>
      </c>
      <c r="E3210" s="1">
        <v>45746</v>
      </c>
      <c r="F3210" s="3">
        <v>45749</v>
      </c>
      <c r="G3210" t="s">
        <v>71</v>
      </c>
      <c r="H3210" t="s">
        <v>72</v>
      </c>
      <c r="I3210" t="s">
        <v>23</v>
      </c>
      <c r="J3210">
        <v>2979.76</v>
      </c>
      <c r="K3210">
        <v>3</v>
      </c>
      <c r="L3210" t="s">
        <v>36</v>
      </c>
      <c r="M3210" t="s">
        <v>59</v>
      </c>
      <c r="N3210" t="s">
        <v>26</v>
      </c>
      <c r="O3210" t="s">
        <v>27</v>
      </c>
      <c r="P3210" t="s">
        <v>38</v>
      </c>
      <c r="Q3210">
        <v>13</v>
      </c>
      <c r="R3210">
        <v>690.54</v>
      </c>
      <c r="S3210" t="s">
        <v>29</v>
      </c>
    </row>
    <row r="3211" spans="1:19" x14ac:dyDescent="0.3">
      <c r="A3211" t="s">
        <v>3281</v>
      </c>
      <c r="B3211">
        <v>31</v>
      </c>
      <c r="C3211" t="s">
        <v>31</v>
      </c>
      <c r="D3211" t="s">
        <v>20</v>
      </c>
      <c r="E3211" s="1">
        <v>45477</v>
      </c>
      <c r="F3211" s="3">
        <v>45484</v>
      </c>
      <c r="G3211" t="s">
        <v>93</v>
      </c>
      <c r="H3211" t="s">
        <v>72</v>
      </c>
      <c r="I3211" t="s">
        <v>43</v>
      </c>
      <c r="J3211">
        <v>3790.8</v>
      </c>
      <c r="K3211">
        <v>7</v>
      </c>
      <c r="L3211" t="s">
        <v>36</v>
      </c>
      <c r="M3211" t="s">
        <v>76</v>
      </c>
      <c r="N3211" t="s">
        <v>44</v>
      </c>
      <c r="O3211" t="s">
        <v>27</v>
      </c>
      <c r="P3211" t="s">
        <v>50</v>
      </c>
      <c r="Q3211">
        <v>4</v>
      </c>
      <c r="R3211">
        <v>1333.83</v>
      </c>
      <c r="S3211" t="s">
        <v>29</v>
      </c>
    </row>
    <row r="3212" spans="1:19" x14ac:dyDescent="0.3">
      <c r="A3212" t="s">
        <v>3282</v>
      </c>
      <c r="B3212">
        <v>25</v>
      </c>
      <c r="C3212" t="s">
        <v>31</v>
      </c>
      <c r="D3212" t="s">
        <v>47</v>
      </c>
      <c r="E3212" s="1">
        <v>45369</v>
      </c>
      <c r="F3212" s="3">
        <v>45373</v>
      </c>
      <c r="G3212" t="s">
        <v>21</v>
      </c>
      <c r="H3212" t="s">
        <v>22</v>
      </c>
      <c r="I3212" t="s">
        <v>54</v>
      </c>
      <c r="J3212">
        <v>2458.12</v>
      </c>
      <c r="K3212">
        <v>4</v>
      </c>
      <c r="L3212" t="s">
        <v>24</v>
      </c>
      <c r="M3212" t="s">
        <v>59</v>
      </c>
      <c r="N3212" t="s">
        <v>44</v>
      </c>
      <c r="O3212" t="s">
        <v>37</v>
      </c>
      <c r="P3212" t="s">
        <v>38</v>
      </c>
      <c r="Q3212">
        <v>2</v>
      </c>
      <c r="R3212">
        <v>818.52</v>
      </c>
      <c r="S3212" t="s">
        <v>39</v>
      </c>
    </row>
    <row r="3213" spans="1:19" x14ac:dyDescent="0.3">
      <c r="A3213" t="s">
        <v>3283</v>
      </c>
      <c r="B3213">
        <v>28</v>
      </c>
      <c r="C3213" t="s">
        <v>31</v>
      </c>
      <c r="D3213" t="s">
        <v>79</v>
      </c>
      <c r="E3213" s="1">
        <v>45797</v>
      </c>
      <c r="F3213" s="3">
        <v>45813</v>
      </c>
      <c r="G3213" t="s">
        <v>41</v>
      </c>
      <c r="H3213" t="s">
        <v>42</v>
      </c>
      <c r="I3213" t="s">
        <v>35</v>
      </c>
      <c r="J3213">
        <v>4886.49</v>
      </c>
      <c r="K3213">
        <v>16</v>
      </c>
      <c r="L3213" t="s">
        <v>36</v>
      </c>
      <c r="M3213" t="s">
        <v>25</v>
      </c>
      <c r="N3213" t="s">
        <v>44</v>
      </c>
      <c r="O3213" t="s">
        <v>37</v>
      </c>
      <c r="P3213" t="s">
        <v>50</v>
      </c>
      <c r="Q3213">
        <v>5</v>
      </c>
      <c r="R3213">
        <v>979.41</v>
      </c>
      <c r="S3213" t="s">
        <v>29</v>
      </c>
    </row>
    <row r="3214" spans="1:19" x14ac:dyDescent="0.3">
      <c r="A3214" t="s">
        <v>3284</v>
      </c>
      <c r="B3214">
        <v>39</v>
      </c>
      <c r="C3214" t="s">
        <v>31</v>
      </c>
      <c r="D3214" t="s">
        <v>89</v>
      </c>
      <c r="E3214" s="1">
        <v>45883</v>
      </c>
      <c r="F3214" s="3">
        <v>45906</v>
      </c>
      <c r="G3214" t="s">
        <v>41</v>
      </c>
      <c r="H3214" t="s">
        <v>42</v>
      </c>
      <c r="I3214" t="s">
        <v>23</v>
      </c>
      <c r="J3214">
        <v>16855.330000000002</v>
      </c>
      <c r="K3214">
        <v>23</v>
      </c>
      <c r="L3214" t="s">
        <v>24</v>
      </c>
      <c r="M3214" t="s">
        <v>25</v>
      </c>
      <c r="N3214" t="s">
        <v>44</v>
      </c>
      <c r="O3214" t="s">
        <v>49</v>
      </c>
      <c r="P3214" t="s">
        <v>28</v>
      </c>
      <c r="Q3214">
        <v>3</v>
      </c>
      <c r="R3214">
        <v>4012.52</v>
      </c>
      <c r="S3214" t="s">
        <v>29</v>
      </c>
    </row>
    <row r="3215" spans="1:19" x14ac:dyDescent="0.3">
      <c r="A3215" t="s">
        <v>3285</v>
      </c>
      <c r="B3215">
        <v>47</v>
      </c>
      <c r="C3215" t="s">
        <v>19</v>
      </c>
      <c r="D3215" t="s">
        <v>47</v>
      </c>
      <c r="E3215" s="1">
        <v>45874</v>
      </c>
      <c r="F3215" s="3">
        <v>45894</v>
      </c>
      <c r="G3215" t="s">
        <v>33</v>
      </c>
      <c r="H3215" t="s">
        <v>34</v>
      </c>
      <c r="I3215" t="s">
        <v>81</v>
      </c>
      <c r="J3215">
        <v>14482.68</v>
      </c>
      <c r="K3215">
        <v>20</v>
      </c>
      <c r="L3215" t="s">
        <v>36</v>
      </c>
      <c r="M3215" t="s">
        <v>25</v>
      </c>
      <c r="N3215" t="s">
        <v>55</v>
      </c>
      <c r="O3215" t="s">
        <v>27</v>
      </c>
      <c r="P3215" t="s">
        <v>38</v>
      </c>
      <c r="Q3215">
        <v>7</v>
      </c>
      <c r="R3215">
        <v>2536.25</v>
      </c>
      <c r="S3215" t="s">
        <v>29</v>
      </c>
    </row>
    <row r="3216" spans="1:19" x14ac:dyDescent="0.3">
      <c r="A3216" t="s">
        <v>3286</v>
      </c>
      <c r="B3216">
        <v>56</v>
      </c>
      <c r="C3216" t="s">
        <v>31</v>
      </c>
      <c r="D3216" t="s">
        <v>61</v>
      </c>
      <c r="E3216" s="1">
        <v>45639</v>
      </c>
      <c r="F3216" s="3">
        <v>45651</v>
      </c>
      <c r="G3216" t="s">
        <v>52</v>
      </c>
      <c r="H3216" t="s">
        <v>53</v>
      </c>
      <c r="I3216" t="s">
        <v>43</v>
      </c>
      <c r="J3216">
        <v>7886.38</v>
      </c>
      <c r="K3216">
        <v>12</v>
      </c>
      <c r="L3216" t="s">
        <v>36</v>
      </c>
      <c r="M3216" t="s">
        <v>59</v>
      </c>
      <c r="N3216" t="s">
        <v>55</v>
      </c>
      <c r="O3216" t="s">
        <v>27</v>
      </c>
      <c r="P3216" t="s">
        <v>38</v>
      </c>
      <c r="Q3216">
        <v>6</v>
      </c>
      <c r="R3216">
        <v>2692.68</v>
      </c>
      <c r="S3216" t="s">
        <v>29</v>
      </c>
    </row>
    <row r="3217" spans="1:19" x14ac:dyDescent="0.3">
      <c r="A3217" t="s">
        <v>3287</v>
      </c>
      <c r="B3217">
        <v>20</v>
      </c>
      <c r="C3217" t="s">
        <v>19</v>
      </c>
      <c r="D3217" t="s">
        <v>61</v>
      </c>
      <c r="E3217" s="1">
        <v>45366</v>
      </c>
      <c r="F3217" s="3">
        <v>45368</v>
      </c>
      <c r="G3217" t="s">
        <v>74</v>
      </c>
      <c r="H3217" t="s">
        <v>75</v>
      </c>
      <c r="I3217" t="s">
        <v>83</v>
      </c>
      <c r="J3217">
        <v>1907.95</v>
      </c>
      <c r="K3217">
        <v>2</v>
      </c>
      <c r="L3217" t="s">
        <v>36</v>
      </c>
      <c r="M3217" t="s">
        <v>25</v>
      </c>
      <c r="N3217" t="s">
        <v>44</v>
      </c>
      <c r="O3217" t="s">
        <v>27</v>
      </c>
      <c r="P3217" t="s">
        <v>45</v>
      </c>
      <c r="Q3217">
        <v>12</v>
      </c>
      <c r="R3217">
        <v>493.49</v>
      </c>
      <c r="S3217" t="s">
        <v>29</v>
      </c>
    </row>
    <row r="3218" spans="1:19" x14ac:dyDescent="0.3">
      <c r="A3218" t="s">
        <v>3288</v>
      </c>
      <c r="B3218">
        <v>54</v>
      </c>
      <c r="C3218" t="s">
        <v>31</v>
      </c>
      <c r="D3218" t="s">
        <v>20</v>
      </c>
      <c r="E3218" s="1">
        <v>45086</v>
      </c>
      <c r="F3218" s="3">
        <v>45095</v>
      </c>
      <c r="G3218" t="s">
        <v>67</v>
      </c>
      <c r="H3218" t="s">
        <v>42</v>
      </c>
      <c r="I3218" t="s">
        <v>54</v>
      </c>
      <c r="J3218">
        <v>11441.64</v>
      </c>
      <c r="K3218">
        <v>9</v>
      </c>
      <c r="L3218" t="s">
        <v>24</v>
      </c>
      <c r="M3218" t="s">
        <v>25</v>
      </c>
      <c r="N3218" t="s">
        <v>26</v>
      </c>
      <c r="O3218" t="s">
        <v>49</v>
      </c>
      <c r="P3218" t="s">
        <v>28</v>
      </c>
      <c r="Q3218">
        <v>4</v>
      </c>
      <c r="R3218">
        <v>3855.65</v>
      </c>
      <c r="S3218" t="s">
        <v>39</v>
      </c>
    </row>
    <row r="3219" spans="1:19" x14ac:dyDescent="0.3">
      <c r="A3219" t="s">
        <v>3289</v>
      </c>
      <c r="B3219">
        <v>34</v>
      </c>
      <c r="C3219" t="s">
        <v>19</v>
      </c>
      <c r="D3219" t="s">
        <v>89</v>
      </c>
      <c r="E3219" s="1">
        <v>45341</v>
      </c>
      <c r="F3219" s="3">
        <v>45370</v>
      </c>
      <c r="G3219" t="s">
        <v>74</v>
      </c>
      <c r="H3219" t="s">
        <v>75</v>
      </c>
      <c r="I3219" t="s">
        <v>91</v>
      </c>
      <c r="J3219">
        <v>18194.310000000001</v>
      </c>
      <c r="K3219">
        <v>29</v>
      </c>
      <c r="L3219" t="s">
        <v>24</v>
      </c>
      <c r="M3219" t="s">
        <v>25</v>
      </c>
      <c r="N3219" t="s">
        <v>55</v>
      </c>
      <c r="O3219" t="s">
        <v>49</v>
      </c>
      <c r="P3219" t="s">
        <v>38</v>
      </c>
      <c r="Q3219">
        <v>2</v>
      </c>
      <c r="R3219">
        <v>4039.81</v>
      </c>
      <c r="S3219" t="s">
        <v>29</v>
      </c>
    </row>
    <row r="3220" spans="1:19" x14ac:dyDescent="0.3">
      <c r="A3220" t="s">
        <v>3290</v>
      </c>
      <c r="B3220">
        <v>89</v>
      </c>
      <c r="C3220" t="s">
        <v>31</v>
      </c>
      <c r="D3220" t="s">
        <v>20</v>
      </c>
      <c r="E3220" s="1">
        <v>45176</v>
      </c>
      <c r="F3220" s="3">
        <v>45180</v>
      </c>
      <c r="G3220" t="s">
        <v>67</v>
      </c>
      <c r="H3220" t="s">
        <v>42</v>
      </c>
      <c r="I3220" t="s">
        <v>58</v>
      </c>
      <c r="J3220">
        <v>4768.6400000000003</v>
      </c>
      <c r="K3220">
        <v>4</v>
      </c>
      <c r="L3220" t="s">
        <v>24</v>
      </c>
      <c r="M3220" t="s">
        <v>25</v>
      </c>
      <c r="N3220" t="s">
        <v>55</v>
      </c>
      <c r="O3220" t="s">
        <v>37</v>
      </c>
      <c r="P3220" t="s">
        <v>28</v>
      </c>
      <c r="Q3220">
        <v>9</v>
      </c>
      <c r="R3220">
        <v>1133.6500000000001</v>
      </c>
      <c r="S3220" t="s">
        <v>39</v>
      </c>
    </row>
    <row r="3221" spans="1:19" x14ac:dyDescent="0.3">
      <c r="A3221" t="s">
        <v>3291</v>
      </c>
      <c r="B3221">
        <v>73</v>
      </c>
      <c r="C3221" t="s">
        <v>19</v>
      </c>
      <c r="D3221" t="s">
        <v>20</v>
      </c>
      <c r="E3221" s="1">
        <v>45387</v>
      </c>
      <c r="F3221" s="3">
        <v>45391</v>
      </c>
      <c r="G3221" t="s">
        <v>93</v>
      </c>
      <c r="H3221" t="s">
        <v>72</v>
      </c>
      <c r="I3221" t="s">
        <v>83</v>
      </c>
      <c r="J3221">
        <v>6932.91</v>
      </c>
      <c r="K3221">
        <v>4</v>
      </c>
      <c r="L3221" t="s">
        <v>36</v>
      </c>
      <c r="M3221" t="s">
        <v>25</v>
      </c>
      <c r="N3221" t="s">
        <v>55</v>
      </c>
      <c r="O3221" t="s">
        <v>49</v>
      </c>
      <c r="P3221" t="s">
        <v>45</v>
      </c>
      <c r="Q3221">
        <v>12</v>
      </c>
      <c r="R3221">
        <v>1953.47</v>
      </c>
      <c r="S3221" t="s">
        <v>29</v>
      </c>
    </row>
    <row r="3222" spans="1:19" x14ac:dyDescent="0.3">
      <c r="A3222" t="s">
        <v>3292</v>
      </c>
      <c r="B3222">
        <v>30</v>
      </c>
      <c r="C3222" t="s">
        <v>19</v>
      </c>
      <c r="D3222" t="s">
        <v>79</v>
      </c>
      <c r="E3222" s="1">
        <v>45279</v>
      </c>
      <c r="F3222" s="3">
        <v>45286</v>
      </c>
      <c r="G3222" t="s">
        <v>33</v>
      </c>
      <c r="H3222" t="s">
        <v>34</v>
      </c>
      <c r="I3222" t="s">
        <v>23</v>
      </c>
      <c r="J3222">
        <v>5025.5600000000004</v>
      </c>
      <c r="K3222">
        <v>7</v>
      </c>
      <c r="L3222" t="s">
        <v>36</v>
      </c>
      <c r="M3222" t="s">
        <v>25</v>
      </c>
      <c r="N3222" t="s">
        <v>44</v>
      </c>
      <c r="O3222" t="s">
        <v>56</v>
      </c>
      <c r="P3222" t="s">
        <v>45</v>
      </c>
      <c r="Q3222">
        <v>13</v>
      </c>
      <c r="R3222">
        <v>953.27</v>
      </c>
      <c r="S3222" t="s">
        <v>29</v>
      </c>
    </row>
    <row r="3223" spans="1:19" x14ac:dyDescent="0.3">
      <c r="A3223" t="s">
        <v>3293</v>
      </c>
      <c r="B3223">
        <v>51</v>
      </c>
      <c r="C3223" t="s">
        <v>19</v>
      </c>
      <c r="D3223" t="s">
        <v>20</v>
      </c>
      <c r="E3223" s="1">
        <v>45843</v>
      </c>
      <c r="F3223" s="3">
        <v>45861</v>
      </c>
      <c r="G3223" t="s">
        <v>41</v>
      </c>
      <c r="H3223" t="s">
        <v>42</v>
      </c>
      <c r="I3223" t="s">
        <v>43</v>
      </c>
      <c r="J3223">
        <v>15616.37</v>
      </c>
      <c r="K3223">
        <v>18</v>
      </c>
      <c r="L3223" t="s">
        <v>24</v>
      </c>
      <c r="M3223" t="s">
        <v>25</v>
      </c>
      <c r="N3223" t="s">
        <v>44</v>
      </c>
      <c r="O3223" t="s">
        <v>49</v>
      </c>
      <c r="P3223" t="s">
        <v>50</v>
      </c>
      <c r="Q3223">
        <v>14</v>
      </c>
      <c r="R3223">
        <v>3040.72</v>
      </c>
      <c r="S3223" t="s">
        <v>29</v>
      </c>
    </row>
    <row r="3224" spans="1:19" x14ac:dyDescent="0.3">
      <c r="A3224" t="s">
        <v>3294</v>
      </c>
      <c r="B3224">
        <v>81</v>
      </c>
      <c r="C3224" t="s">
        <v>19</v>
      </c>
      <c r="D3224" t="s">
        <v>79</v>
      </c>
      <c r="E3224" s="1">
        <v>45306</v>
      </c>
      <c r="F3224" s="3">
        <v>45320</v>
      </c>
      <c r="G3224" t="s">
        <v>21</v>
      </c>
      <c r="H3224" t="s">
        <v>22</v>
      </c>
      <c r="I3224" t="s">
        <v>91</v>
      </c>
      <c r="J3224">
        <v>4364.04</v>
      </c>
      <c r="K3224">
        <v>14</v>
      </c>
      <c r="L3224" t="s">
        <v>24</v>
      </c>
      <c r="M3224" t="s">
        <v>25</v>
      </c>
      <c r="N3224" t="s">
        <v>26</v>
      </c>
      <c r="O3224" t="s">
        <v>37</v>
      </c>
      <c r="P3224" t="s">
        <v>28</v>
      </c>
      <c r="Q3224">
        <v>1</v>
      </c>
      <c r="R3224">
        <v>1671.76</v>
      </c>
      <c r="S3224" t="s">
        <v>29</v>
      </c>
    </row>
    <row r="3225" spans="1:19" x14ac:dyDescent="0.3">
      <c r="A3225" t="s">
        <v>3295</v>
      </c>
      <c r="B3225">
        <v>74</v>
      </c>
      <c r="C3225" t="s">
        <v>31</v>
      </c>
      <c r="D3225" t="s">
        <v>70</v>
      </c>
      <c r="E3225" s="1">
        <v>45001</v>
      </c>
      <c r="F3225" s="3">
        <v>45019</v>
      </c>
      <c r="G3225" t="s">
        <v>33</v>
      </c>
      <c r="H3225" t="s">
        <v>34</v>
      </c>
      <c r="I3225" t="s">
        <v>83</v>
      </c>
      <c r="J3225">
        <v>13033.17</v>
      </c>
      <c r="K3225">
        <v>18</v>
      </c>
      <c r="L3225" t="s">
        <v>24</v>
      </c>
      <c r="M3225" t="s">
        <v>25</v>
      </c>
      <c r="N3225" t="s">
        <v>44</v>
      </c>
      <c r="O3225" t="s">
        <v>27</v>
      </c>
      <c r="P3225" t="s">
        <v>45</v>
      </c>
      <c r="Q3225">
        <v>4</v>
      </c>
      <c r="R3225">
        <v>3046.16</v>
      </c>
      <c r="S3225" t="s">
        <v>39</v>
      </c>
    </row>
    <row r="3226" spans="1:19" x14ac:dyDescent="0.3">
      <c r="A3226" t="s">
        <v>3296</v>
      </c>
      <c r="B3226">
        <v>56</v>
      </c>
      <c r="C3226" t="s">
        <v>31</v>
      </c>
      <c r="D3226" t="s">
        <v>61</v>
      </c>
      <c r="E3226" s="1">
        <v>45165</v>
      </c>
      <c r="F3226" s="3">
        <v>45187</v>
      </c>
      <c r="G3226" t="s">
        <v>93</v>
      </c>
      <c r="H3226" t="s">
        <v>72</v>
      </c>
      <c r="I3226" t="s">
        <v>83</v>
      </c>
      <c r="J3226">
        <v>12019.57</v>
      </c>
      <c r="K3226">
        <v>22</v>
      </c>
      <c r="L3226" t="s">
        <v>24</v>
      </c>
      <c r="M3226" t="s">
        <v>25</v>
      </c>
      <c r="N3226" t="s">
        <v>26</v>
      </c>
      <c r="O3226" t="s">
        <v>49</v>
      </c>
      <c r="P3226" t="s">
        <v>45</v>
      </c>
      <c r="Q3226">
        <v>9</v>
      </c>
      <c r="R3226">
        <v>3164.97</v>
      </c>
      <c r="S3226" t="s">
        <v>29</v>
      </c>
    </row>
    <row r="3227" spans="1:19" x14ac:dyDescent="0.3">
      <c r="A3227" t="s">
        <v>3297</v>
      </c>
      <c r="B3227">
        <v>55</v>
      </c>
      <c r="C3227" t="s">
        <v>19</v>
      </c>
      <c r="D3227" t="s">
        <v>20</v>
      </c>
      <c r="E3227" s="1">
        <v>45159</v>
      </c>
      <c r="F3227" s="3">
        <v>45189</v>
      </c>
      <c r="G3227" t="s">
        <v>21</v>
      </c>
      <c r="H3227" t="s">
        <v>22</v>
      </c>
      <c r="I3227" t="s">
        <v>58</v>
      </c>
      <c r="J3227">
        <v>18714.64</v>
      </c>
      <c r="K3227">
        <v>30</v>
      </c>
      <c r="L3227" t="s">
        <v>36</v>
      </c>
      <c r="M3227" t="s">
        <v>25</v>
      </c>
      <c r="N3227" t="s">
        <v>26</v>
      </c>
      <c r="O3227" t="s">
        <v>49</v>
      </c>
      <c r="P3227" t="s">
        <v>38</v>
      </c>
      <c r="Q3227">
        <v>11</v>
      </c>
      <c r="R3227">
        <v>3886.33</v>
      </c>
      <c r="S3227" t="s">
        <v>29</v>
      </c>
    </row>
    <row r="3228" spans="1:19" x14ac:dyDescent="0.3">
      <c r="A3228" t="s">
        <v>3298</v>
      </c>
      <c r="B3228">
        <v>75</v>
      </c>
      <c r="C3228" t="s">
        <v>31</v>
      </c>
      <c r="D3228" t="s">
        <v>66</v>
      </c>
      <c r="E3228" s="1">
        <v>45213</v>
      </c>
      <c r="F3228" s="3">
        <v>45222</v>
      </c>
      <c r="G3228" t="s">
        <v>48</v>
      </c>
      <c r="H3228" t="s">
        <v>22</v>
      </c>
      <c r="I3228" t="s">
        <v>91</v>
      </c>
      <c r="J3228">
        <v>4202.12</v>
      </c>
      <c r="K3228">
        <v>9</v>
      </c>
      <c r="L3228" t="s">
        <v>24</v>
      </c>
      <c r="M3228" t="s">
        <v>25</v>
      </c>
      <c r="N3228" t="s">
        <v>26</v>
      </c>
      <c r="O3228" t="s">
        <v>56</v>
      </c>
      <c r="P3228" t="s">
        <v>28</v>
      </c>
      <c r="Q3228">
        <v>9</v>
      </c>
      <c r="R3228">
        <v>1578.8</v>
      </c>
      <c r="S3228" t="s">
        <v>39</v>
      </c>
    </row>
    <row r="3229" spans="1:19" x14ac:dyDescent="0.3">
      <c r="A3229" t="s">
        <v>3299</v>
      </c>
      <c r="B3229">
        <v>81</v>
      </c>
      <c r="C3229" t="s">
        <v>19</v>
      </c>
      <c r="D3229" t="s">
        <v>47</v>
      </c>
      <c r="E3229" s="1">
        <v>45232</v>
      </c>
      <c r="F3229" s="3">
        <v>45241</v>
      </c>
      <c r="G3229" t="s">
        <v>71</v>
      </c>
      <c r="H3229" t="s">
        <v>72</v>
      </c>
      <c r="I3229" t="s">
        <v>58</v>
      </c>
      <c r="J3229">
        <v>5129.07</v>
      </c>
      <c r="K3229">
        <v>9</v>
      </c>
      <c r="L3229" t="s">
        <v>36</v>
      </c>
      <c r="M3229" t="s">
        <v>25</v>
      </c>
      <c r="N3229" t="s">
        <v>26</v>
      </c>
      <c r="O3229" t="s">
        <v>37</v>
      </c>
      <c r="P3229" t="s">
        <v>45</v>
      </c>
      <c r="Q3229">
        <v>1</v>
      </c>
      <c r="R3229">
        <v>906.49</v>
      </c>
      <c r="S3229" t="s">
        <v>29</v>
      </c>
    </row>
    <row r="3230" spans="1:19" x14ac:dyDescent="0.3">
      <c r="A3230" t="s">
        <v>3300</v>
      </c>
      <c r="B3230">
        <v>54</v>
      </c>
      <c r="C3230" t="s">
        <v>31</v>
      </c>
      <c r="D3230" t="s">
        <v>32</v>
      </c>
      <c r="E3230" s="1">
        <v>45697</v>
      </c>
      <c r="F3230" s="3">
        <v>45704</v>
      </c>
      <c r="G3230" t="s">
        <v>52</v>
      </c>
      <c r="H3230" t="s">
        <v>53</v>
      </c>
      <c r="I3230" t="s">
        <v>58</v>
      </c>
      <c r="J3230">
        <v>10999.9</v>
      </c>
      <c r="K3230">
        <v>7</v>
      </c>
      <c r="L3230" t="s">
        <v>24</v>
      </c>
      <c r="M3230" t="s">
        <v>25</v>
      </c>
      <c r="N3230" t="s">
        <v>44</v>
      </c>
      <c r="O3230" t="s">
        <v>49</v>
      </c>
      <c r="P3230" t="s">
        <v>45</v>
      </c>
      <c r="Q3230">
        <v>12</v>
      </c>
      <c r="R3230">
        <v>3713.68</v>
      </c>
      <c r="S3230" t="s">
        <v>29</v>
      </c>
    </row>
    <row r="3231" spans="1:19" x14ac:dyDescent="0.3">
      <c r="A3231" t="s">
        <v>3301</v>
      </c>
      <c r="B3231">
        <v>33</v>
      </c>
      <c r="C3231" t="s">
        <v>31</v>
      </c>
      <c r="D3231" t="s">
        <v>20</v>
      </c>
      <c r="E3231" s="1">
        <v>45584</v>
      </c>
      <c r="F3231" s="3">
        <v>45601</v>
      </c>
      <c r="G3231" t="s">
        <v>48</v>
      </c>
      <c r="H3231" t="s">
        <v>22</v>
      </c>
      <c r="I3231" t="s">
        <v>35</v>
      </c>
      <c r="J3231">
        <v>8606.59</v>
      </c>
      <c r="K3231">
        <v>17</v>
      </c>
      <c r="L3231" t="s">
        <v>24</v>
      </c>
      <c r="M3231" t="s">
        <v>25</v>
      </c>
      <c r="N3231" t="s">
        <v>44</v>
      </c>
      <c r="O3231" t="s">
        <v>27</v>
      </c>
      <c r="P3231" t="s">
        <v>38</v>
      </c>
      <c r="Q3231">
        <v>3</v>
      </c>
      <c r="R3231">
        <v>2602.4</v>
      </c>
      <c r="S3231" t="s">
        <v>29</v>
      </c>
    </row>
    <row r="3232" spans="1:19" x14ac:dyDescent="0.3">
      <c r="A3232" t="s">
        <v>3302</v>
      </c>
      <c r="B3232">
        <v>50</v>
      </c>
      <c r="C3232" t="s">
        <v>19</v>
      </c>
      <c r="D3232" t="s">
        <v>20</v>
      </c>
      <c r="E3232" s="1">
        <v>45869</v>
      </c>
      <c r="F3232" s="3">
        <v>45872</v>
      </c>
      <c r="G3232" t="s">
        <v>41</v>
      </c>
      <c r="H3232" t="s">
        <v>42</v>
      </c>
      <c r="I3232" t="s">
        <v>91</v>
      </c>
      <c r="J3232">
        <v>2868.06</v>
      </c>
      <c r="K3232">
        <v>3</v>
      </c>
      <c r="L3232" t="s">
        <v>24</v>
      </c>
      <c r="M3232" t="s">
        <v>25</v>
      </c>
      <c r="N3232" t="s">
        <v>26</v>
      </c>
      <c r="O3232" t="s">
        <v>56</v>
      </c>
      <c r="P3232" t="s">
        <v>50</v>
      </c>
      <c r="Q3232">
        <v>12</v>
      </c>
      <c r="R3232">
        <v>959.08</v>
      </c>
      <c r="S3232" t="s">
        <v>39</v>
      </c>
    </row>
    <row r="3233" spans="1:19" x14ac:dyDescent="0.3">
      <c r="A3233" t="s">
        <v>3303</v>
      </c>
      <c r="B3233">
        <v>89</v>
      </c>
      <c r="C3233" t="s">
        <v>31</v>
      </c>
      <c r="D3233" t="s">
        <v>70</v>
      </c>
      <c r="E3233" s="1">
        <v>45458</v>
      </c>
      <c r="F3233" s="3">
        <v>45462</v>
      </c>
      <c r="G3233" t="s">
        <v>48</v>
      </c>
      <c r="H3233" t="s">
        <v>22</v>
      </c>
      <c r="I3233" t="s">
        <v>54</v>
      </c>
      <c r="J3233">
        <v>4885.58</v>
      </c>
      <c r="K3233">
        <v>4</v>
      </c>
      <c r="L3233" t="s">
        <v>24</v>
      </c>
      <c r="M3233" t="s">
        <v>25</v>
      </c>
      <c r="N3233" t="s">
        <v>55</v>
      </c>
      <c r="O3233" t="s">
        <v>56</v>
      </c>
      <c r="P3233" t="s">
        <v>38</v>
      </c>
      <c r="Q3233">
        <v>8</v>
      </c>
      <c r="R3233">
        <v>1038.4000000000001</v>
      </c>
      <c r="S3233" t="s">
        <v>29</v>
      </c>
    </row>
    <row r="3234" spans="1:19" x14ac:dyDescent="0.3">
      <c r="A3234" t="s">
        <v>3304</v>
      </c>
      <c r="B3234">
        <v>72</v>
      </c>
      <c r="C3234" t="s">
        <v>31</v>
      </c>
      <c r="D3234" t="s">
        <v>89</v>
      </c>
      <c r="E3234" s="1">
        <v>45217</v>
      </c>
      <c r="F3234" s="3">
        <v>45221</v>
      </c>
      <c r="G3234" t="s">
        <v>71</v>
      </c>
      <c r="H3234" t="s">
        <v>72</v>
      </c>
      <c r="I3234" t="s">
        <v>35</v>
      </c>
      <c r="J3234">
        <v>4544.17</v>
      </c>
      <c r="K3234">
        <v>4</v>
      </c>
      <c r="L3234" t="s">
        <v>24</v>
      </c>
      <c r="M3234" t="s">
        <v>25</v>
      </c>
      <c r="N3234" t="s">
        <v>55</v>
      </c>
      <c r="O3234" t="s">
        <v>37</v>
      </c>
      <c r="P3234" t="s">
        <v>28</v>
      </c>
      <c r="Q3234">
        <v>5</v>
      </c>
      <c r="R3234">
        <v>1268.0999999999999</v>
      </c>
      <c r="S3234" t="s">
        <v>29</v>
      </c>
    </row>
    <row r="3235" spans="1:19" x14ac:dyDescent="0.3">
      <c r="A3235" t="s">
        <v>3305</v>
      </c>
      <c r="B3235">
        <v>42</v>
      </c>
      <c r="C3235" t="s">
        <v>31</v>
      </c>
      <c r="D3235" t="s">
        <v>20</v>
      </c>
      <c r="E3235" s="1">
        <v>45074</v>
      </c>
      <c r="F3235" s="3">
        <v>45083</v>
      </c>
      <c r="G3235" t="s">
        <v>74</v>
      </c>
      <c r="H3235" t="s">
        <v>75</v>
      </c>
      <c r="I3235" t="s">
        <v>83</v>
      </c>
      <c r="J3235">
        <v>6294.39</v>
      </c>
      <c r="K3235">
        <v>9</v>
      </c>
      <c r="L3235" t="s">
        <v>24</v>
      </c>
      <c r="M3235" t="s">
        <v>59</v>
      </c>
      <c r="N3235" t="s">
        <v>26</v>
      </c>
      <c r="O3235" t="s">
        <v>37</v>
      </c>
      <c r="P3235" t="s">
        <v>38</v>
      </c>
      <c r="Q3235">
        <v>14</v>
      </c>
      <c r="R3235">
        <v>1989.25</v>
      </c>
      <c r="S3235" t="s">
        <v>29</v>
      </c>
    </row>
    <row r="3236" spans="1:19" x14ac:dyDescent="0.3">
      <c r="A3236" t="s">
        <v>3306</v>
      </c>
      <c r="B3236">
        <v>78</v>
      </c>
      <c r="C3236" t="s">
        <v>19</v>
      </c>
      <c r="D3236" t="s">
        <v>79</v>
      </c>
      <c r="E3236" s="1">
        <v>45030</v>
      </c>
      <c r="F3236" s="3">
        <v>45049</v>
      </c>
      <c r="G3236" t="s">
        <v>48</v>
      </c>
      <c r="H3236" t="s">
        <v>22</v>
      </c>
      <c r="I3236" t="s">
        <v>54</v>
      </c>
      <c r="J3236">
        <v>7549.42</v>
      </c>
      <c r="K3236">
        <v>19</v>
      </c>
      <c r="L3236" t="s">
        <v>24</v>
      </c>
      <c r="M3236" t="s">
        <v>25</v>
      </c>
      <c r="N3236" t="s">
        <v>55</v>
      </c>
      <c r="O3236" t="s">
        <v>37</v>
      </c>
      <c r="P3236" t="s">
        <v>28</v>
      </c>
      <c r="Q3236">
        <v>11</v>
      </c>
      <c r="R3236">
        <v>2277.5100000000002</v>
      </c>
      <c r="S3236" t="s">
        <v>29</v>
      </c>
    </row>
    <row r="3237" spans="1:19" x14ac:dyDescent="0.3">
      <c r="A3237" t="s">
        <v>3307</v>
      </c>
      <c r="B3237">
        <v>35</v>
      </c>
      <c r="C3237" t="s">
        <v>19</v>
      </c>
      <c r="D3237" t="s">
        <v>20</v>
      </c>
      <c r="E3237" s="1">
        <v>45566</v>
      </c>
      <c r="F3237" s="3">
        <v>45578</v>
      </c>
      <c r="G3237" t="s">
        <v>48</v>
      </c>
      <c r="H3237" t="s">
        <v>22</v>
      </c>
      <c r="I3237" t="s">
        <v>43</v>
      </c>
      <c r="J3237">
        <v>11257.34</v>
      </c>
      <c r="K3237">
        <v>12</v>
      </c>
      <c r="L3237" t="s">
        <v>36</v>
      </c>
      <c r="M3237" t="s">
        <v>59</v>
      </c>
      <c r="N3237" t="s">
        <v>55</v>
      </c>
      <c r="O3237" t="s">
        <v>37</v>
      </c>
      <c r="P3237" t="s">
        <v>28</v>
      </c>
      <c r="Q3237">
        <v>2</v>
      </c>
      <c r="R3237">
        <v>1696.02</v>
      </c>
      <c r="S3237" t="s">
        <v>29</v>
      </c>
    </row>
    <row r="3238" spans="1:19" x14ac:dyDescent="0.3">
      <c r="A3238" t="s">
        <v>3308</v>
      </c>
      <c r="B3238">
        <v>38</v>
      </c>
      <c r="C3238" t="s">
        <v>19</v>
      </c>
      <c r="D3238" t="s">
        <v>79</v>
      </c>
      <c r="E3238" s="1">
        <v>45517</v>
      </c>
      <c r="F3238" s="3">
        <v>45543</v>
      </c>
      <c r="G3238" t="s">
        <v>48</v>
      </c>
      <c r="H3238" t="s">
        <v>22</v>
      </c>
      <c r="I3238" t="s">
        <v>81</v>
      </c>
      <c r="J3238">
        <v>17521.759999999998</v>
      </c>
      <c r="K3238">
        <v>26</v>
      </c>
      <c r="L3238" t="s">
        <v>36</v>
      </c>
      <c r="M3238" t="s">
        <v>25</v>
      </c>
      <c r="N3238" t="s">
        <v>26</v>
      </c>
      <c r="O3238" t="s">
        <v>49</v>
      </c>
      <c r="P3238" t="s">
        <v>45</v>
      </c>
      <c r="Q3238">
        <v>14</v>
      </c>
      <c r="R3238">
        <v>5367.72</v>
      </c>
      <c r="S3238" t="s">
        <v>39</v>
      </c>
    </row>
    <row r="3239" spans="1:19" x14ac:dyDescent="0.3">
      <c r="A3239" t="s">
        <v>3309</v>
      </c>
      <c r="B3239">
        <v>52</v>
      </c>
      <c r="C3239" t="s">
        <v>31</v>
      </c>
      <c r="D3239" t="s">
        <v>20</v>
      </c>
      <c r="E3239" s="1">
        <v>45460</v>
      </c>
      <c r="F3239" s="3">
        <v>45478</v>
      </c>
      <c r="G3239" t="s">
        <v>48</v>
      </c>
      <c r="H3239" t="s">
        <v>22</v>
      </c>
      <c r="I3239" t="s">
        <v>91</v>
      </c>
      <c r="J3239">
        <v>8574.2099999999991</v>
      </c>
      <c r="K3239">
        <v>18</v>
      </c>
      <c r="L3239" t="s">
        <v>36</v>
      </c>
      <c r="M3239" t="s">
        <v>25</v>
      </c>
      <c r="N3239" t="s">
        <v>26</v>
      </c>
      <c r="O3239" t="s">
        <v>49</v>
      </c>
      <c r="P3239" t="s">
        <v>50</v>
      </c>
      <c r="Q3239">
        <v>4</v>
      </c>
      <c r="R3239">
        <v>2390.87</v>
      </c>
      <c r="S3239" t="s">
        <v>29</v>
      </c>
    </row>
    <row r="3240" spans="1:19" x14ac:dyDescent="0.3">
      <c r="A3240" t="s">
        <v>3310</v>
      </c>
      <c r="B3240">
        <v>29</v>
      </c>
      <c r="C3240" t="s">
        <v>31</v>
      </c>
      <c r="D3240" t="s">
        <v>89</v>
      </c>
      <c r="E3240" s="1">
        <v>45643</v>
      </c>
      <c r="F3240" s="3">
        <v>45662</v>
      </c>
      <c r="G3240" t="s">
        <v>93</v>
      </c>
      <c r="H3240" t="s">
        <v>72</v>
      </c>
      <c r="I3240" t="s">
        <v>81</v>
      </c>
      <c r="J3240">
        <v>9148.18</v>
      </c>
      <c r="K3240">
        <v>19</v>
      </c>
      <c r="L3240" t="s">
        <v>24</v>
      </c>
      <c r="M3240" t="s">
        <v>25</v>
      </c>
      <c r="N3240" t="s">
        <v>55</v>
      </c>
      <c r="O3240" t="s">
        <v>27</v>
      </c>
      <c r="P3240" t="s">
        <v>38</v>
      </c>
      <c r="Q3240">
        <v>10</v>
      </c>
      <c r="R3240">
        <v>2903.25</v>
      </c>
      <c r="S3240" t="s">
        <v>29</v>
      </c>
    </row>
    <row r="3241" spans="1:19" x14ac:dyDescent="0.3">
      <c r="A3241" t="s">
        <v>3311</v>
      </c>
      <c r="B3241">
        <v>53</v>
      </c>
      <c r="C3241" t="s">
        <v>31</v>
      </c>
      <c r="D3241" t="s">
        <v>89</v>
      </c>
      <c r="E3241" s="1">
        <v>45190</v>
      </c>
      <c r="F3241" s="3">
        <v>45198</v>
      </c>
      <c r="G3241" t="s">
        <v>41</v>
      </c>
      <c r="H3241" t="s">
        <v>42</v>
      </c>
      <c r="I3241" t="s">
        <v>83</v>
      </c>
      <c r="J3241">
        <v>5158.51</v>
      </c>
      <c r="K3241">
        <v>8</v>
      </c>
      <c r="L3241" t="s">
        <v>24</v>
      </c>
      <c r="M3241" t="s">
        <v>25</v>
      </c>
      <c r="N3241" t="s">
        <v>55</v>
      </c>
      <c r="O3241" t="s">
        <v>37</v>
      </c>
      <c r="P3241" t="s">
        <v>28</v>
      </c>
      <c r="Q3241">
        <v>5</v>
      </c>
      <c r="R3241">
        <v>1638.43</v>
      </c>
      <c r="S3241" t="s">
        <v>39</v>
      </c>
    </row>
    <row r="3242" spans="1:19" x14ac:dyDescent="0.3">
      <c r="A3242" t="s">
        <v>3312</v>
      </c>
      <c r="B3242">
        <v>61</v>
      </c>
      <c r="C3242" t="s">
        <v>19</v>
      </c>
      <c r="D3242" t="s">
        <v>61</v>
      </c>
      <c r="E3242" s="1">
        <v>45099</v>
      </c>
      <c r="F3242" s="3">
        <v>45112</v>
      </c>
      <c r="G3242" t="s">
        <v>52</v>
      </c>
      <c r="H3242" t="s">
        <v>53</v>
      </c>
      <c r="I3242" t="s">
        <v>54</v>
      </c>
      <c r="J3242">
        <v>9000.2800000000007</v>
      </c>
      <c r="K3242">
        <v>13</v>
      </c>
      <c r="L3242" t="s">
        <v>24</v>
      </c>
      <c r="M3242" t="s">
        <v>59</v>
      </c>
      <c r="N3242" t="s">
        <v>55</v>
      </c>
      <c r="O3242" t="s">
        <v>37</v>
      </c>
      <c r="P3242" t="s">
        <v>45</v>
      </c>
      <c r="Q3242">
        <v>1</v>
      </c>
      <c r="R3242">
        <v>3457.58</v>
      </c>
      <c r="S3242" t="s">
        <v>29</v>
      </c>
    </row>
    <row r="3243" spans="1:19" x14ac:dyDescent="0.3">
      <c r="A3243" t="s">
        <v>3313</v>
      </c>
      <c r="B3243">
        <v>78</v>
      </c>
      <c r="C3243" t="s">
        <v>31</v>
      </c>
      <c r="D3243" t="s">
        <v>32</v>
      </c>
      <c r="E3243" s="1">
        <v>45729</v>
      </c>
      <c r="F3243" s="3">
        <v>45749</v>
      </c>
      <c r="G3243" t="s">
        <v>33</v>
      </c>
      <c r="H3243" t="s">
        <v>34</v>
      </c>
      <c r="I3243" t="s">
        <v>81</v>
      </c>
      <c r="J3243">
        <v>9139.23</v>
      </c>
      <c r="K3243">
        <v>20</v>
      </c>
      <c r="L3243" t="s">
        <v>24</v>
      </c>
      <c r="M3243" t="s">
        <v>25</v>
      </c>
      <c r="N3243" t="s">
        <v>44</v>
      </c>
      <c r="O3243" t="s">
        <v>56</v>
      </c>
      <c r="P3243" t="s">
        <v>50</v>
      </c>
      <c r="Q3243">
        <v>1</v>
      </c>
      <c r="R3243">
        <v>1708.1</v>
      </c>
      <c r="S3243" t="s">
        <v>29</v>
      </c>
    </row>
    <row r="3244" spans="1:19" x14ac:dyDescent="0.3">
      <c r="A3244" t="s">
        <v>3314</v>
      </c>
      <c r="B3244">
        <v>64</v>
      </c>
      <c r="C3244" t="s">
        <v>19</v>
      </c>
      <c r="D3244" t="s">
        <v>70</v>
      </c>
      <c r="E3244" s="1">
        <v>45171</v>
      </c>
      <c r="F3244" s="3">
        <v>45188</v>
      </c>
      <c r="G3244" t="s">
        <v>71</v>
      </c>
      <c r="H3244" t="s">
        <v>72</v>
      </c>
      <c r="I3244" t="s">
        <v>54</v>
      </c>
      <c r="J3244">
        <v>11459.11</v>
      </c>
      <c r="K3244">
        <v>17</v>
      </c>
      <c r="L3244" t="s">
        <v>36</v>
      </c>
      <c r="M3244" t="s">
        <v>25</v>
      </c>
      <c r="N3244" t="s">
        <v>55</v>
      </c>
      <c r="O3244" t="s">
        <v>49</v>
      </c>
      <c r="P3244" t="s">
        <v>50</v>
      </c>
      <c r="Q3244">
        <v>1</v>
      </c>
      <c r="R3244">
        <v>3647.94</v>
      </c>
      <c r="S3244" t="s">
        <v>39</v>
      </c>
    </row>
    <row r="3245" spans="1:19" x14ac:dyDescent="0.3">
      <c r="A3245" t="s">
        <v>3315</v>
      </c>
      <c r="B3245">
        <v>83</v>
      </c>
      <c r="C3245" t="s">
        <v>31</v>
      </c>
      <c r="D3245" t="s">
        <v>32</v>
      </c>
      <c r="E3245" s="1">
        <v>45731</v>
      </c>
      <c r="F3245" s="3">
        <v>45736</v>
      </c>
      <c r="G3245" t="s">
        <v>62</v>
      </c>
      <c r="H3245" t="s">
        <v>63</v>
      </c>
      <c r="I3245" t="s">
        <v>23</v>
      </c>
      <c r="J3245">
        <v>1911.02</v>
      </c>
      <c r="K3245">
        <v>5</v>
      </c>
      <c r="L3245" t="s">
        <v>36</v>
      </c>
      <c r="M3245" t="s">
        <v>25</v>
      </c>
      <c r="N3245" t="s">
        <v>26</v>
      </c>
      <c r="O3245" t="s">
        <v>27</v>
      </c>
      <c r="P3245" t="s">
        <v>38</v>
      </c>
      <c r="Q3245">
        <v>12</v>
      </c>
      <c r="R3245">
        <v>668.94</v>
      </c>
      <c r="S3245" t="s">
        <v>29</v>
      </c>
    </row>
    <row r="3246" spans="1:19" x14ac:dyDescent="0.3">
      <c r="A3246" t="s">
        <v>3316</v>
      </c>
      <c r="B3246">
        <v>46</v>
      </c>
      <c r="C3246" t="s">
        <v>19</v>
      </c>
      <c r="D3246" t="s">
        <v>61</v>
      </c>
      <c r="E3246" s="1">
        <v>45243</v>
      </c>
      <c r="F3246" s="3">
        <v>45265</v>
      </c>
      <c r="G3246" t="s">
        <v>71</v>
      </c>
      <c r="H3246" t="s">
        <v>72</v>
      </c>
      <c r="I3246" t="s">
        <v>91</v>
      </c>
      <c r="J3246">
        <v>13049.28</v>
      </c>
      <c r="K3246">
        <v>22</v>
      </c>
      <c r="L3246" t="s">
        <v>24</v>
      </c>
      <c r="M3246" t="s">
        <v>76</v>
      </c>
      <c r="N3246" t="s">
        <v>44</v>
      </c>
      <c r="O3246" t="s">
        <v>49</v>
      </c>
      <c r="P3246" t="s">
        <v>38</v>
      </c>
      <c r="Q3246">
        <v>8</v>
      </c>
      <c r="R3246">
        <v>4224.92</v>
      </c>
      <c r="S3246" t="s">
        <v>39</v>
      </c>
    </row>
    <row r="3247" spans="1:19" x14ac:dyDescent="0.3">
      <c r="A3247" t="s">
        <v>3317</v>
      </c>
      <c r="B3247">
        <v>42</v>
      </c>
      <c r="C3247" t="s">
        <v>31</v>
      </c>
      <c r="D3247" t="s">
        <v>20</v>
      </c>
      <c r="E3247" s="1">
        <v>45556</v>
      </c>
      <c r="F3247" s="3">
        <v>45557</v>
      </c>
      <c r="G3247" t="s">
        <v>52</v>
      </c>
      <c r="H3247" t="s">
        <v>53</v>
      </c>
      <c r="I3247" t="s">
        <v>43</v>
      </c>
      <c r="J3247">
        <v>1074.31</v>
      </c>
      <c r="K3247">
        <v>1</v>
      </c>
      <c r="L3247" t="s">
        <v>24</v>
      </c>
      <c r="M3247" t="s">
        <v>25</v>
      </c>
      <c r="N3247" t="s">
        <v>44</v>
      </c>
      <c r="O3247" t="s">
        <v>37</v>
      </c>
      <c r="P3247" t="s">
        <v>38</v>
      </c>
      <c r="Q3247">
        <v>15</v>
      </c>
      <c r="R3247">
        <v>422.21</v>
      </c>
      <c r="S3247" t="s">
        <v>29</v>
      </c>
    </row>
    <row r="3248" spans="1:19" x14ac:dyDescent="0.3">
      <c r="A3248" t="s">
        <v>3318</v>
      </c>
      <c r="B3248">
        <v>46</v>
      </c>
      <c r="C3248" t="s">
        <v>19</v>
      </c>
      <c r="D3248" t="s">
        <v>70</v>
      </c>
      <c r="E3248" s="1">
        <v>45080</v>
      </c>
      <c r="F3248" s="3">
        <v>45085</v>
      </c>
      <c r="G3248" t="s">
        <v>48</v>
      </c>
      <c r="H3248" t="s">
        <v>22</v>
      </c>
      <c r="I3248" t="s">
        <v>83</v>
      </c>
      <c r="J3248">
        <v>8698.2800000000007</v>
      </c>
      <c r="K3248">
        <v>5</v>
      </c>
      <c r="L3248" t="s">
        <v>36</v>
      </c>
      <c r="M3248" t="s">
        <v>25</v>
      </c>
      <c r="N3248" t="s">
        <v>44</v>
      </c>
      <c r="O3248" t="s">
        <v>49</v>
      </c>
      <c r="P3248" t="s">
        <v>28</v>
      </c>
      <c r="Q3248">
        <v>6</v>
      </c>
      <c r="R3248">
        <v>2911.13</v>
      </c>
      <c r="S3248" t="s">
        <v>29</v>
      </c>
    </row>
    <row r="3249" spans="1:19" x14ac:dyDescent="0.3">
      <c r="A3249" t="s">
        <v>3319</v>
      </c>
      <c r="B3249">
        <v>72</v>
      </c>
      <c r="C3249" t="s">
        <v>31</v>
      </c>
      <c r="D3249" t="s">
        <v>66</v>
      </c>
      <c r="E3249" s="1">
        <v>45476</v>
      </c>
      <c r="F3249" s="3">
        <v>45486</v>
      </c>
      <c r="G3249" t="s">
        <v>93</v>
      </c>
      <c r="H3249" t="s">
        <v>72</v>
      </c>
      <c r="I3249" t="s">
        <v>81</v>
      </c>
      <c r="J3249">
        <v>5773.42</v>
      </c>
      <c r="K3249">
        <v>10</v>
      </c>
      <c r="L3249" t="s">
        <v>24</v>
      </c>
      <c r="M3249" t="s">
        <v>25</v>
      </c>
      <c r="N3249" t="s">
        <v>26</v>
      </c>
      <c r="O3249" t="s">
        <v>56</v>
      </c>
      <c r="P3249" t="s">
        <v>45</v>
      </c>
      <c r="Q3249">
        <v>11</v>
      </c>
      <c r="R3249">
        <v>1896.26</v>
      </c>
      <c r="S3249" t="s">
        <v>29</v>
      </c>
    </row>
    <row r="3250" spans="1:19" x14ac:dyDescent="0.3">
      <c r="A3250" t="s">
        <v>3320</v>
      </c>
      <c r="B3250">
        <v>60</v>
      </c>
      <c r="C3250" t="s">
        <v>19</v>
      </c>
      <c r="D3250" t="s">
        <v>66</v>
      </c>
      <c r="E3250" s="1">
        <v>45535</v>
      </c>
      <c r="F3250" s="3">
        <v>45555</v>
      </c>
      <c r="G3250" t="s">
        <v>67</v>
      </c>
      <c r="H3250" t="s">
        <v>42</v>
      </c>
      <c r="I3250" t="s">
        <v>83</v>
      </c>
      <c r="J3250">
        <v>13932.64</v>
      </c>
      <c r="K3250">
        <v>20</v>
      </c>
      <c r="L3250" t="s">
        <v>36</v>
      </c>
      <c r="M3250" t="s">
        <v>101</v>
      </c>
      <c r="N3250" t="s">
        <v>26</v>
      </c>
      <c r="O3250" t="s">
        <v>56</v>
      </c>
      <c r="P3250" t="s">
        <v>28</v>
      </c>
      <c r="Q3250">
        <v>14</v>
      </c>
      <c r="R3250">
        <v>3229.42</v>
      </c>
      <c r="S3250" t="s">
        <v>29</v>
      </c>
    </row>
    <row r="3251" spans="1:19" x14ac:dyDescent="0.3">
      <c r="A3251" t="s">
        <v>3321</v>
      </c>
      <c r="B3251">
        <v>36</v>
      </c>
      <c r="C3251" t="s">
        <v>31</v>
      </c>
      <c r="D3251" t="s">
        <v>66</v>
      </c>
      <c r="E3251" s="1">
        <v>45794</v>
      </c>
      <c r="F3251" s="3">
        <v>45802</v>
      </c>
      <c r="G3251" t="s">
        <v>48</v>
      </c>
      <c r="H3251" t="s">
        <v>22</v>
      </c>
      <c r="I3251" t="s">
        <v>43</v>
      </c>
      <c r="J3251">
        <v>2251.4699999999998</v>
      </c>
      <c r="K3251">
        <v>8</v>
      </c>
      <c r="L3251" t="s">
        <v>36</v>
      </c>
      <c r="M3251" t="s">
        <v>25</v>
      </c>
      <c r="N3251" t="s">
        <v>26</v>
      </c>
      <c r="O3251" t="s">
        <v>37</v>
      </c>
      <c r="P3251" t="s">
        <v>28</v>
      </c>
      <c r="Q3251">
        <v>10</v>
      </c>
      <c r="R3251">
        <v>348.07</v>
      </c>
      <c r="S3251" t="s">
        <v>39</v>
      </c>
    </row>
    <row r="3252" spans="1:19" x14ac:dyDescent="0.3">
      <c r="A3252" t="s">
        <v>3322</v>
      </c>
      <c r="B3252">
        <v>65</v>
      </c>
      <c r="C3252" t="s">
        <v>31</v>
      </c>
      <c r="D3252" t="s">
        <v>47</v>
      </c>
      <c r="E3252" s="1">
        <v>45585</v>
      </c>
      <c r="F3252" s="3">
        <v>45598</v>
      </c>
      <c r="G3252" t="s">
        <v>33</v>
      </c>
      <c r="H3252" t="s">
        <v>34</v>
      </c>
      <c r="I3252" t="s">
        <v>58</v>
      </c>
      <c r="J3252">
        <v>5695.66</v>
      </c>
      <c r="K3252">
        <v>13</v>
      </c>
      <c r="L3252" t="s">
        <v>36</v>
      </c>
      <c r="M3252" t="s">
        <v>25</v>
      </c>
      <c r="N3252" t="s">
        <v>26</v>
      </c>
      <c r="O3252" t="s">
        <v>27</v>
      </c>
      <c r="P3252" t="s">
        <v>50</v>
      </c>
      <c r="Q3252">
        <v>11</v>
      </c>
      <c r="R3252">
        <v>1593</v>
      </c>
      <c r="S3252" t="s">
        <v>29</v>
      </c>
    </row>
    <row r="3253" spans="1:19" x14ac:dyDescent="0.3">
      <c r="A3253" t="s">
        <v>3323</v>
      </c>
      <c r="B3253">
        <v>25</v>
      </c>
      <c r="C3253" t="s">
        <v>19</v>
      </c>
      <c r="D3253" t="s">
        <v>61</v>
      </c>
      <c r="E3253" s="1">
        <v>45659</v>
      </c>
      <c r="F3253" s="3">
        <v>45665</v>
      </c>
      <c r="G3253" t="s">
        <v>93</v>
      </c>
      <c r="H3253" t="s">
        <v>72</v>
      </c>
      <c r="I3253" t="s">
        <v>81</v>
      </c>
      <c r="J3253">
        <v>1815.06</v>
      </c>
      <c r="K3253">
        <v>6</v>
      </c>
      <c r="L3253" t="s">
        <v>36</v>
      </c>
      <c r="M3253" t="s">
        <v>25</v>
      </c>
      <c r="N3253" t="s">
        <v>44</v>
      </c>
      <c r="O3253" t="s">
        <v>56</v>
      </c>
      <c r="P3253" t="s">
        <v>28</v>
      </c>
      <c r="Q3253">
        <v>5</v>
      </c>
      <c r="R3253">
        <v>430.33</v>
      </c>
      <c r="S3253" t="s">
        <v>29</v>
      </c>
    </row>
    <row r="3254" spans="1:19" x14ac:dyDescent="0.3">
      <c r="A3254" t="s">
        <v>3324</v>
      </c>
      <c r="B3254">
        <v>32</v>
      </c>
      <c r="C3254" t="s">
        <v>31</v>
      </c>
      <c r="D3254" t="s">
        <v>79</v>
      </c>
      <c r="E3254" s="1">
        <v>45071</v>
      </c>
      <c r="F3254" s="3">
        <v>45088</v>
      </c>
      <c r="G3254" t="s">
        <v>62</v>
      </c>
      <c r="H3254" t="s">
        <v>63</v>
      </c>
      <c r="I3254" t="s">
        <v>81</v>
      </c>
      <c r="J3254">
        <v>12204.51</v>
      </c>
      <c r="K3254">
        <v>17</v>
      </c>
      <c r="L3254" t="s">
        <v>24</v>
      </c>
      <c r="M3254" t="s">
        <v>25</v>
      </c>
      <c r="N3254" t="s">
        <v>55</v>
      </c>
      <c r="O3254" t="s">
        <v>49</v>
      </c>
      <c r="P3254" t="s">
        <v>28</v>
      </c>
      <c r="Q3254">
        <v>6</v>
      </c>
      <c r="R3254">
        <v>2601.38</v>
      </c>
      <c r="S3254" t="s">
        <v>29</v>
      </c>
    </row>
    <row r="3255" spans="1:19" x14ac:dyDescent="0.3">
      <c r="A3255" t="s">
        <v>3325</v>
      </c>
      <c r="B3255">
        <v>71</v>
      </c>
      <c r="C3255" t="s">
        <v>31</v>
      </c>
      <c r="D3255" t="s">
        <v>89</v>
      </c>
      <c r="E3255" s="1">
        <v>45309</v>
      </c>
      <c r="F3255" s="3">
        <v>45314</v>
      </c>
      <c r="G3255" t="s">
        <v>71</v>
      </c>
      <c r="H3255" t="s">
        <v>72</v>
      </c>
      <c r="I3255" t="s">
        <v>35</v>
      </c>
      <c r="J3255">
        <v>4125.1400000000003</v>
      </c>
      <c r="K3255">
        <v>5</v>
      </c>
      <c r="L3255" t="s">
        <v>24</v>
      </c>
      <c r="M3255" t="s">
        <v>25</v>
      </c>
      <c r="N3255" t="s">
        <v>55</v>
      </c>
      <c r="O3255" t="s">
        <v>27</v>
      </c>
      <c r="P3255" t="s">
        <v>45</v>
      </c>
      <c r="Q3255">
        <v>14</v>
      </c>
      <c r="R3255">
        <v>1202.01</v>
      </c>
      <c r="S3255" t="s">
        <v>29</v>
      </c>
    </row>
    <row r="3256" spans="1:19" x14ac:dyDescent="0.3">
      <c r="A3256" t="s">
        <v>3326</v>
      </c>
      <c r="B3256">
        <v>33</v>
      </c>
      <c r="C3256" t="s">
        <v>19</v>
      </c>
      <c r="D3256" t="s">
        <v>47</v>
      </c>
      <c r="E3256" s="1">
        <v>45533</v>
      </c>
      <c r="F3256" s="3">
        <v>45547</v>
      </c>
      <c r="G3256" t="s">
        <v>93</v>
      </c>
      <c r="H3256" t="s">
        <v>72</v>
      </c>
      <c r="I3256" t="s">
        <v>43</v>
      </c>
      <c r="J3256">
        <v>12145.6</v>
      </c>
      <c r="K3256">
        <v>14</v>
      </c>
      <c r="L3256" t="s">
        <v>24</v>
      </c>
      <c r="M3256" t="s">
        <v>59</v>
      </c>
      <c r="N3256" t="s">
        <v>55</v>
      </c>
      <c r="O3256" t="s">
        <v>49</v>
      </c>
      <c r="P3256" t="s">
        <v>38</v>
      </c>
      <c r="Q3256">
        <v>12</v>
      </c>
      <c r="R3256">
        <v>3171.98</v>
      </c>
      <c r="S3256" t="s">
        <v>29</v>
      </c>
    </row>
    <row r="3257" spans="1:19" x14ac:dyDescent="0.3">
      <c r="A3257" t="s">
        <v>3327</v>
      </c>
      <c r="B3257">
        <v>24</v>
      </c>
      <c r="C3257" t="s">
        <v>19</v>
      </c>
      <c r="D3257" t="s">
        <v>61</v>
      </c>
      <c r="E3257" s="1">
        <v>45387</v>
      </c>
      <c r="F3257" s="3">
        <v>45398</v>
      </c>
      <c r="G3257" t="s">
        <v>93</v>
      </c>
      <c r="H3257" t="s">
        <v>72</v>
      </c>
      <c r="I3257" t="s">
        <v>43</v>
      </c>
      <c r="J3257">
        <v>7050.63</v>
      </c>
      <c r="K3257">
        <v>11</v>
      </c>
      <c r="L3257" t="s">
        <v>24</v>
      </c>
      <c r="M3257" t="s">
        <v>25</v>
      </c>
      <c r="N3257" t="s">
        <v>44</v>
      </c>
      <c r="O3257" t="s">
        <v>37</v>
      </c>
      <c r="P3257" t="s">
        <v>28</v>
      </c>
      <c r="Q3257">
        <v>7</v>
      </c>
      <c r="R3257">
        <v>1251.4100000000001</v>
      </c>
      <c r="S3257" t="s">
        <v>29</v>
      </c>
    </row>
    <row r="3258" spans="1:19" x14ac:dyDescent="0.3">
      <c r="A3258" t="s">
        <v>3328</v>
      </c>
      <c r="B3258">
        <v>77</v>
      </c>
      <c r="C3258" t="s">
        <v>31</v>
      </c>
      <c r="D3258" t="s">
        <v>61</v>
      </c>
      <c r="E3258" s="1">
        <v>44954</v>
      </c>
      <c r="F3258" s="3">
        <v>44962</v>
      </c>
      <c r="G3258" t="s">
        <v>74</v>
      </c>
      <c r="H3258" t="s">
        <v>75</v>
      </c>
      <c r="I3258" t="s">
        <v>83</v>
      </c>
      <c r="J3258">
        <v>3495.51</v>
      </c>
      <c r="K3258">
        <v>8</v>
      </c>
      <c r="L3258" t="s">
        <v>36</v>
      </c>
      <c r="M3258" t="s">
        <v>101</v>
      </c>
      <c r="N3258" t="s">
        <v>55</v>
      </c>
      <c r="O3258" t="s">
        <v>56</v>
      </c>
      <c r="P3258" t="s">
        <v>50</v>
      </c>
      <c r="Q3258">
        <v>8</v>
      </c>
      <c r="R3258">
        <v>1357.36</v>
      </c>
      <c r="S3258" t="s">
        <v>39</v>
      </c>
    </row>
    <row r="3259" spans="1:19" x14ac:dyDescent="0.3">
      <c r="A3259" t="s">
        <v>3329</v>
      </c>
      <c r="B3259">
        <v>83</v>
      </c>
      <c r="C3259" t="s">
        <v>19</v>
      </c>
      <c r="D3259" t="s">
        <v>20</v>
      </c>
      <c r="E3259" s="1">
        <v>45240</v>
      </c>
      <c r="F3259" s="3">
        <v>45256</v>
      </c>
      <c r="G3259" t="s">
        <v>48</v>
      </c>
      <c r="H3259" t="s">
        <v>22</v>
      </c>
      <c r="I3259" t="s">
        <v>91</v>
      </c>
      <c r="J3259">
        <v>11585.84</v>
      </c>
      <c r="K3259">
        <v>16</v>
      </c>
      <c r="L3259" t="s">
        <v>24</v>
      </c>
      <c r="M3259" t="s">
        <v>25</v>
      </c>
      <c r="N3259" t="s">
        <v>55</v>
      </c>
      <c r="O3259" t="s">
        <v>56</v>
      </c>
      <c r="P3259" t="s">
        <v>50</v>
      </c>
      <c r="Q3259">
        <v>14</v>
      </c>
      <c r="R3259">
        <v>4542.91</v>
      </c>
      <c r="S3259" t="s">
        <v>29</v>
      </c>
    </row>
    <row r="3260" spans="1:19" x14ac:dyDescent="0.3">
      <c r="A3260" t="s">
        <v>3330</v>
      </c>
      <c r="B3260">
        <v>73</v>
      </c>
      <c r="C3260" t="s">
        <v>19</v>
      </c>
      <c r="D3260" t="s">
        <v>47</v>
      </c>
      <c r="E3260" s="1">
        <v>45433</v>
      </c>
      <c r="F3260" s="3">
        <v>45448</v>
      </c>
      <c r="G3260" t="s">
        <v>67</v>
      </c>
      <c r="H3260" t="s">
        <v>42</v>
      </c>
      <c r="I3260" t="s">
        <v>23</v>
      </c>
      <c r="J3260">
        <v>10062.209999999999</v>
      </c>
      <c r="K3260">
        <v>15</v>
      </c>
      <c r="L3260" t="s">
        <v>24</v>
      </c>
      <c r="M3260" t="s">
        <v>25</v>
      </c>
      <c r="N3260" t="s">
        <v>26</v>
      </c>
      <c r="O3260" t="s">
        <v>56</v>
      </c>
      <c r="P3260" t="s">
        <v>28</v>
      </c>
      <c r="Q3260">
        <v>8</v>
      </c>
      <c r="R3260">
        <v>1592.28</v>
      </c>
      <c r="S3260" t="s">
        <v>29</v>
      </c>
    </row>
    <row r="3261" spans="1:19" x14ac:dyDescent="0.3">
      <c r="A3261" t="s">
        <v>3331</v>
      </c>
      <c r="B3261">
        <v>56</v>
      </c>
      <c r="C3261" t="s">
        <v>19</v>
      </c>
      <c r="D3261" t="s">
        <v>89</v>
      </c>
      <c r="E3261" s="1">
        <v>45358</v>
      </c>
      <c r="F3261" s="3">
        <v>45375</v>
      </c>
      <c r="G3261" t="s">
        <v>62</v>
      </c>
      <c r="H3261" t="s">
        <v>63</v>
      </c>
      <c r="I3261" t="s">
        <v>23</v>
      </c>
      <c r="J3261">
        <v>10618.6</v>
      </c>
      <c r="K3261">
        <v>17</v>
      </c>
      <c r="L3261" t="s">
        <v>36</v>
      </c>
      <c r="M3261" t="s">
        <v>59</v>
      </c>
      <c r="N3261" t="s">
        <v>55</v>
      </c>
      <c r="O3261" t="s">
        <v>49</v>
      </c>
      <c r="P3261" t="s">
        <v>45</v>
      </c>
      <c r="Q3261">
        <v>11</v>
      </c>
      <c r="R3261">
        <v>2346.17</v>
      </c>
      <c r="S3261" t="s">
        <v>29</v>
      </c>
    </row>
    <row r="3262" spans="1:19" x14ac:dyDescent="0.3">
      <c r="A3262" t="s">
        <v>3332</v>
      </c>
      <c r="B3262">
        <v>60</v>
      </c>
      <c r="C3262" t="s">
        <v>19</v>
      </c>
      <c r="D3262" t="s">
        <v>61</v>
      </c>
      <c r="E3262" s="1">
        <v>45818</v>
      </c>
      <c r="F3262" s="3">
        <v>45844</v>
      </c>
      <c r="G3262" t="s">
        <v>33</v>
      </c>
      <c r="H3262" t="s">
        <v>34</v>
      </c>
      <c r="I3262" t="s">
        <v>35</v>
      </c>
      <c r="J3262">
        <v>22607.09</v>
      </c>
      <c r="K3262">
        <v>26</v>
      </c>
      <c r="L3262" t="s">
        <v>24</v>
      </c>
      <c r="M3262" t="s">
        <v>101</v>
      </c>
      <c r="N3262" t="s">
        <v>55</v>
      </c>
      <c r="O3262" t="s">
        <v>49</v>
      </c>
      <c r="P3262" t="s">
        <v>50</v>
      </c>
      <c r="Q3262">
        <v>9</v>
      </c>
      <c r="R3262">
        <v>8427.8799999999992</v>
      </c>
      <c r="S3262" t="s">
        <v>29</v>
      </c>
    </row>
    <row r="3263" spans="1:19" x14ac:dyDescent="0.3">
      <c r="A3263" t="s">
        <v>3333</v>
      </c>
      <c r="B3263">
        <v>75</v>
      </c>
      <c r="C3263" t="s">
        <v>31</v>
      </c>
      <c r="D3263" t="s">
        <v>79</v>
      </c>
      <c r="E3263" s="1">
        <v>44936</v>
      </c>
      <c r="F3263" s="3">
        <v>44950</v>
      </c>
      <c r="G3263" t="s">
        <v>41</v>
      </c>
      <c r="H3263" t="s">
        <v>42</v>
      </c>
      <c r="I3263" t="s">
        <v>58</v>
      </c>
      <c r="J3263">
        <v>4713.3100000000004</v>
      </c>
      <c r="K3263">
        <v>14</v>
      </c>
      <c r="L3263" t="s">
        <v>24</v>
      </c>
      <c r="M3263" t="s">
        <v>59</v>
      </c>
      <c r="N3263" t="s">
        <v>55</v>
      </c>
      <c r="O3263" t="s">
        <v>56</v>
      </c>
      <c r="P3263" t="s">
        <v>28</v>
      </c>
      <c r="Q3263">
        <v>10</v>
      </c>
      <c r="R3263">
        <v>1092.77</v>
      </c>
      <c r="S3263" t="s">
        <v>39</v>
      </c>
    </row>
    <row r="3264" spans="1:19" x14ac:dyDescent="0.3">
      <c r="A3264" t="s">
        <v>3334</v>
      </c>
      <c r="B3264">
        <v>29</v>
      </c>
      <c r="C3264" t="s">
        <v>31</v>
      </c>
      <c r="D3264" t="s">
        <v>32</v>
      </c>
      <c r="E3264" s="1">
        <v>44947</v>
      </c>
      <c r="F3264" s="3">
        <v>44959</v>
      </c>
      <c r="G3264" t="s">
        <v>93</v>
      </c>
      <c r="H3264" t="s">
        <v>72</v>
      </c>
      <c r="I3264" t="s">
        <v>54</v>
      </c>
      <c r="J3264">
        <v>6736.79</v>
      </c>
      <c r="K3264">
        <v>12</v>
      </c>
      <c r="L3264" t="s">
        <v>24</v>
      </c>
      <c r="M3264" t="s">
        <v>25</v>
      </c>
      <c r="N3264" t="s">
        <v>26</v>
      </c>
      <c r="O3264" t="s">
        <v>56</v>
      </c>
      <c r="P3264" t="s">
        <v>50</v>
      </c>
      <c r="Q3264">
        <v>10</v>
      </c>
      <c r="R3264">
        <v>2012.43</v>
      </c>
      <c r="S3264" t="s">
        <v>29</v>
      </c>
    </row>
    <row r="3265" spans="1:19" x14ac:dyDescent="0.3">
      <c r="A3265" t="s">
        <v>3335</v>
      </c>
      <c r="B3265">
        <v>52</v>
      </c>
      <c r="C3265" t="s">
        <v>31</v>
      </c>
      <c r="D3265" t="s">
        <v>79</v>
      </c>
      <c r="E3265" s="1">
        <v>45574</v>
      </c>
      <c r="F3265" s="3">
        <v>45582</v>
      </c>
      <c r="G3265" t="s">
        <v>52</v>
      </c>
      <c r="H3265" t="s">
        <v>53</v>
      </c>
      <c r="I3265" t="s">
        <v>23</v>
      </c>
      <c r="J3265">
        <v>7782.24</v>
      </c>
      <c r="K3265">
        <v>8</v>
      </c>
      <c r="L3265" t="s">
        <v>36</v>
      </c>
      <c r="M3265" t="s">
        <v>25</v>
      </c>
      <c r="N3265" t="s">
        <v>26</v>
      </c>
      <c r="O3265" t="s">
        <v>27</v>
      </c>
      <c r="P3265" t="s">
        <v>50</v>
      </c>
      <c r="Q3265">
        <v>1</v>
      </c>
      <c r="R3265">
        <v>1868.73</v>
      </c>
      <c r="S3265" t="s">
        <v>29</v>
      </c>
    </row>
    <row r="3266" spans="1:19" x14ac:dyDescent="0.3">
      <c r="A3266" t="s">
        <v>3336</v>
      </c>
      <c r="B3266">
        <v>89</v>
      </c>
      <c r="C3266" t="s">
        <v>19</v>
      </c>
      <c r="D3266" t="s">
        <v>79</v>
      </c>
      <c r="E3266" s="1">
        <v>45896</v>
      </c>
      <c r="F3266" s="3">
        <v>45905</v>
      </c>
      <c r="G3266" t="s">
        <v>48</v>
      </c>
      <c r="H3266" t="s">
        <v>22</v>
      </c>
      <c r="I3266" t="s">
        <v>54</v>
      </c>
      <c r="J3266">
        <v>8408.02</v>
      </c>
      <c r="K3266">
        <v>9</v>
      </c>
      <c r="L3266" t="s">
        <v>24</v>
      </c>
      <c r="M3266" t="s">
        <v>25</v>
      </c>
      <c r="N3266" t="s">
        <v>26</v>
      </c>
      <c r="O3266" t="s">
        <v>37</v>
      </c>
      <c r="P3266" t="s">
        <v>38</v>
      </c>
      <c r="Q3266">
        <v>14</v>
      </c>
      <c r="R3266">
        <v>2171.71</v>
      </c>
      <c r="S3266" t="s">
        <v>29</v>
      </c>
    </row>
    <row r="3267" spans="1:19" x14ac:dyDescent="0.3">
      <c r="A3267" t="s">
        <v>3337</v>
      </c>
      <c r="B3267">
        <v>58</v>
      </c>
      <c r="C3267" t="s">
        <v>31</v>
      </c>
      <c r="D3267" t="s">
        <v>20</v>
      </c>
      <c r="E3267" s="1">
        <v>45875</v>
      </c>
      <c r="F3267" s="3">
        <v>45876</v>
      </c>
      <c r="G3267" t="s">
        <v>33</v>
      </c>
      <c r="H3267" t="s">
        <v>34</v>
      </c>
      <c r="I3267" t="s">
        <v>81</v>
      </c>
      <c r="J3267">
        <v>3304.35</v>
      </c>
      <c r="K3267">
        <v>1</v>
      </c>
      <c r="L3267" t="s">
        <v>36</v>
      </c>
      <c r="M3267" t="s">
        <v>76</v>
      </c>
      <c r="N3267" t="s">
        <v>55</v>
      </c>
      <c r="O3267" t="s">
        <v>27</v>
      </c>
      <c r="P3267" t="s">
        <v>45</v>
      </c>
      <c r="Q3267">
        <v>4</v>
      </c>
      <c r="R3267">
        <v>1080.05</v>
      </c>
      <c r="S3267" t="s">
        <v>29</v>
      </c>
    </row>
    <row r="3268" spans="1:19" x14ac:dyDescent="0.3">
      <c r="A3268" t="s">
        <v>3338</v>
      </c>
      <c r="B3268">
        <v>41</v>
      </c>
      <c r="C3268" t="s">
        <v>31</v>
      </c>
      <c r="D3268" t="s">
        <v>79</v>
      </c>
      <c r="E3268" s="1">
        <v>45150</v>
      </c>
      <c r="F3268" s="3">
        <v>45162</v>
      </c>
      <c r="G3268" t="s">
        <v>48</v>
      </c>
      <c r="H3268" t="s">
        <v>22</v>
      </c>
      <c r="I3268" t="s">
        <v>81</v>
      </c>
      <c r="J3268">
        <v>3825</v>
      </c>
      <c r="K3268">
        <v>12</v>
      </c>
      <c r="L3268" t="s">
        <v>24</v>
      </c>
      <c r="M3268" t="s">
        <v>25</v>
      </c>
      <c r="N3268" t="s">
        <v>44</v>
      </c>
      <c r="O3268" t="s">
        <v>27</v>
      </c>
      <c r="P3268" t="s">
        <v>38</v>
      </c>
      <c r="Q3268">
        <v>3</v>
      </c>
      <c r="R3268">
        <v>1358.3</v>
      </c>
      <c r="S3268" t="s">
        <v>29</v>
      </c>
    </row>
    <row r="3269" spans="1:19" x14ac:dyDescent="0.3">
      <c r="A3269" t="s">
        <v>3339</v>
      </c>
      <c r="B3269">
        <v>25</v>
      </c>
      <c r="C3269" t="s">
        <v>31</v>
      </c>
      <c r="D3269" t="s">
        <v>70</v>
      </c>
      <c r="E3269" s="1">
        <v>45322</v>
      </c>
      <c r="F3269" s="3">
        <v>45336</v>
      </c>
      <c r="G3269" t="s">
        <v>21</v>
      </c>
      <c r="H3269" t="s">
        <v>22</v>
      </c>
      <c r="I3269" t="s">
        <v>23</v>
      </c>
      <c r="J3269">
        <v>8269.1</v>
      </c>
      <c r="K3269">
        <v>14</v>
      </c>
      <c r="L3269" t="s">
        <v>36</v>
      </c>
      <c r="M3269" t="s">
        <v>25</v>
      </c>
      <c r="N3269" t="s">
        <v>44</v>
      </c>
      <c r="O3269" t="s">
        <v>56</v>
      </c>
      <c r="P3269" t="s">
        <v>50</v>
      </c>
      <c r="Q3269">
        <v>14</v>
      </c>
      <c r="R3269">
        <v>2994.74</v>
      </c>
      <c r="S3269" t="s">
        <v>29</v>
      </c>
    </row>
    <row r="3270" spans="1:19" x14ac:dyDescent="0.3">
      <c r="A3270" t="s">
        <v>3340</v>
      </c>
      <c r="B3270">
        <v>29</v>
      </c>
      <c r="C3270" t="s">
        <v>31</v>
      </c>
      <c r="D3270" t="s">
        <v>66</v>
      </c>
      <c r="E3270" s="1">
        <v>45286</v>
      </c>
      <c r="F3270" s="3">
        <v>45306</v>
      </c>
      <c r="G3270" t="s">
        <v>41</v>
      </c>
      <c r="H3270" t="s">
        <v>42</v>
      </c>
      <c r="I3270" t="s">
        <v>81</v>
      </c>
      <c r="J3270">
        <v>10276.34</v>
      </c>
      <c r="K3270">
        <v>20</v>
      </c>
      <c r="L3270" t="s">
        <v>24</v>
      </c>
      <c r="M3270" t="s">
        <v>25</v>
      </c>
      <c r="N3270" t="s">
        <v>26</v>
      </c>
      <c r="O3270" t="s">
        <v>37</v>
      </c>
      <c r="P3270" t="s">
        <v>28</v>
      </c>
      <c r="Q3270">
        <v>1</v>
      </c>
      <c r="R3270">
        <v>2248.88</v>
      </c>
      <c r="S3270" t="s">
        <v>29</v>
      </c>
    </row>
    <row r="3271" spans="1:19" x14ac:dyDescent="0.3">
      <c r="A3271" t="s">
        <v>3341</v>
      </c>
      <c r="B3271">
        <v>22</v>
      </c>
      <c r="C3271" t="s">
        <v>19</v>
      </c>
      <c r="D3271" t="s">
        <v>79</v>
      </c>
      <c r="E3271" s="1">
        <v>45634</v>
      </c>
      <c r="F3271" s="3">
        <v>45652</v>
      </c>
      <c r="G3271" t="s">
        <v>48</v>
      </c>
      <c r="H3271" t="s">
        <v>22</v>
      </c>
      <c r="I3271" t="s">
        <v>91</v>
      </c>
      <c r="J3271">
        <v>7274.93</v>
      </c>
      <c r="K3271">
        <v>18</v>
      </c>
      <c r="L3271" t="s">
        <v>24</v>
      </c>
      <c r="M3271" t="s">
        <v>25</v>
      </c>
      <c r="N3271" t="s">
        <v>26</v>
      </c>
      <c r="O3271" t="s">
        <v>27</v>
      </c>
      <c r="P3271" t="s">
        <v>50</v>
      </c>
      <c r="Q3271">
        <v>6</v>
      </c>
      <c r="R3271">
        <v>2283.2399999999998</v>
      </c>
      <c r="S3271" t="s">
        <v>29</v>
      </c>
    </row>
    <row r="3272" spans="1:19" x14ac:dyDescent="0.3">
      <c r="A3272" t="s">
        <v>3342</v>
      </c>
      <c r="B3272">
        <v>20</v>
      </c>
      <c r="C3272" t="s">
        <v>19</v>
      </c>
      <c r="D3272" t="s">
        <v>20</v>
      </c>
      <c r="E3272" s="1">
        <v>45411</v>
      </c>
      <c r="F3272" s="3">
        <v>45426</v>
      </c>
      <c r="G3272" t="s">
        <v>71</v>
      </c>
      <c r="H3272" t="s">
        <v>72</v>
      </c>
      <c r="I3272" t="s">
        <v>83</v>
      </c>
      <c r="J3272">
        <v>6843.62</v>
      </c>
      <c r="K3272">
        <v>15</v>
      </c>
      <c r="L3272" t="s">
        <v>24</v>
      </c>
      <c r="M3272" t="s">
        <v>25</v>
      </c>
      <c r="N3272" t="s">
        <v>55</v>
      </c>
      <c r="O3272" t="s">
        <v>56</v>
      </c>
      <c r="P3272" t="s">
        <v>28</v>
      </c>
      <c r="Q3272">
        <v>13</v>
      </c>
      <c r="R3272">
        <v>2424.94</v>
      </c>
      <c r="S3272" t="s">
        <v>29</v>
      </c>
    </row>
    <row r="3273" spans="1:19" x14ac:dyDescent="0.3">
      <c r="A3273" t="s">
        <v>3343</v>
      </c>
      <c r="B3273">
        <v>63</v>
      </c>
      <c r="C3273" t="s">
        <v>31</v>
      </c>
      <c r="D3273" t="s">
        <v>79</v>
      </c>
      <c r="E3273" s="1">
        <v>45154</v>
      </c>
      <c r="F3273" s="3">
        <v>45164</v>
      </c>
      <c r="G3273" t="s">
        <v>41</v>
      </c>
      <c r="H3273" t="s">
        <v>42</v>
      </c>
      <c r="I3273" t="s">
        <v>35</v>
      </c>
      <c r="J3273">
        <v>3217.68</v>
      </c>
      <c r="K3273">
        <v>10</v>
      </c>
      <c r="L3273" t="s">
        <v>36</v>
      </c>
      <c r="M3273" t="s">
        <v>25</v>
      </c>
      <c r="N3273" t="s">
        <v>55</v>
      </c>
      <c r="O3273" t="s">
        <v>37</v>
      </c>
      <c r="P3273" t="s">
        <v>38</v>
      </c>
      <c r="Q3273">
        <v>8</v>
      </c>
      <c r="R3273">
        <v>1233.8</v>
      </c>
      <c r="S3273" t="s">
        <v>29</v>
      </c>
    </row>
    <row r="3274" spans="1:19" x14ac:dyDescent="0.3">
      <c r="A3274" t="s">
        <v>3344</v>
      </c>
      <c r="B3274">
        <v>24</v>
      </c>
      <c r="C3274" t="s">
        <v>19</v>
      </c>
      <c r="D3274" t="s">
        <v>20</v>
      </c>
      <c r="E3274" s="1">
        <v>45083</v>
      </c>
      <c r="F3274" s="3">
        <v>45087</v>
      </c>
      <c r="G3274" t="s">
        <v>21</v>
      </c>
      <c r="H3274" t="s">
        <v>22</v>
      </c>
      <c r="I3274" t="s">
        <v>58</v>
      </c>
      <c r="J3274">
        <v>2578.56</v>
      </c>
      <c r="K3274">
        <v>4</v>
      </c>
      <c r="L3274" t="s">
        <v>36</v>
      </c>
      <c r="M3274" t="s">
        <v>25</v>
      </c>
      <c r="N3274" t="s">
        <v>55</v>
      </c>
      <c r="O3274" t="s">
        <v>27</v>
      </c>
      <c r="P3274" t="s">
        <v>28</v>
      </c>
      <c r="Q3274">
        <v>11</v>
      </c>
      <c r="R3274">
        <v>724.94</v>
      </c>
      <c r="S3274" t="s">
        <v>29</v>
      </c>
    </row>
    <row r="3275" spans="1:19" x14ac:dyDescent="0.3">
      <c r="A3275" t="s">
        <v>3345</v>
      </c>
      <c r="B3275">
        <v>36</v>
      </c>
      <c r="C3275" t="s">
        <v>31</v>
      </c>
      <c r="D3275" t="s">
        <v>79</v>
      </c>
      <c r="E3275" s="1">
        <v>45633</v>
      </c>
      <c r="F3275" s="3">
        <v>45636</v>
      </c>
      <c r="G3275" t="s">
        <v>74</v>
      </c>
      <c r="H3275" t="s">
        <v>75</v>
      </c>
      <c r="I3275" t="s">
        <v>81</v>
      </c>
      <c r="J3275">
        <v>2331.4</v>
      </c>
      <c r="K3275">
        <v>3</v>
      </c>
      <c r="L3275" t="s">
        <v>24</v>
      </c>
      <c r="M3275" t="s">
        <v>25</v>
      </c>
      <c r="N3275" t="s">
        <v>44</v>
      </c>
      <c r="O3275" t="s">
        <v>37</v>
      </c>
      <c r="P3275" t="s">
        <v>28</v>
      </c>
      <c r="Q3275">
        <v>5</v>
      </c>
      <c r="R3275">
        <v>814.73</v>
      </c>
      <c r="S3275" t="s">
        <v>29</v>
      </c>
    </row>
    <row r="3276" spans="1:19" x14ac:dyDescent="0.3">
      <c r="A3276" t="s">
        <v>3346</v>
      </c>
      <c r="B3276">
        <v>43</v>
      </c>
      <c r="C3276" t="s">
        <v>19</v>
      </c>
      <c r="D3276" t="s">
        <v>20</v>
      </c>
      <c r="E3276" s="1">
        <v>45014</v>
      </c>
      <c r="F3276" s="3">
        <v>45033</v>
      </c>
      <c r="G3276" t="s">
        <v>93</v>
      </c>
      <c r="H3276" t="s">
        <v>72</v>
      </c>
      <c r="I3276" t="s">
        <v>23</v>
      </c>
      <c r="J3276">
        <v>12107.74</v>
      </c>
      <c r="K3276">
        <v>19</v>
      </c>
      <c r="L3276" t="s">
        <v>36</v>
      </c>
      <c r="M3276" t="s">
        <v>25</v>
      </c>
      <c r="N3276" t="s">
        <v>55</v>
      </c>
      <c r="O3276" t="s">
        <v>27</v>
      </c>
      <c r="P3276" t="s">
        <v>38</v>
      </c>
      <c r="Q3276">
        <v>15</v>
      </c>
      <c r="R3276">
        <v>2262.21</v>
      </c>
      <c r="S3276" t="s">
        <v>29</v>
      </c>
    </row>
    <row r="3277" spans="1:19" x14ac:dyDescent="0.3">
      <c r="A3277" t="s">
        <v>3347</v>
      </c>
      <c r="B3277">
        <v>74</v>
      </c>
      <c r="C3277" t="s">
        <v>19</v>
      </c>
      <c r="D3277" t="s">
        <v>66</v>
      </c>
      <c r="E3277" s="1">
        <v>45016</v>
      </c>
      <c r="F3277" s="3">
        <v>45033</v>
      </c>
      <c r="G3277" t="s">
        <v>33</v>
      </c>
      <c r="H3277" t="s">
        <v>34</v>
      </c>
      <c r="I3277" t="s">
        <v>23</v>
      </c>
      <c r="J3277">
        <v>5002.43</v>
      </c>
      <c r="K3277">
        <v>17</v>
      </c>
      <c r="L3277" t="s">
        <v>36</v>
      </c>
      <c r="M3277" t="s">
        <v>25</v>
      </c>
      <c r="N3277" t="s">
        <v>55</v>
      </c>
      <c r="O3277" t="s">
        <v>27</v>
      </c>
      <c r="P3277" t="s">
        <v>38</v>
      </c>
      <c r="Q3277">
        <v>15</v>
      </c>
      <c r="R3277">
        <v>1332.89</v>
      </c>
      <c r="S3277" t="s">
        <v>29</v>
      </c>
    </row>
    <row r="3278" spans="1:19" x14ac:dyDescent="0.3">
      <c r="A3278" t="s">
        <v>3348</v>
      </c>
      <c r="B3278">
        <v>46</v>
      </c>
      <c r="C3278" t="s">
        <v>31</v>
      </c>
      <c r="D3278" t="s">
        <v>32</v>
      </c>
      <c r="E3278" s="1">
        <v>45461</v>
      </c>
      <c r="F3278" s="3">
        <v>45465</v>
      </c>
      <c r="G3278" t="s">
        <v>21</v>
      </c>
      <c r="H3278" t="s">
        <v>22</v>
      </c>
      <c r="I3278" t="s">
        <v>54</v>
      </c>
      <c r="J3278">
        <v>4168.47</v>
      </c>
      <c r="K3278">
        <v>4</v>
      </c>
      <c r="L3278" t="s">
        <v>36</v>
      </c>
      <c r="M3278" t="s">
        <v>25</v>
      </c>
      <c r="N3278" t="s">
        <v>44</v>
      </c>
      <c r="O3278" t="s">
        <v>37</v>
      </c>
      <c r="P3278" t="s">
        <v>28</v>
      </c>
      <c r="Q3278">
        <v>10</v>
      </c>
      <c r="R3278">
        <v>1421.58</v>
      </c>
      <c r="S3278" t="s">
        <v>29</v>
      </c>
    </row>
    <row r="3279" spans="1:19" x14ac:dyDescent="0.3">
      <c r="A3279" t="s">
        <v>3349</v>
      </c>
      <c r="B3279">
        <v>42</v>
      </c>
      <c r="C3279" t="s">
        <v>31</v>
      </c>
      <c r="D3279" t="s">
        <v>47</v>
      </c>
      <c r="E3279" s="1">
        <v>45339</v>
      </c>
      <c r="F3279" s="3">
        <v>45349</v>
      </c>
      <c r="G3279" t="s">
        <v>52</v>
      </c>
      <c r="H3279" t="s">
        <v>53</v>
      </c>
      <c r="I3279" t="s">
        <v>83</v>
      </c>
      <c r="J3279">
        <v>7163.54</v>
      </c>
      <c r="K3279">
        <v>10</v>
      </c>
      <c r="L3279" t="s">
        <v>36</v>
      </c>
      <c r="M3279" t="s">
        <v>25</v>
      </c>
      <c r="N3279" t="s">
        <v>55</v>
      </c>
      <c r="O3279" t="s">
        <v>37</v>
      </c>
      <c r="P3279" t="s">
        <v>45</v>
      </c>
      <c r="Q3279">
        <v>3</v>
      </c>
      <c r="R3279">
        <v>2728.71</v>
      </c>
      <c r="S3279" t="s">
        <v>29</v>
      </c>
    </row>
    <row r="3280" spans="1:19" x14ac:dyDescent="0.3">
      <c r="A3280" t="s">
        <v>3350</v>
      </c>
      <c r="B3280">
        <v>31</v>
      </c>
      <c r="C3280" t="s">
        <v>31</v>
      </c>
      <c r="D3280" t="s">
        <v>32</v>
      </c>
      <c r="E3280" s="1">
        <v>45092</v>
      </c>
      <c r="F3280" s="3">
        <v>45111</v>
      </c>
      <c r="G3280" t="s">
        <v>67</v>
      </c>
      <c r="H3280" t="s">
        <v>42</v>
      </c>
      <c r="I3280" t="s">
        <v>83</v>
      </c>
      <c r="J3280">
        <v>16857.14</v>
      </c>
      <c r="K3280">
        <v>19</v>
      </c>
      <c r="L3280" t="s">
        <v>36</v>
      </c>
      <c r="M3280" t="s">
        <v>59</v>
      </c>
      <c r="N3280" t="s">
        <v>26</v>
      </c>
      <c r="O3280" t="s">
        <v>49</v>
      </c>
      <c r="P3280" t="s">
        <v>28</v>
      </c>
      <c r="Q3280">
        <v>1</v>
      </c>
      <c r="R3280">
        <v>3976.77</v>
      </c>
      <c r="S3280" t="s">
        <v>29</v>
      </c>
    </row>
    <row r="3281" spans="1:19" x14ac:dyDescent="0.3">
      <c r="A3281" t="s">
        <v>3351</v>
      </c>
      <c r="B3281">
        <v>39</v>
      </c>
      <c r="C3281" t="s">
        <v>31</v>
      </c>
      <c r="D3281" t="s">
        <v>61</v>
      </c>
      <c r="E3281" s="1">
        <v>45421</v>
      </c>
      <c r="F3281" s="3">
        <v>45433</v>
      </c>
      <c r="G3281" t="s">
        <v>67</v>
      </c>
      <c r="H3281" t="s">
        <v>42</v>
      </c>
      <c r="I3281" t="s">
        <v>35</v>
      </c>
      <c r="J3281">
        <v>8560.74</v>
      </c>
      <c r="K3281">
        <v>12</v>
      </c>
      <c r="L3281" t="s">
        <v>36</v>
      </c>
      <c r="M3281" t="s">
        <v>25</v>
      </c>
      <c r="N3281" t="s">
        <v>26</v>
      </c>
      <c r="O3281" t="s">
        <v>56</v>
      </c>
      <c r="P3281" t="s">
        <v>28</v>
      </c>
      <c r="Q3281">
        <v>7</v>
      </c>
      <c r="R3281">
        <v>1955.49</v>
      </c>
      <c r="S3281" t="s">
        <v>29</v>
      </c>
    </row>
    <row r="3282" spans="1:19" x14ac:dyDescent="0.3">
      <c r="A3282" t="s">
        <v>3352</v>
      </c>
      <c r="B3282">
        <v>55</v>
      </c>
      <c r="C3282" t="s">
        <v>19</v>
      </c>
      <c r="D3282" t="s">
        <v>20</v>
      </c>
      <c r="E3282" s="1">
        <v>45681</v>
      </c>
      <c r="F3282" s="3">
        <v>45701</v>
      </c>
      <c r="G3282" t="s">
        <v>74</v>
      </c>
      <c r="H3282" t="s">
        <v>75</v>
      </c>
      <c r="I3282" t="s">
        <v>35</v>
      </c>
      <c r="J3282">
        <v>13693.81</v>
      </c>
      <c r="K3282">
        <v>20</v>
      </c>
      <c r="L3282" t="s">
        <v>36</v>
      </c>
      <c r="M3282" t="s">
        <v>25</v>
      </c>
      <c r="N3282" t="s">
        <v>26</v>
      </c>
      <c r="O3282" t="s">
        <v>37</v>
      </c>
      <c r="P3282" t="s">
        <v>45</v>
      </c>
      <c r="Q3282">
        <v>4</v>
      </c>
      <c r="R3282">
        <v>3664.52</v>
      </c>
      <c r="S3282" t="s">
        <v>29</v>
      </c>
    </row>
    <row r="3283" spans="1:19" x14ac:dyDescent="0.3">
      <c r="A3283" t="s">
        <v>3353</v>
      </c>
      <c r="B3283">
        <v>20</v>
      </c>
      <c r="C3283" t="s">
        <v>19</v>
      </c>
      <c r="D3283" t="s">
        <v>20</v>
      </c>
      <c r="E3283" s="1">
        <v>45082</v>
      </c>
      <c r="F3283" s="3">
        <v>45090</v>
      </c>
      <c r="G3283" t="s">
        <v>62</v>
      </c>
      <c r="H3283" t="s">
        <v>63</v>
      </c>
      <c r="I3283" t="s">
        <v>35</v>
      </c>
      <c r="J3283">
        <v>5132.26</v>
      </c>
      <c r="K3283">
        <v>8</v>
      </c>
      <c r="L3283" t="s">
        <v>24</v>
      </c>
      <c r="M3283" t="s">
        <v>59</v>
      </c>
      <c r="N3283" t="s">
        <v>44</v>
      </c>
      <c r="O3283" t="s">
        <v>27</v>
      </c>
      <c r="P3283" t="s">
        <v>45</v>
      </c>
      <c r="Q3283">
        <v>7</v>
      </c>
      <c r="R3283">
        <v>1306.8</v>
      </c>
      <c r="S3283" t="s">
        <v>29</v>
      </c>
    </row>
    <row r="3284" spans="1:19" x14ac:dyDescent="0.3">
      <c r="A3284" t="s">
        <v>3354</v>
      </c>
      <c r="B3284">
        <v>63</v>
      </c>
      <c r="C3284" t="s">
        <v>31</v>
      </c>
      <c r="D3284" t="s">
        <v>61</v>
      </c>
      <c r="E3284" s="1">
        <v>44991</v>
      </c>
      <c r="F3284" s="3">
        <v>44996</v>
      </c>
      <c r="G3284" t="s">
        <v>62</v>
      </c>
      <c r="H3284" t="s">
        <v>63</v>
      </c>
      <c r="I3284" t="s">
        <v>81</v>
      </c>
      <c r="J3284">
        <v>7685.94</v>
      </c>
      <c r="K3284">
        <v>5</v>
      </c>
      <c r="L3284" t="s">
        <v>36</v>
      </c>
      <c r="M3284" t="s">
        <v>25</v>
      </c>
      <c r="N3284" t="s">
        <v>55</v>
      </c>
      <c r="O3284" t="s">
        <v>49</v>
      </c>
      <c r="P3284" t="s">
        <v>28</v>
      </c>
      <c r="Q3284">
        <v>14</v>
      </c>
      <c r="R3284">
        <v>1903.52</v>
      </c>
      <c r="S3284" t="s">
        <v>29</v>
      </c>
    </row>
    <row r="3285" spans="1:19" x14ac:dyDescent="0.3">
      <c r="A3285" t="s">
        <v>3355</v>
      </c>
      <c r="B3285">
        <v>54</v>
      </c>
      <c r="C3285" t="s">
        <v>19</v>
      </c>
      <c r="D3285" t="s">
        <v>32</v>
      </c>
      <c r="E3285" s="1">
        <v>45718</v>
      </c>
      <c r="F3285" s="3">
        <v>45730</v>
      </c>
      <c r="G3285" t="s">
        <v>93</v>
      </c>
      <c r="H3285" t="s">
        <v>72</v>
      </c>
      <c r="I3285" t="s">
        <v>43</v>
      </c>
      <c r="J3285">
        <v>9106.2999999999993</v>
      </c>
      <c r="K3285">
        <v>12</v>
      </c>
      <c r="L3285" t="s">
        <v>36</v>
      </c>
      <c r="M3285" t="s">
        <v>59</v>
      </c>
      <c r="N3285" t="s">
        <v>55</v>
      </c>
      <c r="O3285" t="s">
        <v>27</v>
      </c>
      <c r="P3285" t="s">
        <v>28</v>
      </c>
      <c r="Q3285">
        <v>4</v>
      </c>
      <c r="R3285">
        <v>1454.49</v>
      </c>
      <c r="S3285" t="s">
        <v>29</v>
      </c>
    </row>
    <row r="3286" spans="1:19" x14ac:dyDescent="0.3">
      <c r="A3286" t="s">
        <v>3356</v>
      </c>
      <c r="B3286">
        <v>66</v>
      </c>
      <c r="C3286" t="s">
        <v>31</v>
      </c>
      <c r="D3286" t="s">
        <v>20</v>
      </c>
      <c r="E3286" s="1">
        <v>45794</v>
      </c>
      <c r="F3286" s="3">
        <v>45801</v>
      </c>
      <c r="G3286" t="s">
        <v>67</v>
      </c>
      <c r="H3286" t="s">
        <v>42</v>
      </c>
      <c r="I3286" t="s">
        <v>83</v>
      </c>
      <c r="J3286">
        <v>5400.15</v>
      </c>
      <c r="K3286">
        <v>7</v>
      </c>
      <c r="L3286" t="s">
        <v>36</v>
      </c>
      <c r="M3286" t="s">
        <v>25</v>
      </c>
      <c r="N3286" t="s">
        <v>26</v>
      </c>
      <c r="O3286" t="s">
        <v>37</v>
      </c>
      <c r="P3286" t="s">
        <v>50</v>
      </c>
      <c r="Q3286">
        <v>3</v>
      </c>
      <c r="R3286">
        <v>2143.2199999999998</v>
      </c>
      <c r="S3286" t="s">
        <v>29</v>
      </c>
    </row>
    <row r="3287" spans="1:19" x14ac:dyDescent="0.3">
      <c r="A3287" t="s">
        <v>3357</v>
      </c>
      <c r="B3287">
        <v>83</v>
      </c>
      <c r="C3287" t="s">
        <v>19</v>
      </c>
      <c r="D3287" t="s">
        <v>32</v>
      </c>
      <c r="E3287" s="1">
        <v>45024</v>
      </c>
      <c r="F3287" s="3">
        <v>45041</v>
      </c>
      <c r="G3287" t="s">
        <v>48</v>
      </c>
      <c r="H3287" t="s">
        <v>22</v>
      </c>
      <c r="I3287" t="s">
        <v>54</v>
      </c>
      <c r="J3287">
        <v>12870.38</v>
      </c>
      <c r="K3287">
        <v>17</v>
      </c>
      <c r="L3287" t="s">
        <v>24</v>
      </c>
      <c r="M3287" t="s">
        <v>59</v>
      </c>
      <c r="N3287" t="s">
        <v>26</v>
      </c>
      <c r="O3287" t="s">
        <v>27</v>
      </c>
      <c r="P3287" t="s">
        <v>28</v>
      </c>
      <c r="Q3287">
        <v>4</v>
      </c>
      <c r="R3287">
        <v>3471.26</v>
      </c>
      <c r="S3287" t="s">
        <v>29</v>
      </c>
    </row>
    <row r="3288" spans="1:19" x14ac:dyDescent="0.3">
      <c r="A3288" t="s">
        <v>3358</v>
      </c>
      <c r="B3288">
        <v>35</v>
      </c>
      <c r="C3288" t="s">
        <v>19</v>
      </c>
      <c r="D3288" t="s">
        <v>79</v>
      </c>
      <c r="E3288" s="1">
        <v>45721</v>
      </c>
      <c r="F3288" s="3">
        <v>45727</v>
      </c>
      <c r="G3288" t="s">
        <v>93</v>
      </c>
      <c r="H3288" t="s">
        <v>72</v>
      </c>
      <c r="I3288" t="s">
        <v>83</v>
      </c>
      <c r="J3288">
        <v>9829.67</v>
      </c>
      <c r="K3288">
        <v>6</v>
      </c>
      <c r="L3288" t="s">
        <v>24</v>
      </c>
      <c r="M3288" t="s">
        <v>25</v>
      </c>
      <c r="N3288" t="s">
        <v>55</v>
      </c>
      <c r="O3288" t="s">
        <v>49</v>
      </c>
      <c r="P3288" t="s">
        <v>45</v>
      </c>
      <c r="Q3288">
        <v>14</v>
      </c>
      <c r="R3288">
        <v>1672.31</v>
      </c>
      <c r="S3288" t="s">
        <v>29</v>
      </c>
    </row>
    <row r="3289" spans="1:19" x14ac:dyDescent="0.3">
      <c r="A3289" t="s">
        <v>3359</v>
      </c>
      <c r="B3289">
        <v>77</v>
      </c>
      <c r="C3289" t="s">
        <v>31</v>
      </c>
      <c r="D3289" t="s">
        <v>32</v>
      </c>
      <c r="E3289" s="1">
        <v>45753</v>
      </c>
      <c r="F3289" s="3">
        <v>45771</v>
      </c>
      <c r="G3289" t="s">
        <v>74</v>
      </c>
      <c r="H3289" t="s">
        <v>75</v>
      </c>
      <c r="I3289" t="s">
        <v>83</v>
      </c>
      <c r="J3289">
        <v>13797.7</v>
      </c>
      <c r="K3289">
        <v>18</v>
      </c>
      <c r="L3289" t="s">
        <v>24</v>
      </c>
      <c r="M3289" t="s">
        <v>25</v>
      </c>
      <c r="N3289" t="s">
        <v>26</v>
      </c>
      <c r="O3289" t="s">
        <v>37</v>
      </c>
      <c r="P3289" t="s">
        <v>28</v>
      </c>
      <c r="Q3289">
        <v>14</v>
      </c>
      <c r="R3289">
        <v>3438.45</v>
      </c>
      <c r="S3289" t="s">
        <v>29</v>
      </c>
    </row>
    <row r="3290" spans="1:19" x14ac:dyDescent="0.3">
      <c r="A3290" t="s">
        <v>3360</v>
      </c>
      <c r="B3290">
        <v>69</v>
      </c>
      <c r="C3290" t="s">
        <v>31</v>
      </c>
      <c r="D3290" t="s">
        <v>20</v>
      </c>
      <c r="E3290" s="1">
        <v>45087</v>
      </c>
      <c r="F3290" s="3">
        <v>45101</v>
      </c>
      <c r="G3290" t="s">
        <v>33</v>
      </c>
      <c r="H3290" t="s">
        <v>34</v>
      </c>
      <c r="I3290" t="s">
        <v>54</v>
      </c>
      <c r="J3290">
        <v>8327.61</v>
      </c>
      <c r="K3290">
        <v>14</v>
      </c>
      <c r="L3290" t="s">
        <v>36</v>
      </c>
      <c r="M3290" t="s">
        <v>25</v>
      </c>
      <c r="N3290" t="s">
        <v>26</v>
      </c>
      <c r="O3290" t="s">
        <v>27</v>
      </c>
      <c r="P3290" t="s">
        <v>45</v>
      </c>
      <c r="Q3290">
        <v>13</v>
      </c>
      <c r="R3290">
        <v>2474.87</v>
      </c>
      <c r="S3290" t="s">
        <v>29</v>
      </c>
    </row>
    <row r="3291" spans="1:19" x14ac:dyDescent="0.3">
      <c r="A3291" t="s">
        <v>3361</v>
      </c>
      <c r="B3291">
        <v>18</v>
      </c>
      <c r="C3291" t="s">
        <v>31</v>
      </c>
      <c r="D3291" t="s">
        <v>61</v>
      </c>
      <c r="E3291" s="1">
        <v>45588</v>
      </c>
      <c r="F3291" s="3">
        <v>45599</v>
      </c>
      <c r="G3291" t="s">
        <v>41</v>
      </c>
      <c r="H3291" t="s">
        <v>42</v>
      </c>
      <c r="I3291" t="s">
        <v>91</v>
      </c>
      <c r="J3291">
        <v>10139.6</v>
      </c>
      <c r="K3291">
        <v>11</v>
      </c>
      <c r="L3291" t="s">
        <v>24</v>
      </c>
      <c r="M3291" t="s">
        <v>25</v>
      </c>
      <c r="N3291" t="s">
        <v>26</v>
      </c>
      <c r="O3291" t="s">
        <v>56</v>
      </c>
      <c r="P3291" t="s">
        <v>38</v>
      </c>
      <c r="Q3291">
        <v>9</v>
      </c>
      <c r="R3291">
        <v>1979.08</v>
      </c>
      <c r="S3291" t="s">
        <v>29</v>
      </c>
    </row>
    <row r="3292" spans="1:19" x14ac:dyDescent="0.3">
      <c r="A3292" t="s">
        <v>3362</v>
      </c>
      <c r="B3292">
        <v>52</v>
      </c>
      <c r="C3292" t="s">
        <v>19</v>
      </c>
      <c r="D3292" t="s">
        <v>20</v>
      </c>
      <c r="E3292" s="1">
        <v>45692</v>
      </c>
      <c r="F3292" s="3">
        <v>45702</v>
      </c>
      <c r="G3292" t="s">
        <v>52</v>
      </c>
      <c r="H3292" t="s">
        <v>53</v>
      </c>
      <c r="I3292" t="s">
        <v>81</v>
      </c>
      <c r="J3292">
        <v>9438.16</v>
      </c>
      <c r="K3292">
        <v>10</v>
      </c>
      <c r="L3292" t="s">
        <v>24</v>
      </c>
      <c r="M3292" t="s">
        <v>25</v>
      </c>
      <c r="N3292" t="s">
        <v>55</v>
      </c>
      <c r="O3292" t="s">
        <v>49</v>
      </c>
      <c r="P3292" t="s">
        <v>50</v>
      </c>
      <c r="Q3292">
        <v>8</v>
      </c>
      <c r="R3292">
        <v>2749.54</v>
      </c>
      <c r="S3292" t="s">
        <v>29</v>
      </c>
    </row>
    <row r="3293" spans="1:19" x14ac:dyDescent="0.3">
      <c r="A3293" t="s">
        <v>3363</v>
      </c>
      <c r="B3293">
        <v>55</v>
      </c>
      <c r="C3293" t="s">
        <v>31</v>
      </c>
      <c r="D3293" t="s">
        <v>32</v>
      </c>
      <c r="E3293" s="1">
        <v>45181</v>
      </c>
      <c r="F3293" s="3">
        <v>45186</v>
      </c>
      <c r="G3293" t="s">
        <v>67</v>
      </c>
      <c r="H3293" t="s">
        <v>42</v>
      </c>
      <c r="I3293" t="s">
        <v>81</v>
      </c>
      <c r="J3293">
        <v>2997.1</v>
      </c>
      <c r="K3293">
        <v>5</v>
      </c>
      <c r="L3293" t="s">
        <v>36</v>
      </c>
      <c r="M3293" t="s">
        <v>25</v>
      </c>
      <c r="N3293" t="s">
        <v>44</v>
      </c>
      <c r="O3293" t="s">
        <v>27</v>
      </c>
      <c r="P3293" t="s">
        <v>50</v>
      </c>
      <c r="Q3293">
        <v>1</v>
      </c>
      <c r="R3293">
        <v>581.5</v>
      </c>
      <c r="S3293" t="s">
        <v>39</v>
      </c>
    </row>
    <row r="3294" spans="1:19" x14ac:dyDescent="0.3">
      <c r="A3294" t="s">
        <v>3364</v>
      </c>
      <c r="B3294">
        <v>28</v>
      </c>
      <c r="C3294" t="s">
        <v>31</v>
      </c>
      <c r="D3294" t="s">
        <v>20</v>
      </c>
      <c r="E3294" s="1">
        <v>45187</v>
      </c>
      <c r="F3294" s="3">
        <v>45207</v>
      </c>
      <c r="G3294" t="s">
        <v>62</v>
      </c>
      <c r="H3294" t="s">
        <v>63</v>
      </c>
      <c r="I3294" t="s">
        <v>35</v>
      </c>
      <c r="J3294">
        <v>13502.08</v>
      </c>
      <c r="K3294">
        <v>20</v>
      </c>
      <c r="L3294" t="s">
        <v>36</v>
      </c>
      <c r="M3294" t="s">
        <v>25</v>
      </c>
      <c r="N3294" t="s">
        <v>44</v>
      </c>
      <c r="O3294" t="s">
        <v>37</v>
      </c>
      <c r="P3294" t="s">
        <v>28</v>
      </c>
      <c r="Q3294">
        <v>14</v>
      </c>
      <c r="R3294">
        <v>5067.58</v>
      </c>
      <c r="S3294" t="s">
        <v>29</v>
      </c>
    </row>
    <row r="3295" spans="1:19" x14ac:dyDescent="0.3">
      <c r="A3295" t="s">
        <v>3365</v>
      </c>
      <c r="B3295">
        <v>50</v>
      </c>
      <c r="C3295" t="s">
        <v>19</v>
      </c>
      <c r="D3295" t="s">
        <v>47</v>
      </c>
      <c r="E3295" s="1">
        <v>45051</v>
      </c>
      <c r="F3295" s="3">
        <v>45055</v>
      </c>
      <c r="G3295" t="s">
        <v>33</v>
      </c>
      <c r="H3295" t="s">
        <v>34</v>
      </c>
      <c r="I3295" t="s">
        <v>81</v>
      </c>
      <c r="J3295">
        <v>5263.67</v>
      </c>
      <c r="K3295">
        <v>4</v>
      </c>
      <c r="L3295" t="s">
        <v>36</v>
      </c>
      <c r="M3295" t="s">
        <v>101</v>
      </c>
      <c r="N3295" t="s">
        <v>44</v>
      </c>
      <c r="O3295" t="s">
        <v>56</v>
      </c>
      <c r="P3295" t="s">
        <v>45</v>
      </c>
      <c r="Q3295">
        <v>4</v>
      </c>
      <c r="R3295">
        <v>1975.86</v>
      </c>
      <c r="S3295" t="s">
        <v>29</v>
      </c>
    </row>
    <row r="3296" spans="1:19" x14ac:dyDescent="0.3">
      <c r="A3296" t="s">
        <v>3366</v>
      </c>
      <c r="B3296">
        <v>26</v>
      </c>
      <c r="C3296" t="s">
        <v>19</v>
      </c>
      <c r="D3296" t="s">
        <v>66</v>
      </c>
      <c r="E3296" s="1">
        <v>44964</v>
      </c>
      <c r="F3296" s="3">
        <v>44981</v>
      </c>
      <c r="G3296" t="s">
        <v>62</v>
      </c>
      <c r="H3296" t="s">
        <v>63</v>
      </c>
      <c r="I3296" t="s">
        <v>23</v>
      </c>
      <c r="J3296">
        <v>12068.69</v>
      </c>
      <c r="K3296">
        <v>17</v>
      </c>
      <c r="L3296" t="s">
        <v>24</v>
      </c>
      <c r="M3296" t="s">
        <v>25</v>
      </c>
      <c r="N3296" t="s">
        <v>55</v>
      </c>
      <c r="O3296" t="s">
        <v>27</v>
      </c>
      <c r="P3296" t="s">
        <v>50</v>
      </c>
      <c r="Q3296">
        <v>13</v>
      </c>
      <c r="R3296">
        <v>3649.14</v>
      </c>
      <c r="S3296" t="s">
        <v>29</v>
      </c>
    </row>
    <row r="3297" spans="1:19" x14ac:dyDescent="0.3">
      <c r="A3297" t="s">
        <v>3367</v>
      </c>
      <c r="B3297">
        <v>54</v>
      </c>
      <c r="C3297" t="s">
        <v>19</v>
      </c>
      <c r="D3297" t="s">
        <v>47</v>
      </c>
      <c r="E3297" s="1">
        <v>45527</v>
      </c>
      <c r="F3297" s="3">
        <v>45538</v>
      </c>
      <c r="G3297" t="s">
        <v>33</v>
      </c>
      <c r="H3297" t="s">
        <v>34</v>
      </c>
      <c r="I3297" t="s">
        <v>35</v>
      </c>
      <c r="J3297">
        <v>7587.67</v>
      </c>
      <c r="K3297">
        <v>11</v>
      </c>
      <c r="L3297" t="s">
        <v>36</v>
      </c>
      <c r="M3297" t="s">
        <v>59</v>
      </c>
      <c r="N3297" t="s">
        <v>26</v>
      </c>
      <c r="O3297" t="s">
        <v>49</v>
      </c>
      <c r="P3297" t="s">
        <v>50</v>
      </c>
      <c r="Q3297">
        <v>13</v>
      </c>
      <c r="R3297">
        <v>2787.4</v>
      </c>
      <c r="S3297" t="s">
        <v>29</v>
      </c>
    </row>
    <row r="3298" spans="1:19" x14ac:dyDescent="0.3">
      <c r="A3298" t="s">
        <v>3368</v>
      </c>
      <c r="B3298">
        <v>34</v>
      </c>
      <c r="C3298" t="s">
        <v>31</v>
      </c>
      <c r="D3298" t="s">
        <v>61</v>
      </c>
      <c r="E3298" s="1">
        <v>44977</v>
      </c>
      <c r="F3298" s="3">
        <v>44995</v>
      </c>
      <c r="G3298" t="s">
        <v>74</v>
      </c>
      <c r="H3298" t="s">
        <v>75</v>
      </c>
      <c r="I3298" t="s">
        <v>54</v>
      </c>
      <c r="J3298">
        <v>6410.38</v>
      </c>
      <c r="K3298">
        <v>18</v>
      </c>
      <c r="L3298" t="s">
        <v>24</v>
      </c>
      <c r="M3298" t="s">
        <v>25</v>
      </c>
      <c r="N3298" t="s">
        <v>44</v>
      </c>
      <c r="O3298" t="s">
        <v>56</v>
      </c>
      <c r="P3298" t="s">
        <v>45</v>
      </c>
      <c r="Q3298">
        <v>1</v>
      </c>
      <c r="R3298">
        <v>2197.0300000000002</v>
      </c>
      <c r="S3298" t="s">
        <v>29</v>
      </c>
    </row>
    <row r="3299" spans="1:19" x14ac:dyDescent="0.3">
      <c r="A3299" t="s">
        <v>3369</v>
      </c>
      <c r="B3299">
        <v>88</v>
      </c>
      <c r="C3299" t="s">
        <v>19</v>
      </c>
      <c r="D3299" t="s">
        <v>89</v>
      </c>
      <c r="E3299" s="1">
        <v>45089</v>
      </c>
      <c r="F3299" s="3">
        <v>45098</v>
      </c>
      <c r="G3299" t="s">
        <v>33</v>
      </c>
      <c r="H3299" t="s">
        <v>34</v>
      </c>
      <c r="I3299" t="s">
        <v>43</v>
      </c>
      <c r="J3299">
        <v>4213.3599999999997</v>
      </c>
      <c r="K3299">
        <v>9</v>
      </c>
      <c r="L3299" t="s">
        <v>36</v>
      </c>
      <c r="M3299" t="s">
        <v>25</v>
      </c>
      <c r="N3299" t="s">
        <v>55</v>
      </c>
      <c r="O3299" t="s">
        <v>56</v>
      </c>
      <c r="P3299" t="s">
        <v>45</v>
      </c>
      <c r="Q3299">
        <v>13</v>
      </c>
      <c r="R3299">
        <v>1026.18</v>
      </c>
      <c r="S3299" t="s">
        <v>29</v>
      </c>
    </row>
    <row r="3300" spans="1:19" x14ac:dyDescent="0.3">
      <c r="A3300" t="s">
        <v>3370</v>
      </c>
      <c r="B3300">
        <v>69</v>
      </c>
      <c r="C3300" t="s">
        <v>31</v>
      </c>
      <c r="D3300" t="s">
        <v>79</v>
      </c>
      <c r="E3300" s="1">
        <v>45467</v>
      </c>
      <c r="F3300" s="3">
        <v>45492</v>
      </c>
      <c r="G3300" t="s">
        <v>62</v>
      </c>
      <c r="H3300" t="s">
        <v>63</v>
      </c>
      <c r="I3300" t="s">
        <v>54</v>
      </c>
      <c r="J3300">
        <v>17233.95</v>
      </c>
      <c r="K3300">
        <v>25</v>
      </c>
      <c r="L3300" t="s">
        <v>36</v>
      </c>
      <c r="M3300" t="s">
        <v>25</v>
      </c>
      <c r="N3300" t="s">
        <v>26</v>
      </c>
      <c r="O3300" t="s">
        <v>49</v>
      </c>
      <c r="P3300" t="s">
        <v>45</v>
      </c>
      <c r="Q3300">
        <v>9</v>
      </c>
      <c r="R3300">
        <v>5555.45</v>
      </c>
      <c r="S3300" t="s">
        <v>29</v>
      </c>
    </row>
    <row r="3301" spans="1:19" x14ac:dyDescent="0.3">
      <c r="A3301" t="s">
        <v>3371</v>
      </c>
      <c r="B3301">
        <v>85</v>
      </c>
      <c r="C3301" t="s">
        <v>19</v>
      </c>
      <c r="D3301" t="s">
        <v>32</v>
      </c>
      <c r="E3301" s="1">
        <v>44979</v>
      </c>
      <c r="F3301" s="3">
        <v>44983</v>
      </c>
      <c r="G3301" t="s">
        <v>33</v>
      </c>
      <c r="H3301" t="s">
        <v>34</v>
      </c>
      <c r="I3301" t="s">
        <v>35</v>
      </c>
      <c r="J3301">
        <v>3920.61</v>
      </c>
      <c r="K3301">
        <v>4</v>
      </c>
      <c r="L3301" t="s">
        <v>24</v>
      </c>
      <c r="M3301" t="s">
        <v>25</v>
      </c>
      <c r="N3301" t="s">
        <v>26</v>
      </c>
      <c r="O3301" t="s">
        <v>37</v>
      </c>
      <c r="P3301" t="s">
        <v>38</v>
      </c>
      <c r="Q3301">
        <v>12</v>
      </c>
      <c r="R3301">
        <v>1229.18</v>
      </c>
      <c r="S3301" t="s">
        <v>29</v>
      </c>
    </row>
    <row r="3302" spans="1:19" x14ac:dyDescent="0.3">
      <c r="A3302" t="s">
        <v>3372</v>
      </c>
      <c r="B3302">
        <v>43</v>
      </c>
      <c r="C3302" t="s">
        <v>31</v>
      </c>
      <c r="D3302" t="s">
        <v>32</v>
      </c>
      <c r="E3302" s="1">
        <v>45543</v>
      </c>
      <c r="F3302" s="3">
        <v>45555</v>
      </c>
      <c r="G3302" t="s">
        <v>33</v>
      </c>
      <c r="H3302" t="s">
        <v>34</v>
      </c>
      <c r="I3302" t="s">
        <v>83</v>
      </c>
      <c r="J3302">
        <v>5298.64</v>
      </c>
      <c r="K3302">
        <v>12</v>
      </c>
      <c r="L3302" t="s">
        <v>24</v>
      </c>
      <c r="M3302" t="s">
        <v>25</v>
      </c>
      <c r="N3302" t="s">
        <v>44</v>
      </c>
      <c r="O3302" t="s">
        <v>37</v>
      </c>
      <c r="P3302" t="s">
        <v>50</v>
      </c>
      <c r="Q3302">
        <v>6</v>
      </c>
      <c r="R3302">
        <v>832.27</v>
      </c>
      <c r="S3302" t="s">
        <v>29</v>
      </c>
    </row>
    <row r="3303" spans="1:19" x14ac:dyDescent="0.3">
      <c r="A3303" t="s">
        <v>3373</v>
      </c>
      <c r="B3303">
        <v>88</v>
      </c>
      <c r="C3303" t="s">
        <v>31</v>
      </c>
      <c r="D3303" t="s">
        <v>79</v>
      </c>
      <c r="E3303" s="1">
        <v>44963</v>
      </c>
      <c r="F3303" s="3">
        <v>44975</v>
      </c>
      <c r="G3303" t="s">
        <v>71</v>
      </c>
      <c r="H3303" t="s">
        <v>72</v>
      </c>
      <c r="I3303" t="s">
        <v>58</v>
      </c>
      <c r="J3303">
        <v>7783.65</v>
      </c>
      <c r="K3303">
        <v>12</v>
      </c>
      <c r="L3303" t="s">
        <v>36</v>
      </c>
      <c r="M3303" t="s">
        <v>76</v>
      </c>
      <c r="N3303" t="s">
        <v>55</v>
      </c>
      <c r="O3303" t="s">
        <v>56</v>
      </c>
      <c r="P3303" t="s">
        <v>28</v>
      </c>
      <c r="Q3303">
        <v>3</v>
      </c>
      <c r="R3303">
        <v>1377.04</v>
      </c>
      <c r="S3303" t="s">
        <v>29</v>
      </c>
    </row>
    <row r="3304" spans="1:19" x14ac:dyDescent="0.3">
      <c r="A3304" t="s">
        <v>3374</v>
      </c>
      <c r="B3304">
        <v>43</v>
      </c>
      <c r="C3304" t="s">
        <v>19</v>
      </c>
      <c r="D3304" t="s">
        <v>79</v>
      </c>
      <c r="E3304" s="1">
        <v>45208</v>
      </c>
      <c r="F3304" s="3">
        <v>45226</v>
      </c>
      <c r="G3304" t="s">
        <v>74</v>
      </c>
      <c r="H3304" t="s">
        <v>75</v>
      </c>
      <c r="I3304" t="s">
        <v>54</v>
      </c>
      <c r="J3304">
        <v>13479.75</v>
      </c>
      <c r="K3304">
        <v>18</v>
      </c>
      <c r="L3304" t="s">
        <v>24</v>
      </c>
      <c r="M3304" t="s">
        <v>59</v>
      </c>
      <c r="N3304" t="s">
        <v>26</v>
      </c>
      <c r="O3304" t="s">
        <v>37</v>
      </c>
      <c r="P3304" t="s">
        <v>28</v>
      </c>
      <c r="Q3304">
        <v>10</v>
      </c>
      <c r="R3304">
        <v>5364.52</v>
      </c>
      <c r="S3304" t="s">
        <v>29</v>
      </c>
    </row>
    <row r="3305" spans="1:19" x14ac:dyDescent="0.3">
      <c r="A3305" t="s">
        <v>3375</v>
      </c>
      <c r="B3305">
        <v>76</v>
      </c>
      <c r="C3305" t="s">
        <v>19</v>
      </c>
      <c r="D3305" t="s">
        <v>89</v>
      </c>
      <c r="E3305" s="1">
        <v>44999</v>
      </c>
      <c r="F3305" s="3">
        <v>45013</v>
      </c>
      <c r="G3305" t="s">
        <v>62</v>
      </c>
      <c r="H3305" t="s">
        <v>63</v>
      </c>
      <c r="I3305" t="s">
        <v>58</v>
      </c>
      <c r="J3305">
        <v>6160.64</v>
      </c>
      <c r="K3305">
        <v>14</v>
      </c>
      <c r="L3305" t="s">
        <v>24</v>
      </c>
      <c r="M3305" t="s">
        <v>76</v>
      </c>
      <c r="N3305" t="s">
        <v>55</v>
      </c>
      <c r="O3305" t="s">
        <v>37</v>
      </c>
      <c r="P3305" t="s">
        <v>50</v>
      </c>
      <c r="Q3305">
        <v>13</v>
      </c>
      <c r="R3305">
        <v>2165.92</v>
      </c>
      <c r="S3305" t="s">
        <v>29</v>
      </c>
    </row>
    <row r="3306" spans="1:19" x14ac:dyDescent="0.3">
      <c r="A3306" t="s">
        <v>3376</v>
      </c>
      <c r="B3306">
        <v>42</v>
      </c>
      <c r="C3306" t="s">
        <v>31</v>
      </c>
      <c r="D3306" t="s">
        <v>79</v>
      </c>
      <c r="E3306" s="1">
        <v>45157</v>
      </c>
      <c r="F3306" s="3">
        <v>45170</v>
      </c>
      <c r="G3306" t="s">
        <v>93</v>
      </c>
      <c r="H3306" t="s">
        <v>72</v>
      </c>
      <c r="I3306" t="s">
        <v>23</v>
      </c>
      <c r="J3306">
        <v>9022.58</v>
      </c>
      <c r="K3306">
        <v>13</v>
      </c>
      <c r="L3306" t="s">
        <v>24</v>
      </c>
      <c r="M3306" t="s">
        <v>25</v>
      </c>
      <c r="N3306" t="s">
        <v>26</v>
      </c>
      <c r="O3306" t="s">
        <v>37</v>
      </c>
      <c r="P3306" t="s">
        <v>38</v>
      </c>
      <c r="Q3306">
        <v>14</v>
      </c>
      <c r="R3306">
        <v>3140.24</v>
      </c>
      <c r="S3306" t="s">
        <v>29</v>
      </c>
    </row>
    <row r="3307" spans="1:19" x14ac:dyDescent="0.3">
      <c r="A3307" t="s">
        <v>3377</v>
      </c>
      <c r="B3307">
        <v>65</v>
      </c>
      <c r="C3307" t="s">
        <v>31</v>
      </c>
      <c r="D3307" t="s">
        <v>79</v>
      </c>
      <c r="E3307" s="1">
        <v>45635</v>
      </c>
      <c r="F3307" s="3">
        <v>45647</v>
      </c>
      <c r="G3307" t="s">
        <v>62</v>
      </c>
      <c r="H3307" t="s">
        <v>63</v>
      </c>
      <c r="I3307" t="s">
        <v>43</v>
      </c>
      <c r="J3307">
        <v>8308.15</v>
      </c>
      <c r="K3307">
        <v>12</v>
      </c>
      <c r="L3307" t="s">
        <v>24</v>
      </c>
      <c r="M3307" t="s">
        <v>25</v>
      </c>
      <c r="N3307" t="s">
        <v>44</v>
      </c>
      <c r="O3307" t="s">
        <v>27</v>
      </c>
      <c r="P3307" t="s">
        <v>38</v>
      </c>
      <c r="Q3307">
        <v>15</v>
      </c>
      <c r="R3307">
        <v>3154.15</v>
      </c>
      <c r="S3307" t="s">
        <v>39</v>
      </c>
    </row>
    <row r="3308" spans="1:19" x14ac:dyDescent="0.3">
      <c r="A3308" t="s">
        <v>3378</v>
      </c>
      <c r="B3308">
        <v>73</v>
      </c>
      <c r="C3308" t="s">
        <v>31</v>
      </c>
      <c r="D3308" t="s">
        <v>79</v>
      </c>
      <c r="E3308" s="1">
        <v>45823</v>
      </c>
      <c r="F3308" s="3">
        <v>45835</v>
      </c>
      <c r="G3308" t="s">
        <v>33</v>
      </c>
      <c r="H3308" t="s">
        <v>34</v>
      </c>
      <c r="I3308" t="s">
        <v>91</v>
      </c>
      <c r="J3308">
        <v>10369.299999999999</v>
      </c>
      <c r="K3308">
        <v>12</v>
      </c>
      <c r="L3308" t="s">
        <v>24</v>
      </c>
      <c r="M3308" t="s">
        <v>25</v>
      </c>
      <c r="N3308" t="s">
        <v>44</v>
      </c>
      <c r="O3308" t="s">
        <v>56</v>
      </c>
      <c r="P3308" t="s">
        <v>28</v>
      </c>
      <c r="Q3308">
        <v>3</v>
      </c>
      <c r="R3308">
        <v>3846.38</v>
      </c>
      <c r="S3308" t="s">
        <v>29</v>
      </c>
    </row>
    <row r="3309" spans="1:19" x14ac:dyDescent="0.3">
      <c r="A3309" t="s">
        <v>3379</v>
      </c>
      <c r="B3309">
        <v>62</v>
      </c>
      <c r="C3309" t="s">
        <v>31</v>
      </c>
      <c r="D3309" t="s">
        <v>61</v>
      </c>
      <c r="E3309" s="1">
        <v>45779</v>
      </c>
      <c r="F3309" s="3">
        <v>45789</v>
      </c>
      <c r="G3309" t="s">
        <v>93</v>
      </c>
      <c r="H3309" t="s">
        <v>72</v>
      </c>
      <c r="I3309" t="s">
        <v>81</v>
      </c>
      <c r="J3309">
        <v>12748.46</v>
      </c>
      <c r="K3309">
        <v>10</v>
      </c>
      <c r="L3309" t="s">
        <v>24</v>
      </c>
      <c r="M3309" t="s">
        <v>25</v>
      </c>
      <c r="N3309" t="s">
        <v>44</v>
      </c>
      <c r="O3309" t="s">
        <v>49</v>
      </c>
      <c r="P3309" t="s">
        <v>50</v>
      </c>
      <c r="Q3309">
        <v>1</v>
      </c>
      <c r="R3309">
        <v>3309.61</v>
      </c>
      <c r="S3309" t="s">
        <v>29</v>
      </c>
    </row>
    <row r="3310" spans="1:19" x14ac:dyDescent="0.3">
      <c r="A3310" t="s">
        <v>3380</v>
      </c>
      <c r="B3310">
        <v>83</v>
      </c>
      <c r="C3310" t="s">
        <v>31</v>
      </c>
      <c r="D3310" t="s">
        <v>61</v>
      </c>
      <c r="E3310" s="1">
        <v>44996</v>
      </c>
      <c r="F3310" s="3">
        <v>45002</v>
      </c>
      <c r="G3310" t="s">
        <v>21</v>
      </c>
      <c r="H3310" t="s">
        <v>22</v>
      </c>
      <c r="I3310" t="s">
        <v>35</v>
      </c>
      <c r="J3310">
        <v>2915.54</v>
      </c>
      <c r="K3310">
        <v>6</v>
      </c>
      <c r="L3310" t="s">
        <v>36</v>
      </c>
      <c r="M3310" t="s">
        <v>25</v>
      </c>
      <c r="N3310" t="s">
        <v>44</v>
      </c>
      <c r="O3310" t="s">
        <v>37</v>
      </c>
      <c r="P3310" t="s">
        <v>28</v>
      </c>
      <c r="Q3310">
        <v>2</v>
      </c>
      <c r="R3310">
        <v>743.07</v>
      </c>
      <c r="S3310" t="s">
        <v>29</v>
      </c>
    </row>
    <row r="3311" spans="1:19" x14ac:dyDescent="0.3">
      <c r="A3311" t="s">
        <v>3381</v>
      </c>
      <c r="B3311">
        <v>36</v>
      </c>
      <c r="C3311" t="s">
        <v>31</v>
      </c>
      <c r="D3311" t="s">
        <v>89</v>
      </c>
      <c r="E3311" s="1">
        <v>45375</v>
      </c>
      <c r="F3311" s="3">
        <v>45392</v>
      </c>
      <c r="G3311" t="s">
        <v>71</v>
      </c>
      <c r="H3311" t="s">
        <v>72</v>
      </c>
      <c r="I3311" t="s">
        <v>83</v>
      </c>
      <c r="J3311">
        <v>6621.99</v>
      </c>
      <c r="K3311">
        <v>17</v>
      </c>
      <c r="L3311" t="s">
        <v>24</v>
      </c>
      <c r="M3311" t="s">
        <v>25</v>
      </c>
      <c r="N3311" t="s">
        <v>26</v>
      </c>
      <c r="O3311" t="s">
        <v>56</v>
      </c>
      <c r="P3311" t="s">
        <v>50</v>
      </c>
      <c r="Q3311">
        <v>12</v>
      </c>
      <c r="R3311">
        <v>2148.31</v>
      </c>
      <c r="S3311" t="s">
        <v>29</v>
      </c>
    </row>
    <row r="3312" spans="1:19" x14ac:dyDescent="0.3">
      <c r="A3312" t="s">
        <v>3382</v>
      </c>
      <c r="B3312">
        <v>59</v>
      </c>
      <c r="C3312" t="s">
        <v>31</v>
      </c>
      <c r="D3312" t="s">
        <v>47</v>
      </c>
      <c r="E3312" s="1">
        <v>45612</v>
      </c>
      <c r="F3312" s="3">
        <v>45619</v>
      </c>
      <c r="G3312" t="s">
        <v>52</v>
      </c>
      <c r="H3312" t="s">
        <v>53</v>
      </c>
      <c r="I3312" t="s">
        <v>58</v>
      </c>
      <c r="J3312">
        <v>6873.4</v>
      </c>
      <c r="K3312">
        <v>7</v>
      </c>
      <c r="L3312" t="s">
        <v>36</v>
      </c>
      <c r="M3312" t="s">
        <v>59</v>
      </c>
      <c r="N3312" t="s">
        <v>55</v>
      </c>
      <c r="O3312" t="s">
        <v>37</v>
      </c>
      <c r="P3312" t="s">
        <v>28</v>
      </c>
      <c r="Q3312">
        <v>12</v>
      </c>
      <c r="R3312">
        <v>1226.93</v>
      </c>
      <c r="S3312" t="s">
        <v>29</v>
      </c>
    </row>
    <row r="3313" spans="1:19" x14ac:dyDescent="0.3">
      <c r="A3313" t="s">
        <v>3383</v>
      </c>
      <c r="B3313">
        <v>23</v>
      </c>
      <c r="C3313" t="s">
        <v>31</v>
      </c>
      <c r="D3313" t="s">
        <v>32</v>
      </c>
      <c r="E3313" s="1">
        <v>44935</v>
      </c>
      <c r="F3313" s="3">
        <v>44954</v>
      </c>
      <c r="G3313" t="s">
        <v>33</v>
      </c>
      <c r="H3313" t="s">
        <v>34</v>
      </c>
      <c r="I3313" t="s">
        <v>91</v>
      </c>
      <c r="J3313">
        <v>4516.09</v>
      </c>
      <c r="K3313">
        <v>19</v>
      </c>
      <c r="L3313" t="s">
        <v>24</v>
      </c>
      <c r="M3313" t="s">
        <v>25</v>
      </c>
      <c r="N3313" t="s">
        <v>44</v>
      </c>
      <c r="O3313" t="s">
        <v>56</v>
      </c>
      <c r="P3313" t="s">
        <v>38</v>
      </c>
      <c r="Q3313">
        <v>3</v>
      </c>
      <c r="R3313">
        <v>1119.4100000000001</v>
      </c>
      <c r="S3313" t="s">
        <v>39</v>
      </c>
    </row>
    <row r="3314" spans="1:19" x14ac:dyDescent="0.3">
      <c r="A3314" t="s">
        <v>3384</v>
      </c>
      <c r="B3314">
        <v>68</v>
      </c>
      <c r="C3314" t="s">
        <v>31</v>
      </c>
      <c r="D3314" t="s">
        <v>89</v>
      </c>
      <c r="E3314" s="1">
        <v>45916</v>
      </c>
      <c r="F3314" s="3">
        <v>45922</v>
      </c>
      <c r="G3314" t="s">
        <v>67</v>
      </c>
      <c r="H3314" t="s">
        <v>42</v>
      </c>
      <c r="I3314" t="s">
        <v>83</v>
      </c>
      <c r="J3314">
        <v>3497.04</v>
      </c>
      <c r="K3314">
        <v>6</v>
      </c>
      <c r="L3314" t="s">
        <v>36</v>
      </c>
      <c r="M3314" t="s">
        <v>25</v>
      </c>
      <c r="N3314" t="s">
        <v>44</v>
      </c>
      <c r="O3314" t="s">
        <v>56</v>
      </c>
      <c r="P3314" t="s">
        <v>38</v>
      </c>
      <c r="Q3314">
        <v>6</v>
      </c>
      <c r="R3314">
        <v>726.35</v>
      </c>
      <c r="S3314" t="s">
        <v>29</v>
      </c>
    </row>
    <row r="3315" spans="1:19" x14ac:dyDescent="0.3">
      <c r="A3315" t="s">
        <v>3385</v>
      </c>
      <c r="B3315">
        <v>42</v>
      </c>
      <c r="C3315" t="s">
        <v>19</v>
      </c>
      <c r="D3315" t="s">
        <v>32</v>
      </c>
      <c r="E3315" s="1">
        <v>45375</v>
      </c>
      <c r="F3315" s="3">
        <v>45379</v>
      </c>
      <c r="G3315" t="s">
        <v>48</v>
      </c>
      <c r="H3315" t="s">
        <v>22</v>
      </c>
      <c r="I3315" t="s">
        <v>83</v>
      </c>
      <c r="J3315">
        <v>3581.61</v>
      </c>
      <c r="K3315">
        <v>4</v>
      </c>
      <c r="L3315" t="s">
        <v>24</v>
      </c>
      <c r="M3315" t="s">
        <v>25</v>
      </c>
      <c r="N3315" t="s">
        <v>44</v>
      </c>
      <c r="O3315" t="s">
        <v>56</v>
      </c>
      <c r="P3315" t="s">
        <v>38</v>
      </c>
      <c r="Q3315">
        <v>8</v>
      </c>
      <c r="R3315">
        <v>991.29</v>
      </c>
      <c r="S3315" t="s">
        <v>29</v>
      </c>
    </row>
    <row r="3316" spans="1:19" x14ac:dyDescent="0.3">
      <c r="A3316" t="s">
        <v>3386</v>
      </c>
      <c r="B3316">
        <v>30</v>
      </c>
      <c r="C3316" t="s">
        <v>31</v>
      </c>
      <c r="D3316" t="s">
        <v>79</v>
      </c>
      <c r="E3316" s="1">
        <v>45916</v>
      </c>
      <c r="F3316" s="3">
        <v>45924</v>
      </c>
      <c r="G3316" t="s">
        <v>33</v>
      </c>
      <c r="H3316" t="s">
        <v>34</v>
      </c>
      <c r="I3316" t="s">
        <v>35</v>
      </c>
      <c r="J3316">
        <v>5550.56</v>
      </c>
      <c r="K3316">
        <v>8</v>
      </c>
      <c r="L3316" t="s">
        <v>24</v>
      </c>
      <c r="M3316" t="s">
        <v>25</v>
      </c>
      <c r="N3316" t="s">
        <v>44</v>
      </c>
      <c r="O3316" t="s">
        <v>56</v>
      </c>
      <c r="P3316" t="s">
        <v>38</v>
      </c>
      <c r="Q3316">
        <v>4</v>
      </c>
      <c r="R3316">
        <v>1088.25</v>
      </c>
      <c r="S3316" t="s">
        <v>29</v>
      </c>
    </row>
    <row r="3317" spans="1:19" x14ac:dyDescent="0.3">
      <c r="A3317" t="s">
        <v>3387</v>
      </c>
      <c r="B3317">
        <v>26</v>
      </c>
      <c r="C3317" t="s">
        <v>31</v>
      </c>
      <c r="D3317" t="s">
        <v>66</v>
      </c>
      <c r="E3317" s="1">
        <v>45053</v>
      </c>
      <c r="F3317" s="3">
        <v>45073</v>
      </c>
      <c r="G3317" t="s">
        <v>67</v>
      </c>
      <c r="H3317" t="s">
        <v>42</v>
      </c>
      <c r="I3317" t="s">
        <v>54</v>
      </c>
      <c r="J3317">
        <v>15007.41</v>
      </c>
      <c r="K3317">
        <v>20</v>
      </c>
      <c r="L3317" t="s">
        <v>36</v>
      </c>
      <c r="M3317" t="s">
        <v>59</v>
      </c>
      <c r="N3317" t="s">
        <v>55</v>
      </c>
      <c r="O3317" t="s">
        <v>37</v>
      </c>
      <c r="P3317" t="s">
        <v>45</v>
      </c>
      <c r="Q3317">
        <v>4</v>
      </c>
      <c r="R3317">
        <v>5240.59</v>
      </c>
      <c r="S3317" t="s">
        <v>29</v>
      </c>
    </row>
    <row r="3318" spans="1:19" x14ac:dyDescent="0.3">
      <c r="A3318" t="s">
        <v>3388</v>
      </c>
      <c r="B3318">
        <v>55</v>
      </c>
      <c r="C3318" t="s">
        <v>31</v>
      </c>
      <c r="D3318" t="s">
        <v>79</v>
      </c>
      <c r="E3318" s="1">
        <v>45926</v>
      </c>
      <c r="F3318" s="3">
        <v>45944</v>
      </c>
      <c r="G3318" t="s">
        <v>41</v>
      </c>
      <c r="H3318" t="s">
        <v>42</v>
      </c>
      <c r="I3318" t="s">
        <v>81</v>
      </c>
      <c r="J3318">
        <v>6590.98</v>
      </c>
      <c r="K3318">
        <v>18</v>
      </c>
      <c r="L3318" t="s">
        <v>24</v>
      </c>
      <c r="M3318" t="s">
        <v>25</v>
      </c>
      <c r="N3318" t="s">
        <v>55</v>
      </c>
      <c r="O3318" t="s">
        <v>27</v>
      </c>
      <c r="P3318" t="s">
        <v>28</v>
      </c>
      <c r="Q3318">
        <v>3</v>
      </c>
      <c r="R3318">
        <v>2376.9299999999998</v>
      </c>
      <c r="S3318" t="s">
        <v>29</v>
      </c>
    </row>
    <row r="3319" spans="1:19" x14ac:dyDescent="0.3">
      <c r="A3319" t="s">
        <v>3389</v>
      </c>
      <c r="B3319">
        <v>47</v>
      </c>
      <c r="C3319" t="s">
        <v>19</v>
      </c>
      <c r="D3319" t="s">
        <v>79</v>
      </c>
      <c r="E3319" s="1">
        <v>45836</v>
      </c>
      <c r="F3319" s="3">
        <v>45847</v>
      </c>
      <c r="G3319" t="s">
        <v>62</v>
      </c>
      <c r="H3319" t="s">
        <v>63</v>
      </c>
      <c r="I3319" t="s">
        <v>83</v>
      </c>
      <c r="J3319">
        <v>9545.11</v>
      </c>
      <c r="K3319">
        <v>11</v>
      </c>
      <c r="L3319" t="s">
        <v>24</v>
      </c>
      <c r="M3319" t="s">
        <v>25</v>
      </c>
      <c r="N3319" t="s">
        <v>55</v>
      </c>
      <c r="O3319" t="s">
        <v>49</v>
      </c>
      <c r="P3319" t="s">
        <v>50</v>
      </c>
      <c r="Q3319">
        <v>13</v>
      </c>
      <c r="R3319">
        <v>1814.29</v>
      </c>
      <c r="S3319" t="s">
        <v>29</v>
      </c>
    </row>
    <row r="3320" spans="1:19" x14ac:dyDescent="0.3">
      <c r="A3320" t="s">
        <v>3390</v>
      </c>
      <c r="B3320">
        <v>86</v>
      </c>
      <c r="C3320" t="s">
        <v>31</v>
      </c>
      <c r="D3320" t="s">
        <v>79</v>
      </c>
      <c r="E3320" s="1">
        <v>45519</v>
      </c>
      <c r="F3320" s="3">
        <v>45544</v>
      </c>
      <c r="G3320" t="s">
        <v>67</v>
      </c>
      <c r="H3320" t="s">
        <v>42</v>
      </c>
      <c r="I3320" t="s">
        <v>83</v>
      </c>
      <c r="J3320">
        <v>21026.959999999999</v>
      </c>
      <c r="K3320">
        <v>25</v>
      </c>
      <c r="L3320" t="s">
        <v>24</v>
      </c>
      <c r="M3320" t="s">
        <v>59</v>
      </c>
      <c r="N3320" t="s">
        <v>26</v>
      </c>
      <c r="O3320" t="s">
        <v>49</v>
      </c>
      <c r="P3320" t="s">
        <v>28</v>
      </c>
      <c r="Q3320">
        <v>15</v>
      </c>
      <c r="R3320">
        <v>8119.89</v>
      </c>
      <c r="S3320" t="s">
        <v>29</v>
      </c>
    </row>
    <row r="3321" spans="1:19" x14ac:dyDescent="0.3">
      <c r="A3321" t="s">
        <v>3391</v>
      </c>
      <c r="B3321">
        <v>60</v>
      </c>
      <c r="C3321" t="s">
        <v>31</v>
      </c>
      <c r="D3321" t="s">
        <v>32</v>
      </c>
      <c r="E3321" s="1">
        <v>45606</v>
      </c>
      <c r="F3321" s="3">
        <v>45617</v>
      </c>
      <c r="G3321" t="s">
        <v>21</v>
      </c>
      <c r="H3321" t="s">
        <v>22</v>
      </c>
      <c r="I3321" t="s">
        <v>83</v>
      </c>
      <c r="J3321">
        <v>6291.14</v>
      </c>
      <c r="K3321">
        <v>11</v>
      </c>
      <c r="L3321" t="s">
        <v>24</v>
      </c>
      <c r="M3321" t="s">
        <v>25</v>
      </c>
      <c r="N3321" t="s">
        <v>44</v>
      </c>
      <c r="O3321" t="s">
        <v>56</v>
      </c>
      <c r="P3321" t="s">
        <v>50</v>
      </c>
      <c r="Q3321">
        <v>8</v>
      </c>
      <c r="R3321">
        <v>1986.58</v>
      </c>
      <c r="S3321" t="s">
        <v>29</v>
      </c>
    </row>
    <row r="3322" spans="1:19" x14ac:dyDescent="0.3">
      <c r="A3322" t="s">
        <v>3392</v>
      </c>
      <c r="B3322">
        <v>34</v>
      </c>
      <c r="C3322" t="s">
        <v>19</v>
      </c>
      <c r="D3322" t="s">
        <v>70</v>
      </c>
      <c r="E3322" s="1">
        <v>45572</v>
      </c>
      <c r="F3322" s="3">
        <v>45573</v>
      </c>
      <c r="G3322" t="s">
        <v>71</v>
      </c>
      <c r="H3322" t="s">
        <v>72</v>
      </c>
      <c r="I3322" t="s">
        <v>43</v>
      </c>
      <c r="J3322">
        <v>1272.67</v>
      </c>
      <c r="K3322">
        <v>1</v>
      </c>
      <c r="L3322" t="s">
        <v>24</v>
      </c>
      <c r="M3322" t="s">
        <v>25</v>
      </c>
      <c r="N3322" t="s">
        <v>44</v>
      </c>
      <c r="O3322" t="s">
        <v>37</v>
      </c>
      <c r="P3322" t="s">
        <v>50</v>
      </c>
      <c r="Q3322">
        <v>3</v>
      </c>
      <c r="R3322">
        <v>482.84</v>
      </c>
      <c r="S3322" t="s">
        <v>29</v>
      </c>
    </row>
    <row r="3323" spans="1:19" x14ac:dyDescent="0.3">
      <c r="A3323" t="s">
        <v>3393</v>
      </c>
      <c r="B3323">
        <v>45</v>
      </c>
      <c r="C3323" t="s">
        <v>31</v>
      </c>
      <c r="D3323" t="s">
        <v>89</v>
      </c>
      <c r="E3323" s="1">
        <v>45472</v>
      </c>
      <c r="F3323" s="3">
        <v>45478</v>
      </c>
      <c r="G3323" t="s">
        <v>71</v>
      </c>
      <c r="H3323" t="s">
        <v>72</v>
      </c>
      <c r="I3323" t="s">
        <v>35</v>
      </c>
      <c r="J3323">
        <v>4586.3100000000004</v>
      </c>
      <c r="K3323">
        <v>6</v>
      </c>
      <c r="L3323" t="s">
        <v>24</v>
      </c>
      <c r="M3323" t="s">
        <v>25</v>
      </c>
      <c r="N3323" t="s">
        <v>26</v>
      </c>
      <c r="O3323" t="s">
        <v>37</v>
      </c>
      <c r="P3323" t="s">
        <v>45</v>
      </c>
      <c r="Q3323">
        <v>7</v>
      </c>
      <c r="R3323">
        <v>1193.4100000000001</v>
      </c>
      <c r="S3323" t="s">
        <v>29</v>
      </c>
    </row>
    <row r="3324" spans="1:19" x14ac:dyDescent="0.3">
      <c r="A3324" t="s">
        <v>3394</v>
      </c>
      <c r="B3324">
        <v>72</v>
      </c>
      <c r="C3324" t="s">
        <v>31</v>
      </c>
      <c r="D3324" t="s">
        <v>20</v>
      </c>
      <c r="E3324" s="1">
        <v>45806</v>
      </c>
      <c r="F3324" s="3">
        <v>45812</v>
      </c>
      <c r="G3324" t="s">
        <v>71</v>
      </c>
      <c r="H3324" t="s">
        <v>72</v>
      </c>
      <c r="I3324" t="s">
        <v>81</v>
      </c>
      <c r="J3324">
        <v>6105.34</v>
      </c>
      <c r="K3324">
        <v>6</v>
      </c>
      <c r="L3324" t="s">
        <v>36</v>
      </c>
      <c r="M3324" t="s">
        <v>25</v>
      </c>
      <c r="N3324" t="s">
        <v>55</v>
      </c>
      <c r="O3324" t="s">
        <v>37</v>
      </c>
      <c r="P3324" t="s">
        <v>28</v>
      </c>
      <c r="Q3324">
        <v>5</v>
      </c>
      <c r="R3324">
        <v>939.21</v>
      </c>
      <c r="S3324" t="s">
        <v>29</v>
      </c>
    </row>
    <row r="3325" spans="1:19" x14ac:dyDescent="0.3">
      <c r="A3325" t="s">
        <v>3395</v>
      </c>
      <c r="B3325">
        <v>81</v>
      </c>
      <c r="C3325" t="s">
        <v>31</v>
      </c>
      <c r="D3325" t="s">
        <v>61</v>
      </c>
      <c r="E3325" s="1">
        <v>45565</v>
      </c>
      <c r="F3325" s="3">
        <v>45582</v>
      </c>
      <c r="G3325" t="s">
        <v>48</v>
      </c>
      <c r="H3325" t="s">
        <v>22</v>
      </c>
      <c r="I3325" t="s">
        <v>83</v>
      </c>
      <c r="J3325">
        <v>5066.3900000000003</v>
      </c>
      <c r="K3325">
        <v>17</v>
      </c>
      <c r="L3325" t="s">
        <v>36</v>
      </c>
      <c r="M3325" t="s">
        <v>25</v>
      </c>
      <c r="N3325" t="s">
        <v>44</v>
      </c>
      <c r="O3325" t="s">
        <v>37</v>
      </c>
      <c r="P3325" t="s">
        <v>50</v>
      </c>
      <c r="Q3325">
        <v>5</v>
      </c>
      <c r="R3325">
        <v>1323.11</v>
      </c>
      <c r="S3325" t="s">
        <v>29</v>
      </c>
    </row>
    <row r="3326" spans="1:19" x14ac:dyDescent="0.3">
      <c r="A3326" t="s">
        <v>3396</v>
      </c>
      <c r="B3326">
        <v>68</v>
      </c>
      <c r="C3326" t="s">
        <v>19</v>
      </c>
      <c r="D3326" t="s">
        <v>79</v>
      </c>
      <c r="E3326" s="1">
        <v>45817</v>
      </c>
      <c r="F3326" s="3">
        <v>45824</v>
      </c>
      <c r="G3326" t="s">
        <v>48</v>
      </c>
      <c r="H3326" t="s">
        <v>22</v>
      </c>
      <c r="I3326" t="s">
        <v>54</v>
      </c>
      <c r="J3326">
        <v>3915.71</v>
      </c>
      <c r="K3326">
        <v>7</v>
      </c>
      <c r="L3326" t="s">
        <v>24</v>
      </c>
      <c r="M3326" t="s">
        <v>25</v>
      </c>
      <c r="N3326" t="s">
        <v>55</v>
      </c>
      <c r="O3326" t="s">
        <v>56</v>
      </c>
      <c r="P3326" t="s">
        <v>28</v>
      </c>
      <c r="Q3326">
        <v>10</v>
      </c>
      <c r="R3326">
        <v>953.5</v>
      </c>
      <c r="S3326" t="s">
        <v>29</v>
      </c>
    </row>
    <row r="3327" spans="1:19" x14ac:dyDescent="0.3">
      <c r="A3327" t="s">
        <v>3397</v>
      </c>
      <c r="B3327">
        <v>65</v>
      </c>
      <c r="C3327" t="s">
        <v>31</v>
      </c>
      <c r="D3327" t="s">
        <v>32</v>
      </c>
      <c r="E3327" s="1">
        <v>45340</v>
      </c>
      <c r="F3327" s="3">
        <v>45351</v>
      </c>
      <c r="G3327" t="s">
        <v>52</v>
      </c>
      <c r="H3327" t="s">
        <v>53</v>
      </c>
      <c r="I3327" t="s">
        <v>91</v>
      </c>
      <c r="J3327">
        <v>7435.06</v>
      </c>
      <c r="K3327">
        <v>11</v>
      </c>
      <c r="L3327" t="s">
        <v>36</v>
      </c>
      <c r="M3327" t="s">
        <v>25</v>
      </c>
      <c r="N3327" t="s">
        <v>55</v>
      </c>
      <c r="O3327" t="s">
        <v>37</v>
      </c>
      <c r="P3327" t="s">
        <v>28</v>
      </c>
      <c r="Q3327">
        <v>13</v>
      </c>
      <c r="R3327">
        <v>1773.51</v>
      </c>
      <c r="S3327" t="s">
        <v>29</v>
      </c>
    </row>
    <row r="3328" spans="1:19" x14ac:dyDescent="0.3">
      <c r="A3328" t="s">
        <v>3398</v>
      </c>
      <c r="B3328">
        <v>69</v>
      </c>
      <c r="C3328" t="s">
        <v>31</v>
      </c>
      <c r="D3328" t="s">
        <v>61</v>
      </c>
      <c r="E3328" s="1">
        <v>45044</v>
      </c>
      <c r="F3328" s="3">
        <v>45046</v>
      </c>
      <c r="G3328" t="s">
        <v>71</v>
      </c>
      <c r="H3328" t="s">
        <v>72</v>
      </c>
      <c r="I3328" t="s">
        <v>81</v>
      </c>
      <c r="J3328">
        <v>2156.5</v>
      </c>
      <c r="K3328">
        <v>2</v>
      </c>
      <c r="L3328" t="s">
        <v>36</v>
      </c>
      <c r="M3328" t="s">
        <v>25</v>
      </c>
      <c r="N3328" t="s">
        <v>44</v>
      </c>
      <c r="O3328" t="s">
        <v>37</v>
      </c>
      <c r="P3328" t="s">
        <v>38</v>
      </c>
      <c r="Q3328">
        <v>5</v>
      </c>
      <c r="R3328">
        <v>364.6</v>
      </c>
      <c r="S3328" t="s">
        <v>29</v>
      </c>
    </row>
    <row r="3329" spans="1:19" x14ac:dyDescent="0.3">
      <c r="A3329" t="s">
        <v>3399</v>
      </c>
      <c r="B3329">
        <v>56</v>
      </c>
      <c r="C3329" t="s">
        <v>31</v>
      </c>
      <c r="D3329" t="s">
        <v>47</v>
      </c>
      <c r="E3329" s="1">
        <v>45637</v>
      </c>
      <c r="F3329" s="3">
        <v>45650</v>
      </c>
      <c r="G3329" t="s">
        <v>52</v>
      </c>
      <c r="H3329" t="s">
        <v>53</v>
      </c>
      <c r="I3329" t="s">
        <v>54</v>
      </c>
      <c r="J3329">
        <v>5615.89</v>
      </c>
      <c r="K3329">
        <v>13</v>
      </c>
      <c r="L3329" t="s">
        <v>24</v>
      </c>
      <c r="M3329" t="s">
        <v>59</v>
      </c>
      <c r="N3329" t="s">
        <v>26</v>
      </c>
      <c r="O3329" t="s">
        <v>56</v>
      </c>
      <c r="P3329" t="s">
        <v>28</v>
      </c>
      <c r="Q3329">
        <v>11</v>
      </c>
      <c r="R3329">
        <v>1846.31</v>
      </c>
      <c r="S3329" t="s">
        <v>29</v>
      </c>
    </row>
    <row r="3330" spans="1:19" x14ac:dyDescent="0.3">
      <c r="A3330" t="s">
        <v>3400</v>
      </c>
      <c r="B3330">
        <v>50</v>
      </c>
      <c r="C3330" t="s">
        <v>31</v>
      </c>
      <c r="D3330" t="s">
        <v>47</v>
      </c>
      <c r="E3330" s="1">
        <v>45572</v>
      </c>
      <c r="F3330" s="3">
        <v>45574</v>
      </c>
      <c r="G3330" t="s">
        <v>41</v>
      </c>
      <c r="H3330" t="s">
        <v>42</v>
      </c>
      <c r="I3330" t="s">
        <v>43</v>
      </c>
      <c r="J3330">
        <v>2194.06</v>
      </c>
      <c r="K3330">
        <v>2</v>
      </c>
      <c r="L3330" t="s">
        <v>24</v>
      </c>
      <c r="M3330" t="s">
        <v>25</v>
      </c>
      <c r="N3330" t="s">
        <v>55</v>
      </c>
      <c r="O3330" t="s">
        <v>56</v>
      </c>
      <c r="P3330" t="s">
        <v>28</v>
      </c>
      <c r="Q3330">
        <v>15</v>
      </c>
      <c r="R3330">
        <v>635.48</v>
      </c>
      <c r="S3330" t="s">
        <v>29</v>
      </c>
    </row>
    <row r="3331" spans="1:19" x14ac:dyDescent="0.3">
      <c r="A3331" t="s">
        <v>3401</v>
      </c>
      <c r="B3331">
        <v>89</v>
      </c>
      <c r="C3331" t="s">
        <v>19</v>
      </c>
      <c r="D3331" t="s">
        <v>20</v>
      </c>
      <c r="E3331" s="1">
        <v>45455</v>
      </c>
      <c r="F3331" s="3">
        <v>45457</v>
      </c>
      <c r="G3331" t="s">
        <v>52</v>
      </c>
      <c r="H3331" t="s">
        <v>53</v>
      </c>
      <c r="I3331" t="s">
        <v>91</v>
      </c>
      <c r="J3331">
        <v>1756.27</v>
      </c>
      <c r="K3331">
        <v>2</v>
      </c>
      <c r="L3331" t="s">
        <v>36</v>
      </c>
      <c r="M3331" t="s">
        <v>59</v>
      </c>
      <c r="N3331" t="s">
        <v>26</v>
      </c>
      <c r="O3331" t="s">
        <v>56</v>
      </c>
      <c r="P3331" t="s">
        <v>50</v>
      </c>
      <c r="Q3331">
        <v>8</v>
      </c>
      <c r="R3331">
        <v>634.28</v>
      </c>
      <c r="S3331" t="s">
        <v>29</v>
      </c>
    </row>
    <row r="3332" spans="1:19" x14ac:dyDescent="0.3">
      <c r="A3332" t="s">
        <v>3402</v>
      </c>
      <c r="B3332">
        <v>60</v>
      </c>
      <c r="C3332" t="s">
        <v>19</v>
      </c>
      <c r="D3332" t="s">
        <v>89</v>
      </c>
      <c r="E3332" s="1">
        <v>45744</v>
      </c>
      <c r="F3332" s="3">
        <v>45745</v>
      </c>
      <c r="G3332" t="s">
        <v>52</v>
      </c>
      <c r="H3332" t="s">
        <v>53</v>
      </c>
      <c r="I3332" t="s">
        <v>81</v>
      </c>
      <c r="J3332">
        <v>2587.34</v>
      </c>
      <c r="K3332">
        <v>1</v>
      </c>
      <c r="L3332" t="s">
        <v>36</v>
      </c>
      <c r="M3332" t="s">
        <v>25</v>
      </c>
      <c r="N3332" t="s">
        <v>55</v>
      </c>
      <c r="O3332" t="s">
        <v>27</v>
      </c>
      <c r="P3332" t="s">
        <v>50</v>
      </c>
      <c r="Q3332">
        <v>9</v>
      </c>
      <c r="R3332">
        <v>637.5</v>
      </c>
      <c r="S3332" t="s">
        <v>29</v>
      </c>
    </row>
    <row r="3333" spans="1:19" x14ac:dyDescent="0.3">
      <c r="A3333" t="s">
        <v>3403</v>
      </c>
      <c r="B3333">
        <v>21</v>
      </c>
      <c r="C3333" t="s">
        <v>19</v>
      </c>
      <c r="D3333" t="s">
        <v>47</v>
      </c>
      <c r="E3333" s="1">
        <v>45385</v>
      </c>
      <c r="F3333" s="3">
        <v>45405</v>
      </c>
      <c r="G3333" t="s">
        <v>33</v>
      </c>
      <c r="H3333" t="s">
        <v>34</v>
      </c>
      <c r="I3333" t="s">
        <v>23</v>
      </c>
      <c r="J3333">
        <v>11685.42</v>
      </c>
      <c r="K3333">
        <v>20</v>
      </c>
      <c r="L3333" t="s">
        <v>24</v>
      </c>
      <c r="M3333" t="s">
        <v>25</v>
      </c>
      <c r="N3333" t="s">
        <v>55</v>
      </c>
      <c r="O3333" t="s">
        <v>56</v>
      </c>
      <c r="P3333" t="s">
        <v>28</v>
      </c>
      <c r="Q3333">
        <v>4</v>
      </c>
      <c r="R3333">
        <v>3375.82</v>
      </c>
      <c r="S3333" t="s">
        <v>29</v>
      </c>
    </row>
    <row r="3334" spans="1:19" x14ac:dyDescent="0.3">
      <c r="A3334" t="s">
        <v>3404</v>
      </c>
      <c r="B3334">
        <v>43</v>
      </c>
      <c r="C3334" t="s">
        <v>19</v>
      </c>
      <c r="D3334" t="s">
        <v>61</v>
      </c>
      <c r="E3334" s="1">
        <v>45580</v>
      </c>
      <c r="F3334" s="3">
        <v>45581</v>
      </c>
      <c r="G3334" t="s">
        <v>48</v>
      </c>
      <c r="H3334" t="s">
        <v>22</v>
      </c>
      <c r="I3334" t="s">
        <v>58</v>
      </c>
      <c r="J3334">
        <v>2590.08</v>
      </c>
      <c r="K3334">
        <v>1</v>
      </c>
      <c r="L3334" t="s">
        <v>24</v>
      </c>
      <c r="M3334" t="s">
        <v>25</v>
      </c>
      <c r="N3334" t="s">
        <v>26</v>
      </c>
      <c r="O3334" t="s">
        <v>56</v>
      </c>
      <c r="P3334" t="s">
        <v>45</v>
      </c>
      <c r="Q3334">
        <v>1</v>
      </c>
      <c r="R3334">
        <v>443.26</v>
      </c>
      <c r="S3334" t="s">
        <v>29</v>
      </c>
    </row>
    <row r="3335" spans="1:19" x14ac:dyDescent="0.3">
      <c r="A3335" t="s">
        <v>3405</v>
      </c>
      <c r="B3335">
        <v>71</v>
      </c>
      <c r="C3335" t="s">
        <v>19</v>
      </c>
      <c r="D3335" t="s">
        <v>66</v>
      </c>
      <c r="E3335" s="1">
        <v>45582</v>
      </c>
      <c r="F3335" s="3">
        <v>45586</v>
      </c>
      <c r="G3335" t="s">
        <v>62</v>
      </c>
      <c r="H3335" t="s">
        <v>63</v>
      </c>
      <c r="I3335" t="s">
        <v>58</v>
      </c>
      <c r="J3335">
        <v>2793.78</v>
      </c>
      <c r="K3335">
        <v>4</v>
      </c>
      <c r="L3335" t="s">
        <v>36</v>
      </c>
      <c r="M3335" t="s">
        <v>25</v>
      </c>
      <c r="N3335" t="s">
        <v>26</v>
      </c>
      <c r="O3335" t="s">
        <v>37</v>
      </c>
      <c r="P3335" t="s">
        <v>45</v>
      </c>
      <c r="Q3335">
        <v>5</v>
      </c>
      <c r="R3335">
        <v>897.3</v>
      </c>
      <c r="S3335" t="s">
        <v>39</v>
      </c>
    </row>
    <row r="3336" spans="1:19" x14ac:dyDescent="0.3">
      <c r="A3336" t="s">
        <v>3406</v>
      </c>
      <c r="B3336">
        <v>40</v>
      </c>
      <c r="C3336" t="s">
        <v>31</v>
      </c>
      <c r="D3336" t="s">
        <v>79</v>
      </c>
      <c r="E3336" s="1">
        <v>45454</v>
      </c>
      <c r="F3336" s="3">
        <v>45471</v>
      </c>
      <c r="G3336" t="s">
        <v>21</v>
      </c>
      <c r="H3336" t="s">
        <v>22</v>
      </c>
      <c r="I3336" t="s">
        <v>58</v>
      </c>
      <c r="J3336">
        <v>4201.99</v>
      </c>
      <c r="K3336">
        <v>17</v>
      </c>
      <c r="L3336" t="s">
        <v>24</v>
      </c>
      <c r="M3336" t="s">
        <v>101</v>
      </c>
      <c r="N3336" t="s">
        <v>26</v>
      </c>
      <c r="O3336" t="s">
        <v>37</v>
      </c>
      <c r="P3336" t="s">
        <v>45</v>
      </c>
      <c r="Q3336">
        <v>11</v>
      </c>
      <c r="R3336">
        <v>872.01</v>
      </c>
      <c r="S3336" t="s">
        <v>29</v>
      </c>
    </row>
    <row r="3337" spans="1:19" x14ac:dyDescent="0.3">
      <c r="A3337" t="s">
        <v>3407</v>
      </c>
      <c r="B3337">
        <v>23</v>
      </c>
      <c r="C3337" t="s">
        <v>31</v>
      </c>
      <c r="D3337" t="s">
        <v>32</v>
      </c>
      <c r="E3337" s="1">
        <v>45239</v>
      </c>
      <c r="F3337" s="3">
        <v>45266</v>
      </c>
      <c r="G3337" t="s">
        <v>93</v>
      </c>
      <c r="H3337" t="s">
        <v>72</v>
      </c>
      <c r="I3337" t="s">
        <v>35</v>
      </c>
      <c r="J3337">
        <v>20286.03</v>
      </c>
      <c r="K3337">
        <v>27</v>
      </c>
      <c r="L3337" t="s">
        <v>24</v>
      </c>
      <c r="M3337" t="s">
        <v>25</v>
      </c>
      <c r="N3337" t="s">
        <v>26</v>
      </c>
      <c r="O3337" t="s">
        <v>49</v>
      </c>
      <c r="P3337" t="s">
        <v>50</v>
      </c>
      <c r="Q3337">
        <v>13</v>
      </c>
      <c r="R3337">
        <v>4228.8100000000004</v>
      </c>
      <c r="S3337" t="s">
        <v>29</v>
      </c>
    </row>
    <row r="3338" spans="1:19" x14ac:dyDescent="0.3">
      <c r="A3338" t="s">
        <v>3408</v>
      </c>
      <c r="B3338">
        <v>54</v>
      </c>
      <c r="C3338" t="s">
        <v>19</v>
      </c>
      <c r="D3338" t="s">
        <v>66</v>
      </c>
      <c r="E3338" s="1">
        <v>45222</v>
      </c>
      <c r="F3338" s="3">
        <v>45247</v>
      </c>
      <c r="G3338" t="s">
        <v>48</v>
      </c>
      <c r="H3338" t="s">
        <v>22</v>
      </c>
      <c r="I3338" t="s">
        <v>43</v>
      </c>
      <c r="J3338">
        <v>13746.07</v>
      </c>
      <c r="K3338">
        <v>25</v>
      </c>
      <c r="L3338" t="s">
        <v>36</v>
      </c>
      <c r="M3338" t="s">
        <v>25</v>
      </c>
      <c r="N3338" t="s">
        <v>55</v>
      </c>
      <c r="O3338" t="s">
        <v>49</v>
      </c>
      <c r="P3338" t="s">
        <v>38</v>
      </c>
      <c r="Q3338">
        <v>2</v>
      </c>
      <c r="R3338">
        <v>4981</v>
      </c>
      <c r="S3338" t="s">
        <v>29</v>
      </c>
    </row>
    <row r="3339" spans="1:19" x14ac:dyDescent="0.3">
      <c r="A3339" t="s">
        <v>3409</v>
      </c>
      <c r="B3339">
        <v>48</v>
      </c>
      <c r="C3339" t="s">
        <v>31</v>
      </c>
      <c r="D3339" t="s">
        <v>61</v>
      </c>
      <c r="E3339" s="1">
        <v>45167</v>
      </c>
      <c r="F3339" s="3">
        <v>45170</v>
      </c>
      <c r="G3339" t="s">
        <v>71</v>
      </c>
      <c r="H3339" t="s">
        <v>72</v>
      </c>
      <c r="I3339" t="s">
        <v>23</v>
      </c>
      <c r="J3339">
        <v>3635.56</v>
      </c>
      <c r="K3339">
        <v>3</v>
      </c>
      <c r="L3339" t="s">
        <v>24</v>
      </c>
      <c r="M3339" t="s">
        <v>25</v>
      </c>
      <c r="N3339" t="s">
        <v>55</v>
      </c>
      <c r="O3339" t="s">
        <v>56</v>
      </c>
      <c r="P3339" t="s">
        <v>38</v>
      </c>
      <c r="Q3339">
        <v>12</v>
      </c>
      <c r="R3339">
        <v>1357.67</v>
      </c>
      <c r="S3339" t="s">
        <v>29</v>
      </c>
    </row>
    <row r="3340" spans="1:19" x14ac:dyDescent="0.3">
      <c r="A3340" t="s">
        <v>3410</v>
      </c>
      <c r="B3340">
        <v>53</v>
      </c>
      <c r="C3340" t="s">
        <v>31</v>
      </c>
      <c r="D3340" t="s">
        <v>89</v>
      </c>
      <c r="E3340" s="1">
        <v>44976</v>
      </c>
      <c r="F3340" s="3">
        <v>44989</v>
      </c>
      <c r="G3340" t="s">
        <v>71</v>
      </c>
      <c r="H3340" t="s">
        <v>72</v>
      </c>
      <c r="I3340" t="s">
        <v>58</v>
      </c>
      <c r="J3340">
        <v>5852.41</v>
      </c>
      <c r="K3340">
        <v>13</v>
      </c>
      <c r="L3340" t="s">
        <v>24</v>
      </c>
      <c r="M3340" t="s">
        <v>25</v>
      </c>
      <c r="N3340" t="s">
        <v>44</v>
      </c>
      <c r="O3340" t="s">
        <v>37</v>
      </c>
      <c r="P3340" t="s">
        <v>50</v>
      </c>
      <c r="Q3340">
        <v>13</v>
      </c>
      <c r="R3340">
        <v>1001.9</v>
      </c>
      <c r="S3340" t="s">
        <v>39</v>
      </c>
    </row>
    <row r="3341" spans="1:19" x14ac:dyDescent="0.3">
      <c r="A3341" t="s">
        <v>3411</v>
      </c>
      <c r="B3341">
        <v>36</v>
      </c>
      <c r="C3341" t="s">
        <v>31</v>
      </c>
      <c r="D3341" t="s">
        <v>20</v>
      </c>
      <c r="E3341" s="1">
        <v>45073</v>
      </c>
      <c r="F3341" s="3">
        <v>45086</v>
      </c>
      <c r="G3341" t="s">
        <v>48</v>
      </c>
      <c r="H3341" t="s">
        <v>22</v>
      </c>
      <c r="I3341" t="s">
        <v>83</v>
      </c>
      <c r="J3341">
        <v>6164.94</v>
      </c>
      <c r="K3341">
        <v>13</v>
      </c>
      <c r="L3341" t="s">
        <v>36</v>
      </c>
      <c r="M3341" t="s">
        <v>25</v>
      </c>
      <c r="N3341" t="s">
        <v>55</v>
      </c>
      <c r="O3341" t="s">
        <v>37</v>
      </c>
      <c r="P3341" t="s">
        <v>28</v>
      </c>
      <c r="Q3341">
        <v>7</v>
      </c>
      <c r="R3341">
        <v>1781.87</v>
      </c>
      <c r="S3341" t="s">
        <v>39</v>
      </c>
    </row>
    <row r="3342" spans="1:19" x14ac:dyDescent="0.3">
      <c r="A3342" t="s">
        <v>3412</v>
      </c>
      <c r="B3342">
        <v>89</v>
      </c>
      <c r="C3342" t="s">
        <v>19</v>
      </c>
      <c r="D3342" t="s">
        <v>47</v>
      </c>
      <c r="E3342" s="1">
        <v>45229</v>
      </c>
      <c r="F3342" s="3">
        <v>45240</v>
      </c>
      <c r="G3342" t="s">
        <v>48</v>
      </c>
      <c r="H3342" t="s">
        <v>22</v>
      </c>
      <c r="I3342" t="s">
        <v>54</v>
      </c>
      <c r="J3342">
        <v>9032.2900000000009</v>
      </c>
      <c r="K3342">
        <v>11</v>
      </c>
      <c r="L3342" t="s">
        <v>36</v>
      </c>
      <c r="M3342" t="s">
        <v>25</v>
      </c>
      <c r="N3342" t="s">
        <v>55</v>
      </c>
      <c r="O3342" t="s">
        <v>49</v>
      </c>
      <c r="P3342" t="s">
        <v>50</v>
      </c>
      <c r="Q3342">
        <v>4</v>
      </c>
      <c r="R3342">
        <v>3353.35</v>
      </c>
      <c r="S3342" t="s">
        <v>29</v>
      </c>
    </row>
    <row r="3343" spans="1:19" x14ac:dyDescent="0.3">
      <c r="A3343" t="s">
        <v>3413</v>
      </c>
      <c r="B3343">
        <v>86</v>
      </c>
      <c r="C3343" t="s">
        <v>19</v>
      </c>
      <c r="D3343" t="s">
        <v>32</v>
      </c>
      <c r="E3343" s="1">
        <v>45432</v>
      </c>
      <c r="F3343" s="3">
        <v>45445</v>
      </c>
      <c r="G3343" t="s">
        <v>67</v>
      </c>
      <c r="H3343" t="s">
        <v>42</v>
      </c>
      <c r="I3343" t="s">
        <v>43</v>
      </c>
      <c r="J3343">
        <v>3988.16</v>
      </c>
      <c r="K3343">
        <v>13</v>
      </c>
      <c r="L3343" t="s">
        <v>24</v>
      </c>
      <c r="M3343" t="s">
        <v>25</v>
      </c>
      <c r="N3343" t="s">
        <v>44</v>
      </c>
      <c r="O3343" t="s">
        <v>27</v>
      </c>
      <c r="P3343" t="s">
        <v>45</v>
      </c>
      <c r="Q3343">
        <v>2</v>
      </c>
      <c r="R3343">
        <v>734.26</v>
      </c>
      <c r="S3343" t="s">
        <v>29</v>
      </c>
    </row>
    <row r="3344" spans="1:19" x14ac:dyDescent="0.3">
      <c r="A3344" t="s">
        <v>3414</v>
      </c>
      <c r="B3344">
        <v>73</v>
      </c>
      <c r="C3344" t="s">
        <v>31</v>
      </c>
      <c r="D3344" t="s">
        <v>66</v>
      </c>
      <c r="E3344" s="1">
        <v>45701</v>
      </c>
      <c r="F3344" s="3">
        <v>45715</v>
      </c>
      <c r="G3344" t="s">
        <v>67</v>
      </c>
      <c r="H3344" t="s">
        <v>42</v>
      </c>
      <c r="I3344" t="s">
        <v>83</v>
      </c>
      <c r="J3344">
        <v>5139.41</v>
      </c>
      <c r="K3344">
        <v>14</v>
      </c>
      <c r="L3344" t="s">
        <v>24</v>
      </c>
      <c r="M3344" t="s">
        <v>25</v>
      </c>
      <c r="N3344" t="s">
        <v>44</v>
      </c>
      <c r="O3344" t="s">
        <v>37</v>
      </c>
      <c r="P3344" t="s">
        <v>28</v>
      </c>
      <c r="Q3344">
        <v>1</v>
      </c>
      <c r="R3344">
        <v>1035.22</v>
      </c>
      <c r="S3344" t="s">
        <v>29</v>
      </c>
    </row>
    <row r="3345" spans="1:19" x14ac:dyDescent="0.3">
      <c r="A3345" t="s">
        <v>3415</v>
      </c>
      <c r="B3345">
        <v>54</v>
      </c>
      <c r="C3345" t="s">
        <v>19</v>
      </c>
      <c r="D3345" t="s">
        <v>89</v>
      </c>
      <c r="E3345" s="1">
        <v>45159</v>
      </c>
      <c r="F3345" s="3">
        <v>45172</v>
      </c>
      <c r="G3345" t="s">
        <v>93</v>
      </c>
      <c r="H3345" t="s">
        <v>72</v>
      </c>
      <c r="I3345" t="s">
        <v>35</v>
      </c>
      <c r="J3345">
        <v>6272.28</v>
      </c>
      <c r="K3345">
        <v>13</v>
      </c>
      <c r="L3345" t="s">
        <v>24</v>
      </c>
      <c r="M3345" t="s">
        <v>25</v>
      </c>
      <c r="N3345" t="s">
        <v>55</v>
      </c>
      <c r="O3345" t="s">
        <v>56</v>
      </c>
      <c r="P3345" t="s">
        <v>28</v>
      </c>
      <c r="Q3345">
        <v>15</v>
      </c>
      <c r="R3345">
        <v>1415.35</v>
      </c>
      <c r="S3345" t="s">
        <v>39</v>
      </c>
    </row>
    <row r="3346" spans="1:19" x14ac:dyDescent="0.3">
      <c r="A3346" t="s">
        <v>3416</v>
      </c>
      <c r="B3346">
        <v>45</v>
      </c>
      <c r="C3346" t="s">
        <v>31</v>
      </c>
      <c r="D3346" t="s">
        <v>20</v>
      </c>
      <c r="E3346" s="1">
        <v>45727</v>
      </c>
      <c r="F3346" s="3">
        <v>45747</v>
      </c>
      <c r="G3346" t="s">
        <v>71</v>
      </c>
      <c r="H3346" t="s">
        <v>72</v>
      </c>
      <c r="I3346" t="s">
        <v>81</v>
      </c>
      <c r="J3346">
        <v>14680.15</v>
      </c>
      <c r="K3346">
        <v>20</v>
      </c>
      <c r="L3346" t="s">
        <v>36</v>
      </c>
      <c r="M3346" t="s">
        <v>101</v>
      </c>
      <c r="N3346" t="s">
        <v>55</v>
      </c>
      <c r="O3346" t="s">
        <v>49</v>
      </c>
      <c r="P3346" t="s">
        <v>28</v>
      </c>
      <c r="Q3346">
        <v>1</v>
      </c>
      <c r="R3346">
        <v>3334.62</v>
      </c>
      <c r="S3346" t="s">
        <v>29</v>
      </c>
    </row>
    <row r="3347" spans="1:19" x14ac:dyDescent="0.3">
      <c r="A3347" t="s">
        <v>3417</v>
      </c>
      <c r="B3347">
        <v>18</v>
      </c>
      <c r="C3347" t="s">
        <v>19</v>
      </c>
      <c r="D3347" t="s">
        <v>70</v>
      </c>
      <c r="E3347" s="1">
        <v>45406</v>
      </c>
      <c r="F3347" s="3">
        <v>45417</v>
      </c>
      <c r="G3347" t="s">
        <v>48</v>
      </c>
      <c r="H3347" t="s">
        <v>22</v>
      </c>
      <c r="I3347" t="s">
        <v>81</v>
      </c>
      <c r="J3347">
        <v>6823.73</v>
      </c>
      <c r="K3347">
        <v>11</v>
      </c>
      <c r="L3347" t="s">
        <v>24</v>
      </c>
      <c r="M3347" t="s">
        <v>25</v>
      </c>
      <c r="N3347" t="s">
        <v>44</v>
      </c>
      <c r="O3347" t="s">
        <v>27</v>
      </c>
      <c r="P3347" t="s">
        <v>28</v>
      </c>
      <c r="Q3347">
        <v>2</v>
      </c>
      <c r="R3347">
        <v>2510.92</v>
      </c>
      <c r="S3347" t="s">
        <v>29</v>
      </c>
    </row>
    <row r="3348" spans="1:19" x14ac:dyDescent="0.3">
      <c r="A3348" t="s">
        <v>3418</v>
      </c>
      <c r="B3348">
        <v>52</v>
      </c>
      <c r="C3348" t="s">
        <v>19</v>
      </c>
      <c r="D3348" t="s">
        <v>79</v>
      </c>
      <c r="E3348" s="1">
        <v>45377</v>
      </c>
      <c r="F3348" s="3">
        <v>45378</v>
      </c>
      <c r="G3348" t="s">
        <v>52</v>
      </c>
      <c r="H3348" t="s">
        <v>53</v>
      </c>
      <c r="I3348" t="s">
        <v>54</v>
      </c>
      <c r="J3348">
        <v>3478</v>
      </c>
      <c r="K3348">
        <v>1</v>
      </c>
      <c r="L3348" t="s">
        <v>24</v>
      </c>
      <c r="M3348" t="s">
        <v>59</v>
      </c>
      <c r="N3348" t="s">
        <v>44</v>
      </c>
      <c r="O3348" t="s">
        <v>27</v>
      </c>
      <c r="P3348" t="s">
        <v>45</v>
      </c>
      <c r="Q3348">
        <v>14</v>
      </c>
      <c r="R3348">
        <v>1346.32</v>
      </c>
      <c r="S3348" t="s">
        <v>29</v>
      </c>
    </row>
    <row r="3349" spans="1:19" x14ac:dyDescent="0.3">
      <c r="A3349" t="s">
        <v>3419</v>
      </c>
      <c r="B3349">
        <v>64</v>
      </c>
      <c r="C3349" t="s">
        <v>19</v>
      </c>
      <c r="D3349" t="s">
        <v>20</v>
      </c>
      <c r="E3349" s="1">
        <v>45729</v>
      </c>
      <c r="F3349" s="3">
        <v>45740</v>
      </c>
      <c r="G3349" t="s">
        <v>33</v>
      </c>
      <c r="H3349" t="s">
        <v>34</v>
      </c>
      <c r="I3349" t="s">
        <v>58</v>
      </c>
      <c r="J3349">
        <v>9280.6299999999992</v>
      </c>
      <c r="K3349">
        <v>11</v>
      </c>
      <c r="L3349" t="s">
        <v>36</v>
      </c>
      <c r="M3349" t="s">
        <v>101</v>
      </c>
      <c r="N3349" t="s">
        <v>26</v>
      </c>
      <c r="O3349" t="s">
        <v>27</v>
      </c>
      <c r="P3349" t="s">
        <v>28</v>
      </c>
      <c r="Q3349">
        <v>14</v>
      </c>
      <c r="R3349">
        <v>2411.61</v>
      </c>
      <c r="S3349" t="s">
        <v>29</v>
      </c>
    </row>
    <row r="3350" spans="1:19" x14ac:dyDescent="0.3">
      <c r="A3350" t="s">
        <v>3420</v>
      </c>
      <c r="B3350">
        <v>58</v>
      </c>
      <c r="C3350" t="s">
        <v>31</v>
      </c>
      <c r="D3350" t="s">
        <v>47</v>
      </c>
      <c r="E3350" s="1">
        <v>45270</v>
      </c>
      <c r="F3350" s="3">
        <v>45275</v>
      </c>
      <c r="G3350" t="s">
        <v>33</v>
      </c>
      <c r="H3350" t="s">
        <v>34</v>
      </c>
      <c r="I3350" t="s">
        <v>23</v>
      </c>
      <c r="J3350">
        <v>3926.81</v>
      </c>
      <c r="K3350">
        <v>5</v>
      </c>
      <c r="L3350" t="s">
        <v>24</v>
      </c>
      <c r="M3350" t="s">
        <v>25</v>
      </c>
      <c r="N3350" t="s">
        <v>26</v>
      </c>
      <c r="O3350" t="s">
        <v>27</v>
      </c>
      <c r="P3350" t="s">
        <v>50</v>
      </c>
      <c r="Q3350">
        <v>15</v>
      </c>
      <c r="R3350">
        <v>804.09</v>
      </c>
      <c r="S3350" t="s">
        <v>29</v>
      </c>
    </row>
    <row r="3351" spans="1:19" x14ac:dyDescent="0.3">
      <c r="A3351" t="s">
        <v>3421</v>
      </c>
      <c r="B3351">
        <v>28</v>
      </c>
      <c r="C3351" t="s">
        <v>31</v>
      </c>
      <c r="D3351" t="s">
        <v>20</v>
      </c>
      <c r="E3351" s="1">
        <v>45907</v>
      </c>
      <c r="F3351" s="3">
        <v>45916</v>
      </c>
      <c r="G3351" t="s">
        <v>41</v>
      </c>
      <c r="H3351" t="s">
        <v>42</v>
      </c>
      <c r="I3351" t="s">
        <v>83</v>
      </c>
      <c r="J3351">
        <v>7730.05</v>
      </c>
      <c r="K3351">
        <v>9</v>
      </c>
      <c r="L3351" t="s">
        <v>24</v>
      </c>
      <c r="M3351" t="s">
        <v>101</v>
      </c>
      <c r="N3351" t="s">
        <v>26</v>
      </c>
      <c r="O3351" t="s">
        <v>27</v>
      </c>
      <c r="P3351" t="s">
        <v>38</v>
      </c>
      <c r="Q3351">
        <v>15</v>
      </c>
      <c r="R3351">
        <v>1943.91</v>
      </c>
      <c r="S3351" t="s">
        <v>39</v>
      </c>
    </row>
    <row r="3352" spans="1:19" x14ac:dyDescent="0.3">
      <c r="A3352" t="s">
        <v>3422</v>
      </c>
      <c r="B3352">
        <v>22</v>
      </c>
      <c r="C3352" t="s">
        <v>31</v>
      </c>
      <c r="D3352" t="s">
        <v>89</v>
      </c>
      <c r="E3352" s="1">
        <v>45823</v>
      </c>
      <c r="F3352" s="3">
        <v>45830</v>
      </c>
      <c r="G3352" t="s">
        <v>33</v>
      </c>
      <c r="H3352" t="s">
        <v>34</v>
      </c>
      <c r="I3352" t="s">
        <v>54</v>
      </c>
      <c r="J3352">
        <v>6659.35</v>
      </c>
      <c r="K3352">
        <v>7</v>
      </c>
      <c r="L3352" t="s">
        <v>24</v>
      </c>
      <c r="M3352" t="s">
        <v>25</v>
      </c>
      <c r="N3352" t="s">
        <v>44</v>
      </c>
      <c r="O3352" t="s">
        <v>27</v>
      </c>
      <c r="P3352" t="s">
        <v>50</v>
      </c>
      <c r="Q3352">
        <v>14</v>
      </c>
      <c r="R3352">
        <v>1324.6</v>
      </c>
      <c r="S3352" t="s">
        <v>29</v>
      </c>
    </row>
    <row r="3353" spans="1:19" x14ac:dyDescent="0.3">
      <c r="A3353" t="s">
        <v>3423</v>
      </c>
      <c r="B3353">
        <v>43</v>
      </c>
      <c r="C3353" t="s">
        <v>19</v>
      </c>
      <c r="D3353" t="s">
        <v>70</v>
      </c>
      <c r="E3353" s="1">
        <v>45812</v>
      </c>
      <c r="F3353" s="3">
        <v>45817</v>
      </c>
      <c r="G3353" t="s">
        <v>52</v>
      </c>
      <c r="H3353" t="s">
        <v>53</v>
      </c>
      <c r="I3353" t="s">
        <v>83</v>
      </c>
      <c r="J3353">
        <v>7435.28</v>
      </c>
      <c r="K3353">
        <v>5</v>
      </c>
      <c r="L3353" t="s">
        <v>24</v>
      </c>
      <c r="M3353" t="s">
        <v>25</v>
      </c>
      <c r="N3353" t="s">
        <v>26</v>
      </c>
      <c r="O3353" t="s">
        <v>49</v>
      </c>
      <c r="P3353" t="s">
        <v>38</v>
      </c>
      <c r="Q3353">
        <v>2</v>
      </c>
      <c r="R3353">
        <v>2777.05</v>
      </c>
      <c r="S3353" t="s">
        <v>29</v>
      </c>
    </row>
    <row r="3354" spans="1:19" x14ac:dyDescent="0.3">
      <c r="A3354" t="s">
        <v>3424</v>
      </c>
      <c r="B3354">
        <v>71</v>
      </c>
      <c r="C3354" t="s">
        <v>31</v>
      </c>
      <c r="D3354" t="s">
        <v>20</v>
      </c>
      <c r="E3354" s="1">
        <v>45709</v>
      </c>
      <c r="F3354" s="3">
        <v>45720</v>
      </c>
      <c r="G3354" t="s">
        <v>93</v>
      </c>
      <c r="H3354" t="s">
        <v>72</v>
      </c>
      <c r="I3354" t="s">
        <v>23</v>
      </c>
      <c r="J3354">
        <v>3700.98</v>
      </c>
      <c r="K3354">
        <v>11</v>
      </c>
      <c r="L3354" t="s">
        <v>36</v>
      </c>
      <c r="M3354" t="s">
        <v>25</v>
      </c>
      <c r="N3354" t="s">
        <v>55</v>
      </c>
      <c r="O3354" t="s">
        <v>56</v>
      </c>
      <c r="P3354" t="s">
        <v>50</v>
      </c>
      <c r="Q3354">
        <v>11</v>
      </c>
      <c r="R3354">
        <v>702.09</v>
      </c>
      <c r="S3354" t="s">
        <v>29</v>
      </c>
    </row>
    <row r="3355" spans="1:19" x14ac:dyDescent="0.3">
      <c r="A3355" t="s">
        <v>3425</v>
      </c>
      <c r="B3355">
        <v>72</v>
      </c>
      <c r="C3355" t="s">
        <v>31</v>
      </c>
      <c r="D3355" t="s">
        <v>32</v>
      </c>
      <c r="E3355" s="1">
        <v>45131</v>
      </c>
      <c r="F3355" s="3">
        <v>45135</v>
      </c>
      <c r="G3355" t="s">
        <v>74</v>
      </c>
      <c r="H3355" t="s">
        <v>75</v>
      </c>
      <c r="I3355" t="s">
        <v>54</v>
      </c>
      <c r="J3355">
        <v>3385.51</v>
      </c>
      <c r="K3355">
        <v>4</v>
      </c>
      <c r="L3355" t="s">
        <v>24</v>
      </c>
      <c r="M3355" t="s">
        <v>25</v>
      </c>
      <c r="N3355" t="s">
        <v>26</v>
      </c>
      <c r="O3355" t="s">
        <v>56</v>
      </c>
      <c r="P3355" t="s">
        <v>28</v>
      </c>
      <c r="Q3355">
        <v>1</v>
      </c>
      <c r="R3355">
        <v>1128.79</v>
      </c>
      <c r="S3355" t="s">
        <v>29</v>
      </c>
    </row>
    <row r="3356" spans="1:19" x14ac:dyDescent="0.3">
      <c r="A3356" t="s">
        <v>3426</v>
      </c>
      <c r="B3356">
        <v>90</v>
      </c>
      <c r="C3356" t="s">
        <v>19</v>
      </c>
      <c r="D3356" t="s">
        <v>70</v>
      </c>
      <c r="E3356" s="1">
        <v>45397</v>
      </c>
      <c r="F3356" s="3">
        <v>45415</v>
      </c>
      <c r="G3356" t="s">
        <v>21</v>
      </c>
      <c r="H3356" t="s">
        <v>22</v>
      </c>
      <c r="I3356" t="s">
        <v>54</v>
      </c>
      <c r="J3356">
        <v>7577.3</v>
      </c>
      <c r="K3356">
        <v>18</v>
      </c>
      <c r="L3356" t="s">
        <v>36</v>
      </c>
      <c r="M3356" t="s">
        <v>25</v>
      </c>
      <c r="N3356" t="s">
        <v>55</v>
      </c>
      <c r="O3356" t="s">
        <v>37</v>
      </c>
      <c r="P3356" t="s">
        <v>28</v>
      </c>
      <c r="Q3356">
        <v>15</v>
      </c>
      <c r="R3356">
        <v>2262.79</v>
      </c>
      <c r="S3356" t="s">
        <v>29</v>
      </c>
    </row>
    <row r="3357" spans="1:19" x14ac:dyDescent="0.3">
      <c r="A3357" t="s">
        <v>3427</v>
      </c>
      <c r="B3357">
        <v>70</v>
      </c>
      <c r="C3357" t="s">
        <v>19</v>
      </c>
      <c r="D3357" t="s">
        <v>32</v>
      </c>
      <c r="E3357" s="1">
        <v>45094</v>
      </c>
      <c r="F3357" s="3">
        <v>45122</v>
      </c>
      <c r="G3357" t="s">
        <v>48</v>
      </c>
      <c r="H3357" t="s">
        <v>22</v>
      </c>
      <c r="I3357" t="s">
        <v>35</v>
      </c>
      <c r="J3357">
        <v>25497.7</v>
      </c>
      <c r="K3357">
        <v>28</v>
      </c>
      <c r="L3357" t="s">
        <v>24</v>
      </c>
      <c r="M3357" t="s">
        <v>25</v>
      </c>
      <c r="N3357" t="s">
        <v>55</v>
      </c>
      <c r="O3357" t="s">
        <v>49</v>
      </c>
      <c r="P3357" t="s">
        <v>38</v>
      </c>
      <c r="Q3357">
        <v>2</v>
      </c>
      <c r="R3357">
        <v>6141.25</v>
      </c>
      <c r="S3357" t="s">
        <v>29</v>
      </c>
    </row>
    <row r="3358" spans="1:19" x14ac:dyDescent="0.3">
      <c r="A3358" t="s">
        <v>3428</v>
      </c>
      <c r="B3358">
        <v>39</v>
      </c>
      <c r="C3358" t="s">
        <v>19</v>
      </c>
      <c r="D3358" t="s">
        <v>20</v>
      </c>
      <c r="E3358" s="1">
        <v>45619</v>
      </c>
      <c r="F3358" s="3">
        <v>45626</v>
      </c>
      <c r="G3358" t="s">
        <v>74</v>
      </c>
      <c r="H3358" t="s">
        <v>75</v>
      </c>
      <c r="I3358" t="s">
        <v>91</v>
      </c>
      <c r="J3358">
        <v>9197.92</v>
      </c>
      <c r="K3358">
        <v>7</v>
      </c>
      <c r="L3358" t="s">
        <v>36</v>
      </c>
      <c r="M3358" t="s">
        <v>25</v>
      </c>
      <c r="N3358" t="s">
        <v>55</v>
      </c>
      <c r="O3358" t="s">
        <v>49</v>
      </c>
      <c r="P3358" t="s">
        <v>28</v>
      </c>
      <c r="Q3358">
        <v>10</v>
      </c>
      <c r="R3358">
        <v>3353.14</v>
      </c>
      <c r="S3358" t="s">
        <v>29</v>
      </c>
    </row>
    <row r="3359" spans="1:19" x14ac:dyDescent="0.3">
      <c r="A3359" t="s">
        <v>3429</v>
      </c>
      <c r="B3359">
        <v>47</v>
      </c>
      <c r="C3359" t="s">
        <v>31</v>
      </c>
      <c r="D3359" t="s">
        <v>32</v>
      </c>
      <c r="E3359" s="1">
        <v>45212</v>
      </c>
      <c r="F3359" s="3">
        <v>45236</v>
      </c>
      <c r="G3359" t="s">
        <v>48</v>
      </c>
      <c r="H3359" t="s">
        <v>22</v>
      </c>
      <c r="I3359" t="s">
        <v>23</v>
      </c>
      <c r="J3359">
        <v>14424</v>
      </c>
      <c r="K3359">
        <v>24</v>
      </c>
      <c r="L3359" t="s">
        <v>36</v>
      </c>
      <c r="M3359" t="s">
        <v>25</v>
      </c>
      <c r="N3359" t="s">
        <v>55</v>
      </c>
      <c r="O3359" t="s">
        <v>49</v>
      </c>
      <c r="P3359" t="s">
        <v>45</v>
      </c>
      <c r="Q3359">
        <v>6</v>
      </c>
      <c r="R3359">
        <v>4874.3999999999996</v>
      </c>
      <c r="S3359" t="s">
        <v>29</v>
      </c>
    </row>
    <row r="3360" spans="1:19" x14ac:dyDescent="0.3">
      <c r="A3360" t="s">
        <v>3430</v>
      </c>
      <c r="B3360">
        <v>59</v>
      </c>
      <c r="C3360" t="s">
        <v>31</v>
      </c>
      <c r="D3360" t="s">
        <v>79</v>
      </c>
      <c r="E3360" s="1">
        <v>44927</v>
      </c>
      <c r="F3360" s="3">
        <v>44941</v>
      </c>
      <c r="G3360" t="s">
        <v>74</v>
      </c>
      <c r="H3360" t="s">
        <v>75</v>
      </c>
      <c r="I3360" t="s">
        <v>83</v>
      </c>
      <c r="J3360">
        <v>7591.15</v>
      </c>
      <c r="K3360">
        <v>14</v>
      </c>
      <c r="L3360" t="s">
        <v>36</v>
      </c>
      <c r="M3360" t="s">
        <v>25</v>
      </c>
      <c r="N3360" t="s">
        <v>55</v>
      </c>
      <c r="O3360" t="s">
        <v>27</v>
      </c>
      <c r="P3360" t="s">
        <v>28</v>
      </c>
      <c r="Q3360">
        <v>2</v>
      </c>
      <c r="R3360">
        <v>1646.93</v>
      </c>
      <c r="S3360" t="s">
        <v>29</v>
      </c>
    </row>
    <row r="3361" spans="1:19" x14ac:dyDescent="0.3">
      <c r="A3361" t="s">
        <v>3431</v>
      </c>
      <c r="B3361">
        <v>47</v>
      </c>
      <c r="C3361" t="s">
        <v>19</v>
      </c>
      <c r="D3361" t="s">
        <v>79</v>
      </c>
      <c r="E3361" s="1">
        <v>45794</v>
      </c>
      <c r="F3361" s="3">
        <v>45811</v>
      </c>
      <c r="G3361" t="s">
        <v>21</v>
      </c>
      <c r="H3361" t="s">
        <v>22</v>
      </c>
      <c r="I3361" t="s">
        <v>91</v>
      </c>
      <c r="J3361">
        <v>11979.86</v>
      </c>
      <c r="K3361">
        <v>17</v>
      </c>
      <c r="L3361" t="s">
        <v>36</v>
      </c>
      <c r="M3361" t="s">
        <v>25</v>
      </c>
      <c r="N3361" t="s">
        <v>55</v>
      </c>
      <c r="O3361" t="s">
        <v>27</v>
      </c>
      <c r="P3361" t="s">
        <v>38</v>
      </c>
      <c r="Q3361">
        <v>11</v>
      </c>
      <c r="R3361">
        <v>2488.89</v>
      </c>
      <c r="S3361" t="s">
        <v>39</v>
      </c>
    </row>
    <row r="3362" spans="1:19" x14ac:dyDescent="0.3">
      <c r="A3362" t="s">
        <v>3432</v>
      </c>
      <c r="B3362">
        <v>71</v>
      </c>
      <c r="C3362" t="s">
        <v>19</v>
      </c>
      <c r="D3362" t="s">
        <v>70</v>
      </c>
      <c r="E3362" s="1">
        <v>45578</v>
      </c>
      <c r="F3362" s="3">
        <v>45591</v>
      </c>
      <c r="G3362" t="s">
        <v>67</v>
      </c>
      <c r="H3362" t="s">
        <v>42</v>
      </c>
      <c r="I3362" t="s">
        <v>35</v>
      </c>
      <c r="J3362">
        <v>12772.35</v>
      </c>
      <c r="K3362">
        <v>13</v>
      </c>
      <c r="L3362" t="s">
        <v>24</v>
      </c>
      <c r="M3362" t="s">
        <v>59</v>
      </c>
      <c r="N3362" t="s">
        <v>55</v>
      </c>
      <c r="O3362" t="s">
        <v>49</v>
      </c>
      <c r="P3362" t="s">
        <v>45</v>
      </c>
      <c r="Q3362">
        <v>4</v>
      </c>
      <c r="R3362">
        <v>4237.28</v>
      </c>
      <c r="S3362" t="s">
        <v>29</v>
      </c>
    </row>
    <row r="3363" spans="1:19" x14ac:dyDescent="0.3">
      <c r="A3363" t="s">
        <v>3433</v>
      </c>
      <c r="B3363">
        <v>70</v>
      </c>
      <c r="C3363" t="s">
        <v>19</v>
      </c>
      <c r="D3363" t="s">
        <v>20</v>
      </c>
      <c r="E3363" s="1">
        <v>44974</v>
      </c>
      <c r="F3363" s="3">
        <v>44986</v>
      </c>
      <c r="G3363" t="s">
        <v>48</v>
      </c>
      <c r="H3363" t="s">
        <v>22</v>
      </c>
      <c r="I3363" t="s">
        <v>54</v>
      </c>
      <c r="J3363">
        <v>9540.89</v>
      </c>
      <c r="K3363">
        <v>12</v>
      </c>
      <c r="L3363" t="s">
        <v>36</v>
      </c>
      <c r="M3363" t="s">
        <v>76</v>
      </c>
      <c r="N3363" t="s">
        <v>55</v>
      </c>
      <c r="O3363" t="s">
        <v>49</v>
      </c>
      <c r="P3363" t="s">
        <v>45</v>
      </c>
      <c r="Q3363">
        <v>9</v>
      </c>
      <c r="R3363">
        <v>1925.54</v>
      </c>
      <c r="S3363" t="s">
        <v>29</v>
      </c>
    </row>
    <row r="3364" spans="1:19" x14ac:dyDescent="0.3">
      <c r="A3364" t="s">
        <v>3434</v>
      </c>
      <c r="B3364">
        <v>77</v>
      </c>
      <c r="C3364" t="s">
        <v>31</v>
      </c>
      <c r="D3364" t="s">
        <v>32</v>
      </c>
      <c r="E3364" s="1">
        <v>45338</v>
      </c>
      <c r="F3364" s="3">
        <v>45344</v>
      </c>
      <c r="G3364" t="s">
        <v>41</v>
      </c>
      <c r="H3364" t="s">
        <v>42</v>
      </c>
      <c r="I3364" t="s">
        <v>83</v>
      </c>
      <c r="J3364">
        <v>3520.22</v>
      </c>
      <c r="K3364">
        <v>6</v>
      </c>
      <c r="L3364" t="s">
        <v>36</v>
      </c>
      <c r="M3364" t="s">
        <v>25</v>
      </c>
      <c r="N3364" t="s">
        <v>26</v>
      </c>
      <c r="O3364" t="s">
        <v>37</v>
      </c>
      <c r="P3364" t="s">
        <v>38</v>
      </c>
      <c r="Q3364">
        <v>4</v>
      </c>
      <c r="R3364">
        <v>710.63</v>
      </c>
      <c r="S3364" t="s">
        <v>39</v>
      </c>
    </row>
    <row r="3365" spans="1:19" x14ac:dyDescent="0.3">
      <c r="A3365" t="s">
        <v>3435</v>
      </c>
      <c r="B3365">
        <v>66</v>
      </c>
      <c r="C3365" t="s">
        <v>31</v>
      </c>
      <c r="D3365" t="s">
        <v>47</v>
      </c>
      <c r="E3365" s="1">
        <v>45086</v>
      </c>
      <c r="F3365" s="3">
        <v>45108</v>
      </c>
      <c r="G3365" t="s">
        <v>21</v>
      </c>
      <c r="H3365" t="s">
        <v>22</v>
      </c>
      <c r="I3365" t="s">
        <v>91</v>
      </c>
      <c r="J3365">
        <v>18984.2</v>
      </c>
      <c r="K3365">
        <v>22</v>
      </c>
      <c r="L3365" t="s">
        <v>36</v>
      </c>
      <c r="M3365" t="s">
        <v>59</v>
      </c>
      <c r="N3365" t="s">
        <v>26</v>
      </c>
      <c r="O3365" t="s">
        <v>49</v>
      </c>
      <c r="P3365" t="s">
        <v>38</v>
      </c>
      <c r="Q3365">
        <v>7</v>
      </c>
      <c r="R3365">
        <v>5037.78</v>
      </c>
      <c r="S3365" t="s">
        <v>29</v>
      </c>
    </row>
    <row r="3366" spans="1:19" x14ac:dyDescent="0.3">
      <c r="A3366" t="s">
        <v>3436</v>
      </c>
      <c r="B3366">
        <v>89</v>
      </c>
      <c r="C3366" t="s">
        <v>31</v>
      </c>
      <c r="D3366" t="s">
        <v>32</v>
      </c>
      <c r="E3366" s="1">
        <v>45270</v>
      </c>
      <c r="F3366" s="3">
        <v>45283</v>
      </c>
      <c r="G3366" t="s">
        <v>93</v>
      </c>
      <c r="H3366" t="s">
        <v>72</v>
      </c>
      <c r="I3366" t="s">
        <v>35</v>
      </c>
      <c r="J3366">
        <v>6791.42</v>
      </c>
      <c r="K3366">
        <v>13</v>
      </c>
      <c r="L3366" t="s">
        <v>24</v>
      </c>
      <c r="M3366" t="s">
        <v>25</v>
      </c>
      <c r="N3366" t="s">
        <v>44</v>
      </c>
      <c r="O3366" t="s">
        <v>37</v>
      </c>
      <c r="P3366" t="s">
        <v>50</v>
      </c>
      <c r="Q3366">
        <v>1</v>
      </c>
      <c r="R3366">
        <v>1446.34</v>
      </c>
      <c r="S3366" t="s">
        <v>29</v>
      </c>
    </row>
    <row r="3367" spans="1:19" x14ac:dyDescent="0.3">
      <c r="A3367" t="s">
        <v>3437</v>
      </c>
      <c r="B3367">
        <v>67</v>
      </c>
      <c r="C3367" t="s">
        <v>19</v>
      </c>
      <c r="D3367" t="s">
        <v>47</v>
      </c>
      <c r="E3367" s="1">
        <v>44971</v>
      </c>
      <c r="F3367" s="3">
        <v>44972</v>
      </c>
      <c r="G3367" t="s">
        <v>62</v>
      </c>
      <c r="H3367" t="s">
        <v>63</v>
      </c>
      <c r="I3367" t="s">
        <v>23</v>
      </c>
      <c r="J3367">
        <v>2912.6</v>
      </c>
      <c r="K3367">
        <v>1</v>
      </c>
      <c r="L3367" t="s">
        <v>24</v>
      </c>
      <c r="M3367" t="s">
        <v>76</v>
      </c>
      <c r="N3367" t="s">
        <v>55</v>
      </c>
      <c r="O3367" t="s">
        <v>56</v>
      </c>
      <c r="P3367" t="s">
        <v>38</v>
      </c>
      <c r="Q3367">
        <v>6</v>
      </c>
      <c r="R3367">
        <v>620.83000000000004</v>
      </c>
      <c r="S3367" t="s">
        <v>29</v>
      </c>
    </row>
    <row r="3368" spans="1:19" x14ac:dyDescent="0.3">
      <c r="A3368" t="s">
        <v>3438</v>
      </c>
      <c r="B3368">
        <v>34</v>
      </c>
      <c r="C3368" t="s">
        <v>19</v>
      </c>
      <c r="D3368" t="s">
        <v>47</v>
      </c>
      <c r="E3368" s="1">
        <v>45796</v>
      </c>
      <c r="F3368" s="3">
        <v>45800</v>
      </c>
      <c r="G3368" t="s">
        <v>33</v>
      </c>
      <c r="H3368" t="s">
        <v>34</v>
      </c>
      <c r="I3368" t="s">
        <v>43</v>
      </c>
      <c r="J3368">
        <v>1531.3</v>
      </c>
      <c r="K3368">
        <v>4</v>
      </c>
      <c r="L3368" t="s">
        <v>36</v>
      </c>
      <c r="M3368" t="s">
        <v>59</v>
      </c>
      <c r="N3368" t="s">
        <v>26</v>
      </c>
      <c r="O3368" t="s">
        <v>56</v>
      </c>
      <c r="P3368" t="s">
        <v>38</v>
      </c>
      <c r="Q3368">
        <v>6</v>
      </c>
      <c r="R3368">
        <v>504.1</v>
      </c>
      <c r="S3368" t="s">
        <v>29</v>
      </c>
    </row>
    <row r="3369" spans="1:19" x14ac:dyDescent="0.3">
      <c r="A3369" t="s">
        <v>3439</v>
      </c>
      <c r="B3369">
        <v>79</v>
      </c>
      <c r="C3369" t="s">
        <v>19</v>
      </c>
      <c r="D3369" t="s">
        <v>66</v>
      </c>
      <c r="E3369" s="1">
        <v>45751</v>
      </c>
      <c r="F3369" s="3">
        <v>45771</v>
      </c>
      <c r="G3369" t="s">
        <v>74</v>
      </c>
      <c r="H3369" t="s">
        <v>75</v>
      </c>
      <c r="I3369" t="s">
        <v>58</v>
      </c>
      <c r="J3369">
        <v>6150.43</v>
      </c>
      <c r="K3369">
        <v>20</v>
      </c>
      <c r="L3369" t="s">
        <v>24</v>
      </c>
      <c r="M3369" t="s">
        <v>25</v>
      </c>
      <c r="N3369" t="s">
        <v>55</v>
      </c>
      <c r="O3369" t="s">
        <v>56</v>
      </c>
      <c r="P3369" t="s">
        <v>50</v>
      </c>
      <c r="Q3369">
        <v>11</v>
      </c>
      <c r="R3369">
        <v>1943.87</v>
      </c>
      <c r="S3369" t="s">
        <v>29</v>
      </c>
    </row>
    <row r="3370" spans="1:19" x14ac:dyDescent="0.3">
      <c r="A3370" t="s">
        <v>3440</v>
      </c>
      <c r="B3370">
        <v>71</v>
      </c>
      <c r="C3370" t="s">
        <v>19</v>
      </c>
      <c r="D3370" t="s">
        <v>79</v>
      </c>
      <c r="E3370" s="1">
        <v>45409</v>
      </c>
      <c r="F3370" s="3">
        <v>45413</v>
      </c>
      <c r="G3370" t="s">
        <v>93</v>
      </c>
      <c r="H3370" t="s">
        <v>72</v>
      </c>
      <c r="I3370" t="s">
        <v>81</v>
      </c>
      <c r="J3370">
        <v>2743.66</v>
      </c>
      <c r="K3370">
        <v>4</v>
      </c>
      <c r="L3370" t="s">
        <v>36</v>
      </c>
      <c r="M3370" t="s">
        <v>25</v>
      </c>
      <c r="N3370" t="s">
        <v>55</v>
      </c>
      <c r="O3370" t="s">
        <v>27</v>
      </c>
      <c r="P3370" t="s">
        <v>28</v>
      </c>
      <c r="Q3370">
        <v>12</v>
      </c>
      <c r="R3370">
        <v>444.56</v>
      </c>
      <c r="S3370" t="s">
        <v>29</v>
      </c>
    </row>
    <row r="3371" spans="1:19" x14ac:dyDescent="0.3">
      <c r="A3371" t="s">
        <v>3441</v>
      </c>
      <c r="B3371">
        <v>25</v>
      </c>
      <c r="C3371" t="s">
        <v>31</v>
      </c>
      <c r="D3371" t="s">
        <v>66</v>
      </c>
      <c r="E3371" s="1">
        <v>45812</v>
      </c>
      <c r="F3371" s="3">
        <v>45827</v>
      </c>
      <c r="G3371" t="s">
        <v>33</v>
      </c>
      <c r="H3371" t="s">
        <v>34</v>
      </c>
      <c r="I3371" t="s">
        <v>83</v>
      </c>
      <c r="J3371">
        <v>12650.73</v>
      </c>
      <c r="K3371">
        <v>15</v>
      </c>
      <c r="L3371" t="s">
        <v>24</v>
      </c>
      <c r="M3371" t="s">
        <v>25</v>
      </c>
      <c r="N3371" t="s">
        <v>44</v>
      </c>
      <c r="O3371" t="s">
        <v>49</v>
      </c>
      <c r="P3371" t="s">
        <v>28</v>
      </c>
      <c r="Q3371">
        <v>15</v>
      </c>
      <c r="R3371">
        <v>4487.0200000000004</v>
      </c>
      <c r="S3371" t="s">
        <v>29</v>
      </c>
    </row>
    <row r="3372" spans="1:19" x14ac:dyDescent="0.3">
      <c r="A3372" t="s">
        <v>3442</v>
      </c>
      <c r="B3372">
        <v>35</v>
      </c>
      <c r="C3372" t="s">
        <v>31</v>
      </c>
      <c r="D3372" t="s">
        <v>32</v>
      </c>
      <c r="E3372" s="1">
        <v>44951</v>
      </c>
      <c r="F3372" s="3">
        <v>44971</v>
      </c>
      <c r="G3372" t="s">
        <v>48</v>
      </c>
      <c r="H3372" t="s">
        <v>22</v>
      </c>
      <c r="I3372" t="s">
        <v>58</v>
      </c>
      <c r="J3372">
        <v>9716.6</v>
      </c>
      <c r="K3372">
        <v>20</v>
      </c>
      <c r="L3372" t="s">
        <v>36</v>
      </c>
      <c r="M3372" t="s">
        <v>101</v>
      </c>
      <c r="N3372" t="s">
        <v>44</v>
      </c>
      <c r="O3372" t="s">
        <v>49</v>
      </c>
      <c r="P3372" t="s">
        <v>50</v>
      </c>
      <c r="Q3372">
        <v>15</v>
      </c>
      <c r="R3372">
        <v>2394.34</v>
      </c>
      <c r="S3372" t="s">
        <v>29</v>
      </c>
    </row>
    <row r="3373" spans="1:19" x14ac:dyDescent="0.3">
      <c r="A3373" t="s">
        <v>3443</v>
      </c>
      <c r="B3373">
        <v>66</v>
      </c>
      <c r="C3373" t="s">
        <v>31</v>
      </c>
      <c r="D3373" t="s">
        <v>79</v>
      </c>
      <c r="E3373" s="1">
        <v>45253</v>
      </c>
      <c r="F3373" s="3">
        <v>45263</v>
      </c>
      <c r="G3373" t="s">
        <v>41</v>
      </c>
      <c r="H3373" t="s">
        <v>42</v>
      </c>
      <c r="I3373" t="s">
        <v>54</v>
      </c>
      <c r="J3373">
        <v>5270.98</v>
      </c>
      <c r="K3373">
        <v>10</v>
      </c>
      <c r="L3373" t="s">
        <v>36</v>
      </c>
      <c r="M3373" t="s">
        <v>101</v>
      </c>
      <c r="N3373" t="s">
        <v>44</v>
      </c>
      <c r="O3373" t="s">
        <v>56</v>
      </c>
      <c r="P3373" t="s">
        <v>45</v>
      </c>
      <c r="Q3373">
        <v>11</v>
      </c>
      <c r="R3373">
        <v>1360.94</v>
      </c>
      <c r="S3373" t="s">
        <v>29</v>
      </c>
    </row>
    <row r="3374" spans="1:19" x14ac:dyDescent="0.3">
      <c r="A3374" t="s">
        <v>3444</v>
      </c>
      <c r="B3374">
        <v>22</v>
      </c>
      <c r="C3374" t="s">
        <v>19</v>
      </c>
      <c r="D3374" t="s">
        <v>89</v>
      </c>
      <c r="E3374" s="1">
        <v>45831</v>
      </c>
      <c r="F3374" s="3">
        <v>45838</v>
      </c>
      <c r="G3374" t="s">
        <v>71</v>
      </c>
      <c r="H3374" t="s">
        <v>72</v>
      </c>
      <c r="I3374" t="s">
        <v>83</v>
      </c>
      <c r="J3374">
        <v>3295.13</v>
      </c>
      <c r="K3374">
        <v>7</v>
      </c>
      <c r="L3374" t="s">
        <v>24</v>
      </c>
      <c r="M3374" t="s">
        <v>25</v>
      </c>
      <c r="N3374" t="s">
        <v>44</v>
      </c>
      <c r="O3374" t="s">
        <v>56</v>
      </c>
      <c r="P3374" t="s">
        <v>28</v>
      </c>
      <c r="Q3374">
        <v>10</v>
      </c>
      <c r="R3374">
        <v>1246.51</v>
      </c>
      <c r="S3374" t="s">
        <v>29</v>
      </c>
    </row>
    <row r="3375" spans="1:19" x14ac:dyDescent="0.3">
      <c r="A3375" t="s">
        <v>3445</v>
      </c>
      <c r="B3375">
        <v>31</v>
      </c>
      <c r="C3375" t="s">
        <v>19</v>
      </c>
      <c r="D3375" t="s">
        <v>79</v>
      </c>
      <c r="E3375" s="1">
        <v>45922</v>
      </c>
      <c r="F3375" s="3">
        <v>45927</v>
      </c>
      <c r="G3375" t="s">
        <v>52</v>
      </c>
      <c r="H3375" t="s">
        <v>53</v>
      </c>
      <c r="I3375" t="s">
        <v>43</v>
      </c>
      <c r="J3375">
        <v>3060.58</v>
      </c>
      <c r="K3375">
        <v>5</v>
      </c>
      <c r="L3375" t="s">
        <v>36</v>
      </c>
      <c r="M3375" t="s">
        <v>25</v>
      </c>
      <c r="N3375" t="s">
        <v>26</v>
      </c>
      <c r="O3375" t="s">
        <v>37</v>
      </c>
      <c r="P3375" t="s">
        <v>45</v>
      </c>
      <c r="Q3375">
        <v>8</v>
      </c>
      <c r="R3375">
        <v>1104.53</v>
      </c>
      <c r="S3375" t="s">
        <v>29</v>
      </c>
    </row>
    <row r="3376" spans="1:19" x14ac:dyDescent="0.3">
      <c r="A3376" t="s">
        <v>3446</v>
      </c>
      <c r="B3376">
        <v>59</v>
      </c>
      <c r="C3376" t="s">
        <v>31</v>
      </c>
      <c r="D3376" t="s">
        <v>89</v>
      </c>
      <c r="E3376" s="1">
        <v>45633</v>
      </c>
      <c r="F3376" s="3">
        <v>45650</v>
      </c>
      <c r="G3376" t="s">
        <v>74</v>
      </c>
      <c r="H3376" t="s">
        <v>75</v>
      </c>
      <c r="I3376" t="s">
        <v>43</v>
      </c>
      <c r="J3376">
        <v>9024.44</v>
      </c>
      <c r="K3376">
        <v>17</v>
      </c>
      <c r="L3376" t="s">
        <v>36</v>
      </c>
      <c r="M3376" t="s">
        <v>25</v>
      </c>
      <c r="N3376" t="s">
        <v>55</v>
      </c>
      <c r="O3376" t="s">
        <v>27</v>
      </c>
      <c r="P3376" t="s">
        <v>38</v>
      </c>
      <c r="Q3376">
        <v>12</v>
      </c>
      <c r="R3376">
        <v>1626.73</v>
      </c>
      <c r="S3376" t="s">
        <v>29</v>
      </c>
    </row>
    <row r="3377" spans="1:19" x14ac:dyDescent="0.3">
      <c r="A3377" t="s">
        <v>3447</v>
      </c>
      <c r="B3377">
        <v>47</v>
      </c>
      <c r="C3377" t="s">
        <v>19</v>
      </c>
      <c r="D3377" t="s">
        <v>20</v>
      </c>
      <c r="E3377" s="1">
        <v>45775</v>
      </c>
      <c r="F3377" s="3">
        <v>45784</v>
      </c>
      <c r="G3377" t="s">
        <v>52</v>
      </c>
      <c r="H3377" t="s">
        <v>53</v>
      </c>
      <c r="I3377" t="s">
        <v>54</v>
      </c>
      <c r="J3377">
        <v>4649.07</v>
      </c>
      <c r="K3377">
        <v>9</v>
      </c>
      <c r="L3377" t="s">
        <v>24</v>
      </c>
      <c r="M3377" t="s">
        <v>25</v>
      </c>
      <c r="N3377" t="s">
        <v>44</v>
      </c>
      <c r="O3377" t="s">
        <v>56</v>
      </c>
      <c r="P3377" t="s">
        <v>50</v>
      </c>
      <c r="Q3377">
        <v>14</v>
      </c>
      <c r="R3377">
        <v>1328.24</v>
      </c>
      <c r="S3377" t="s">
        <v>29</v>
      </c>
    </row>
    <row r="3378" spans="1:19" x14ac:dyDescent="0.3">
      <c r="A3378" t="s">
        <v>3448</v>
      </c>
      <c r="B3378">
        <v>68</v>
      </c>
      <c r="C3378" t="s">
        <v>31</v>
      </c>
      <c r="D3378" t="s">
        <v>20</v>
      </c>
      <c r="E3378" s="1">
        <v>45487</v>
      </c>
      <c r="F3378" s="3">
        <v>45517</v>
      </c>
      <c r="G3378" t="s">
        <v>41</v>
      </c>
      <c r="H3378" t="s">
        <v>42</v>
      </c>
      <c r="I3378" t="s">
        <v>43</v>
      </c>
      <c r="J3378">
        <v>16645.98</v>
      </c>
      <c r="K3378">
        <v>30</v>
      </c>
      <c r="L3378" t="s">
        <v>36</v>
      </c>
      <c r="M3378" t="s">
        <v>101</v>
      </c>
      <c r="N3378" t="s">
        <v>55</v>
      </c>
      <c r="O3378" t="s">
        <v>49</v>
      </c>
      <c r="P3378" t="s">
        <v>38</v>
      </c>
      <c r="Q3378">
        <v>5</v>
      </c>
      <c r="R3378">
        <v>3350.29</v>
      </c>
      <c r="S3378" t="s">
        <v>29</v>
      </c>
    </row>
    <row r="3379" spans="1:19" x14ac:dyDescent="0.3">
      <c r="A3379" t="s">
        <v>3449</v>
      </c>
      <c r="B3379">
        <v>27</v>
      </c>
      <c r="C3379" t="s">
        <v>19</v>
      </c>
      <c r="D3379" t="s">
        <v>89</v>
      </c>
      <c r="E3379" s="1">
        <v>45883</v>
      </c>
      <c r="F3379" s="3">
        <v>45891</v>
      </c>
      <c r="G3379" t="s">
        <v>74</v>
      </c>
      <c r="H3379" t="s">
        <v>75</v>
      </c>
      <c r="I3379" t="s">
        <v>23</v>
      </c>
      <c r="J3379">
        <v>6120.88</v>
      </c>
      <c r="K3379">
        <v>8</v>
      </c>
      <c r="L3379" t="s">
        <v>24</v>
      </c>
      <c r="M3379" t="s">
        <v>25</v>
      </c>
      <c r="N3379" t="s">
        <v>44</v>
      </c>
      <c r="O3379" t="s">
        <v>27</v>
      </c>
      <c r="P3379" t="s">
        <v>38</v>
      </c>
      <c r="Q3379">
        <v>7</v>
      </c>
      <c r="R3379">
        <v>941.9</v>
      </c>
      <c r="S3379" t="s">
        <v>29</v>
      </c>
    </row>
    <row r="3380" spans="1:19" x14ac:dyDescent="0.3">
      <c r="A3380" t="s">
        <v>3450</v>
      </c>
      <c r="B3380">
        <v>49</v>
      </c>
      <c r="C3380" t="s">
        <v>31</v>
      </c>
      <c r="D3380" t="s">
        <v>79</v>
      </c>
      <c r="E3380" s="1">
        <v>45339</v>
      </c>
      <c r="F3380" s="3">
        <v>45359</v>
      </c>
      <c r="G3380" t="s">
        <v>71</v>
      </c>
      <c r="H3380" t="s">
        <v>72</v>
      </c>
      <c r="I3380" t="s">
        <v>54</v>
      </c>
      <c r="J3380">
        <v>8938.0499999999993</v>
      </c>
      <c r="K3380">
        <v>20</v>
      </c>
      <c r="L3380" t="s">
        <v>36</v>
      </c>
      <c r="M3380" t="s">
        <v>59</v>
      </c>
      <c r="N3380" t="s">
        <v>55</v>
      </c>
      <c r="O3380" t="s">
        <v>56</v>
      </c>
      <c r="P3380" t="s">
        <v>50</v>
      </c>
      <c r="Q3380">
        <v>14</v>
      </c>
      <c r="R3380">
        <v>3013.53</v>
      </c>
      <c r="S3380" t="s">
        <v>39</v>
      </c>
    </row>
    <row r="3381" spans="1:19" x14ac:dyDescent="0.3">
      <c r="A3381" t="s">
        <v>3451</v>
      </c>
      <c r="B3381">
        <v>38</v>
      </c>
      <c r="C3381" t="s">
        <v>19</v>
      </c>
      <c r="D3381" t="s">
        <v>47</v>
      </c>
      <c r="E3381" s="1">
        <v>45448</v>
      </c>
      <c r="F3381" s="3">
        <v>45458</v>
      </c>
      <c r="G3381" t="s">
        <v>41</v>
      </c>
      <c r="H3381" t="s">
        <v>42</v>
      </c>
      <c r="I3381" t="s">
        <v>54</v>
      </c>
      <c r="J3381">
        <v>10675.57</v>
      </c>
      <c r="K3381">
        <v>10</v>
      </c>
      <c r="L3381" t="s">
        <v>36</v>
      </c>
      <c r="M3381" t="s">
        <v>25</v>
      </c>
      <c r="N3381" t="s">
        <v>55</v>
      </c>
      <c r="O3381" t="s">
        <v>49</v>
      </c>
      <c r="P3381" t="s">
        <v>50</v>
      </c>
      <c r="Q3381">
        <v>1</v>
      </c>
      <c r="R3381">
        <v>2794.74</v>
      </c>
      <c r="S3381" t="s">
        <v>29</v>
      </c>
    </row>
    <row r="3382" spans="1:19" x14ac:dyDescent="0.3">
      <c r="A3382" t="s">
        <v>3452</v>
      </c>
      <c r="B3382">
        <v>72</v>
      </c>
      <c r="C3382" t="s">
        <v>31</v>
      </c>
      <c r="D3382" t="s">
        <v>70</v>
      </c>
      <c r="E3382" s="1">
        <v>45103</v>
      </c>
      <c r="F3382" s="3">
        <v>45120</v>
      </c>
      <c r="G3382" t="s">
        <v>62</v>
      </c>
      <c r="H3382" t="s">
        <v>63</v>
      </c>
      <c r="I3382" t="s">
        <v>43</v>
      </c>
      <c r="J3382">
        <v>6281.5</v>
      </c>
      <c r="K3382">
        <v>17</v>
      </c>
      <c r="L3382" t="s">
        <v>24</v>
      </c>
      <c r="M3382" t="s">
        <v>25</v>
      </c>
      <c r="N3382" t="s">
        <v>44</v>
      </c>
      <c r="O3382" t="s">
        <v>37</v>
      </c>
      <c r="P3382" t="s">
        <v>50</v>
      </c>
      <c r="Q3382">
        <v>9</v>
      </c>
      <c r="R3382">
        <v>2105.54</v>
      </c>
      <c r="S3382" t="s">
        <v>39</v>
      </c>
    </row>
    <row r="3383" spans="1:19" x14ac:dyDescent="0.3">
      <c r="A3383" t="s">
        <v>3453</v>
      </c>
      <c r="B3383">
        <v>55</v>
      </c>
      <c r="C3383" t="s">
        <v>31</v>
      </c>
      <c r="D3383" t="s">
        <v>89</v>
      </c>
      <c r="E3383" s="1">
        <v>45385</v>
      </c>
      <c r="F3383" s="3">
        <v>45412</v>
      </c>
      <c r="G3383" t="s">
        <v>71</v>
      </c>
      <c r="H3383" t="s">
        <v>72</v>
      </c>
      <c r="I3383" t="s">
        <v>43</v>
      </c>
      <c r="J3383">
        <v>22093.17</v>
      </c>
      <c r="K3383">
        <v>27</v>
      </c>
      <c r="L3383" t="s">
        <v>36</v>
      </c>
      <c r="M3383" t="s">
        <v>25</v>
      </c>
      <c r="N3383" t="s">
        <v>26</v>
      </c>
      <c r="O3383" t="s">
        <v>49</v>
      </c>
      <c r="P3383" t="s">
        <v>45</v>
      </c>
      <c r="Q3383">
        <v>4</v>
      </c>
      <c r="R3383">
        <v>7556.01</v>
      </c>
      <c r="S3383" t="s">
        <v>29</v>
      </c>
    </row>
    <row r="3384" spans="1:19" x14ac:dyDescent="0.3">
      <c r="A3384" t="s">
        <v>3454</v>
      </c>
      <c r="B3384">
        <v>46</v>
      </c>
      <c r="C3384" t="s">
        <v>19</v>
      </c>
      <c r="D3384" t="s">
        <v>79</v>
      </c>
      <c r="E3384" s="1">
        <v>45042</v>
      </c>
      <c r="F3384" s="3">
        <v>45055</v>
      </c>
      <c r="G3384" t="s">
        <v>41</v>
      </c>
      <c r="H3384" t="s">
        <v>42</v>
      </c>
      <c r="I3384" t="s">
        <v>58</v>
      </c>
      <c r="J3384">
        <v>6163.6</v>
      </c>
      <c r="K3384">
        <v>13</v>
      </c>
      <c r="L3384" t="s">
        <v>24</v>
      </c>
      <c r="M3384" t="s">
        <v>25</v>
      </c>
      <c r="N3384" t="s">
        <v>44</v>
      </c>
      <c r="O3384" t="s">
        <v>56</v>
      </c>
      <c r="P3384" t="s">
        <v>45</v>
      </c>
      <c r="Q3384">
        <v>12</v>
      </c>
      <c r="R3384">
        <v>2036.95</v>
      </c>
      <c r="S3384" t="s">
        <v>39</v>
      </c>
    </row>
    <row r="3385" spans="1:19" x14ac:dyDescent="0.3">
      <c r="A3385" t="s">
        <v>3455</v>
      </c>
      <c r="B3385">
        <v>64</v>
      </c>
      <c r="C3385" t="s">
        <v>31</v>
      </c>
      <c r="D3385" t="s">
        <v>47</v>
      </c>
      <c r="E3385" s="1">
        <v>45863</v>
      </c>
      <c r="F3385" s="3">
        <v>45864</v>
      </c>
      <c r="G3385" t="s">
        <v>71</v>
      </c>
      <c r="H3385" t="s">
        <v>72</v>
      </c>
      <c r="I3385" t="s">
        <v>23</v>
      </c>
      <c r="J3385">
        <v>1052.67</v>
      </c>
      <c r="K3385">
        <v>1</v>
      </c>
      <c r="L3385" t="s">
        <v>24</v>
      </c>
      <c r="M3385" t="s">
        <v>25</v>
      </c>
      <c r="N3385" t="s">
        <v>26</v>
      </c>
      <c r="O3385" t="s">
        <v>37</v>
      </c>
      <c r="P3385" t="s">
        <v>50</v>
      </c>
      <c r="Q3385">
        <v>12</v>
      </c>
      <c r="R3385">
        <v>161.07</v>
      </c>
      <c r="S3385" t="s">
        <v>29</v>
      </c>
    </row>
    <row r="3386" spans="1:19" x14ac:dyDescent="0.3">
      <c r="A3386" t="s">
        <v>3456</v>
      </c>
      <c r="B3386">
        <v>53</v>
      </c>
      <c r="C3386" t="s">
        <v>19</v>
      </c>
      <c r="D3386" t="s">
        <v>89</v>
      </c>
      <c r="E3386" s="1">
        <v>45865</v>
      </c>
      <c r="F3386" s="3">
        <v>45874</v>
      </c>
      <c r="G3386" t="s">
        <v>48</v>
      </c>
      <c r="H3386" t="s">
        <v>22</v>
      </c>
      <c r="I3386" t="s">
        <v>35</v>
      </c>
      <c r="J3386">
        <v>6737.27</v>
      </c>
      <c r="K3386">
        <v>9</v>
      </c>
      <c r="L3386" t="s">
        <v>36</v>
      </c>
      <c r="M3386" t="s">
        <v>59</v>
      </c>
      <c r="N3386" t="s">
        <v>44</v>
      </c>
      <c r="O3386" t="s">
        <v>56</v>
      </c>
      <c r="P3386" t="s">
        <v>38</v>
      </c>
      <c r="Q3386">
        <v>8</v>
      </c>
      <c r="R3386">
        <v>2098.7600000000002</v>
      </c>
      <c r="S3386" t="s">
        <v>29</v>
      </c>
    </row>
    <row r="3387" spans="1:19" x14ac:dyDescent="0.3">
      <c r="A3387" t="s">
        <v>3457</v>
      </c>
      <c r="B3387">
        <v>81</v>
      </c>
      <c r="C3387" t="s">
        <v>19</v>
      </c>
      <c r="D3387" t="s">
        <v>79</v>
      </c>
      <c r="E3387" s="1">
        <v>45734</v>
      </c>
      <c r="F3387" s="3">
        <v>45735</v>
      </c>
      <c r="G3387" t="s">
        <v>41</v>
      </c>
      <c r="H3387" t="s">
        <v>42</v>
      </c>
      <c r="I3387" t="s">
        <v>58</v>
      </c>
      <c r="J3387">
        <v>1348.72</v>
      </c>
      <c r="K3387">
        <v>1</v>
      </c>
      <c r="L3387" t="s">
        <v>36</v>
      </c>
      <c r="M3387" t="s">
        <v>59</v>
      </c>
      <c r="N3387" t="s">
        <v>26</v>
      </c>
      <c r="O3387" t="s">
        <v>56</v>
      </c>
      <c r="P3387" t="s">
        <v>50</v>
      </c>
      <c r="Q3387">
        <v>13</v>
      </c>
      <c r="R3387">
        <v>405.3</v>
      </c>
      <c r="S3387" t="s">
        <v>29</v>
      </c>
    </row>
    <row r="3388" spans="1:19" x14ac:dyDescent="0.3">
      <c r="A3388" t="s">
        <v>3458</v>
      </c>
      <c r="B3388">
        <v>69</v>
      </c>
      <c r="C3388" t="s">
        <v>31</v>
      </c>
      <c r="D3388" t="s">
        <v>61</v>
      </c>
      <c r="E3388" s="1">
        <v>45851</v>
      </c>
      <c r="F3388" s="3">
        <v>45855</v>
      </c>
      <c r="G3388" t="s">
        <v>71</v>
      </c>
      <c r="H3388" t="s">
        <v>72</v>
      </c>
      <c r="I3388" t="s">
        <v>91</v>
      </c>
      <c r="J3388">
        <v>2567.0700000000002</v>
      </c>
      <c r="K3388">
        <v>4</v>
      </c>
      <c r="L3388" t="s">
        <v>24</v>
      </c>
      <c r="M3388" t="s">
        <v>25</v>
      </c>
      <c r="N3388" t="s">
        <v>55</v>
      </c>
      <c r="O3388" t="s">
        <v>37</v>
      </c>
      <c r="P3388" t="s">
        <v>28</v>
      </c>
      <c r="Q3388">
        <v>12</v>
      </c>
      <c r="R3388">
        <v>1026.56</v>
      </c>
      <c r="S3388" t="s">
        <v>29</v>
      </c>
    </row>
    <row r="3389" spans="1:19" x14ac:dyDescent="0.3">
      <c r="A3389" t="s">
        <v>3459</v>
      </c>
      <c r="B3389">
        <v>32</v>
      </c>
      <c r="C3389" t="s">
        <v>19</v>
      </c>
      <c r="D3389" t="s">
        <v>89</v>
      </c>
      <c r="E3389" s="1">
        <v>45246</v>
      </c>
      <c r="F3389" s="3">
        <v>45248</v>
      </c>
      <c r="G3389" t="s">
        <v>67</v>
      </c>
      <c r="H3389" t="s">
        <v>42</v>
      </c>
      <c r="I3389" t="s">
        <v>43</v>
      </c>
      <c r="J3389">
        <v>3584.09</v>
      </c>
      <c r="K3389">
        <v>2</v>
      </c>
      <c r="L3389" t="s">
        <v>24</v>
      </c>
      <c r="M3389" t="s">
        <v>101</v>
      </c>
      <c r="N3389" t="s">
        <v>55</v>
      </c>
      <c r="O3389" t="s">
        <v>37</v>
      </c>
      <c r="P3389" t="s">
        <v>28</v>
      </c>
      <c r="Q3389">
        <v>2</v>
      </c>
      <c r="R3389">
        <v>878.35</v>
      </c>
      <c r="S3389" t="s">
        <v>29</v>
      </c>
    </row>
    <row r="3390" spans="1:19" x14ac:dyDescent="0.3">
      <c r="A3390" t="s">
        <v>3460</v>
      </c>
      <c r="B3390">
        <v>54</v>
      </c>
      <c r="C3390" t="s">
        <v>31</v>
      </c>
      <c r="D3390" t="s">
        <v>61</v>
      </c>
      <c r="E3390" s="1">
        <v>45083</v>
      </c>
      <c r="F3390" s="3">
        <v>45103</v>
      </c>
      <c r="G3390" t="s">
        <v>93</v>
      </c>
      <c r="H3390" t="s">
        <v>72</v>
      </c>
      <c r="I3390" t="s">
        <v>81</v>
      </c>
      <c r="J3390">
        <v>5871.69</v>
      </c>
      <c r="K3390">
        <v>20</v>
      </c>
      <c r="L3390" t="s">
        <v>36</v>
      </c>
      <c r="M3390" t="s">
        <v>25</v>
      </c>
      <c r="N3390" t="s">
        <v>44</v>
      </c>
      <c r="O3390" t="s">
        <v>56</v>
      </c>
      <c r="P3390" t="s">
        <v>45</v>
      </c>
      <c r="Q3390">
        <v>10</v>
      </c>
      <c r="R3390">
        <v>1277.83</v>
      </c>
      <c r="S3390" t="s">
        <v>29</v>
      </c>
    </row>
    <row r="3391" spans="1:19" x14ac:dyDescent="0.3">
      <c r="A3391" t="s">
        <v>3461</v>
      </c>
      <c r="B3391">
        <v>68</v>
      </c>
      <c r="C3391" t="s">
        <v>19</v>
      </c>
      <c r="D3391" t="s">
        <v>79</v>
      </c>
      <c r="E3391" s="1">
        <v>45550</v>
      </c>
      <c r="F3391" s="3">
        <v>45558</v>
      </c>
      <c r="G3391" t="s">
        <v>71</v>
      </c>
      <c r="H3391" t="s">
        <v>72</v>
      </c>
      <c r="I3391" t="s">
        <v>35</v>
      </c>
      <c r="J3391">
        <v>6909.07</v>
      </c>
      <c r="K3391">
        <v>8</v>
      </c>
      <c r="L3391" t="s">
        <v>24</v>
      </c>
      <c r="M3391" t="s">
        <v>25</v>
      </c>
      <c r="N3391" t="s">
        <v>26</v>
      </c>
      <c r="O3391" t="s">
        <v>56</v>
      </c>
      <c r="P3391" t="s">
        <v>38</v>
      </c>
      <c r="Q3391">
        <v>1</v>
      </c>
      <c r="R3391">
        <v>1107.5</v>
      </c>
      <c r="S3391" t="s">
        <v>29</v>
      </c>
    </row>
    <row r="3392" spans="1:19" x14ac:dyDescent="0.3">
      <c r="A3392" t="s">
        <v>3462</v>
      </c>
      <c r="B3392">
        <v>34</v>
      </c>
      <c r="C3392" t="s">
        <v>31</v>
      </c>
      <c r="D3392" t="s">
        <v>61</v>
      </c>
      <c r="E3392" s="1">
        <v>45319</v>
      </c>
      <c r="F3392" s="3">
        <v>45338</v>
      </c>
      <c r="G3392" t="s">
        <v>21</v>
      </c>
      <c r="H3392" t="s">
        <v>22</v>
      </c>
      <c r="I3392" t="s">
        <v>23</v>
      </c>
      <c r="J3392">
        <v>10316.49</v>
      </c>
      <c r="K3392">
        <v>19</v>
      </c>
      <c r="L3392" t="s">
        <v>36</v>
      </c>
      <c r="M3392" t="s">
        <v>25</v>
      </c>
      <c r="N3392" t="s">
        <v>26</v>
      </c>
      <c r="O3392" t="s">
        <v>37</v>
      </c>
      <c r="P3392" t="s">
        <v>50</v>
      </c>
      <c r="Q3392">
        <v>6</v>
      </c>
      <c r="R3392">
        <v>3639</v>
      </c>
      <c r="S3392" t="s">
        <v>29</v>
      </c>
    </row>
    <row r="3393" spans="1:19" x14ac:dyDescent="0.3">
      <c r="A3393" t="s">
        <v>3463</v>
      </c>
      <c r="B3393">
        <v>89</v>
      </c>
      <c r="C3393" t="s">
        <v>19</v>
      </c>
      <c r="D3393" t="s">
        <v>79</v>
      </c>
      <c r="E3393" s="1">
        <v>45437</v>
      </c>
      <c r="F3393" s="3">
        <v>45450</v>
      </c>
      <c r="G3393" t="s">
        <v>48</v>
      </c>
      <c r="H3393" t="s">
        <v>22</v>
      </c>
      <c r="I3393" t="s">
        <v>54</v>
      </c>
      <c r="J3393">
        <v>12206.04</v>
      </c>
      <c r="K3393">
        <v>13</v>
      </c>
      <c r="L3393" t="s">
        <v>36</v>
      </c>
      <c r="M3393" t="s">
        <v>25</v>
      </c>
      <c r="N3393" t="s">
        <v>55</v>
      </c>
      <c r="O3393" t="s">
        <v>49</v>
      </c>
      <c r="P3393" t="s">
        <v>38</v>
      </c>
      <c r="Q3393">
        <v>6</v>
      </c>
      <c r="R3393">
        <v>2703.64</v>
      </c>
      <c r="S3393" t="s">
        <v>29</v>
      </c>
    </row>
    <row r="3394" spans="1:19" x14ac:dyDescent="0.3">
      <c r="A3394" t="s">
        <v>3464</v>
      </c>
      <c r="B3394">
        <v>55</v>
      </c>
      <c r="C3394" t="s">
        <v>19</v>
      </c>
      <c r="D3394" t="s">
        <v>20</v>
      </c>
      <c r="E3394" s="1">
        <v>45679</v>
      </c>
      <c r="F3394" s="3">
        <v>45699</v>
      </c>
      <c r="G3394" t="s">
        <v>48</v>
      </c>
      <c r="H3394" t="s">
        <v>22</v>
      </c>
      <c r="I3394" t="s">
        <v>43</v>
      </c>
      <c r="J3394">
        <v>13153.11</v>
      </c>
      <c r="K3394">
        <v>20</v>
      </c>
      <c r="L3394" t="s">
        <v>24</v>
      </c>
      <c r="M3394" t="s">
        <v>25</v>
      </c>
      <c r="N3394" t="s">
        <v>44</v>
      </c>
      <c r="O3394" t="s">
        <v>56</v>
      </c>
      <c r="P3394" t="s">
        <v>38</v>
      </c>
      <c r="Q3394">
        <v>13</v>
      </c>
      <c r="R3394">
        <v>3007.66</v>
      </c>
      <c r="S3394" t="s">
        <v>29</v>
      </c>
    </row>
    <row r="3395" spans="1:19" x14ac:dyDescent="0.3">
      <c r="A3395" t="s">
        <v>3465</v>
      </c>
      <c r="B3395">
        <v>38</v>
      </c>
      <c r="C3395" t="s">
        <v>31</v>
      </c>
      <c r="D3395" t="s">
        <v>32</v>
      </c>
      <c r="E3395" s="1">
        <v>45884</v>
      </c>
      <c r="F3395" s="3">
        <v>45895</v>
      </c>
      <c r="G3395" t="s">
        <v>48</v>
      </c>
      <c r="H3395" t="s">
        <v>22</v>
      </c>
      <c r="I3395" t="s">
        <v>83</v>
      </c>
      <c r="J3395">
        <v>6339.62</v>
      </c>
      <c r="K3395">
        <v>11</v>
      </c>
      <c r="L3395" t="s">
        <v>24</v>
      </c>
      <c r="M3395" t="s">
        <v>25</v>
      </c>
      <c r="N3395" t="s">
        <v>26</v>
      </c>
      <c r="O3395" t="s">
        <v>37</v>
      </c>
      <c r="P3395" t="s">
        <v>38</v>
      </c>
      <c r="Q3395">
        <v>14</v>
      </c>
      <c r="R3395">
        <v>1085.6300000000001</v>
      </c>
      <c r="S3395" t="s">
        <v>29</v>
      </c>
    </row>
    <row r="3396" spans="1:19" x14ac:dyDescent="0.3">
      <c r="A3396" t="s">
        <v>3466</v>
      </c>
      <c r="B3396">
        <v>81</v>
      </c>
      <c r="C3396" t="s">
        <v>19</v>
      </c>
      <c r="D3396" t="s">
        <v>47</v>
      </c>
      <c r="E3396" s="1">
        <v>45712</v>
      </c>
      <c r="F3396" s="3">
        <v>45714</v>
      </c>
      <c r="G3396" t="s">
        <v>52</v>
      </c>
      <c r="H3396" t="s">
        <v>53</v>
      </c>
      <c r="I3396" t="s">
        <v>35</v>
      </c>
      <c r="J3396">
        <v>2517.94</v>
      </c>
      <c r="K3396">
        <v>2</v>
      </c>
      <c r="L3396" t="s">
        <v>36</v>
      </c>
      <c r="M3396" t="s">
        <v>25</v>
      </c>
      <c r="N3396" t="s">
        <v>55</v>
      </c>
      <c r="O3396" t="s">
        <v>27</v>
      </c>
      <c r="P3396" t="s">
        <v>38</v>
      </c>
      <c r="Q3396">
        <v>10</v>
      </c>
      <c r="R3396">
        <v>545.96</v>
      </c>
      <c r="S3396" t="s">
        <v>29</v>
      </c>
    </row>
    <row r="3397" spans="1:19" x14ac:dyDescent="0.3">
      <c r="A3397" t="s">
        <v>3467</v>
      </c>
      <c r="B3397">
        <v>67</v>
      </c>
      <c r="C3397" t="s">
        <v>31</v>
      </c>
      <c r="D3397" t="s">
        <v>47</v>
      </c>
      <c r="E3397" s="1">
        <v>45157</v>
      </c>
      <c r="F3397" s="3">
        <v>45177</v>
      </c>
      <c r="G3397" t="s">
        <v>71</v>
      </c>
      <c r="H3397" t="s">
        <v>72</v>
      </c>
      <c r="I3397" t="s">
        <v>23</v>
      </c>
      <c r="J3397">
        <v>5585.19</v>
      </c>
      <c r="K3397">
        <v>20</v>
      </c>
      <c r="L3397" t="s">
        <v>36</v>
      </c>
      <c r="M3397" t="s">
        <v>59</v>
      </c>
      <c r="N3397" t="s">
        <v>44</v>
      </c>
      <c r="O3397" t="s">
        <v>27</v>
      </c>
      <c r="P3397" t="s">
        <v>28</v>
      </c>
      <c r="Q3397">
        <v>13</v>
      </c>
      <c r="R3397">
        <v>1534.41</v>
      </c>
      <c r="S3397" t="s">
        <v>29</v>
      </c>
    </row>
    <row r="3398" spans="1:19" x14ac:dyDescent="0.3">
      <c r="A3398" t="s">
        <v>3468</v>
      </c>
      <c r="B3398">
        <v>59</v>
      </c>
      <c r="C3398" t="s">
        <v>31</v>
      </c>
      <c r="D3398" t="s">
        <v>89</v>
      </c>
      <c r="E3398" s="1">
        <v>45542</v>
      </c>
      <c r="F3398" s="3">
        <v>45559</v>
      </c>
      <c r="G3398" t="s">
        <v>67</v>
      </c>
      <c r="H3398" t="s">
        <v>42</v>
      </c>
      <c r="I3398" t="s">
        <v>91</v>
      </c>
      <c r="J3398">
        <v>11635.26</v>
      </c>
      <c r="K3398">
        <v>17</v>
      </c>
      <c r="L3398" t="s">
        <v>24</v>
      </c>
      <c r="M3398" t="s">
        <v>25</v>
      </c>
      <c r="N3398" t="s">
        <v>55</v>
      </c>
      <c r="O3398" t="s">
        <v>56</v>
      </c>
      <c r="P3398" t="s">
        <v>28</v>
      </c>
      <c r="Q3398">
        <v>3</v>
      </c>
      <c r="R3398">
        <v>3165.36</v>
      </c>
      <c r="S3398" t="s">
        <v>29</v>
      </c>
    </row>
    <row r="3399" spans="1:19" x14ac:dyDescent="0.3">
      <c r="A3399" t="s">
        <v>3469</v>
      </c>
      <c r="B3399">
        <v>80</v>
      </c>
      <c r="C3399" t="s">
        <v>31</v>
      </c>
      <c r="D3399" t="s">
        <v>70</v>
      </c>
      <c r="E3399" s="1">
        <v>45058</v>
      </c>
      <c r="F3399" s="3">
        <v>45067</v>
      </c>
      <c r="G3399" t="s">
        <v>48</v>
      </c>
      <c r="H3399" t="s">
        <v>22</v>
      </c>
      <c r="I3399" t="s">
        <v>58</v>
      </c>
      <c r="J3399">
        <v>3075.19</v>
      </c>
      <c r="K3399">
        <v>9</v>
      </c>
      <c r="L3399" t="s">
        <v>36</v>
      </c>
      <c r="M3399" t="s">
        <v>59</v>
      </c>
      <c r="N3399" t="s">
        <v>55</v>
      </c>
      <c r="O3399" t="s">
        <v>27</v>
      </c>
      <c r="P3399" t="s">
        <v>45</v>
      </c>
      <c r="Q3399">
        <v>15</v>
      </c>
      <c r="R3399">
        <v>818.19</v>
      </c>
      <c r="S3399" t="s">
        <v>29</v>
      </c>
    </row>
    <row r="3400" spans="1:19" x14ac:dyDescent="0.3">
      <c r="A3400" t="s">
        <v>3470</v>
      </c>
      <c r="B3400">
        <v>61</v>
      </c>
      <c r="C3400" t="s">
        <v>19</v>
      </c>
      <c r="D3400" t="s">
        <v>47</v>
      </c>
      <c r="E3400" s="1">
        <v>45597</v>
      </c>
      <c r="F3400" s="3">
        <v>45626</v>
      </c>
      <c r="G3400" t="s">
        <v>62</v>
      </c>
      <c r="H3400" t="s">
        <v>63</v>
      </c>
      <c r="I3400" t="s">
        <v>43</v>
      </c>
      <c r="J3400">
        <v>19778.54</v>
      </c>
      <c r="K3400">
        <v>29</v>
      </c>
      <c r="L3400" t="s">
        <v>36</v>
      </c>
      <c r="M3400" t="s">
        <v>25</v>
      </c>
      <c r="N3400" t="s">
        <v>26</v>
      </c>
      <c r="O3400" t="s">
        <v>49</v>
      </c>
      <c r="P3400" t="s">
        <v>45</v>
      </c>
      <c r="Q3400">
        <v>1</v>
      </c>
      <c r="R3400">
        <v>7156.82</v>
      </c>
      <c r="S3400" t="s">
        <v>29</v>
      </c>
    </row>
    <row r="3401" spans="1:19" x14ac:dyDescent="0.3">
      <c r="A3401" t="s">
        <v>3471</v>
      </c>
      <c r="B3401">
        <v>38</v>
      </c>
      <c r="C3401" t="s">
        <v>19</v>
      </c>
      <c r="D3401" t="s">
        <v>20</v>
      </c>
      <c r="E3401" s="1">
        <v>45469</v>
      </c>
      <c r="F3401" s="3">
        <v>45474</v>
      </c>
      <c r="G3401" t="s">
        <v>41</v>
      </c>
      <c r="H3401" t="s">
        <v>42</v>
      </c>
      <c r="I3401" t="s">
        <v>91</v>
      </c>
      <c r="J3401">
        <v>7854.04</v>
      </c>
      <c r="K3401">
        <v>5</v>
      </c>
      <c r="L3401" t="s">
        <v>24</v>
      </c>
      <c r="M3401" t="s">
        <v>25</v>
      </c>
      <c r="N3401" t="s">
        <v>55</v>
      </c>
      <c r="O3401" t="s">
        <v>49</v>
      </c>
      <c r="P3401" t="s">
        <v>38</v>
      </c>
      <c r="Q3401">
        <v>10</v>
      </c>
      <c r="R3401">
        <v>3060.71</v>
      </c>
      <c r="S3401" t="s">
        <v>39</v>
      </c>
    </row>
    <row r="3402" spans="1:19" x14ac:dyDescent="0.3">
      <c r="A3402" t="s">
        <v>3472</v>
      </c>
      <c r="B3402">
        <v>52</v>
      </c>
      <c r="C3402" t="s">
        <v>19</v>
      </c>
      <c r="D3402" t="s">
        <v>79</v>
      </c>
      <c r="E3402" s="1">
        <v>45202</v>
      </c>
      <c r="F3402" s="3">
        <v>45206</v>
      </c>
      <c r="G3402" t="s">
        <v>74</v>
      </c>
      <c r="H3402" t="s">
        <v>75</v>
      </c>
      <c r="I3402" t="s">
        <v>91</v>
      </c>
      <c r="J3402">
        <v>4730.2</v>
      </c>
      <c r="K3402">
        <v>4</v>
      </c>
      <c r="L3402" t="s">
        <v>24</v>
      </c>
      <c r="M3402" t="s">
        <v>25</v>
      </c>
      <c r="N3402" t="s">
        <v>26</v>
      </c>
      <c r="O3402" t="s">
        <v>37</v>
      </c>
      <c r="P3402" t="s">
        <v>28</v>
      </c>
      <c r="Q3402">
        <v>7</v>
      </c>
      <c r="R3402">
        <v>1269.0999999999999</v>
      </c>
      <c r="S3402" t="s">
        <v>29</v>
      </c>
    </row>
    <row r="3403" spans="1:19" x14ac:dyDescent="0.3">
      <c r="A3403" t="s">
        <v>3473</v>
      </c>
      <c r="B3403">
        <v>40</v>
      </c>
      <c r="C3403" t="s">
        <v>19</v>
      </c>
      <c r="D3403" t="s">
        <v>47</v>
      </c>
      <c r="E3403" s="1">
        <v>45588</v>
      </c>
      <c r="F3403" s="3">
        <v>45599</v>
      </c>
      <c r="G3403" t="s">
        <v>74</v>
      </c>
      <c r="H3403" t="s">
        <v>75</v>
      </c>
      <c r="I3403" t="s">
        <v>35</v>
      </c>
      <c r="J3403">
        <v>7822.35</v>
      </c>
      <c r="K3403">
        <v>11</v>
      </c>
      <c r="L3403" t="s">
        <v>36</v>
      </c>
      <c r="M3403" t="s">
        <v>25</v>
      </c>
      <c r="N3403" t="s">
        <v>26</v>
      </c>
      <c r="O3403" t="s">
        <v>56</v>
      </c>
      <c r="P3403" t="s">
        <v>28</v>
      </c>
      <c r="Q3403">
        <v>11</v>
      </c>
      <c r="R3403">
        <v>2972.17</v>
      </c>
      <c r="S3403" t="s">
        <v>29</v>
      </c>
    </row>
    <row r="3404" spans="1:19" x14ac:dyDescent="0.3">
      <c r="A3404" t="s">
        <v>3474</v>
      </c>
      <c r="B3404">
        <v>57</v>
      </c>
      <c r="C3404" t="s">
        <v>19</v>
      </c>
      <c r="D3404" t="s">
        <v>79</v>
      </c>
      <c r="E3404" s="1">
        <v>45463</v>
      </c>
      <c r="F3404" s="3">
        <v>45468</v>
      </c>
      <c r="G3404" t="s">
        <v>52</v>
      </c>
      <c r="H3404" t="s">
        <v>53</v>
      </c>
      <c r="I3404" t="s">
        <v>58</v>
      </c>
      <c r="J3404">
        <v>4983.67</v>
      </c>
      <c r="K3404">
        <v>5</v>
      </c>
      <c r="L3404" t="s">
        <v>36</v>
      </c>
      <c r="M3404" t="s">
        <v>59</v>
      </c>
      <c r="N3404" t="s">
        <v>44</v>
      </c>
      <c r="O3404" t="s">
        <v>37</v>
      </c>
      <c r="P3404" t="s">
        <v>45</v>
      </c>
      <c r="Q3404">
        <v>5</v>
      </c>
      <c r="R3404">
        <v>1396.91</v>
      </c>
      <c r="S3404" t="s">
        <v>29</v>
      </c>
    </row>
    <row r="3405" spans="1:19" x14ac:dyDescent="0.3">
      <c r="A3405" t="s">
        <v>3475</v>
      </c>
      <c r="B3405">
        <v>36</v>
      </c>
      <c r="C3405" t="s">
        <v>31</v>
      </c>
      <c r="D3405" t="s">
        <v>79</v>
      </c>
      <c r="E3405" s="1">
        <v>45896</v>
      </c>
      <c r="F3405" s="3">
        <v>45900</v>
      </c>
      <c r="G3405" t="s">
        <v>48</v>
      </c>
      <c r="H3405" t="s">
        <v>22</v>
      </c>
      <c r="I3405" t="s">
        <v>23</v>
      </c>
      <c r="J3405">
        <v>3904.29</v>
      </c>
      <c r="K3405">
        <v>4</v>
      </c>
      <c r="L3405" t="s">
        <v>24</v>
      </c>
      <c r="M3405" t="s">
        <v>25</v>
      </c>
      <c r="N3405" t="s">
        <v>26</v>
      </c>
      <c r="O3405" t="s">
        <v>56</v>
      </c>
      <c r="P3405" t="s">
        <v>45</v>
      </c>
      <c r="Q3405">
        <v>6</v>
      </c>
      <c r="R3405">
        <v>830.79</v>
      </c>
      <c r="S3405" t="s">
        <v>29</v>
      </c>
    </row>
    <row r="3406" spans="1:19" x14ac:dyDescent="0.3">
      <c r="A3406" t="s">
        <v>3476</v>
      </c>
      <c r="B3406">
        <v>82</v>
      </c>
      <c r="C3406" t="s">
        <v>31</v>
      </c>
      <c r="D3406" t="s">
        <v>79</v>
      </c>
      <c r="E3406" s="1">
        <v>45856</v>
      </c>
      <c r="F3406" s="3">
        <v>45869</v>
      </c>
      <c r="G3406" t="s">
        <v>48</v>
      </c>
      <c r="H3406" t="s">
        <v>22</v>
      </c>
      <c r="I3406" t="s">
        <v>35</v>
      </c>
      <c r="J3406">
        <v>6658.6</v>
      </c>
      <c r="K3406">
        <v>13</v>
      </c>
      <c r="L3406" t="s">
        <v>36</v>
      </c>
      <c r="M3406" t="s">
        <v>25</v>
      </c>
      <c r="N3406" t="s">
        <v>26</v>
      </c>
      <c r="O3406" t="s">
        <v>56</v>
      </c>
      <c r="P3406" t="s">
        <v>28</v>
      </c>
      <c r="Q3406">
        <v>5</v>
      </c>
      <c r="R3406">
        <v>1410.21</v>
      </c>
      <c r="S3406" t="s">
        <v>29</v>
      </c>
    </row>
    <row r="3407" spans="1:19" x14ac:dyDescent="0.3">
      <c r="A3407" t="s">
        <v>3477</v>
      </c>
      <c r="B3407">
        <v>77</v>
      </c>
      <c r="C3407" t="s">
        <v>31</v>
      </c>
      <c r="D3407" t="s">
        <v>32</v>
      </c>
      <c r="E3407" s="1">
        <v>45442</v>
      </c>
      <c r="F3407" s="3">
        <v>45447</v>
      </c>
      <c r="G3407" t="s">
        <v>21</v>
      </c>
      <c r="H3407" t="s">
        <v>22</v>
      </c>
      <c r="I3407" t="s">
        <v>81</v>
      </c>
      <c r="J3407">
        <v>3302.41</v>
      </c>
      <c r="K3407">
        <v>5</v>
      </c>
      <c r="L3407" t="s">
        <v>24</v>
      </c>
      <c r="M3407" t="s">
        <v>25</v>
      </c>
      <c r="N3407" t="s">
        <v>44</v>
      </c>
      <c r="O3407" t="s">
        <v>37</v>
      </c>
      <c r="P3407" t="s">
        <v>28</v>
      </c>
      <c r="Q3407">
        <v>7</v>
      </c>
      <c r="R3407">
        <v>533.35</v>
      </c>
      <c r="S3407" t="s">
        <v>29</v>
      </c>
    </row>
    <row r="3408" spans="1:19" x14ac:dyDescent="0.3">
      <c r="A3408" t="s">
        <v>3478</v>
      </c>
      <c r="B3408">
        <v>58</v>
      </c>
      <c r="C3408" t="s">
        <v>31</v>
      </c>
      <c r="D3408" t="s">
        <v>89</v>
      </c>
      <c r="E3408" s="1">
        <v>45421</v>
      </c>
      <c r="F3408" s="3">
        <v>45441</v>
      </c>
      <c r="G3408" t="s">
        <v>93</v>
      </c>
      <c r="H3408" t="s">
        <v>72</v>
      </c>
      <c r="I3408" t="s">
        <v>91</v>
      </c>
      <c r="J3408">
        <v>15178.56</v>
      </c>
      <c r="K3408">
        <v>20</v>
      </c>
      <c r="L3408" t="s">
        <v>36</v>
      </c>
      <c r="M3408" t="s">
        <v>25</v>
      </c>
      <c r="N3408" t="s">
        <v>26</v>
      </c>
      <c r="O3408" t="s">
        <v>27</v>
      </c>
      <c r="P3408" t="s">
        <v>45</v>
      </c>
      <c r="Q3408">
        <v>12</v>
      </c>
      <c r="R3408">
        <v>2908.56</v>
      </c>
      <c r="S3408" t="s">
        <v>29</v>
      </c>
    </row>
    <row r="3409" spans="1:19" x14ac:dyDescent="0.3">
      <c r="A3409" t="s">
        <v>3479</v>
      </c>
      <c r="B3409">
        <v>81</v>
      </c>
      <c r="C3409" t="s">
        <v>19</v>
      </c>
      <c r="D3409" t="s">
        <v>61</v>
      </c>
      <c r="E3409" s="1">
        <v>45285</v>
      </c>
      <c r="F3409" s="3">
        <v>45305</v>
      </c>
      <c r="G3409" t="s">
        <v>74</v>
      </c>
      <c r="H3409" t="s">
        <v>75</v>
      </c>
      <c r="I3409" t="s">
        <v>43</v>
      </c>
      <c r="J3409">
        <v>10923.32</v>
      </c>
      <c r="K3409">
        <v>20</v>
      </c>
      <c r="L3409" t="s">
        <v>36</v>
      </c>
      <c r="M3409" t="s">
        <v>25</v>
      </c>
      <c r="N3409" t="s">
        <v>44</v>
      </c>
      <c r="O3409" t="s">
        <v>37</v>
      </c>
      <c r="P3409" t="s">
        <v>45</v>
      </c>
      <c r="Q3409">
        <v>7</v>
      </c>
      <c r="R3409">
        <v>2452.0700000000002</v>
      </c>
      <c r="S3409" t="s">
        <v>29</v>
      </c>
    </row>
    <row r="3410" spans="1:19" x14ac:dyDescent="0.3">
      <c r="A3410" t="s">
        <v>3480</v>
      </c>
      <c r="B3410">
        <v>86</v>
      </c>
      <c r="C3410" t="s">
        <v>31</v>
      </c>
      <c r="D3410" t="s">
        <v>70</v>
      </c>
      <c r="E3410" s="1">
        <v>45060</v>
      </c>
      <c r="F3410" s="3">
        <v>45065</v>
      </c>
      <c r="G3410" t="s">
        <v>93</v>
      </c>
      <c r="H3410" t="s">
        <v>72</v>
      </c>
      <c r="I3410" t="s">
        <v>83</v>
      </c>
      <c r="J3410">
        <v>4479.66</v>
      </c>
      <c r="K3410">
        <v>5</v>
      </c>
      <c r="L3410" t="s">
        <v>36</v>
      </c>
      <c r="M3410" t="s">
        <v>25</v>
      </c>
      <c r="N3410" t="s">
        <v>26</v>
      </c>
      <c r="O3410" t="s">
        <v>27</v>
      </c>
      <c r="P3410" t="s">
        <v>38</v>
      </c>
      <c r="Q3410">
        <v>4</v>
      </c>
      <c r="R3410">
        <v>1224.1400000000001</v>
      </c>
      <c r="S3410" t="s">
        <v>39</v>
      </c>
    </row>
    <row r="3411" spans="1:19" x14ac:dyDescent="0.3">
      <c r="A3411" t="s">
        <v>3481</v>
      </c>
      <c r="B3411">
        <v>38</v>
      </c>
      <c r="C3411" t="s">
        <v>31</v>
      </c>
      <c r="D3411" t="s">
        <v>20</v>
      </c>
      <c r="E3411" s="1">
        <v>45706</v>
      </c>
      <c r="F3411" s="3">
        <v>45722</v>
      </c>
      <c r="G3411" t="s">
        <v>67</v>
      </c>
      <c r="H3411" t="s">
        <v>42</v>
      </c>
      <c r="I3411" t="s">
        <v>91</v>
      </c>
      <c r="J3411">
        <v>11174.62</v>
      </c>
      <c r="K3411">
        <v>16</v>
      </c>
      <c r="L3411" t="s">
        <v>36</v>
      </c>
      <c r="M3411" t="s">
        <v>59</v>
      </c>
      <c r="N3411" t="s">
        <v>55</v>
      </c>
      <c r="O3411" t="s">
        <v>49</v>
      </c>
      <c r="P3411" t="s">
        <v>38</v>
      </c>
      <c r="Q3411">
        <v>7</v>
      </c>
      <c r="R3411">
        <v>4312.42</v>
      </c>
      <c r="S3411" t="s">
        <v>29</v>
      </c>
    </row>
    <row r="3412" spans="1:19" x14ac:dyDescent="0.3">
      <c r="A3412" t="s">
        <v>3482</v>
      </c>
      <c r="B3412">
        <v>85</v>
      </c>
      <c r="C3412" t="s">
        <v>31</v>
      </c>
      <c r="D3412" t="s">
        <v>66</v>
      </c>
      <c r="E3412" s="1">
        <v>45751</v>
      </c>
      <c r="F3412" s="3">
        <v>45756</v>
      </c>
      <c r="G3412" t="s">
        <v>62</v>
      </c>
      <c r="H3412" t="s">
        <v>63</v>
      </c>
      <c r="I3412" t="s">
        <v>91</v>
      </c>
      <c r="J3412">
        <v>2983.32</v>
      </c>
      <c r="K3412">
        <v>5</v>
      </c>
      <c r="L3412" t="s">
        <v>36</v>
      </c>
      <c r="M3412" t="s">
        <v>25</v>
      </c>
      <c r="N3412" t="s">
        <v>26</v>
      </c>
      <c r="O3412" t="s">
        <v>27</v>
      </c>
      <c r="P3412" t="s">
        <v>50</v>
      </c>
      <c r="Q3412">
        <v>11</v>
      </c>
      <c r="R3412">
        <v>614.57000000000005</v>
      </c>
      <c r="S3412" t="s">
        <v>29</v>
      </c>
    </row>
    <row r="3413" spans="1:19" x14ac:dyDescent="0.3">
      <c r="A3413" t="s">
        <v>3483</v>
      </c>
      <c r="B3413">
        <v>52</v>
      </c>
      <c r="C3413" t="s">
        <v>31</v>
      </c>
      <c r="D3413" t="s">
        <v>89</v>
      </c>
      <c r="E3413" s="1">
        <v>45466</v>
      </c>
      <c r="F3413" s="3">
        <v>45482</v>
      </c>
      <c r="G3413" t="s">
        <v>21</v>
      </c>
      <c r="H3413" t="s">
        <v>22</v>
      </c>
      <c r="I3413" t="s">
        <v>58</v>
      </c>
      <c r="J3413">
        <v>5092.99</v>
      </c>
      <c r="K3413">
        <v>16</v>
      </c>
      <c r="L3413" t="s">
        <v>36</v>
      </c>
      <c r="M3413" t="s">
        <v>25</v>
      </c>
      <c r="N3413" t="s">
        <v>55</v>
      </c>
      <c r="O3413" t="s">
        <v>37</v>
      </c>
      <c r="P3413" t="s">
        <v>50</v>
      </c>
      <c r="Q3413">
        <v>15</v>
      </c>
      <c r="R3413">
        <v>1195.5</v>
      </c>
      <c r="S3413" t="s">
        <v>29</v>
      </c>
    </row>
    <row r="3414" spans="1:19" x14ac:dyDescent="0.3">
      <c r="A3414" t="s">
        <v>3484</v>
      </c>
      <c r="B3414">
        <v>67</v>
      </c>
      <c r="C3414" t="s">
        <v>19</v>
      </c>
      <c r="D3414" t="s">
        <v>66</v>
      </c>
      <c r="E3414" s="1">
        <v>45792</v>
      </c>
      <c r="F3414" s="3">
        <v>45796</v>
      </c>
      <c r="G3414" t="s">
        <v>48</v>
      </c>
      <c r="H3414" t="s">
        <v>22</v>
      </c>
      <c r="I3414" t="s">
        <v>43</v>
      </c>
      <c r="J3414">
        <v>2618.48</v>
      </c>
      <c r="K3414">
        <v>4</v>
      </c>
      <c r="L3414" t="s">
        <v>24</v>
      </c>
      <c r="M3414" t="s">
        <v>25</v>
      </c>
      <c r="N3414" t="s">
        <v>44</v>
      </c>
      <c r="O3414" t="s">
        <v>37</v>
      </c>
      <c r="P3414" t="s">
        <v>28</v>
      </c>
      <c r="Q3414">
        <v>11</v>
      </c>
      <c r="R3414">
        <v>481.16</v>
      </c>
      <c r="S3414" t="s">
        <v>39</v>
      </c>
    </row>
    <row r="3415" spans="1:19" x14ac:dyDescent="0.3">
      <c r="A3415" t="s">
        <v>3485</v>
      </c>
      <c r="B3415">
        <v>89</v>
      </c>
      <c r="C3415" t="s">
        <v>19</v>
      </c>
      <c r="D3415" t="s">
        <v>32</v>
      </c>
      <c r="E3415" s="1">
        <v>45849</v>
      </c>
      <c r="F3415" s="3">
        <v>45857</v>
      </c>
      <c r="G3415" t="s">
        <v>48</v>
      </c>
      <c r="H3415" t="s">
        <v>22</v>
      </c>
      <c r="I3415" t="s">
        <v>54</v>
      </c>
      <c r="J3415">
        <v>5062.7299999999996</v>
      </c>
      <c r="K3415">
        <v>8</v>
      </c>
      <c r="L3415" t="s">
        <v>36</v>
      </c>
      <c r="M3415" t="s">
        <v>25</v>
      </c>
      <c r="N3415" t="s">
        <v>26</v>
      </c>
      <c r="O3415" t="s">
        <v>56</v>
      </c>
      <c r="P3415" t="s">
        <v>45</v>
      </c>
      <c r="Q3415">
        <v>9</v>
      </c>
      <c r="R3415">
        <v>1353.24</v>
      </c>
      <c r="S3415" t="s">
        <v>39</v>
      </c>
    </row>
    <row r="3416" spans="1:19" x14ac:dyDescent="0.3">
      <c r="A3416" t="s">
        <v>3486</v>
      </c>
      <c r="B3416">
        <v>52</v>
      </c>
      <c r="C3416" t="s">
        <v>31</v>
      </c>
      <c r="D3416" t="s">
        <v>47</v>
      </c>
      <c r="E3416" s="1">
        <v>45341</v>
      </c>
      <c r="F3416" s="3">
        <v>45352</v>
      </c>
      <c r="G3416" t="s">
        <v>41</v>
      </c>
      <c r="H3416" t="s">
        <v>42</v>
      </c>
      <c r="I3416" t="s">
        <v>83</v>
      </c>
      <c r="J3416">
        <v>4189.3100000000004</v>
      </c>
      <c r="K3416">
        <v>11</v>
      </c>
      <c r="L3416" t="s">
        <v>36</v>
      </c>
      <c r="M3416" t="s">
        <v>25</v>
      </c>
      <c r="N3416" t="s">
        <v>44</v>
      </c>
      <c r="O3416" t="s">
        <v>56</v>
      </c>
      <c r="P3416" t="s">
        <v>45</v>
      </c>
      <c r="Q3416">
        <v>15</v>
      </c>
      <c r="R3416">
        <v>693.58</v>
      </c>
      <c r="S3416" t="s">
        <v>39</v>
      </c>
    </row>
    <row r="3417" spans="1:19" x14ac:dyDescent="0.3">
      <c r="A3417" t="s">
        <v>3487</v>
      </c>
      <c r="B3417">
        <v>18</v>
      </c>
      <c r="C3417" t="s">
        <v>19</v>
      </c>
      <c r="D3417" t="s">
        <v>61</v>
      </c>
      <c r="E3417" s="1">
        <v>45924</v>
      </c>
      <c r="F3417" s="3">
        <v>45937</v>
      </c>
      <c r="G3417" t="s">
        <v>71</v>
      </c>
      <c r="H3417" t="s">
        <v>72</v>
      </c>
      <c r="I3417" t="s">
        <v>83</v>
      </c>
      <c r="J3417">
        <v>9084.48</v>
      </c>
      <c r="K3417">
        <v>13</v>
      </c>
      <c r="L3417" t="s">
        <v>24</v>
      </c>
      <c r="M3417" t="s">
        <v>59</v>
      </c>
      <c r="N3417" t="s">
        <v>26</v>
      </c>
      <c r="O3417" t="s">
        <v>56</v>
      </c>
      <c r="P3417" t="s">
        <v>28</v>
      </c>
      <c r="Q3417">
        <v>2</v>
      </c>
      <c r="R3417">
        <v>1690.32</v>
      </c>
      <c r="S3417" t="s">
        <v>39</v>
      </c>
    </row>
    <row r="3418" spans="1:19" x14ac:dyDescent="0.3">
      <c r="A3418" t="s">
        <v>3488</v>
      </c>
      <c r="B3418">
        <v>75</v>
      </c>
      <c r="C3418" t="s">
        <v>31</v>
      </c>
      <c r="D3418" t="s">
        <v>47</v>
      </c>
      <c r="E3418" s="1">
        <v>44946</v>
      </c>
      <c r="F3418" s="3">
        <v>44948</v>
      </c>
      <c r="G3418" t="s">
        <v>33</v>
      </c>
      <c r="H3418" t="s">
        <v>34</v>
      </c>
      <c r="I3418" t="s">
        <v>43</v>
      </c>
      <c r="J3418">
        <v>1971.37</v>
      </c>
      <c r="K3418">
        <v>2</v>
      </c>
      <c r="L3418" t="s">
        <v>24</v>
      </c>
      <c r="M3418" t="s">
        <v>25</v>
      </c>
      <c r="N3418" t="s">
        <v>44</v>
      </c>
      <c r="O3418" t="s">
        <v>37</v>
      </c>
      <c r="P3418" t="s">
        <v>38</v>
      </c>
      <c r="Q3418">
        <v>6</v>
      </c>
      <c r="R3418">
        <v>689.42</v>
      </c>
      <c r="S3418" t="s">
        <v>29</v>
      </c>
    </row>
    <row r="3419" spans="1:19" x14ac:dyDescent="0.3">
      <c r="A3419" t="s">
        <v>3489</v>
      </c>
      <c r="B3419">
        <v>57</v>
      </c>
      <c r="C3419" t="s">
        <v>19</v>
      </c>
      <c r="D3419" t="s">
        <v>32</v>
      </c>
      <c r="E3419" s="1">
        <v>45223</v>
      </c>
      <c r="F3419" s="3">
        <v>45241</v>
      </c>
      <c r="G3419" t="s">
        <v>21</v>
      </c>
      <c r="H3419" t="s">
        <v>22</v>
      </c>
      <c r="I3419" t="s">
        <v>43</v>
      </c>
      <c r="J3419">
        <v>19901.87</v>
      </c>
      <c r="K3419">
        <v>18</v>
      </c>
      <c r="L3419" t="s">
        <v>24</v>
      </c>
      <c r="M3419" t="s">
        <v>25</v>
      </c>
      <c r="N3419" t="s">
        <v>26</v>
      </c>
      <c r="O3419" t="s">
        <v>49</v>
      </c>
      <c r="P3419" t="s">
        <v>28</v>
      </c>
      <c r="Q3419">
        <v>3</v>
      </c>
      <c r="R3419">
        <v>3239.06</v>
      </c>
      <c r="S3419" t="s">
        <v>29</v>
      </c>
    </row>
    <row r="3420" spans="1:19" x14ac:dyDescent="0.3">
      <c r="A3420" t="s">
        <v>3490</v>
      </c>
      <c r="B3420">
        <v>51</v>
      </c>
      <c r="C3420" t="s">
        <v>19</v>
      </c>
      <c r="D3420" t="s">
        <v>89</v>
      </c>
      <c r="E3420" s="1">
        <v>45105</v>
      </c>
      <c r="F3420" s="3">
        <v>45113</v>
      </c>
      <c r="G3420" t="s">
        <v>74</v>
      </c>
      <c r="H3420" t="s">
        <v>75</v>
      </c>
      <c r="I3420" t="s">
        <v>83</v>
      </c>
      <c r="J3420">
        <v>4838.26</v>
      </c>
      <c r="K3420">
        <v>8</v>
      </c>
      <c r="L3420" t="s">
        <v>24</v>
      </c>
      <c r="M3420" t="s">
        <v>25</v>
      </c>
      <c r="N3420" t="s">
        <v>44</v>
      </c>
      <c r="O3420" t="s">
        <v>56</v>
      </c>
      <c r="P3420" t="s">
        <v>28</v>
      </c>
      <c r="Q3420">
        <v>15</v>
      </c>
      <c r="R3420">
        <v>905.8</v>
      </c>
      <c r="S3420" t="s">
        <v>29</v>
      </c>
    </row>
    <row r="3421" spans="1:19" x14ac:dyDescent="0.3">
      <c r="A3421" t="s">
        <v>3491</v>
      </c>
      <c r="B3421">
        <v>37</v>
      </c>
      <c r="C3421" t="s">
        <v>19</v>
      </c>
      <c r="D3421" t="s">
        <v>70</v>
      </c>
      <c r="E3421" s="1">
        <v>45769</v>
      </c>
      <c r="F3421" s="3">
        <v>45780</v>
      </c>
      <c r="G3421" t="s">
        <v>93</v>
      </c>
      <c r="H3421" t="s">
        <v>72</v>
      </c>
      <c r="I3421" t="s">
        <v>91</v>
      </c>
      <c r="J3421">
        <v>7056.24</v>
      </c>
      <c r="K3421">
        <v>11</v>
      </c>
      <c r="L3421" t="s">
        <v>24</v>
      </c>
      <c r="M3421" t="s">
        <v>25</v>
      </c>
      <c r="N3421" t="s">
        <v>26</v>
      </c>
      <c r="O3421" t="s">
        <v>27</v>
      </c>
      <c r="P3421" t="s">
        <v>50</v>
      </c>
      <c r="Q3421">
        <v>6</v>
      </c>
      <c r="R3421">
        <v>1753.33</v>
      </c>
      <c r="S3421" t="s">
        <v>29</v>
      </c>
    </row>
    <row r="3422" spans="1:19" x14ac:dyDescent="0.3">
      <c r="A3422" t="s">
        <v>3492</v>
      </c>
      <c r="B3422">
        <v>80</v>
      </c>
      <c r="C3422" t="s">
        <v>31</v>
      </c>
      <c r="D3422" t="s">
        <v>66</v>
      </c>
      <c r="E3422" s="1">
        <v>45251</v>
      </c>
      <c r="F3422" s="3">
        <v>45266</v>
      </c>
      <c r="G3422" t="s">
        <v>71</v>
      </c>
      <c r="H3422" t="s">
        <v>72</v>
      </c>
      <c r="I3422" t="s">
        <v>54</v>
      </c>
      <c r="J3422">
        <v>7091.92</v>
      </c>
      <c r="K3422">
        <v>15</v>
      </c>
      <c r="L3422" t="s">
        <v>24</v>
      </c>
      <c r="M3422" t="s">
        <v>25</v>
      </c>
      <c r="N3422" t="s">
        <v>55</v>
      </c>
      <c r="O3422" t="s">
        <v>56</v>
      </c>
      <c r="P3422" t="s">
        <v>28</v>
      </c>
      <c r="Q3422">
        <v>1</v>
      </c>
      <c r="R3422">
        <v>2584.4299999999998</v>
      </c>
      <c r="S3422" t="s">
        <v>29</v>
      </c>
    </row>
    <row r="3423" spans="1:19" x14ac:dyDescent="0.3">
      <c r="A3423" t="s">
        <v>3493</v>
      </c>
      <c r="B3423">
        <v>75</v>
      </c>
      <c r="C3423" t="s">
        <v>31</v>
      </c>
      <c r="D3423" t="s">
        <v>20</v>
      </c>
      <c r="E3423" s="1">
        <v>45162</v>
      </c>
      <c r="F3423" s="3">
        <v>45178</v>
      </c>
      <c r="G3423" t="s">
        <v>62</v>
      </c>
      <c r="H3423" t="s">
        <v>63</v>
      </c>
      <c r="I3423" t="s">
        <v>23</v>
      </c>
      <c r="J3423">
        <v>5025.51</v>
      </c>
      <c r="K3423">
        <v>16</v>
      </c>
      <c r="L3423" t="s">
        <v>36</v>
      </c>
      <c r="M3423" t="s">
        <v>25</v>
      </c>
      <c r="N3423" t="s">
        <v>26</v>
      </c>
      <c r="O3423" t="s">
        <v>56</v>
      </c>
      <c r="P3423" t="s">
        <v>28</v>
      </c>
      <c r="Q3423">
        <v>8</v>
      </c>
      <c r="R3423">
        <v>1328.08</v>
      </c>
      <c r="S3423" t="s">
        <v>29</v>
      </c>
    </row>
    <row r="3424" spans="1:19" x14ac:dyDescent="0.3">
      <c r="A3424" t="s">
        <v>3494</v>
      </c>
      <c r="B3424">
        <v>73</v>
      </c>
      <c r="C3424" t="s">
        <v>19</v>
      </c>
      <c r="D3424" t="s">
        <v>61</v>
      </c>
      <c r="E3424" s="1">
        <v>45527</v>
      </c>
      <c r="F3424" s="3">
        <v>45543</v>
      </c>
      <c r="G3424" t="s">
        <v>62</v>
      </c>
      <c r="H3424" t="s">
        <v>63</v>
      </c>
      <c r="I3424" t="s">
        <v>23</v>
      </c>
      <c r="J3424">
        <v>4566.25</v>
      </c>
      <c r="K3424">
        <v>16</v>
      </c>
      <c r="L3424" t="s">
        <v>36</v>
      </c>
      <c r="M3424" t="s">
        <v>25</v>
      </c>
      <c r="N3424" t="s">
        <v>55</v>
      </c>
      <c r="O3424" t="s">
        <v>27</v>
      </c>
      <c r="P3424" t="s">
        <v>38</v>
      </c>
      <c r="Q3424">
        <v>11</v>
      </c>
      <c r="R3424">
        <v>1548.5</v>
      </c>
      <c r="S3424" t="s">
        <v>29</v>
      </c>
    </row>
    <row r="3425" spans="1:19" x14ac:dyDescent="0.3">
      <c r="A3425" t="s">
        <v>3495</v>
      </c>
      <c r="B3425">
        <v>71</v>
      </c>
      <c r="C3425" t="s">
        <v>31</v>
      </c>
      <c r="D3425" t="s">
        <v>66</v>
      </c>
      <c r="E3425" s="1">
        <v>45627</v>
      </c>
      <c r="F3425" s="3">
        <v>45636</v>
      </c>
      <c r="G3425" t="s">
        <v>52</v>
      </c>
      <c r="H3425" t="s">
        <v>53</v>
      </c>
      <c r="I3425" t="s">
        <v>91</v>
      </c>
      <c r="J3425">
        <v>6326.07</v>
      </c>
      <c r="K3425">
        <v>9</v>
      </c>
      <c r="L3425" t="s">
        <v>24</v>
      </c>
      <c r="M3425" t="s">
        <v>59</v>
      </c>
      <c r="N3425" t="s">
        <v>55</v>
      </c>
      <c r="O3425" t="s">
        <v>27</v>
      </c>
      <c r="P3425" t="s">
        <v>50</v>
      </c>
      <c r="Q3425">
        <v>8</v>
      </c>
      <c r="R3425">
        <v>2087.42</v>
      </c>
      <c r="S3425" t="s">
        <v>29</v>
      </c>
    </row>
    <row r="3426" spans="1:19" x14ac:dyDescent="0.3">
      <c r="A3426" t="s">
        <v>3496</v>
      </c>
      <c r="B3426">
        <v>67</v>
      </c>
      <c r="C3426" t="s">
        <v>19</v>
      </c>
      <c r="D3426" t="s">
        <v>66</v>
      </c>
      <c r="E3426" s="1">
        <v>45187</v>
      </c>
      <c r="F3426" s="3">
        <v>45206</v>
      </c>
      <c r="G3426" t="s">
        <v>21</v>
      </c>
      <c r="H3426" t="s">
        <v>22</v>
      </c>
      <c r="I3426" t="s">
        <v>81</v>
      </c>
      <c r="J3426">
        <v>5471.59</v>
      </c>
      <c r="K3426">
        <v>19</v>
      </c>
      <c r="L3426" t="s">
        <v>36</v>
      </c>
      <c r="M3426" t="s">
        <v>25</v>
      </c>
      <c r="N3426" t="s">
        <v>55</v>
      </c>
      <c r="O3426" t="s">
        <v>37</v>
      </c>
      <c r="P3426" t="s">
        <v>38</v>
      </c>
      <c r="Q3426">
        <v>5</v>
      </c>
      <c r="R3426">
        <v>1723.5</v>
      </c>
      <c r="S3426" t="s">
        <v>29</v>
      </c>
    </row>
    <row r="3427" spans="1:19" x14ac:dyDescent="0.3">
      <c r="A3427" t="s">
        <v>3497</v>
      </c>
      <c r="B3427">
        <v>34</v>
      </c>
      <c r="C3427" t="s">
        <v>19</v>
      </c>
      <c r="D3427" t="s">
        <v>89</v>
      </c>
      <c r="E3427" s="1">
        <v>45767</v>
      </c>
      <c r="F3427" s="3">
        <v>45784</v>
      </c>
      <c r="G3427" t="s">
        <v>21</v>
      </c>
      <c r="H3427" t="s">
        <v>22</v>
      </c>
      <c r="I3427" t="s">
        <v>91</v>
      </c>
      <c r="J3427">
        <v>12894.33</v>
      </c>
      <c r="K3427">
        <v>17</v>
      </c>
      <c r="L3427" t="s">
        <v>36</v>
      </c>
      <c r="M3427" t="s">
        <v>25</v>
      </c>
      <c r="N3427" t="s">
        <v>44</v>
      </c>
      <c r="O3427" t="s">
        <v>27</v>
      </c>
      <c r="P3427" t="s">
        <v>28</v>
      </c>
      <c r="Q3427">
        <v>6</v>
      </c>
      <c r="R3427">
        <v>2317.89</v>
      </c>
      <c r="S3427" t="s">
        <v>29</v>
      </c>
    </row>
    <row r="3428" spans="1:19" x14ac:dyDescent="0.3">
      <c r="A3428" t="s">
        <v>3498</v>
      </c>
      <c r="B3428">
        <v>80</v>
      </c>
      <c r="C3428" t="s">
        <v>19</v>
      </c>
      <c r="D3428" t="s">
        <v>32</v>
      </c>
      <c r="E3428" s="1">
        <v>45347</v>
      </c>
      <c r="F3428" s="3">
        <v>45356</v>
      </c>
      <c r="G3428" t="s">
        <v>62</v>
      </c>
      <c r="H3428" t="s">
        <v>63</v>
      </c>
      <c r="I3428" t="s">
        <v>83</v>
      </c>
      <c r="J3428">
        <v>7953.32</v>
      </c>
      <c r="K3428">
        <v>9</v>
      </c>
      <c r="L3428" t="s">
        <v>36</v>
      </c>
      <c r="M3428" t="s">
        <v>59</v>
      </c>
      <c r="N3428" t="s">
        <v>55</v>
      </c>
      <c r="O3428" t="s">
        <v>56</v>
      </c>
      <c r="P3428" t="s">
        <v>38</v>
      </c>
      <c r="Q3428">
        <v>1</v>
      </c>
      <c r="R3428">
        <v>3138.4</v>
      </c>
      <c r="S3428" t="s">
        <v>29</v>
      </c>
    </row>
    <row r="3429" spans="1:19" x14ac:dyDescent="0.3">
      <c r="A3429" t="s">
        <v>3499</v>
      </c>
      <c r="B3429">
        <v>59</v>
      </c>
      <c r="C3429" t="s">
        <v>31</v>
      </c>
      <c r="D3429" t="s">
        <v>79</v>
      </c>
      <c r="E3429" s="1">
        <v>45853</v>
      </c>
      <c r="F3429" s="3">
        <v>45874</v>
      </c>
      <c r="G3429" t="s">
        <v>21</v>
      </c>
      <c r="H3429" t="s">
        <v>22</v>
      </c>
      <c r="I3429" t="s">
        <v>35</v>
      </c>
      <c r="J3429">
        <v>14399.07</v>
      </c>
      <c r="K3429">
        <v>21</v>
      </c>
      <c r="L3429" t="s">
        <v>24</v>
      </c>
      <c r="M3429" t="s">
        <v>25</v>
      </c>
      <c r="N3429" t="s">
        <v>44</v>
      </c>
      <c r="O3429" t="s">
        <v>49</v>
      </c>
      <c r="P3429" t="s">
        <v>28</v>
      </c>
      <c r="Q3429">
        <v>4</v>
      </c>
      <c r="R3429">
        <v>5379.63</v>
      </c>
      <c r="S3429" t="s">
        <v>29</v>
      </c>
    </row>
    <row r="3430" spans="1:19" x14ac:dyDescent="0.3">
      <c r="A3430" t="s">
        <v>3500</v>
      </c>
      <c r="B3430">
        <v>43</v>
      </c>
      <c r="C3430" t="s">
        <v>31</v>
      </c>
      <c r="D3430" t="s">
        <v>66</v>
      </c>
      <c r="E3430" s="1">
        <v>45723</v>
      </c>
      <c r="F3430" s="3">
        <v>45725</v>
      </c>
      <c r="G3430" t="s">
        <v>52</v>
      </c>
      <c r="H3430" t="s">
        <v>53</v>
      </c>
      <c r="I3430" t="s">
        <v>54</v>
      </c>
      <c r="J3430">
        <v>2601.4699999999998</v>
      </c>
      <c r="K3430">
        <v>2</v>
      </c>
      <c r="L3430" t="s">
        <v>24</v>
      </c>
      <c r="M3430" t="s">
        <v>25</v>
      </c>
      <c r="N3430" t="s">
        <v>26</v>
      </c>
      <c r="O3430" t="s">
        <v>27</v>
      </c>
      <c r="P3430" t="s">
        <v>50</v>
      </c>
      <c r="Q3430">
        <v>10</v>
      </c>
      <c r="R3430">
        <v>459.33</v>
      </c>
      <c r="S3430" t="s">
        <v>29</v>
      </c>
    </row>
    <row r="3431" spans="1:19" x14ac:dyDescent="0.3">
      <c r="A3431" t="s">
        <v>3501</v>
      </c>
      <c r="B3431">
        <v>56</v>
      </c>
      <c r="C3431" t="s">
        <v>19</v>
      </c>
      <c r="D3431" t="s">
        <v>70</v>
      </c>
      <c r="E3431" s="1">
        <v>45355</v>
      </c>
      <c r="F3431" s="3">
        <v>45365</v>
      </c>
      <c r="G3431" t="s">
        <v>21</v>
      </c>
      <c r="H3431" t="s">
        <v>22</v>
      </c>
      <c r="I3431" t="s">
        <v>91</v>
      </c>
      <c r="J3431">
        <v>7013.41</v>
      </c>
      <c r="K3431">
        <v>10</v>
      </c>
      <c r="L3431" t="s">
        <v>24</v>
      </c>
      <c r="M3431" t="s">
        <v>25</v>
      </c>
      <c r="N3431" t="s">
        <v>44</v>
      </c>
      <c r="O3431" t="s">
        <v>37</v>
      </c>
      <c r="P3431" t="s">
        <v>45</v>
      </c>
      <c r="Q3431">
        <v>11</v>
      </c>
      <c r="R3431">
        <v>1505.51</v>
      </c>
      <c r="S3431" t="s">
        <v>29</v>
      </c>
    </row>
    <row r="3432" spans="1:19" x14ac:dyDescent="0.3">
      <c r="A3432" t="s">
        <v>3502</v>
      </c>
      <c r="B3432">
        <v>83</v>
      </c>
      <c r="C3432" t="s">
        <v>31</v>
      </c>
      <c r="D3432" t="s">
        <v>79</v>
      </c>
      <c r="E3432" s="1">
        <v>44943</v>
      </c>
      <c r="F3432" s="3">
        <v>44945</v>
      </c>
      <c r="G3432" t="s">
        <v>33</v>
      </c>
      <c r="H3432" t="s">
        <v>34</v>
      </c>
      <c r="I3432" t="s">
        <v>81</v>
      </c>
      <c r="J3432">
        <v>2214.79</v>
      </c>
      <c r="K3432">
        <v>2</v>
      </c>
      <c r="L3432" t="s">
        <v>24</v>
      </c>
      <c r="M3432" t="s">
        <v>101</v>
      </c>
      <c r="N3432" t="s">
        <v>55</v>
      </c>
      <c r="O3432" t="s">
        <v>56</v>
      </c>
      <c r="P3432" t="s">
        <v>38</v>
      </c>
      <c r="Q3432">
        <v>7</v>
      </c>
      <c r="R3432">
        <v>682.7</v>
      </c>
      <c r="S3432" t="s">
        <v>29</v>
      </c>
    </row>
    <row r="3433" spans="1:19" x14ac:dyDescent="0.3">
      <c r="A3433" t="s">
        <v>3503</v>
      </c>
      <c r="B3433">
        <v>53</v>
      </c>
      <c r="C3433" t="s">
        <v>31</v>
      </c>
      <c r="D3433" t="s">
        <v>89</v>
      </c>
      <c r="E3433" s="1">
        <v>45819</v>
      </c>
      <c r="F3433" s="3">
        <v>45825</v>
      </c>
      <c r="G3433" t="s">
        <v>71</v>
      </c>
      <c r="H3433" t="s">
        <v>72</v>
      </c>
      <c r="I3433" t="s">
        <v>23</v>
      </c>
      <c r="J3433">
        <v>4630.74</v>
      </c>
      <c r="K3433">
        <v>6</v>
      </c>
      <c r="L3433" t="s">
        <v>24</v>
      </c>
      <c r="M3433" t="s">
        <v>59</v>
      </c>
      <c r="N3433" t="s">
        <v>44</v>
      </c>
      <c r="O3433" t="s">
        <v>27</v>
      </c>
      <c r="P3433" t="s">
        <v>50</v>
      </c>
      <c r="Q3433">
        <v>1</v>
      </c>
      <c r="R3433">
        <v>793.38</v>
      </c>
      <c r="S3433" t="s">
        <v>29</v>
      </c>
    </row>
    <row r="3434" spans="1:19" x14ac:dyDescent="0.3">
      <c r="A3434" t="s">
        <v>3504</v>
      </c>
      <c r="B3434">
        <v>49</v>
      </c>
      <c r="C3434" t="s">
        <v>19</v>
      </c>
      <c r="D3434" t="s">
        <v>32</v>
      </c>
      <c r="E3434" s="1">
        <v>45259</v>
      </c>
      <c r="F3434" s="3">
        <v>45279</v>
      </c>
      <c r="G3434" t="s">
        <v>21</v>
      </c>
      <c r="H3434" t="s">
        <v>22</v>
      </c>
      <c r="I3434" t="s">
        <v>54</v>
      </c>
      <c r="J3434">
        <v>11852.5</v>
      </c>
      <c r="K3434">
        <v>20</v>
      </c>
      <c r="L3434" t="s">
        <v>36</v>
      </c>
      <c r="M3434" t="s">
        <v>25</v>
      </c>
      <c r="N3434" t="s">
        <v>44</v>
      </c>
      <c r="O3434" t="s">
        <v>27</v>
      </c>
      <c r="P3434" t="s">
        <v>38</v>
      </c>
      <c r="Q3434">
        <v>7</v>
      </c>
      <c r="R3434">
        <v>2888.24</v>
      </c>
      <c r="S3434" t="s">
        <v>29</v>
      </c>
    </row>
    <row r="3435" spans="1:19" x14ac:dyDescent="0.3">
      <c r="A3435" t="s">
        <v>3505</v>
      </c>
      <c r="B3435">
        <v>42</v>
      </c>
      <c r="C3435" t="s">
        <v>19</v>
      </c>
      <c r="D3435" t="s">
        <v>20</v>
      </c>
      <c r="E3435" s="1">
        <v>45471</v>
      </c>
      <c r="F3435" s="3">
        <v>45499</v>
      </c>
      <c r="G3435" t="s">
        <v>52</v>
      </c>
      <c r="H3435" t="s">
        <v>53</v>
      </c>
      <c r="I3435" t="s">
        <v>23</v>
      </c>
      <c r="J3435">
        <v>20517.689999999999</v>
      </c>
      <c r="K3435">
        <v>28</v>
      </c>
      <c r="L3435" t="s">
        <v>36</v>
      </c>
      <c r="M3435" t="s">
        <v>76</v>
      </c>
      <c r="N3435" t="s">
        <v>55</v>
      </c>
      <c r="O3435" t="s">
        <v>49</v>
      </c>
      <c r="P3435" t="s">
        <v>45</v>
      </c>
      <c r="Q3435">
        <v>8</v>
      </c>
      <c r="R3435">
        <v>7648.95</v>
      </c>
      <c r="S3435" t="s">
        <v>29</v>
      </c>
    </row>
    <row r="3436" spans="1:19" x14ac:dyDescent="0.3">
      <c r="A3436" t="s">
        <v>3506</v>
      </c>
      <c r="B3436">
        <v>69</v>
      </c>
      <c r="C3436" t="s">
        <v>31</v>
      </c>
      <c r="D3436" t="s">
        <v>20</v>
      </c>
      <c r="E3436" s="1">
        <v>44984</v>
      </c>
      <c r="F3436" s="3">
        <v>45010</v>
      </c>
      <c r="G3436" t="s">
        <v>52</v>
      </c>
      <c r="H3436" t="s">
        <v>53</v>
      </c>
      <c r="I3436" t="s">
        <v>54</v>
      </c>
      <c r="J3436">
        <v>20539.61</v>
      </c>
      <c r="K3436">
        <v>26</v>
      </c>
      <c r="L3436" t="s">
        <v>36</v>
      </c>
      <c r="M3436" t="s">
        <v>25</v>
      </c>
      <c r="N3436" t="s">
        <v>44</v>
      </c>
      <c r="O3436" t="s">
        <v>49</v>
      </c>
      <c r="P3436" t="s">
        <v>28</v>
      </c>
      <c r="Q3436">
        <v>13</v>
      </c>
      <c r="R3436">
        <v>6111.39</v>
      </c>
      <c r="S3436" t="s">
        <v>29</v>
      </c>
    </row>
    <row r="3437" spans="1:19" x14ac:dyDescent="0.3">
      <c r="A3437" t="s">
        <v>3507</v>
      </c>
      <c r="B3437">
        <v>87</v>
      </c>
      <c r="C3437" t="s">
        <v>31</v>
      </c>
      <c r="D3437" t="s">
        <v>89</v>
      </c>
      <c r="E3437" s="1">
        <v>45492</v>
      </c>
      <c r="F3437" s="3">
        <v>45495</v>
      </c>
      <c r="G3437" t="s">
        <v>48</v>
      </c>
      <c r="H3437" t="s">
        <v>22</v>
      </c>
      <c r="I3437" t="s">
        <v>91</v>
      </c>
      <c r="J3437">
        <v>2199.91</v>
      </c>
      <c r="K3437">
        <v>3</v>
      </c>
      <c r="L3437" t="s">
        <v>36</v>
      </c>
      <c r="M3437" t="s">
        <v>76</v>
      </c>
      <c r="N3437" t="s">
        <v>44</v>
      </c>
      <c r="O3437" t="s">
        <v>37</v>
      </c>
      <c r="P3437" t="s">
        <v>38</v>
      </c>
      <c r="Q3437">
        <v>3</v>
      </c>
      <c r="R3437">
        <v>706.26</v>
      </c>
      <c r="S3437" t="s">
        <v>29</v>
      </c>
    </row>
    <row r="3438" spans="1:19" x14ac:dyDescent="0.3">
      <c r="A3438" t="s">
        <v>3508</v>
      </c>
      <c r="B3438">
        <v>74</v>
      </c>
      <c r="C3438" t="s">
        <v>31</v>
      </c>
      <c r="D3438" t="s">
        <v>47</v>
      </c>
      <c r="E3438" s="1">
        <v>45297</v>
      </c>
      <c r="F3438" s="3">
        <v>45315</v>
      </c>
      <c r="G3438" t="s">
        <v>52</v>
      </c>
      <c r="H3438" t="s">
        <v>53</v>
      </c>
      <c r="I3438" t="s">
        <v>23</v>
      </c>
      <c r="J3438">
        <v>12573.77</v>
      </c>
      <c r="K3438">
        <v>18</v>
      </c>
      <c r="L3438" t="s">
        <v>36</v>
      </c>
      <c r="M3438" t="s">
        <v>25</v>
      </c>
      <c r="N3438" t="s">
        <v>44</v>
      </c>
      <c r="O3438" t="s">
        <v>56</v>
      </c>
      <c r="P3438" t="s">
        <v>50</v>
      </c>
      <c r="Q3438">
        <v>13</v>
      </c>
      <c r="R3438">
        <v>4103.95</v>
      </c>
      <c r="S3438" t="s">
        <v>29</v>
      </c>
    </row>
    <row r="3439" spans="1:19" x14ac:dyDescent="0.3">
      <c r="A3439" t="s">
        <v>3509</v>
      </c>
      <c r="B3439">
        <v>90</v>
      </c>
      <c r="C3439" t="s">
        <v>31</v>
      </c>
      <c r="D3439" t="s">
        <v>89</v>
      </c>
      <c r="E3439" s="1">
        <v>45486</v>
      </c>
      <c r="F3439" s="3">
        <v>45502</v>
      </c>
      <c r="G3439" t="s">
        <v>71</v>
      </c>
      <c r="H3439" t="s">
        <v>72</v>
      </c>
      <c r="I3439" t="s">
        <v>43</v>
      </c>
      <c r="J3439">
        <v>12766.06</v>
      </c>
      <c r="K3439">
        <v>16</v>
      </c>
      <c r="L3439" t="s">
        <v>36</v>
      </c>
      <c r="M3439" t="s">
        <v>59</v>
      </c>
      <c r="N3439" t="s">
        <v>44</v>
      </c>
      <c r="O3439" t="s">
        <v>37</v>
      </c>
      <c r="P3439" t="s">
        <v>28</v>
      </c>
      <c r="Q3439">
        <v>3</v>
      </c>
      <c r="R3439">
        <v>3747.77</v>
      </c>
      <c r="S3439" t="s">
        <v>29</v>
      </c>
    </row>
    <row r="3440" spans="1:19" x14ac:dyDescent="0.3">
      <c r="A3440" t="s">
        <v>3510</v>
      </c>
      <c r="B3440">
        <v>66</v>
      </c>
      <c r="C3440" t="s">
        <v>19</v>
      </c>
      <c r="D3440" t="s">
        <v>61</v>
      </c>
      <c r="E3440" s="1">
        <v>45103</v>
      </c>
      <c r="F3440" s="3">
        <v>45114</v>
      </c>
      <c r="G3440" t="s">
        <v>62</v>
      </c>
      <c r="H3440" t="s">
        <v>63</v>
      </c>
      <c r="I3440" t="s">
        <v>83</v>
      </c>
      <c r="J3440">
        <v>12100.71</v>
      </c>
      <c r="K3440">
        <v>11</v>
      </c>
      <c r="L3440" t="s">
        <v>24</v>
      </c>
      <c r="M3440" t="s">
        <v>25</v>
      </c>
      <c r="N3440" t="s">
        <v>55</v>
      </c>
      <c r="O3440" t="s">
        <v>49</v>
      </c>
      <c r="P3440" t="s">
        <v>38</v>
      </c>
      <c r="Q3440">
        <v>13</v>
      </c>
      <c r="R3440">
        <v>4776.37</v>
      </c>
      <c r="S3440" t="s">
        <v>29</v>
      </c>
    </row>
    <row r="3441" spans="1:19" x14ac:dyDescent="0.3">
      <c r="A3441" t="s">
        <v>3511</v>
      </c>
      <c r="B3441">
        <v>54</v>
      </c>
      <c r="C3441" t="s">
        <v>31</v>
      </c>
      <c r="D3441" t="s">
        <v>47</v>
      </c>
      <c r="E3441" s="1">
        <v>45826</v>
      </c>
      <c r="F3441" s="3">
        <v>45827</v>
      </c>
      <c r="G3441" t="s">
        <v>67</v>
      </c>
      <c r="H3441" t="s">
        <v>42</v>
      </c>
      <c r="I3441" t="s">
        <v>81</v>
      </c>
      <c r="J3441">
        <v>2092.48</v>
      </c>
      <c r="K3441">
        <v>1</v>
      </c>
      <c r="L3441" t="s">
        <v>36</v>
      </c>
      <c r="M3441" t="s">
        <v>101</v>
      </c>
      <c r="N3441" t="s">
        <v>26</v>
      </c>
      <c r="O3441" t="s">
        <v>37</v>
      </c>
      <c r="P3441" t="s">
        <v>45</v>
      </c>
      <c r="Q3441">
        <v>7</v>
      </c>
      <c r="R3441">
        <v>744.68</v>
      </c>
      <c r="S3441" t="s">
        <v>29</v>
      </c>
    </row>
    <row r="3442" spans="1:19" x14ac:dyDescent="0.3">
      <c r="A3442" t="s">
        <v>3512</v>
      </c>
      <c r="B3442">
        <v>42</v>
      </c>
      <c r="C3442" t="s">
        <v>19</v>
      </c>
      <c r="D3442" t="s">
        <v>32</v>
      </c>
      <c r="E3442" s="1">
        <v>44995</v>
      </c>
      <c r="F3442" s="3">
        <v>45003</v>
      </c>
      <c r="G3442" t="s">
        <v>41</v>
      </c>
      <c r="H3442" t="s">
        <v>42</v>
      </c>
      <c r="I3442" t="s">
        <v>43</v>
      </c>
      <c r="J3442">
        <v>5900.86</v>
      </c>
      <c r="K3442">
        <v>8</v>
      </c>
      <c r="L3442" t="s">
        <v>36</v>
      </c>
      <c r="M3442" t="s">
        <v>25</v>
      </c>
      <c r="N3442" t="s">
        <v>55</v>
      </c>
      <c r="O3442" t="s">
        <v>56</v>
      </c>
      <c r="P3442" t="s">
        <v>28</v>
      </c>
      <c r="Q3442">
        <v>9</v>
      </c>
      <c r="R3442">
        <v>1292.77</v>
      </c>
      <c r="S3442" t="s">
        <v>29</v>
      </c>
    </row>
    <row r="3443" spans="1:19" x14ac:dyDescent="0.3">
      <c r="A3443" t="s">
        <v>3513</v>
      </c>
      <c r="B3443">
        <v>88</v>
      </c>
      <c r="C3443" t="s">
        <v>31</v>
      </c>
      <c r="D3443" t="s">
        <v>32</v>
      </c>
      <c r="E3443" s="1">
        <v>45058</v>
      </c>
      <c r="F3443" s="3">
        <v>45078</v>
      </c>
      <c r="G3443" t="s">
        <v>33</v>
      </c>
      <c r="H3443" t="s">
        <v>34</v>
      </c>
      <c r="I3443" t="s">
        <v>43</v>
      </c>
      <c r="J3443">
        <v>14984.19</v>
      </c>
      <c r="K3443">
        <v>20</v>
      </c>
      <c r="L3443" t="s">
        <v>36</v>
      </c>
      <c r="M3443" t="s">
        <v>101</v>
      </c>
      <c r="N3443" t="s">
        <v>26</v>
      </c>
      <c r="O3443" t="s">
        <v>27</v>
      </c>
      <c r="P3443" t="s">
        <v>28</v>
      </c>
      <c r="Q3443">
        <v>1</v>
      </c>
      <c r="R3443">
        <v>2578.66</v>
      </c>
      <c r="S3443" t="s">
        <v>29</v>
      </c>
    </row>
    <row r="3444" spans="1:19" x14ac:dyDescent="0.3">
      <c r="A3444" t="s">
        <v>3514</v>
      </c>
      <c r="B3444">
        <v>45</v>
      </c>
      <c r="C3444" t="s">
        <v>31</v>
      </c>
      <c r="D3444" t="s">
        <v>79</v>
      </c>
      <c r="E3444" s="1">
        <v>45306</v>
      </c>
      <c r="F3444" s="3">
        <v>45323</v>
      </c>
      <c r="G3444" t="s">
        <v>67</v>
      </c>
      <c r="H3444" t="s">
        <v>42</v>
      </c>
      <c r="I3444" t="s">
        <v>54</v>
      </c>
      <c r="J3444">
        <v>6916.51</v>
      </c>
      <c r="K3444">
        <v>17</v>
      </c>
      <c r="L3444" t="s">
        <v>24</v>
      </c>
      <c r="M3444" t="s">
        <v>25</v>
      </c>
      <c r="N3444" t="s">
        <v>44</v>
      </c>
      <c r="O3444" t="s">
        <v>56</v>
      </c>
      <c r="P3444" t="s">
        <v>50</v>
      </c>
      <c r="Q3444">
        <v>7</v>
      </c>
      <c r="R3444">
        <v>1684.63</v>
      </c>
      <c r="S3444" t="s">
        <v>29</v>
      </c>
    </row>
    <row r="3445" spans="1:19" x14ac:dyDescent="0.3">
      <c r="A3445" t="s">
        <v>3515</v>
      </c>
      <c r="B3445">
        <v>48</v>
      </c>
      <c r="C3445" t="s">
        <v>31</v>
      </c>
      <c r="D3445" t="s">
        <v>79</v>
      </c>
      <c r="E3445" s="1">
        <v>45081</v>
      </c>
      <c r="F3445" s="3">
        <v>45083</v>
      </c>
      <c r="G3445" t="s">
        <v>52</v>
      </c>
      <c r="H3445" t="s">
        <v>53</v>
      </c>
      <c r="I3445" t="s">
        <v>43</v>
      </c>
      <c r="J3445">
        <v>2654.83</v>
      </c>
      <c r="K3445">
        <v>2</v>
      </c>
      <c r="L3445" t="s">
        <v>36</v>
      </c>
      <c r="M3445" t="s">
        <v>25</v>
      </c>
      <c r="N3445" t="s">
        <v>26</v>
      </c>
      <c r="O3445" t="s">
        <v>37</v>
      </c>
      <c r="P3445" t="s">
        <v>50</v>
      </c>
      <c r="Q3445">
        <v>1</v>
      </c>
      <c r="R3445">
        <v>663.3</v>
      </c>
      <c r="S3445" t="s">
        <v>39</v>
      </c>
    </row>
    <row r="3446" spans="1:19" x14ac:dyDescent="0.3">
      <c r="A3446" t="s">
        <v>3516</v>
      </c>
      <c r="B3446">
        <v>79</v>
      </c>
      <c r="C3446" t="s">
        <v>31</v>
      </c>
      <c r="D3446" t="s">
        <v>32</v>
      </c>
      <c r="E3446" s="1">
        <v>45099</v>
      </c>
      <c r="F3446" s="3">
        <v>45108</v>
      </c>
      <c r="G3446" t="s">
        <v>33</v>
      </c>
      <c r="H3446" t="s">
        <v>34</v>
      </c>
      <c r="I3446" t="s">
        <v>91</v>
      </c>
      <c r="J3446">
        <v>3283.29</v>
      </c>
      <c r="K3446">
        <v>9</v>
      </c>
      <c r="L3446" t="s">
        <v>36</v>
      </c>
      <c r="M3446" t="s">
        <v>25</v>
      </c>
      <c r="N3446" t="s">
        <v>44</v>
      </c>
      <c r="O3446" t="s">
        <v>27</v>
      </c>
      <c r="P3446" t="s">
        <v>38</v>
      </c>
      <c r="Q3446">
        <v>8</v>
      </c>
      <c r="R3446">
        <v>492.85</v>
      </c>
      <c r="S3446" t="s">
        <v>29</v>
      </c>
    </row>
    <row r="3447" spans="1:19" x14ac:dyDescent="0.3">
      <c r="A3447" t="s">
        <v>3517</v>
      </c>
      <c r="B3447">
        <v>56</v>
      </c>
      <c r="C3447" t="s">
        <v>19</v>
      </c>
      <c r="D3447" t="s">
        <v>66</v>
      </c>
      <c r="E3447" s="1">
        <v>44952</v>
      </c>
      <c r="F3447" s="3">
        <v>44980</v>
      </c>
      <c r="G3447" t="s">
        <v>52</v>
      </c>
      <c r="H3447" t="s">
        <v>53</v>
      </c>
      <c r="I3447" t="s">
        <v>35</v>
      </c>
      <c r="J3447">
        <v>14398.62</v>
      </c>
      <c r="K3447">
        <v>28</v>
      </c>
      <c r="L3447" t="s">
        <v>24</v>
      </c>
      <c r="M3447" t="s">
        <v>25</v>
      </c>
      <c r="N3447" t="s">
        <v>55</v>
      </c>
      <c r="O3447" t="s">
        <v>49</v>
      </c>
      <c r="P3447" t="s">
        <v>38</v>
      </c>
      <c r="Q3447">
        <v>14</v>
      </c>
      <c r="R3447">
        <v>3755.37</v>
      </c>
      <c r="S3447" t="s">
        <v>29</v>
      </c>
    </row>
    <row r="3448" spans="1:19" x14ac:dyDescent="0.3">
      <c r="A3448" t="s">
        <v>3518</v>
      </c>
      <c r="B3448">
        <v>21</v>
      </c>
      <c r="C3448" t="s">
        <v>19</v>
      </c>
      <c r="D3448" t="s">
        <v>66</v>
      </c>
      <c r="E3448" s="1">
        <v>45320</v>
      </c>
      <c r="F3448" s="3">
        <v>45322</v>
      </c>
      <c r="G3448" t="s">
        <v>52</v>
      </c>
      <c r="H3448" t="s">
        <v>53</v>
      </c>
      <c r="I3448" t="s">
        <v>91</v>
      </c>
      <c r="J3448">
        <v>1657.09</v>
      </c>
      <c r="K3448">
        <v>2</v>
      </c>
      <c r="L3448" t="s">
        <v>24</v>
      </c>
      <c r="M3448" t="s">
        <v>101</v>
      </c>
      <c r="N3448" t="s">
        <v>55</v>
      </c>
      <c r="O3448" t="s">
        <v>56</v>
      </c>
      <c r="P3448" t="s">
        <v>50</v>
      </c>
      <c r="Q3448">
        <v>4</v>
      </c>
      <c r="R3448">
        <v>251.01</v>
      </c>
      <c r="S3448" t="s">
        <v>29</v>
      </c>
    </row>
    <row r="3449" spans="1:19" x14ac:dyDescent="0.3">
      <c r="A3449" t="s">
        <v>3519</v>
      </c>
      <c r="B3449">
        <v>36</v>
      </c>
      <c r="C3449" t="s">
        <v>31</v>
      </c>
      <c r="D3449" t="s">
        <v>61</v>
      </c>
      <c r="E3449" s="1">
        <v>45589</v>
      </c>
      <c r="F3449" s="3">
        <v>45591</v>
      </c>
      <c r="G3449" t="s">
        <v>21</v>
      </c>
      <c r="H3449" t="s">
        <v>22</v>
      </c>
      <c r="I3449" t="s">
        <v>43</v>
      </c>
      <c r="J3449">
        <v>1668.55</v>
      </c>
      <c r="K3449">
        <v>2</v>
      </c>
      <c r="L3449" t="s">
        <v>24</v>
      </c>
      <c r="M3449" t="s">
        <v>25</v>
      </c>
      <c r="N3449" t="s">
        <v>44</v>
      </c>
      <c r="O3449" t="s">
        <v>27</v>
      </c>
      <c r="P3449" t="s">
        <v>45</v>
      </c>
      <c r="Q3449">
        <v>9</v>
      </c>
      <c r="R3449">
        <v>422.85</v>
      </c>
      <c r="S3449" t="s">
        <v>29</v>
      </c>
    </row>
    <row r="3450" spans="1:19" x14ac:dyDescent="0.3">
      <c r="A3450" t="s">
        <v>3520</v>
      </c>
      <c r="B3450">
        <v>38</v>
      </c>
      <c r="C3450" t="s">
        <v>31</v>
      </c>
      <c r="D3450" t="s">
        <v>89</v>
      </c>
      <c r="E3450" s="1">
        <v>45577</v>
      </c>
      <c r="F3450" s="3">
        <v>45586</v>
      </c>
      <c r="G3450" t="s">
        <v>21</v>
      </c>
      <c r="H3450" t="s">
        <v>22</v>
      </c>
      <c r="I3450" t="s">
        <v>81</v>
      </c>
      <c r="J3450">
        <v>5861.47</v>
      </c>
      <c r="K3450">
        <v>9</v>
      </c>
      <c r="L3450" t="s">
        <v>36</v>
      </c>
      <c r="M3450" t="s">
        <v>25</v>
      </c>
      <c r="N3450" t="s">
        <v>26</v>
      </c>
      <c r="O3450" t="s">
        <v>56</v>
      </c>
      <c r="P3450" t="s">
        <v>38</v>
      </c>
      <c r="Q3450">
        <v>5</v>
      </c>
      <c r="R3450">
        <v>2333.17</v>
      </c>
      <c r="S3450" t="s">
        <v>29</v>
      </c>
    </row>
    <row r="3451" spans="1:19" x14ac:dyDescent="0.3">
      <c r="A3451" t="s">
        <v>3521</v>
      </c>
      <c r="B3451">
        <v>79</v>
      </c>
      <c r="C3451" t="s">
        <v>19</v>
      </c>
      <c r="D3451" t="s">
        <v>61</v>
      </c>
      <c r="E3451" s="1">
        <v>45358</v>
      </c>
      <c r="F3451" s="3">
        <v>45378</v>
      </c>
      <c r="G3451" t="s">
        <v>74</v>
      </c>
      <c r="H3451" t="s">
        <v>75</v>
      </c>
      <c r="I3451" t="s">
        <v>35</v>
      </c>
      <c r="J3451">
        <v>13686.11</v>
      </c>
      <c r="K3451">
        <v>20</v>
      </c>
      <c r="L3451" t="s">
        <v>36</v>
      </c>
      <c r="M3451" t="s">
        <v>25</v>
      </c>
      <c r="N3451" t="s">
        <v>55</v>
      </c>
      <c r="O3451" t="s">
        <v>56</v>
      </c>
      <c r="P3451" t="s">
        <v>45</v>
      </c>
      <c r="Q3451">
        <v>4</v>
      </c>
      <c r="R3451">
        <v>2659.06</v>
      </c>
      <c r="S3451" t="s">
        <v>29</v>
      </c>
    </row>
    <row r="3452" spans="1:19" x14ac:dyDescent="0.3">
      <c r="A3452" t="s">
        <v>3522</v>
      </c>
      <c r="B3452">
        <v>53</v>
      </c>
      <c r="C3452" t="s">
        <v>31</v>
      </c>
      <c r="D3452" t="s">
        <v>20</v>
      </c>
      <c r="E3452" s="1">
        <v>45862</v>
      </c>
      <c r="F3452" s="3">
        <v>45882</v>
      </c>
      <c r="G3452" t="s">
        <v>93</v>
      </c>
      <c r="H3452" t="s">
        <v>72</v>
      </c>
      <c r="I3452" t="s">
        <v>58</v>
      </c>
      <c r="J3452">
        <v>6821.25</v>
      </c>
      <c r="K3452">
        <v>20</v>
      </c>
      <c r="L3452" t="s">
        <v>36</v>
      </c>
      <c r="M3452" t="s">
        <v>25</v>
      </c>
      <c r="N3452" t="s">
        <v>44</v>
      </c>
      <c r="O3452" t="s">
        <v>56</v>
      </c>
      <c r="P3452" t="s">
        <v>50</v>
      </c>
      <c r="Q3452">
        <v>1</v>
      </c>
      <c r="R3452">
        <v>1808.89</v>
      </c>
      <c r="S3452" t="s">
        <v>29</v>
      </c>
    </row>
    <row r="3453" spans="1:19" x14ac:dyDescent="0.3">
      <c r="A3453" t="s">
        <v>3523</v>
      </c>
      <c r="B3453">
        <v>37</v>
      </c>
      <c r="C3453" t="s">
        <v>31</v>
      </c>
      <c r="D3453" t="s">
        <v>61</v>
      </c>
      <c r="E3453" s="1">
        <v>45888</v>
      </c>
      <c r="F3453" s="3">
        <v>45901</v>
      </c>
      <c r="G3453" t="s">
        <v>33</v>
      </c>
      <c r="H3453" t="s">
        <v>34</v>
      </c>
      <c r="I3453" t="s">
        <v>54</v>
      </c>
      <c r="J3453">
        <v>12044.95</v>
      </c>
      <c r="K3453">
        <v>13</v>
      </c>
      <c r="L3453" t="s">
        <v>24</v>
      </c>
      <c r="M3453" t="s">
        <v>101</v>
      </c>
      <c r="N3453" t="s">
        <v>26</v>
      </c>
      <c r="O3453" t="s">
        <v>49</v>
      </c>
      <c r="P3453" t="s">
        <v>28</v>
      </c>
      <c r="Q3453">
        <v>5</v>
      </c>
      <c r="R3453">
        <v>1900.2</v>
      </c>
      <c r="S3453" t="s">
        <v>29</v>
      </c>
    </row>
    <row r="3454" spans="1:19" x14ac:dyDescent="0.3">
      <c r="A3454" t="s">
        <v>3524</v>
      </c>
      <c r="B3454">
        <v>84</v>
      </c>
      <c r="C3454" t="s">
        <v>19</v>
      </c>
      <c r="D3454" t="s">
        <v>70</v>
      </c>
      <c r="E3454" s="1">
        <v>45077</v>
      </c>
      <c r="F3454" s="3">
        <v>45083</v>
      </c>
      <c r="G3454" t="s">
        <v>74</v>
      </c>
      <c r="H3454" t="s">
        <v>75</v>
      </c>
      <c r="I3454" t="s">
        <v>23</v>
      </c>
      <c r="J3454">
        <v>5966.46</v>
      </c>
      <c r="K3454">
        <v>6</v>
      </c>
      <c r="L3454" t="s">
        <v>24</v>
      </c>
      <c r="M3454" t="s">
        <v>25</v>
      </c>
      <c r="N3454" t="s">
        <v>55</v>
      </c>
      <c r="O3454" t="s">
        <v>37</v>
      </c>
      <c r="P3454" t="s">
        <v>28</v>
      </c>
      <c r="Q3454">
        <v>1</v>
      </c>
      <c r="R3454">
        <v>1627.95</v>
      </c>
      <c r="S3454" t="s">
        <v>29</v>
      </c>
    </row>
    <row r="3455" spans="1:19" x14ac:dyDescent="0.3">
      <c r="A3455" t="s">
        <v>3525</v>
      </c>
      <c r="B3455">
        <v>82</v>
      </c>
      <c r="C3455" t="s">
        <v>19</v>
      </c>
      <c r="D3455" t="s">
        <v>47</v>
      </c>
      <c r="E3455" s="1">
        <v>45282</v>
      </c>
      <c r="F3455" s="3">
        <v>45300</v>
      </c>
      <c r="G3455" t="s">
        <v>33</v>
      </c>
      <c r="H3455" t="s">
        <v>34</v>
      </c>
      <c r="I3455" t="s">
        <v>83</v>
      </c>
      <c r="J3455">
        <v>11543.79</v>
      </c>
      <c r="K3455">
        <v>18</v>
      </c>
      <c r="L3455" t="s">
        <v>24</v>
      </c>
      <c r="M3455" t="s">
        <v>25</v>
      </c>
      <c r="N3455" t="s">
        <v>44</v>
      </c>
      <c r="O3455" t="s">
        <v>37</v>
      </c>
      <c r="P3455" t="s">
        <v>50</v>
      </c>
      <c r="Q3455">
        <v>5</v>
      </c>
      <c r="R3455">
        <v>2361.16</v>
      </c>
      <c r="S3455" t="s">
        <v>39</v>
      </c>
    </row>
    <row r="3456" spans="1:19" x14ac:dyDescent="0.3">
      <c r="A3456" t="s">
        <v>3526</v>
      </c>
      <c r="B3456">
        <v>78</v>
      </c>
      <c r="C3456" t="s">
        <v>31</v>
      </c>
      <c r="D3456" t="s">
        <v>66</v>
      </c>
      <c r="E3456" s="1">
        <v>45916</v>
      </c>
      <c r="F3456" s="3">
        <v>45921</v>
      </c>
      <c r="G3456" t="s">
        <v>74</v>
      </c>
      <c r="H3456" t="s">
        <v>75</v>
      </c>
      <c r="I3456" t="s">
        <v>91</v>
      </c>
      <c r="J3456">
        <v>1620.39</v>
      </c>
      <c r="K3456">
        <v>5</v>
      </c>
      <c r="L3456" t="s">
        <v>24</v>
      </c>
      <c r="M3456" t="s">
        <v>25</v>
      </c>
      <c r="N3456" t="s">
        <v>55</v>
      </c>
      <c r="O3456" t="s">
        <v>56</v>
      </c>
      <c r="P3456" t="s">
        <v>38</v>
      </c>
      <c r="Q3456">
        <v>8</v>
      </c>
      <c r="R3456">
        <v>346.95</v>
      </c>
      <c r="S3456" t="s">
        <v>29</v>
      </c>
    </row>
    <row r="3457" spans="1:19" x14ac:dyDescent="0.3">
      <c r="A3457" t="s">
        <v>3527</v>
      </c>
      <c r="B3457">
        <v>75</v>
      </c>
      <c r="C3457" t="s">
        <v>31</v>
      </c>
      <c r="D3457" t="s">
        <v>89</v>
      </c>
      <c r="E3457" s="1">
        <v>45743</v>
      </c>
      <c r="F3457" s="3">
        <v>45749</v>
      </c>
      <c r="G3457" t="s">
        <v>67</v>
      </c>
      <c r="H3457" t="s">
        <v>42</v>
      </c>
      <c r="I3457" t="s">
        <v>35</v>
      </c>
      <c r="J3457">
        <v>4375.97</v>
      </c>
      <c r="K3457">
        <v>6</v>
      </c>
      <c r="L3457" t="s">
        <v>36</v>
      </c>
      <c r="M3457" t="s">
        <v>25</v>
      </c>
      <c r="N3457" t="s">
        <v>55</v>
      </c>
      <c r="O3457" t="s">
        <v>56</v>
      </c>
      <c r="P3457" t="s">
        <v>50</v>
      </c>
      <c r="Q3457">
        <v>4</v>
      </c>
      <c r="R3457">
        <v>1163.0899999999999</v>
      </c>
      <c r="S3457" t="s">
        <v>29</v>
      </c>
    </row>
    <row r="3458" spans="1:19" x14ac:dyDescent="0.3">
      <c r="A3458" t="s">
        <v>3528</v>
      </c>
      <c r="B3458">
        <v>72</v>
      </c>
      <c r="C3458" t="s">
        <v>31</v>
      </c>
      <c r="D3458" t="s">
        <v>20</v>
      </c>
      <c r="E3458" s="1">
        <v>45390</v>
      </c>
      <c r="F3458" s="3">
        <v>45394</v>
      </c>
      <c r="G3458" t="s">
        <v>52</v>
      </c>
      <c r="H3458" t="s">
        <v>53</v>
      </c>
      <c r="I3458" t="s">
        <v>43</v>
      </c>
      <c r="J3458">
        <v>2871.76</v>
      </c>
      <c r="K3458">
        <v>4</v>
      </c>
      <c r="L3458" t="s">
        <v>24</v>
      </c>
      <c r="M3458" t="s">
        <v>25</v>
      </c>
      <c r="N3458" t="s">
        <v>55</v>
      </c>
      <c r="O3458" t="s">
        <v>27</v>
      </c>
      <c r="P3458" t="s">
        <v>45</v>
      </c>
      <c r="Q3458">
        <v>15</v>
      </c>
      <c r="R3458">
        <v>573.66999999999996</v>
      </c>
      <c r="S3458" t="s">
        <v>29</v>
      </c>
    </row>
    <row r="3459" spans="1:19" x14ac:dyDescent="0.3">
      <c r="A3459" t="s">
        <v>3529</v>
      </c>
      <c r="B3459">
        <v>35</v>
      </c>
      <c r="C3459" t="s">
        <v>31</v>
      </c>
      <c r="D3459" t="s">
        <v>32</v>
      </c>
      <c r="E3459" s="1">
        <v>45660</v>
      </c>
      <c r="F3459" s="3">
        <v>45671</v>
      </c>
      <c r="G3459" t="s">
        <v>48</v>
      </c>
      <c r="H3459" t="s">
        <v>22</v>
      </c>
      <c r="I3459" t="s">
        <v>54</v>
      </c>
      <c r="J3459">
        <v>7386.44</v>
      </c>
      <c r="K3459">
        <v>11</v>
      </c>
      <c r="L3459" t="s">
        <v>36</v>
      </c>
      <c r="M3459" t="s">
        <v>25</v>
      </c>
      <c r="N3459" t="s">
        <v>55</v>
      </c>
      <c r="O3459" t="s">
        <v>56</v>
      </c>
      <c r="P3459" t="s">
        <v>50</v>
      </c>
      <c r="Q3459">
        <v>5</v>
      </c>
      <c r="R3459">
        <v>1164.22</v>
      </c>
      <c r="S3459" t="s">
        <v>29</v>
      </c>
    </row>
    <row r="3460" spans="1:19" x14ac:dyDescent="0.3">
      <c r="A3460" t="s">
        <v>3530</v>
      </c>
      <c r="B3460">
        <v>32</v>
      </c>
      <c r="C3460" t="s">
        <v>31</v>
      </c>
      <c r="D3460" t="s">
        <v>70</v>
      </c>
      <c r="E3460" s="1">
        <v>45115</v>
      </c>
      <c r="F3460" s="3">
        <v>45131</v>
      </c>
      <c r="G3460" t="s">
        <v>93</v>
      </c>
      <c r="H3460" t="s">
        <v>72</v>
      </c>
      <c r="I3460" t="s">
        <v>23</v>
      </c>
      <c r="J3460">
        <v>9346.7999999999993</v>
      </c>
      <c r="K3460">
        <v>16</v>
      </c>
      <c r="L3460" t="s">
        <v>36</v>
      </c>
      <c r="M3460" t="s">
        <v>25</v>
      </c>
      <c r="N3460" t="s">
        <v>55</v>
      </c>
      <c r="O3460" t="s">
        <v>37</v>
      </c>
      <c r="P3460" t="s">
        <v>28</v>
      </c>
      <c r="Q3460">
        <v>3</v>
      </c>
      <c r="R3460">
        <v>1504.16</v>
      </c>
      <c r="S3460" t="s">
        <v>29</v>
      </c>
    </row>
    <row r="3461" spans="1:19" x14ac:dyDescent="0.3">
      <c r="A3461" t="s">
        <v>3531</v>
      </c>
      <c r="B3461">
        <v>86</v>
      </c>
      <c r="C3461" t="s">
        <v>31</v>
      </c>
      <c r="D3461" t="s">
        <v>70</v>
      </c>
      <c r="E3461" s="1">
        <v>45844</v>
      </c>
      <c r="F3461" s="3">
        <v>45861</v>
      </c>
      <c r="G3461" t="s">
        <v>71</v>
      </c>
      <c r="H3461" t="s">
        <v>72</v>
      </c>
      <c r="I3461" t="s">
        <v>83</v>
      </c>
      <c r="J3461">
        <v>8921.91</v>
      </c>
      <c r="K3461">
        <v>17</v>
      </c>
      <c r="L3461" t="s">
        <v>24</v>
      </c>
      <c r="M3461" t="s">
        <v>25</v>
      </c>
      <c r="N3461" t="s">
        <v>55</v>
      </c>
      <c r="O3461" t="s">
        <v>49</v>
      </c>
      <c r="P3461" t="s">
        <v>38</v>
      </c>
      <c r="Q3461">
        <v>6</v>
      </c>
      <c r="R3461">
        <v>3304.17</v>
      </c>
      <c r="S3461" t="s">
        <v>29</v>
      </c>
    </row>
    <row r="3462" spans="1:19" x14ac:dyDescent="0.3">
      <c r="A3462" t="s">
        <v>3532</v>
      </c>
      <c r="B3462">
        <v>56</v>
      </c>
      <c r="C3462" t="s">
        <v>19</v>
      </c>
      <c r="D3462" t="s">
        <v>32</v>
      </c>
      <c r="E3462" s="1">
        <v>45577</v>
      </c>
      <c r="F3462" s="3">
        <v>45593</v>
      </c>
      <c r="G3462" t="s">
        <v>74</v>
      </c>
      <c r="H3462" t="s">
        <v>75</v>
      </c>
      <c r="I3462" t="s">
        <v>81</v>
      </c>
      <c r="J3462">
        <v>7548.16</v>
      </c>
      <c r="K3462">
        <v>16</v>
      </c>
      <c r="L3462" t="s">
        <v>36</v>
      </c>
      <c r="M3462" t="s">
        <v>25</v>
      </c>
      <c r="N3462" t="s">
        <v>26</v>
      </c>
      <c r="O3462" t="s">
        <v>56</v>
      </c>
      <c r="P3462" t="s">
        <v>45</v>
      </c>
      <c r="Q3462">
        <v>8</v>
      </c>
      <c r="R3462">
        <v>1938.14</v>
      </c>
      <c r="S3462" t="s">
        <v>29</v>
      </c>
    </row>
    <row r="3463" spans="1:19" x14ac:dyDescent="0.3">
      <c r="A3463" t="s">
        <v>3533</v>
      </c>
      <c r="B3463">
        <v>83</v>
      </c>
      <c r="C3463" t="s">
        <v>19</v>
      </c>
      <c r="D3463" t="s">
        <v>61</v>
      </c>
      <c r="E3463" s="1">
        <v>45676</v>
      </c>
      <c r="F3463" s="3">
        <v>45678</v>
      </c>
      <c r="G3463" t="s">
        <v>93</v>
      </c>
      <c r="H3463" t="s">
        <v>72</v>
      </c>
      <c r="I3463" t="s">
        <v>43</v>
      </c>
      <c r="J3463">
        <v>2826.43</v>
      </c>
      <c r="K3463">
        <v>2</v>
      </c>
      <c r="L3463" t="s">
        <v>36</v>
      </c>
      <c r="M3463" t="s">
        <v>25</v>
      </c>
      <c r="N3463" t="s">
        <v>55</v>
      </c>
      <c r="O3463" t="s">
        <v>56</v>
      </c>
      <c r="P3463" t="s">
        <v>28</v>
      </c>
      <c r="Q3463">
        <v>3</v>
      </c>
      <c r="R3463">
        <v>844.81</v>
      </c>
      <c r="S3463" t="s">
        <v>29</v>
      </c>
    </row>
    <row r="3464" spans="1:19" x14ac:dyDescent="0.3">
      <c r="A3464" t="s">
        <v>3534</v>
      </c>
      <c r="B3464">
        <v>19</v>
      </c>
      <c r="C3464" t="s">
        <v>31</v>
      </c>
      <c r="D3464" t="s">
        <v>70</v>
      </c>
      <c r="E3464" s="1">
        <v>45082</v>
      </c>
      <c r="F3464" s="3">
        <v>45093</v>
      </c>
      <c r="G3464" t="s">
        <v>41</v>
      </c>
      <c r="H3464" t="s">
        <v>42</v>
      </c>
      <c r="I3464" t="s">
        <v>43</v>
      </c>
      <c r="J3464">
        <v>7847.21</v>
      </c>
      <c r="K3464">
        <v>11</v>
      </c>
      <c r="L3464" t="s">
        <v>36</v>
      </c>
      <c r="M3464" t="s">
        <v>25</v>
      </c>
      <c r="N3464" t="s">
        <v>44</v>
      </c>
      <c r="O3464" t="s">
        <v>27</v>
      </c>
      <c r="P3464" t="s">
        <v>50</v>
      </c>
      <c r="Q3464">
        <v>10</v>
      </c>
      <c r="R3464">
        <v>2917.32</v>
      </c>
      <c r="S3464" t="s">
        <v>29</v>
      </c>
    </row>
    <row r="3465" spans="1:19" x14ac:dyDescent="0.3">
      <c r="A3465" t="s">
        <v>3535</v>
      </c>
      <c r="B3465">
        <v>61</v>
      </c>
      <c r="C3465" t="s">
        <v>31</v>
      </c>
      <c r="D3465" t="s">
        <v>61</v>
      </c>
      <c r="E3465" s="1">
        <v>45754</v>
      </c>
      <c r="F3465" s="3">
        <v>45769</v>
      </c>
      <c r="G3465" t="s">
        <v>71</v>
      </c>
      <c r="H3465" t="s">
        <v>72</v>
      </c>
      <c r="I3465" t="s">
        <v>81</v>
      </c>
      <c r="J3465">
        <v>8566.7000000000007</v>
      </c>
      <c r="K3465">
        <v>15</v>
      </c>
      <c r="L3465" t="s">
        <v>36</v>
      </c>
      <c r="M3465" t="s">
        <v>25</v>
      </c>
      <c r="N3465" t="s">
        <v>26</v>
      </c>
      <c r="O3465" t="s">
        <v>37</v>
      </c>
      <c r="P3465" t="s">
        <v>45</v>
      </c>
      <c r="Q3465">
        <v>3</v>
      </c>
      <c r="R3465">
        <v>1396.73</v>
      </c>
      <c r="S3465" t="s">
        <v>29</v>
      </c>
    </row>
    <row r="3466" spans="1:19" x14ac:dyDescent="0.3">
      <c r="A3466" t="s">
        <v>3536</v>
      </c>
      <c r="B3466">
        <v>48</v>
      </c>
      <c r="C3466" t="s">
        <v>31</v>
      </c>
      <c r="D3466" t="s">
        <v>79</v>
      </c>
      <c r="E3466" s="1">
        <v>45799</v>
      </c>
      <c r="F3466" s="3">
        <v>45807</v>
      </c>
      <c r="G3466" t="s">
        <v>21</v>
      </c>
      <c r="H3466" t="s">
        <v>22</v>
      </c>
      <c r="I3466" t="s">
        <v>35</v>
      </c>
      <c r="J3466">
        <v>4368.25</v>
      </c>
      <c r="K3466">
        <v>8</v>
      </c>
      <c r="L3466" t="s">
        <v>24</v>
      </c>
      <c r="M3466" t="s">
        <v>25</v>
      </c>
      <c r="N3466" t="s">
        <v>44</v>
      </c>
      <c r="O3466" t="s">
        <v>56</v>
      </c>
      <c r="P3466" t="s">
        <v>28</v>
      </c>
      <c r="Q3466">
        <v>1</v>
      </c>
      <c r="R3466">
        <v>1285.3900000000001</v>
      </c>
      <c r="S3466" t="s">
        <v>29</v>
      </c>
    </row>
    <row r="3467" spans="1:19" x14ac:dyDescent="0.3">
      <c r="A3467" t="s">
        <v>3537</v>
      </c>
      <c r="B3467">
        <v>24</v>
      </c>
      <c r="C3467" t="s">
        <v>31</v>
      </c>
      <c r="D3467" t="s">
        <v>70</v>
      </c>
      <c r="E3467" s="1">
        <v>45793</v>
      </c>
      <c r="F3467" s="3">
        <v>45815</v>
      </c>
      <c r="G3467" t="s">
        <v>93</v>
      </c>
      <c r="H3467" t="s">
        <v>72</v>
      </c>
      <c r="I3467" t="s">
        <v>54</v>
      </c>
      <c r="J3467">
        <v>14962.62</v>
      </c>
      <c r="K3467">
        <v>22</v>
      </c>
      <c r="L3467" t="s">
        <v>36</v>
      </c>
      <c r="M3467" t="s">
        <v>76</v>
      </c>
      <c r="N3467" t="s">
        <v>44</v>
      </c>
      <c r="O3467" t="s">
        <v>49</v>
      </c>
      <c r="P3467" t="s">
        <v>28</v>
      </c>
      <c r="Q3467">
        <v>9</v>
      </c>
      <c r="R3467">
        <v>3376.32</v>
      </c>
      <c r="S3467" t="s">
        <v>29</v>
      </c>
    </row>
    <row r="3468" spans="1:19" x14ac:dyDescent="0.3">
      <c r="A3468" t="s">
        <v>3538</v>
      </c>
      <c r="B3468">
        <v>78</v>
      </c>
      <c r="C3468" t="s">
        <v>31</v>
      </c>
      <c r="D3468" t="s">
        <v>79</v>
      </c>
      <c r="E3468" s="1">
        <v>45544</v>
      </c>
      <c r="F3468" s="3">
        <v>45555</v>
      </c>
      <c r="G3468" t="s">
        <v>41</v>
      </c>
      <c r="H3468" t="s">
        <v>42</v>
      </c>
      <c r="I3468" t="s">
        <v>23</v>
      </c>
      <c r="J3468">
        <v>6113.77</v>
      </c>
      <c r="K3468">
        <v>11</v>
      </c>
      <c r="L3468" t="s">
        <v>36</v>
      </c>
      <c r="M3468" t="s">
        <v>25</v>
      </c>
      <c r="N3468" t="s">
        <v>26</v>
      </c>
      <c r="O3468" t="s">
        <v>56</v>
      </c>
      <c r="P3468" t="s">
        <v>28</v>
      </c>
      <c r="Q3468">
        <v>9</v>
      </c>
      <c r="R3468">
        <v>938.24</v>
      </c>
      <c r="S3468" t="s">
        <v>29</v>
      </c>
    </row>
    <row r="3469" spans="1:19" x14ac:dyDescent="0.3">
      <c r="A3469" t="s">
        <v>3539</v>
      </c>
      <c r="B3469">
        <v>54</v>
      </c>
      <c r="C3469" t="s">
        <v>19</v>
      </c>
      <c r="D3469" t="s">
        <v>61</v>
      </c>
      <c r="E3469" s="1">
        <v>45713</v>
      </c>
      <c r="F3469" s="3">
        <v>45729</v>
      </c>
      <c r="G3469" t="s">
        <v>62</v>
      </c>
      <c r="H3469" t="s">
        <v>63</v>
      </c>
      <c r="I3469" t="s">
        <v>23</v>
      </c>
      <c r="J3469">
        <v>3760.01</v>
      </c>
      <c r="K3469">
        <v>16</v>
      </c>
      <c r="L3469" t="s">
        <v>36</v>
      </c>
      <c r="M3469" t="s">
        <v>25</v>
      </c>
      <c r="N3469" t="s">
        <v>55</v>
      </c>
      <c r="O3469" t="s">
        <v>56</v>
      </c>
      <c r="P3469" t="s">
        <v>50</v>
      </c>
      <c r="Q3469">
        <v>10</v>
      </c>
      <c r="R3469">
        <v>761.78</v>
      </c>
      <c r="S3469" t="s">
        <v>39</v>
      </c>
    </row>
    <row r="3470" spans="1:19" x14ac:dyDescent="0.3">
      <c r="A3470" t="s">
        <v>3540</v>
      </c>
      <c r="B3470">
        <v>35</v>
      </c>
      <c r="C3470" t="s">
        <v>19</v>
      </c>
      <c r="D3470" t="s">
        <v>66</v>
      </c>
      <c r="E3470" s="1">
        <v>45657</v>
      </c>
      <c r="F3470" s="3">
        <v>45662</v>
      </c>
      <c r="G3470" t="s">
        <v>71</v>
      </c>
      <c r="H3470" t="s">
        <v>72</v>
      </c>
      <c r="I3470" t="s">
        <v>58</v>
      </c>
      <c r="J3470">
        <v>4019.77</v>
      </c>
      <c r="K3470">
        <v>5</v>
      </c>
      <c r="L3470" t="s">
        <v>24</v>
      </c>
      <c r="M3470" t="s">
        <v>25</v>
      </c>
      <c r="N3470" t="s">
        <v>44</v>
      </c>
      <c r="O3470" t="s">
        <v>37</v>
      </c>
      <c r="P3470" t="s">
        <v>50</v>
      </c>
      <c r="Q3470">
        <v>5</v>
      </c>
      <c r="R3470">
        <v>933.8</v>
      </c>
      <c r="S3470" t="s">
        <v>29</v>
      </c>
    </row>
    <row r="3471" spans="1:19" x14ac:dyDescent="0.3">
      <c r="A3471" t="s">
        <v>3541</v>
      </c>
      <c r="B3471">
        <v>35</v>
      </c>
      <c r="C3471" t="s">
        <v>19</v>
      </c>
      <c r="D3471" t="s">
        <v>47</v>
      </c>
      <c r="E3471" s="1">
        <v>45420</v>
      </c>
      <c r="F3471" s="3">
        <v>45436</v>
      </c>
      <c r="G3471" t="s">
        <v>52</v>
      </c>
      <c r="H3471" t="s">
        <v>53</v>
      </c>
      <c r="I3471" t="s">
        <v>81</v>
      </c>
      <c r="J3471">
        <v>7019.33</v>
      </c>
      <c r="K3471">
        <v>16</v>
      </c>
      <c r="L3471" t="s">
        <v>24</v>
      </c>
      <c r="M3471" t="s">
        <v>25</v>
      </c>
      <c r="N3471" t="s">
        <v>44</v>
      </c>
      <c r="O3471" t="s">
        <v>27</v>
      </c>
      <c r="P3471" t="s">
        <v>28</v>
      </c>
      <c r="Q3471">
        <v>14</v>
      </c>
      <c r="R3471">
        <v>1191.93</v>
      </c>
      <c r="S3471" t="s">
        <v>29</v>
      </c>
    </row>
    <row r="3472" spans="1:19" x14ac:dyDescent="0.3">
      <c r="A3472" t="s">
        <v>3542</v>
      </c>
      <c r="B3472">
        <v>30</v>
      </c>
      <c r="C3472" t="s">
        <v>31</v>
      </c>
      <c r="D3472" t="s">
        <v>20</v>
      </c>
      <c r="E3472" s="1">
        <v>45360</v>
      </c>
      <c r="F3472" s="3">
        <v>45388</v>
      </c>
      <c r="G3472" t="s">
        <v>74</v>
      </c>
      <c r="H3472" t="s">
        <v>75</v>
      </c>
      <c r="I3472" t="s">
        <v>91</v>
      </c>
      <c r="J3472">
        <v>15154.67</v>
      </c>
      <c r="K3472">
        <v>28</v>
      </c>
      <c r="L3472" t="s">
        <v>24</v>
      </c>
      <c r="M3472" t="s">
        <v>25</v>
      </c>
      <c r="N3472" t="s">
        <v>44</v>
      </c>
      <c r="O3472" t="s">
        <v>49</v>
      </c>
      <c r="P3472" t="s">
        <v>45</v>
      </c>
      <c r="Q3472">
        <v>10</v>
      </c>
      <c r="R3472">
        <v>2848.14</v>
      </c>
      <c r="S3472" t="s">
        <v>29</v>
      </c>
    </row>
    <row r="3473" spans="1:24" x14ac:dyDescent="0.3">
      <c r="A3473" t="s">
        <v>3543</v>
      </c>
      <c r="B3473">
        <v>83</v>
      </c>
      <c r="C3473" t="s">
        <v>19</v>
      </c>
      <c r="D3473" t="s">
        <v>79</v>
      </c>
      <c r="E3473" s="1">
        <v>45756</v>
      </c>
      <c r="F3473" s="3">
        <v>45762</v>
      </c>
      <c r="G3473" t="s">
        <v>67</v>
      </c>
      <c r="H3473" t="s">
        <v>42</v>
      </c>
      <c r="I3473" t="s">
        <v>43</v>
      </c>
      <c r="J3473">
        <v>4071.01</v>
      </c>
      <c r="K3473">
        <v>6</v>
      </c>
      <c r="L3473" t="s">
        <v>36</v>
      </c>
      <c r="M3473" t="s">
        <v>25</v>
      </c>
      <c r="N3473" t="s">
        <v>55</v>
      </c>
      <c r="O3473" t="s">
        <v>56</v>
      </c>
      <c r="P3473" t="s">
        <v>50</v>
      </c>
      <c r="Q3473">
        <v>14</v>
      </c>
      <c r="R3473">
        <v>723.29</v>
      </c>
      <c r="S3473" t="s">
        <v>29</v>
      </c>
    </row>
    <row r="3474" spans="1:24" x14ac:dyDescent="0.3">
      <c r="A3474" t="s">
        <v>3544</v>
      </c>
      <c r="B3474">
        <v>47</v>
      </c>
      <c r="C3474" t="s">
        <v>31</v>
      </c>
      <c r="D3474" t="s">
        <v>79</v>
      </c>
      <c r="E3474" s="1">
        <v>45030</v>
      </c>
      <c r="F3474" s="3">
        <v>45050</v>
      </c>
      <c r="G3474" t="s">
        <v>33</v>
      </c>
      <c r="H3474" t="s">
        <v>34</v>
      </c>
      <c r="I3474" t="s">
        <v>23</v>
      </c>
      <c r="J3474">
        <v>6208.08</v>
      </c>
      <c r="K3474">
        <v>20</v>
      </c>
      <c r="L3474" t="s">
        <v>36</v>
      </c>
      <c r="M3474" t="s">
        <v>25</v>
      </c>
      <c r="N3474" t="s">
        <v>44</v>
      </c>
      <c r="O3474" t="s">
        <v>37</v>
      </c>
      <c r="P3474" t="s">
        <v>28</v>
      </c>
      <c r="Q3474">
        <v>15</v>
      </c>
      <c r="R3474">
        <v>1706.15</v>
      </c>
      <c r="S3474" t="s">
        <v>29</v>
      </c>
    </row>
    <row r="3475" spans="1:24" x14ac:dyDescent="0.3">
      <c r="A3475" t="s">
        <v>3545</v>
      </c>
      <c r="B3475">
        <v>34</v>
      </c>
      <c r="C3475" t="s">
        <v>19</v>
      </c>
      <c r="D3475" t="s">
        <v>61</v>
      </c>
      <c r="E3475" s="1">
        <v>45721</v>
      </c>
      <c r="F3475" s="3">
        <v>45736</v>
      </c>
      <c r="G3475" t="s">
        <v>33</v>
      </c>
      <c r="H3475" t="s">
        <v>34</v>
      </c>
      <c r="I3475" t="s">
        <v>23</v>
      </c>
      <c r="J3475">
        <v>11852.38</v>
      </c>
      <c r="K3475">
        <v>15</v>
      </c>
      <c r="L3475" t="s">
        <v>24</v>
      </c>
      <c r="M3475" t="s">
        <v>25</v>
      </c>
      <c r="N3475" t="s">
        <v>55</v>
      </c>
      <c r="O3475" t="s">
        <v>49</v>
      </c>
      <c r="P3475" t="s">
        <v>28</v>
      </c>
      <c r="Q3475">
        <v>10</v>
      </c>
      <c r="R3475">
        <v>3353.08</v>
      </c>
      <c r="S3475" t="s">
        <v>29</v>
      </c>
    </row>
    <row r="3476" spans="1:24" x14ac:dyDescent="0.3">
      <c r="A3476" t="s">
        <v>3546</v>
      </c>
      <c r="B3476">
        <v>34</v>
      </c>
      <c r="C3476" t="s">
        <v>31</v>
      </c>
      <c r="D3476" t="s">
        <v>47</v>
      </c>
      <c r="E3476" s="1">
        <v>45882</v>
      </c>
      <c r="F3476" s="3">
        <v>45901</v>
      </c>
      <c r="G3476" t="s">
        <v>62</v>
      </c>
      <c r="H3476" t="s">
        <v>63</v>
      </c>
      <c r="I3476" t="s">
        <v>58</v>
      </c>
      <c r="J3476">
        <v>6439.77</v>
      </c>
      <c r="K3476">
        <v>19</v>
      </c>
      <c r="L3476" t="s">
        <v>36</v>
      </c>
      <c r="M3476" t="s">
        <v>25</v>
      </c>
      <c r="N3476" t="s">
        <v>26</v>
      </c>
      <c r="O3476" t="s">
        <v>27</v>
      </c>
      <c r="P3476" t="s">
        <v>45</v>
      </c>
      <c r="Q3476">
        <v>4</v>
      </c>
      <c r="R3476">
        <v>1583.17</v>
      </c>
      <c r="S3476" t="s">
        <v>29</v>
      </c>
    </row>
    <row r="3477" spans="1:24" x14ac:dyDescent="0.3">
      <c r="A3477" t="s">
        <v>3547</v>
      </c>
      <c r="B3477">
        <v>90</v>
      </c>
      <c r="C3477" t="s">
        <v>19</v>
      </c>
      <c r="D3477" t="s">
        <v>47</v>
      </c>
      <c r="E3477" s="1">
        <v>45331</v>
      </c>
      <c r="F3477" s="3">
        <v>45339</v>
      </c>
      <c r="G3477" t="s">
        <v>62</v>
      </c>
      <c r="H3477" t="s">
        <v>63</v>
      </c>
      <c r="I3477" t="s">
        <v>23</v>
      </c>
      <c r="J3477">
        <v>2515.86</v>
      </c>
      <c r="K3477">
        <v>8</v>
      </c>
      <c r="L3477" t="s">
        <v>24</v>
      </c>
      <c r="M3477" t="s">
        <v>25</v>
      </c>
      <c r="N3477" t="s">
        <v>26</v>
      </c>
      <c r="O3477" t="s">
        <v>56</v>
      </c>
      <c r="P3477" t="s">
        <v>45</v>
      </c>
      <c r="Q3477">
        <v>1</v>
      </c>
      <c r="R3477">
        <v>845.36</v>
      </c>
      <c r="S3477" t="s">
        <v>29</v>
      </c>
    </row>
    <row r="3478" spans="1:24" x14ac:dyDescent="0.3">
      <c r="A3478" t="s">
        <v>3548</v>
      </c>
      <c r="B3478">
        <v>36</v>
      </c>
      <c r="C3478" t="s">
        <v>31</v>
      </c>
      <c r="D3478" t="s">
        <v>66</v>
      </c>
      <c r="E3478" s="1">
        <v>44945</v>
      </c>
      <c r="F3478" s="3">
        <v>44960</v>
      </c>
      <c r="G3478" t="s">
        <v>52</v>
      </c>
      <c r="H3478" t="s">
        <v>53</v>
      </c>
      <c r="I3478" t="s">
        <v>23</v>
      </c>
      <c r="J3478">
        <v>7544.12</v>
      </c>
      <c r="K3478">
        <v>15</v>
      </c>
      <c r="L3478" t="s">
        <v>24</v>
      </c>
      <c r="M3478" t="s">
        <v>25</v>
      </c>
      <c r="N3478" t="s">
        <v>26</v>
      </c>
      <c r="O3478" t="s">
        <v>56</v>
      </c>
      <c r="P3478" t="s">
        <v>28</v>
      </c>
      <c r="Q3478">
        <v>7</v>
      </c>
      <c r="R3478">
        <v>1975.35</v>
      </c>
      <c r="S3478" t="s">
        <v>29</v>
      </c>
    </row>
    <row r="3479" spans="1:24" x14ac:dyDescent="0.3">
      <c r="A3479" t="s">
        <v>3549</v>
      </c>
      <c r="B3479">
        <v>57</v>
      </c>
      <c r="C3479" t="s">
        <v>19</v>
      </c>
      <c r="D3479" t="s">
        <v>89</v>
      </c>
      <c r="E3479" s="1">
        <v>45031</v>
      </c>
      <c r="F3479" s="3">
        <v>45061</v>
      </c>
      <c r="G3479" t="s">
        <v>67</v>
      </c>
      <c r="H3479" t="s">
        <v>42</v>
      </c>
      <c r="I3479" t="s">
        <v>35</v>
      </c>
      <c r="J3479">
        <v>18497.330000000002</v>
      </c>
      <c r="K3479">
        <v>30</v>
      </c>
      <c r="L3479" t="s">
        <v>36</v>
      </c>
      <c r="M3479" t="s">
        <v>25</v>
      </c>
      <c r="N3479" t="s">
        <v>55</v>
      </c>
      <c r="O3479" t="s">
        <v>49</v>
      </c>
      <c r="P3479" t="s">
        <v>50</v>
      </c>
      <c r="Q3479">
        <v>1</v>
      </c>
      <c r="R3479">
        <v>3672.81</v>
      </c>
      <c r="S3479" t="s">
        <v>29</v>
      </c>
    </row>
    <row r="3480" spans="1:24" x14ac:dyDescent="0.3">
      <c r="A3480" t="s">
        <v>3550</v>
      </c>
      <c r="B3480">
        <v>44</v>
      </c>
      <c r="C3480" t="s">
        <v>31</v>
      </c>
      <c r="D3480" t="s">
        <v>70</v>
      </c>
      <c r="E3480" s="1">
        <v>44933</v>
      </c>
      <c r="F3480" s="3">
        <v>44948</v>
      </c>
      <c r="G3480" t="s">
        <v>52</v>
      </c>
      <c r="H3480" t="s">
        <v>53</v>
      </c>
      <c r="I3480" t="s">
        <v>91</v>
      </c>
      <c r="J3480">
        <v>12164.79</v>
      </c>
      <c r="K3480">
        <v>15</v>
      </c>
      <c r="L3480" t="s">
        <v>36</v>
      </c>
      <c r="M3480" t="s">
        <v>25</v>
      </c>
      <c r="N3480" t="s">
        <v>44</v>
      </c>
      <c r="O3480" t="s">
        <v>49</v>
      </c>
      <c r="P3480" t="s">
        <v>45</v>
      </c>
      <c r="Q3480">
        <v>12</v>
      </c>
      <c r="R3480">
        <v>1911.92</v>
      </c>
      <c r="S3480" t="s">
        <v>29</v>
      </c>
    </row>
    <row r="3481" spans="1:24" x14ac:dyDescent="0.3">
      <c r="A3481" t="s">
        <v>3551</v>
      </c>
      <c r="B3481">
        <v>58</v>
      </c>
      <c r="C3481" t="s">
        <v>19</v>
      </c>
      <c r="D3481" t="s">
        <v>61</v>
      </c>
      <c r="E3481" s="1">
        <v>45530</v>
      </c>
      <c r="F3481" s="3">
        <v>45533</v>
      </c>
      <c r="G3481" t="s">
        <v>93</v>
      </c>
      <c r="H3481" t="s">
        <v>72</v>
      </c>
      <c r="I3481" t="s">
        <v>23</v>
      </c>
      <c r="J3481">
        <v>3209.24</v>
      </c>
      <c r="K3481">
        <v>3</v>
      </c>
      <c r="L3481" t="s">
        <v>36</v>
      </c>
      <c r="M3481" t="s">
        <v>25</v>
      </c>
      <c r="N3481" t="s">
        <v>55</v>
      </c>
      <c r="O3481" t="s">
        <v>27</v>
      </c>
      <c r="P3481" t="s">
        <v>38</v>
      </c>
      <c r="Q3481">
        <v>4</v>
      </c>
      <c r="R3481">
        <v>562.05999999999995</v>
      </c>
      <c r="S3481" t="s">
        <v>29</v>
      </c>
    </row>
    <row r="3482" spans="1:24" x14ac:dyDescent="0.3">
      <c r="A3482" t="s">
        <v>3552</v>
      </c>
      <c r="B3482">
        <v>46</v>
      </c>
      <c r="C3482" t="s">
        <v>19</v>
      </c>
      <c r="D3482" t="s">
        <v>89</v>
      </c>
      <c r="E3482" s="1">
        <v>45156</v>
      </c>
      <c r="F3482" s="3">
        <v>45167</v>
      </c>
      <c r="G3482" t="s">
        <v>33</v>
      </c>
      <c r="H3482" t="s">
        <v>34</v>
      </c>
      <c r="I3482" t="s">
        <v>83</v>
      </c>
      <c r="J3482">
        <v>9978.18</v>
      </c>
      <c r="K3482">
        <v>11</v>
      </c>
      <c r="L3482" t="s">
        <v>24</v>
      </c>
      <c r="M3482" t="s">
        <v>25</v>
      </c>
      <c r="N3482" t="s">
        <v>44</v>
      </c>
      <c r="O3482" t="s">
        <v>49</v>
      </c>
      <c r="P3482" t="s">
        <v>50</v>
      </c>
      <c r="Q3482">
        <v>14</v>
      </c>
      <c r="R3482">
        <v>2094.5100000000002</v>
      </c>
      <c r="S3482" t="s">
        <v>29</v>
      </c>
    </row>
    <row r="3483" spans="1:24" x14ac:dyDescent="0.3">
      <c r="A3483" t="s">
        <v>3553</v>
      </c>
      <c r="B3483">
        <v>73</v>
      </c>
      <c r="C3483" t="s">
        <v>31</v>
      </c>
      <c r="D3483" t="s">
        <v>79</v>
      </c>
      <c r="E3483" s="1">
        <v>45091</v>
      </c>
      <c r="F3483" s="3">
        <v>45111</v>
      </c>
      <c r="G3483" t="s">
        <v>21</v>
      </c>
      <c r="H3483" t="s">
        <v>22</v>
      </c>
      <c r="I3483" t="s">
        <v>35</v>
      </c>
      <c r="J3483">
        <v>9662.11</v>
      </c>
      <c r="K3483">
        <v>20</v>
      </c>
      <c r="L3483" t="s">
        <v>36</v>
      </c>
      <c r="M3483" t="s">
        <v>59</v>
      </c>
      <c r="N3483" t="s">
        <v>26</v>
      </c>
      <c r="O3483" t="s">
        <v>49</v>
      </c>
      <c r="P3483" t="s">
        <v>28</v>
      </c>
      <c r="Q3483">
        <v>12</v>
      </c>
      <c r="R3483">
        <v>1537.92</v>
      </c>
      <c r="S3483" t="s">
        <v>29</v>
      </c>
    </row>
    <row r="3484" spans="1:24" ht="13.8" customHeight="1" x14ac:dyDescent="0.3">
      <c r="A3484" t="s">
        <v>3554</v>
      </c>
      <c r="B3484">
        <v>74</v>
      </c>
      <c r="C3484" t="s">
        <v>31</v>
      </c>
      <c r="D3484" t="s">
        <v>61</v>
      </c>
      <c r="E3484" s="1">
        <v>45180</v>
      </c>
      <c r="F3484" s="3">
        <v>45210</v>
      </c>
      <c r="G3484" t="s">
        <v>33</v>
      </c>
      <c r="H3484" t="s">
        <v>34</v>
      </c>
      <c r="I3484" t="s">
        <v>23</v>
      </c>
      <c r="J3484">
        <v>26043.66</v>
      </c>
      <c r="K3484">
        <v>30</v>
      </c>
      <c r="L3484" t="s">
        <v>36</v>
      </c>
      <c r="M3484" t="s">
        <v>25</v>
      </c>
      <c r="N3484" t="s">
        <v>44</v>
      </c>
      <c r="O3484" t="s">
        <v>49</v>
      </c>
      <c r="P3484" t="s">
        <v>45</v>
      </c>
      <c r="Q3484">
        <v>4</v>
      </c>
      <c r="R3484">
        <v>4562.05</v>
      </c>
      <c r="S3484" t="s">
        <v>29</v>
      </c>
      <c r="X3484" t="s">
        <v>3574</v>
      </c>
    </row>
    <row r="3485" spans="1:24" x14ac:dyDescent="0.3">
      <c r="A3485" t="s">
        <v>3555</v>
      </c>
      <c r="B3485">
        <v>54</v>
      </c>
      <c r="C3485" t="s">
        <v>19</v>
      </c>
      <c r="D3485" t="s">
        <v>20</v>
      </c>
      <c r="E3485" s="1">
        <v>45904</v>
      </c>
      <c r="F3485" s="3">
        <v>45913</v>
      </c>
      <c r="G3485" t="s">
        <v>33</v>
      </c>
      <c r="H3485" t="s">
        <v>34</v>
      </c>
      <c r="I3485" t="s">
        <v>91</v>
      </c>
      <c r="J3485">
        <v>10796.66</v>
      </c>
      <c r="K3485">
        <v>9</v>
      </c>
      <c r="L3485" t="s">
        <v>36</v>
      </c>
      <c r="M3485" t="s">
        <v>25</v>
      </c>
      <c r="N3485" t="s">
        <v>44</v>
      </c>
      <c r="O3485" t="s">
        <v>49</v>
      </c>
      <c r="P3485" t="s">
        <v>50</v>
      </c>
      <c r="Q3485">
        <v>6</v>
      </c>
      <c r="R3485">
        <v>2680.36</v>
      </c>
      <c r="S3485" t="s">
        <v>29</v>
      </c>
      <c r="X3485">
        <f>COUNTA(Hospital_Operations_Data[Column1])</f>
        <v>3500</v>
      </c>
    </row>
    <row r="3486" spans="1:24" x14ac:dyDescent="0.3">
      <c r="A3486" t="s">
        <v>3556</v>
      </c>
      <c r="B3486">
        <v>85</v>
      </c>
      <c r="C3486" t="s">
        <v>31</v>
      </c>
      <c r="D3486" t="s">
        <v>89</v>
      </c>
      <c r="E3486" s="1">
        <v>45574</v>
      </c>
      <c r="F3486" s="3">
        <v>45584</v>
      </c>
      <c r="G3486" t="s">
        <v>41</v>
      </c>
      <c r="H3486" t="s">
        <v>42</v>
      </c>
      <c r="I3486" t="s">
        <v>58</v>
      </c>
      <c r="J3486">
        <v>10534.56</v>
      </c>
      <c r="K3486">
        <v>10</v>
      </c>
      <c r="L3486" t="s">
        <v>36</v>
      </c>
      <c r="M3486" t="s">
        <v>25</v>
      </c>
      <c r="N3486" t="s">
        <v>44</v>
      </c>
      <c r="O3486" t="s">
        <v>49</v>
      </c>
      <c r="P3486" t="s">
        <v>50</v>
      </c>
      <c r="Q3486">
        <v>13</v>
      </c>
      <c r="R3486">
        <v>2836.68</v>
      </c>
      <c r="S3486" t="s">
        <v>29</v>
      </c>
    </row>
    <row r="3487" spans="1:24" x14ac:dyDescent="0.3">
      <c r="A3487" t="s">
        <v>3557</v>
      </c>
      <c r="B3487">
        <v>49</v>
      </c>
      <c r="C3487" t="s">
        <v>31</v>
      </c>
      <c r="D3487" t="s">
        <v>66</v>
      </c>
      <c r="E3487" s="1">
        <v>45113</v>
      </c>
      <c r="F3487" s="3">
        <v>45118</v>
      </c>
      <c r="G3487" t="s">
        <v>74</v>
      </c>
      <c r="H3487" t="s">
        <v>75</v>
      </c>
      <c r="I3487" t="s">
        <v>43</v>
      </c>
      <c r="J3487">
        <v>4514.45</v>
      </c>
      <c r="K3487">
        <v>5</v>
      </c>
      <c r="L3487" t="s">
        <v>24</v>
      </c>
      <c r="M3487" t="s">
        <v>25</v>
      </c>
      <c r="N3487" t="s">
        <v>44</v>
      </c>
      <c r="O3487" t="s">
        <v>27</v>
      </c>
      <c r="P3487" t="s">
        <v>28</v>
      </c>
      <c r="Q3487">
        <v>4</v>
      </c>
      <c r="R3487">
        <v>736.27</v>
      </c>
      <c r="S3487" t="s">
        <v>39</v>
      </c>
    </row>
    <row r="3488" spans="1:24" x14ac:dyDescent="0.3">
      <c r="A3488" t="s">
        <v>3558</v>
      </c>
      <c r="B3488">
        <v>27</v>
      </c>
      <c r="C3488" t="s">
        <v>31</v>
      </c>
      <c r="D3488" t="s">
        <v>70</v>
      </c>
      <c r="E3488" s="1">
        <v>45653</v>
      </c>
      <c r="F3488" s="3">
        <v>45669</v>
      </c>
      <c r="G3488" t="s">
        <v>48</v>
      </c>
      <c r="H3488" t="s">
        <v>22</v>
      </c>
      <c r="I3488" t="s">
        <v>81</v>
      </c>
      <c r="J3488">
        <v>9215.92</v>
      </c>
      <c r="K3488">
        <v>16</v>
      </c>
      <c r="L3488" t="s">
        <v>36</v>
      </c>
      <c r="M3488" t="s">
        <v>25</v>
      </c>
      <c r="N3488" t="s">
        <v>55</v>
      </c>
      <c r="O3488" t="s">
        <v>37</v>
      </c>
      <c r="P3488" t="s">
        <v>28</v>
      </c>
      <c r="Q3488">
        <v>14</v>
      </c>
      <c r="R3488">
        <v>1591.98</v>
      </c>
      <c r="S3488" t="s">
        <v>29</v>
      </c>
    </row>
    <row r="3489" spans="1:19" x14ac:dyDescent="0.3">
      <c r="A3489" t="s">
        <v>3559</v>
      </c>
      <c r="B3489">
        <v>82</v>
      </c>
      <c r="C3489" t="s">
        <v>31</v>
      </c>
      <c r="D3489" t="s">
        <v>66</v>
      </c>
      <c r="E3489" s="1">
        <v>45106</v>
      </c>
      <c r="F3489" s="3">
        <v>45109</v>
      </c>
      <c r="G3489" t="s">
        <v>33</v>
      </c>
      <c r="H3489" t="s">
        <v>34</v>
      </c>
      <c r="I3489" t="s">
        <v>23</v>
      </c>
      <c r="J3489">
        <v>1856.76</v>
      </c>
      <c r="K3489">
        <v>3</v>
      </c>
      <c r="L3489" t="s">
        <v>24</v>
      </c>
      <c r="M3489" t="s">
        <v>25</v>
      </c>
      <c r="N3489" t="s">
        <v>26</v>
      </c>
      <c r="O3489" t="s">
        <v>56</v>
      </c>
      <c r="P3489" t="s">
        <v>50</v>
      </c>
      <c r="Q3489">
        <v>5</v>
      </c>
      <c r="R3489">
        <v>739.35</v>
      </c>
      <c r="S3489" t="s">
        <v>29</v>
      </c>
    </row>
    <row r="3490" spans="1:19" x14ac:dyDescent="0.3">
      <c r="A3490" t="s">
        <v>3560</v>
      </c>
      <c r="B3490">
        <v>81</v>
      </c>
      <c r="C3490" t="s">
        <v>31</v>
      </c>
      <c r="D3490" t="s">
        <v>20</v>
      </c>
      <c r="E3490" s="1">
        <v>45477</v>
      </c>
      <c r="F3490" s="3">
        <v>45482</v>
      </c>
      <c r="G3490" t="s">
        <v>62</v>
      </c>
      <c r="H3490" t="s">
        <v>63</v>
      </c>
      <c r="I3490" t="s">
        <v>91</v>
      </c>
      <c r="J3490">
        <v>4397.74</v>
      </c>
      <c r="K3490">
        <v>5</v>
      </c>
      <c r="L3490" t="s">
        <v>36</v>
      </c>
      <c r="M3490" t="s">
        <v>25</v>
      </c>
      <c r="N3490" t="s">
        <v>26</v>
      </c>
      <c r="O3490" t="s">
        <v>27</v>
      </c>
      <c r="P3490" t="s">
        <v>38</v>
      </c>
      <c r="Q3490">
        <v>14</v>
      </c>
      <c r="R3490">
        <v>849.76</v>
      </c>
      <c r="S3490" t="s">
        <v>29</v>
      </c>
    </row>
    <row r="3491" spans="1:19" x14ac:dyDescent="0.3">
      <c r="A3491" t="s">
        <v>3561</v>
      </c>
      <c r="B3491">
        <v>60</v>
      </c>
      <c r="C3491" t="s">
        <v>19</v>
      </c>
      <c r="D3491" t="s">
        <v>66</v>
      </c>
      <c r="E3491" s="1">
        <v>45488</v>
      </c>
      <c r="F3491" s="3">
        <v>45504</v>
      </c>
      <c r="G3491" t="s">
        <v>41</v>
      </c>
      <c r="H3491" t="s">
        <v>42</v>
      </c>
      <c r="I3491" t="s">
        <v>23</v>
      </c>
      <c r="J3491">
        <v>13035.03</v>
      </c>
      <c r="K3491">
        <v>16</v>
      </c>
      <c r="L3491" t="s">
        <v>24</v>
      </c>
      <c r="M3491" t="s">
        <v>25</v>
      </c>
      <c r="N3491" t="s">
        <v>55</v>
      </c>
      <c r="O3491" t="s">
        <v>37</v>
      </c>
      <c r="P3491" t="s">
        <v>50</v>
      </c>
      <c r="Q3491">
        <v>6</v>
      </c>
      <c r="R3491">
        <v>2258.41</v>
      </c>
      <c r="S3491" t="s">
        <v>29</v>
      </c>
    </row>
    <row r="3492" spans="1:19" x14ac:dyDescent="0.3">
      <c r="A3492" t="s">
        <v>3562</v>
      </c>
      <c r="B3492">
        <v>61</v>
      </c>
      <c r="C3492" t="s">
        <v>19</v>
      </c>
      <c r="D3492" t="s">
        <v>70</v>
      </c>
      <c r="E3492" s="1">
        <v>45229</v>
      </c>
      <c r="F3492" s="3">
        <v>45239</v>
      </c>
      <c r="G3492" t="s">
        <v>67</v>
      </c>
      <c r="H3492" t="s">
        <v>42</v>
      </c>
      <c r="I3492" t="s">
        <v>54</v>
      </c>
      <c r="J3492">
        <v>7744.23</v>
      </c>
      <c r="K3492">
        <v>10</v>
      </c>
      <c r="L3492" t="s">
        <v>24</v>
      </c>
      <c r="M3492" t="s">
        <v>25</v>
      </c>
      <c r="N3492" t="s">
        <v>44</v>
      </c>
      <c r="O3492" t="s">
        <v>56</v>
      </c>
      <c r="P3492" t="s">
        <v>50</v>
      </c>
      <c r="Q3492">
        <v>8</v>
      </c>
      <c r="R3492">
        <v>2514.0100000000002</v>
      </c>
      <c r="S3492" t="s">
        <v>39</v>
      </c>
    </row>
    <row r="3493" spans="1:19" x14ac:dyDescent="0.3">
      <c r="A3493" t="s">
        <v>3563</v>
      </c>
      <c r="B3493">
        <v>88</v>
      </c>
      <c r="C3493" t="s">
        <v>19</v>
      </c>
      <c r="D3493" t="s">
        <v>79</v>
      </c>
      <c r="E3493" s="1">
        <v>45474</v>
      </c>
      <c r="F3493" s="3">
        <v>45490</v>
      </c>
      <c r="G3493" t="s">
        <v>41</v>
      </c>
      <c r="H3493" t="s">
        <v>42</v>
      </c>
      <c r="I3493" t="s">
        <v>91</v>
      </c>
      <c r="J3493">
        <v>7681.54</v>
      </c>
      <c r="K3493">
        <v>16</v>
      </c>
      <c r="L3493" t="s">
        <v>36</v>
      </c>
      <c r="M3493" t="s">
        <v>25</v>
      </c>
      <c r="N3493" t="s">
        <v>55</v>
      </c>
      <c r="O3493" t="s">
        <v>56</v>
      </c>
      <c r="P3493" t="s">
        <v>28</v>
      </c>
      <c r="Q3493">
        <v>3</v>
      </c>
      <c r="R3493">
        <v>1332.36</v>
      </c>
      <c r="S3493" t="s">
        <v>29</v>
      </c>
    </row>
    <row r="3494" spans="1:19" x14ac:dyDescent="0.3">
      <c r="A3494" t="s">
        <v>3564</v>
      </c>
      <c r="B3494">
        <v>81</v>
      </c>
      <c r="C3494" t="s">
        <v>19</v>
      </c>
      <c r="D3494" t="s">
        <v>61</v>
      </c>
      <c r="E3494" s="1">
        <v>45265</v>
      </c>
      <c r="F3494" s="3">
        <v>45274</v>
      </c>
      <c r="G3494" t="s">
        <v>93</v>
      </c>
      <c r="H3494" t="s">
        <v>72</v>
      </c>
      <c r="I3494" t="s">
        <v>23</v>
      </c>
      <c r="J3494">
        <v>6795.29</v>
      </c>
      <c r="K3494">
        <v>9</v>
      </c>
      <c r="L3494" t="s">
        <v>24</v>
      </c>
      <c r="M3494" t="s">
        <v>25</v>
      </c>
      <c r="N3494" t="s">
        <v>55</v>
      </c>
      <c r="O3494" t="s">
        <v>37</v>
      </c>
      <c r="P3494" t="s">
        <v>45</v>
      </c>
      <c r="Q3494">
        <v>13</v>
      </c>
      <c r="R3494">
        <v>1550.78</v>
      </c>
      <c r="S3494" t="s">
        <v>29</v>
      </c>
    </row>
    <row r="3495" spans="1:19" x14ac:dyDescent="0.3">
      <c r="A3495" t="s">
        <v>3565</v>
      </c>
      <c r="B3495">
        <v>41</v>
      </c>
      <c r="C3495" t="s">
        <v>31</v>
      </c>
      <c r="D3495" t="s">
        <v>66</v>
      </c>
      <c r="E3495" s="1">
        <v>45117</v>
      </c>
      <c r="F3495" s="3">
        <v>45126</v>
      </c>
      <c r="G3495" t="s">
        <v>62</v>
      </c>
      <c r="H3495" t="s">
        <v>63</v>
      </c>
      <c r="I3495" t="s">
        <v>54</v>
      </c>
      <c r="J3495">
        <v>8412.1200000000008</v>
      </c>
      <c r="K3495">
        <v>9</v>
      </c>
      <c r="L3495" t="s">
        <v>36</v>
      </c>
      <c r="M3495" t="s">
        <v>25</v>
      </c>
      <c r="N3495" t="s">
        <v>55</v>
      </c>
      <c r="O3495" t="s">
        <v>49</v>
      </c>
      <c r="P3495" t="s">
        <v>28</v>
      </c>
      <c r="Q3495">
        <v>15</v>
      </c>
      <c r="R3495">
        <v>2099.91</v>
      </c>
      <c r="S3495" t="s">
        <v>29</v>
      </c>
    </row>
    <row r="3496" spans="1:19" x14ac:dyDescent="0.3">
      <c r="A3496" t="s">
        <v>3566</v>
      </c>
      <c r="B3496">
        <v>70</v>
      </c>
      <c r="C3496" t="s">
        <v>19</v>
      </c>
      <c r="D3496" t="s">
        <v>47</v>
      </c>
      <c r="E3496" s="1">
        <v>45809</v>
      </c>
      <c r="F3496" s="3">
        <v>45821</v>
      </c>
      <c r="G3496" t="s">
        <v>48</v>
      </c>
      <c r="H3496" t="s">
        <v>22</v>
      </c>
      <c r="I3496" t="s">
        <v>54</v>
      </c>
      <c r="J3496">
        <v>9621.26</v>
      </c>
      <c r="K3496">
        <v>12</v>
      </c>
      <c r="L3496" t="s">
        <v>24</v>
      </c>
      <c r="M3496" t="s">
        <v>25</v>
      </c>
      <c r="N3496" t="s">
        <v>26</v>
      </c>
      <c r="O3496" t="s">
        <v>56</v>
      </c>
      <c r="P3496" t="s">
        <v>50</v>
      </c>
      <c r="Q3496">
        <v>12</v>
      </c>
      <c r="R3496">
        <v>3823.36</v>
      </c>
      <c r="S3496" t="s">
        <v>29</v>
      </c>
    </row>
    <row r="3497" spans="1:19" x14ac:dyDescent="0.3">
      <c r="A3497" t="s">
        <v>3567</v>
      </c>
      <c r="B3497">
        <v>53</v>
      </c>
      <c r="C3497" t="s">
        <v>31</v>
      </c>
      <c r="D3497" t="s">
        <v>61</v>
      </c>
      <c r="E3497" s="1">
        <v>45688</v>
      </c>
      <c r="F3497" s="3">
        <v>45693</v>
      </c>
      <c r="G3497" t="s">
        <v>93</v>
      </c>
      <c r="H3497" t="s">
        <v>72</v>
      </c>
      <c r="I3497" t="s">
        <v>23</v>
      </c>
      <c r="J3497">
        <v>2559.91</v>
      </c>
      <c r="K3497">
        <v>5</v>
      </c>
      <c r="L3497" t="s">
        <v>36</v>
      </c>
      <c r="M3497" t="s">
        <v>25</v>
      </c>
      <c r="N3497" t="s">
        <v>26</v>
      </c>
      <c r="O3497" t="s">
        <v>56</v>
      </c>
      <c r="P3497" t="s">
        <v>28</v>
      </c>
      <c r="Q3497">
        <v>3</v>
      </c>
      <c r="R3497">
        <v>817.28</v>
      </c>
      <c r="S3497" t="s">
        <v>29</v>
      </c>
    </row>
    <row r="3498" spans="1:19" x14ac:dyDescent="0.3">
      <c r="A3498" t="s">
        <v>3568</v>
      </c>
      <c r="B3498">
        <v>41</v>
      </c>
      <c r="C3498" t="s">
        <v>19</v>
      </c>
      <c r="D3498" t="s">
        <v>32</v>
      </c>
      <c r="E3498" s="1">
        <v>45679</v>
      </c>
      <c r="F3498" s="3">
        <v>45690</v>
      </c>
      <c r="G3498" t="s">
        <v>93</v>
      </c>
      <c r="H3498" t="s">
        <v>72</v>
      </c>
      <c r="I3498" t="s">
        <v>23</v>
      </c>
      <c r="J3498">
        <v>6938.77</v>
      </c>
      <c r="K3498">
        <v>11</v>
      </c>
      <c r="L3498" t="s">
        <v>24</v>
      </c>
      <c r="M3498" t="s">
        <v>25</v>
      </c>
      <c r="N3498" t="s">
        <v>55</v>
      </c>
      <c r="O3498" t="s">
        <v>37</v>
      </c>
      <c r="P3498" t="s">
        <v>50</v>
      </c>
      <c r="Q3498">
        <v>8</v>
      </c>
      <c r="R3498">
        <v>2542.29</v>
      </c>
      <c r="S3498" t="s">
        <v>29</v>
      </c>
    </row>
    <row r="3499" spans="1:19" x14ac:dyDescent="0.3">
      <c r="A3499" t="s">
        <v>3569</v>
      </c>
      <c r="B3499">
        <v>81</v>
      </c>
      <c r="C3499" t="s">
        <v>31</v>
      </c>
      <c r="D3499" t="s">
        <v>70</v>
      </c>
      <c r="E3499" s="1">
        <v>45591</v>
      </c>
      <c r="F3499" s="3">
        <v>45607</v>
      </c>
      <c r="G3499" t="s">
        <v>41</v>
      </c>
      <c r="H3499" t="s">
        <v>42</v>
      </c>
      <c r="I3499" t="s">
        <v>35</v>
      </c>
      <c r="J3499">
        <v>4163.53</v>
      </c>
      <c r="K3499">
        <v>16</v>
      </c>
      <c r="L3499" t="s">
        <v>36</v>
      </c>
      <c r="M3499" t="s">
        <v>25</v>
      </c>
      <c r="N3499" t="s">
        <v>26</v>
      </c>
      <c r="O3499" t="s">
        <v>27</v>
      </c>
      <c r="P3499" t="s">
        <v>50</v>
      </c>
      <c r="Q3499">
        <v>1</v>
      </c>
      <c r="R3499">
        <v>1591.37</v>
      </c>
      <c r="S3499" t="s">
        <v>39</v>
      </c>
    </row>
    <row r="3500" spans="1:19" x14ac:dyDescent="0.3">
      <c r="A3500" t="s">
        <v>3570</v>
      </c>
      <c r="B3500">
        <v>65</v>
      </c>
      <c r="C3500" t="s">
        <v>19</v>
      </c>
      <c r="D3500" t="s">
        <v>66</v>
      </c>
      <c r="E3500" s="1">
        <v>45337</v>
      </c>
      <c r="F3500" s="3">
        <v>45357</v>
      </c>
      <c r="G3500" t="s">
        <v>67</v>
      </c>
      <c r="H3500" t="s">
        <v>42</v>
      </c>
      <c r="I3500" t="s">
        <v>81</v>
      </c>
      <c r="J3500">
        <v>9809.83</v>
      </c>
      <c r="K3500">
        <v>20</v>
      </c>
      <c r="L3500" t="s">
        <v>24</v>
      </c>
      <c r="M3500" t="s">
        <v>25</v>
      </c>
      <c r="N3500" t="s">
        <v>44</v>
      </c>
      <c r="O3500" t="s">
        <v>27</v>
      </c>
      <c r="P3500" t="s">
        <v>50</v>
      </c>
      <c r="Q3500">
        <v>1</v>
      </c>
      <c r="R3500">
        <v>3381.43</v>
      </c>
      <c r="S3500" t="s">
        <v>29</v>
      </c>
    </row>
    <row r="3501" spans="1:19" x14ac:dyDescent="0.3">
      <c r="A3501" t="s">
        <v>3571</v>
      </c>
      <c r="B3501">
        <v>52</v>
      </c>
      <c r="C3501" t="s">
        <v>19</v>
      </c>
      <c r="D3501" t="s">
        <v>61</v>
      </c>
      <c r="E3501" s="1">
        <v>45014</v>
      </c>
      <c r="F3501" s="3">
        <v>45026</v>
      </c>
      <c r="G3501" t="s">
        <v>52</v>
      </c>
      <c r="H3501" t="s">
        <v>53</v>
      </c>
      <c r="I3501" t="s">
        <v>83</v>
      </c>
      <c r="J3501">
        <v>8735.26</v>
      </c>
      <c r="K3501">
        <v>12</v>
      </c>
      <c r="L3501" t="s">
        <v>24</v>
      </c>
      <c r="M3501" t="s">
        <v>25</v>
      </c>
      <c r="N3501" t="s">
        <v>26</v>
      </c>
      <c r="O3501" t="s">
        <v>56</v>
      </c>
      <c r="P3501" t="s">
        <v>28</v>
      </c>
      <c r="Q3501">
        <v>14</v>
      </c>
      <c r="R3501">
        <v>2411.2199999999998</v>
      </c>
      <c r="S3501" t="s">
        <v>29</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6383-3A14-412A-891B-EFEADABB4BEE}">
  <dimension ref="E2"/>
  <sheetViews>
    <sheetView showGridLines="0" workbookViewId="0">
      <selection activeCell="V3" sqref="V3"/>
    </sheetView>
  </sheetViews>
  <sheetFormatPr defaultRowHeight="14.4" x14ac:dyDescent="0.3"/>
  <cols>
    <col min="1" max="1" width="11.33203125" customWidth="1"/>
    <col min="2" max="2" width="10.5546875" customWidth="1"/>
  </cols>
  <sheetData>
    <row r="2" spans="5:5" x14ac:dyDescent="0.3">
      <c r="E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4A1F-CD2D-4A35-BA56-398551AC2F5E}">
  <dimension ref="A2:P65"/>
  <sheetViews>
    <sheetView topLeftCell="A32" workbookViewId="0">
      <selection activeCell="F58" sqref="F58"/>
    </sheetView>
  </sheetViews>
  <sheetFormatPr defaultRowHeight="14.4" x14ac:dyDescent="0.3"/>
  <cols>
    <col min="1" max="1" width="10.77734375" bestFit="1" customWidth="1"/>
    <col min="2" max="2" width="17.77734375" bestFit="1" customWidth="1"/>
    <col min="3" max="3" width="10.77734375" bestFit="1" customWidth="1"/>
    <col min="4" max="4" width="17.77734375" bestFit="1" customWidth="1"/>
    <col min="5" max="5" width="15.77734375" bestFit="1" customWidth="1"/>
    <col min="6" max="6" width="15.33203125" bestFit="1" customWidth="1"/>
    <col min="7" max="7" width="17.77734375" bestFit="1" customWidth="1"/>
    <col min="8" max="8" width="15.77734375" bestFit="1" customWidth="1"/>
    <col min="9" max="9" width="10.77734375" bestFit="1" customWidth="1"/>
    <col min="10" max="11" width="15.77734375" bestFit="1" customWidth="1"/>
    <col min="12" max="12" width="12.5546875" bestFit="1" customWidth="1"/>
    <col min="13" max="13" width="17.77734375" bestFit="1" customWidth="1"/>
    <col min="14" max="14" width="10.77734375" bestFit="1" customWidth="1"/>
    <col min="15" max="15" width="14.21875" bestFit="1" customWidth="1"/>
    <col min="16" max="17" width="17.77734375" bestFit="1" customWidth="1"/>
    <col min="18" max="18" width="11.77734375" bestFit="1" customWidth="1"/>
    <col min="19" max="19" width="15.77734375" bestFit="1" customWidth="1"/>
    <col min="20" max="20" width="11.77734375" bestFit="1" customWidth="1"/>
    <col min="21" max="21" width="12.21875" bestFit="1" customWidth="1"/>
    <col min="22" max="22" width="11.77734375" bestFit="1" customWidth="1"/>
    <col min="23" max="23" width="9.77734375" bestFit="1" customWidth="1"/>
    <col min="24" max="24" width="11.77734375" bestFit="1" customWidth="1"/>
    <col min="25" max="25" width="10" bestFit="1" customWidth="1"/>
    <col min="26" max="26" width="11.77734375" bestFit="1" customWidth="1"/>
    <col min="27" max="27" width="9.77734375" bestFit="1" customWidth="1"/>
    <col min="28" max="28" width="11.77734375" bestFit="1" customWidth="1"/>
    <col min="29" max="29" width="9.77734375" bestFit="1" customWidth="1"/>
    <col min="30" max="30" width="11.77734375" bestFit="1" customWidth="1"/>
    <col min="31" max="31" width="12.21875" bestFit="1" customWidth="1"/>
    <col min="32" max="32" width="11.77734375" bestFit="1" customWidth="1"/>
    <col min="33" max="33" width="9.77734375" bestFit="1" customWidth="1"/>
    <col min="34" max="34" width="11.77734375" bestFit="1" customWidth="1"/>
    <col min="35" max="35" width="11.21875" bestFit="1" customWidth="1"/>
    <col min="36" max="36" width="11.77734375" bestFit="1" customWidth="1"/>
    <col min="37" max="37" width="15.77734375" bestFit="1" customWidth="1"/>
    <col min="38" max="38" width="11.77734375" bestFit="1" customWidth="1"/>
    <col min="39" max="39" width="13.21875" bestFit="1" customWidth="1"/>
    <col min="40" max="40" width="11.77734375" bestFit="1" customWidth="1"/>
    <col min="41" max="41" width="13.21875" bestFit="1" customWidth="1"/>
    <col min="42" max="42" width="11.77734375" bestFit="1" customWidth="1"/>
    <col min="43" max="43" width="10" bestFit="1" customWidth="1"/>
    <col min="44" max="44" width="11.77734375" bestFit="1" customWidth="1"/>
    <col min="45" max="45" width="13.21875" bestFit="1" customWidth="1"/>
    <col min="46" max="46" width="11.77734375" bestFit="1" customWidth="1"/>
    <col min="47" max="47" width="9.77734375" bestFit="1" customWidth="1"/>
    <col min="48" max="48" width="11.77734375" bestFit="1" customWidth="1"/>
    <col min="49" max="49" width="12.21875" bestFit="1" customWidth="1"/>
    <col min="50" max="50" width="11.77734375" bestFit="1" customWidth="1"/>
    <col min="51" max="51" width="12.21875" bestFit="1" customWidth="1"/>
    <col min="52" max="52" width="11.77734375" bestFit="1" customWidth="1"/>
    <col min="53" max="53" width="13.21875" bestFit="1" customWidth="1"/>
    <col min="54" max="54" width="11.77734375" bestFit="1" customWidth="1"/>
    <col min="55" max="55" width="12.21875" bestFit="1" customWidth="1"/>
    <col min="56" max="56" width="11.77734375" bestFit="1" customWidth="1"/>
    <col min="57" max="57" width="10" bestFit="1" customWidth="1"/>
    <col min="58" max="58" width="11.77734375" bestFit="1" customWidth="1"/>
    <col min="59" max="59" width="12.21875" bestFit="1" customWidth="1"/>
    <col min="60" max="60" width="11.77734375" bestFit="1" customWidth="1"/>
    <col min="61" max="61" width="11.21875" bestFit="1" customWidth="1"/>
    <col min="62" max="62" width="11.77734375" bestFit="1" customWidth="1"/>
    <col min="63" max="63" width="13.21875" bestFit="1" customWidth="1"/>
    <col min="64" max="64" width="11.77734375" bestFit="1" customWidth="1"/>
    <col min="65" max="65" width="13.21875" bestFit="1" customWidth="1"/>
    <col min="66" max="66" width="11.77734375" bestFit="1" customWidth="1"/>
    <col min="67" max="67" width="11.21875" bestFit="1" customWidth="1"/>
    <col min="68" max="68" width="11.77734375" bestFit="1" customWidth="1"/>
    <col min="69" max="69" width="12.21875" bestFit="1" customWidth="1"/>
    <col min="70" max="70" width="11.77734375" bestFit="1" customWidth="1"/>
    <col min="71" max="71" width="11.21875" bestFit="1" customWidth="1"/>
    <col min="72" max="72" width="11.77734375" bestFit="1" customWidth="1"/>
    <col min="73" max="73" width="10" bestFit="1" customWidth="1"/>
    <col min="74" max="74" width="11.77734375" bestFit="1" customWidth="1"/>
    <col min="75" max="75" width="9.77734375" bestFit="1" customWidth="1"/>
    <col min="76" max="76" width="11.77734375" bestFit="1" customWidth="1"/>
    <col min="77" max="77" width="10" bestFit="1" customWidth="1"/>
    <col min="78" max="78" width="11.77734375" bestFit="1" customWidth="1"/>
    <col min="79" max="79" width="15.77734375" bestFit="1" customWidth="1"/>
    <col min="80" max="80" width="11.77734375" bestFit="1" customWidth="1"/>
    <col min="81" max="81" width="13.21875" bestFit="1" customWidth="1"/>
    <col min="82" max="82" width="11.77734375" bestFit="1" customWidth="1"/>
    <col min="83" max="83" width="13.21875" bestFit="1" customWidth="1"/>
    <col min="84" max="84" width="11.77734375" bestFit="1" customWidth="1"/>
    <col min="85" max="85" width="9.77734375" bestFit="1" customWidth="1"/>
    <col min="86" max="86" width="11.77734375" bestFit="1" customWidth="1"/>
    <col min="87" max="87" width="12.21875" bestFit="1" customWidth="1"/>
    <col min="88" max="88" width="11.77734375" bestFit="1" customWidth="1"/>
    <col min="89" max="89" width="10" bestFit="1" customWidth="1"/>
    <col min="90" max="90" width="11.77734375" bestFit="1" customWidth="1"/>
    <col min="91" max="91" width="9.77734375" bestFit="1" customWidth="1"/>
    <col min="92" max="92" width="11.77734375" bestFit="1" customWidth="1"/>
    <col min="93" max="93" width="12.21875" bestFit="1" customWidth="1"/>
    <col min="94" max="94" width="11.77734375" bestFit="1" customWidth="1"/>
    <col min="95" max="95" width="10.88671875" bestFit="1" customWidth="1"/>
    <col min="96" max="96" width="11.77734375" bestFit="1" customWidth="1"/>
    <col min="97" max="97" width="10" bestFit="1" customWidth="1"/>
    <col min="98" max="98" width="11.77734375" bestFit="1" customWidth="1"/>
    <col min="99" max="99" width="13.21875" bestFit="1" customWidth="1"/>
    <col min="100" max="100" width="11.77734375" bestFit="1" customWidth="1"/>
    <col min="101" max="101" width="13.21875" bestFit="1" customWidth="1"/>
    <col min="102" max="102" width="11.77734375" bestFit="1" customWidth="1"/>
    <col min="103" max="103" width="12.21875" bestFit="1" customWidth="1"/>
    <col min="104" max="104" width="11.77734375" bestFit="1" customWidth="1"/>
    <col min="105" max="105" width="9.77734375" bestFit="1" customWidth="1"/>
    <col min="106" max="106" width="11.77734375" bestFit="1" customWidth="1"/>
    <col min="107" max="107" width="12.21875" bestFit="1" customWidth="1"/>
    <col min="108" max="108" width="11.77734375" bestFit="1" customWidth="1"/>
    <col min="109" max="109" width="10" bestFit="1" customWidth="1"/>
    <col min="110" max="110" width="11.77734375" bestFit="1" customWidth="1"/>
    <col min="111" max="111" width="9.77734375" bestFit="1" customWidth="1"/>
    <col min="112" max="112" width="11.77734375" bestFit="1" customWidth="1"/>
    <col min="113" max="113" width="10" bestFit="1" customWidth="1"/>
    <col min="114" max="114" width="11.77734375" bestFit="1" customWidth="1"/>
    <col min="115" max="115" width="9.77734375" bestFit="1" customWidth="1"/>
    <col min="116" max="116" width="11.77734375" bestFit="1" customWidth="1"/>
    <col min="117" max="117" width="9.77734375" bestFit="1" customWidth="1"/>
    <col min="118" max="118" width="11.77734375" bestFit="1" customWidth="1"/>
    <col min="119" max="119" width="12.21875" bestFit="1" customWidth="1"/>
    <col min="120" max="120" width="11.77734375" bestFit="1" customWidth="1"/>
    <col min="121" max="121" width="10.88671875" bestFit="1" customWidth="1"/>
    <col min="122" max="122" width="11.77734375" bestFit="1" customWidth="1"/>
    <col min="123" max="123" width="9.77734375" bestFit="1" customWidth="1"/>
    <col min="124" max="124" width="11.77734375" bestFit="1" customWidth="1"/>
    <col min="125" max="125" width="10.88671875" bestFit="1" customWidth="1"/>
    <col min="126" max="126" width="11.77734375" bestFit="1" customWidth="1"/>
    <col min="127" max="127" width="9.77734375" bestFit="1" customWidth="1"/>
    <col min="128" max="128" width="11.77734375" bestFit="1" customWidth="1"/>
    <col min="129" max="129" width="9.77734375" bestFit="1" customWidth="1"/>
    <col min="130" max="130" width="11.77734375" bestFit="1" customWidth="1"/>
    <col min="131" max="131" width="12.21875" bestFit="1" customWidth="1"/>
    <col min="132" max="132" width="11.77734375" bestFit="1" customWidth="1"/>
    <col min="133" max="133" width="13.21875" bestFit="1" customWidth="1"/>
    <col min="134" max="134" width="11.77734375" bestFit="1" customWidth="1"/>
    <col min="135" max="135" width="15.77734375" bestFit="1" customWidth="1"/>
    <col min="136" max="136" width="11.77734375" bestFit="1" customWidth="1"/>
    <col min="137" max="137" width="10" bestFit="1" customWidth="1"/>
    <col min="138" max="138" width="11.77734375" bestFit="1" customWidth="1"/>
    <col min="139" max="139" width="10" bestFit="1" customWidth="1"/>
    <col min="140" max="140" width="11.77734375" bestFit="1" customWidth="1"/>
    <col min="141" max="141" width="10.88671875" bestFit="1" customWidth="1"/>
    <col min="142" max="142" width="11.77734375" bestFit="1" customWidth="1"/>
    <col min="143" max="143" width="11.21875" bestFit="1" customWidth="1"/>
    <col min="144" max="144" width="11.77734375" bestFit="1" customWidth="1"/>
    <col min="145" max="145" width="10" bestFit="1" customWidth="1"/>
    <col min="146" max="146" width="11.77734375" bestFit="1" customWidth="1"/>
    <col min="147" max="147" width="10" bestFit="1" customWidth="1"/>
    <col min="148" max="148" width="11.77734375" bestFit="1" customWidth="1"/>
    <col min="149" max="149" width="11.21875" bestFit="1" customWidth="1"/>
    <col min="150" max="150" width="11.77734375" bestFit="1" customWidth="1"/>
    <col min="151" max="151" width="10" bestFit="1" customWidth="1"/>
    <col min="152" max="152" width="11.77734375" bestFit="1" customWidth="1"/>
    <col min="153" max="153" width="9.77734375" bestFit="1" customWidth="1"/>
    <col min="154" max="154" width="11.77734375" bestFit="1" customWidth="1"/>
    <col min="155" max="155" width="9.77734375" bestFit="1" customWidth="1"/>
    <col min="156" max="156" width="11.77734375" bestFit="1" customWidth="1"/>
    <col min="157" max="157" width="15.77734375" bestFit="1" customWidth="1"/>
    <col min="158" max="158" width="11.77734375" bestFit="1" customWidth="1"/>
    <col min="159" max="159" width="9.77734375" bestFit="1" customWidth="1"/>
    <col min="160" max="160" width="11.77734375" bestFit="1" customWidth="1"/>
    <col min="161" max="161" width="12.21875" bestFit="1" customWidth="1"/>
    <col min="162" max="162" width="11.77734375" bestFit="1" customWidth="1"/>
    <col min="163" max="163" width="10" bestFit="1" customWidth="1"/>
    <col min="164" max="164" width="11.77734375" bestFit="1" customWidth="1"/>
    <col min="165" max="165" width="10" bestFit="1" customWidth="1"/>
    <col min="166" max="166" width="11.77734375" bestFit="1" customWidth="1"/>
    <col min="167" max="167" width="9.77734375" bestFit="1" customWidth="1"/>
    <col min="168" max="168" width="11.77734375" bestFit="1" customWidth="1"/>
    <col min="169" max="169" width="10" bestFit="1" customWidth="1"/>
    <col min="170" max="170" width="11.77734375" bestFit="1" customWidth="1"/>
    <col min="171" max="171" width="12.21875" bestFit="1" customWidth="1"/>
    <col min="172" max="172" width="11.77734375" bestFit="1" customWidth="1"/>
    <col min="173" max="173" width="9.77734375" bestFit="1" customWidth="1"/>
    <col min="174" max="174" width="11.77734375" bestFit="1" customWidth="1"/>
    <col min="175" max="175" width="10" bestFit="1" customWidth="1"/>
    <col min="176" max="176" width="11.77734375" bestFit="1" customWidth="1"/>
    <col min="177" max="177" width="12.21875" bestFit="1" customWidth="1"/>
    <col min="178" max="178" width="11.77734375" bestFit="1" customWidth="1"/>
    <col min="179" max="179" width="12.21875" bestFit="1" customWidth="1"/>
    <col min="180" max="180" width="11.77734375" bestFit="1" customWidth="1"/>
    <col min="181" max="181" width="9.77734375" bestFit="1" customWidth="1"/>
    <col min="182" max="182" width="11.77734375" bestFit="1" customWidth="1"/>
    <col min="183" max="183" width="10.88671875" bestFit="1" customWidth="1"/>
    <col min="184" max="184" width="11.77734375" bestFit="1" customWidth="1"/>
    <col min="185" max="185" width="12.21875" bestFit="1" customWidth="1"/>
    <col min="186" max="186" width="11.77734375" bestFit="1" customWidth="1"/>
    <col min="187" max="187" width="9.77734375" bestFit="1" customWidth="1"/>
    <col min="188" max="188" width="11.77734375" bestFit="1" customWidth="1"/>
    <col min="189" max="189" width="10" bestFit="1" customWidth="1"/>
    <col min="190" max="190" width="11.77734375" bestFit="1" customWidth="1"/>
    <col min="191" max="191" width="13.21875" bestFit="1" customWidth="1"/>
    <col min="192" max="192" width="11.77734375" bestFit="1" customWidth="1"/>
    <col min="193" max="193" width="11.21875" bestFit="1" customWidth="1"/>
    <col min="194" max="194" width="11.77734375" bestFit="1" customWidth="1"/>
    <col min="195" max="195" width="11.21875" bestFit="1" customWidth="1"/>
    <col min="196" max="196" width="11.77734375" bestFit="1" customWidth="1"/>
    <col min="197" max="197" width="9.77734375" bestFit="1" customWidth="1"/>
    <col min="198" max="198" width="11.77734375" bestFit="1" customWidth="1"/>
    <col min="199" max="199" width="11.21875" bestFit="1" customWidth="1"/>
    <col min="200" max="200" width="11.77734375" bestFit="1" customWidth="1"/>
    <col min="201" max="201" width="9.77734375" bestFit="1" customWidth="1"/>
    <col min="202" max="202" width="11.77734375" bestFit="1" customWidth="1"/>
    <col min="203" max="203" width="12.21875" bestFit="1" customWidth="1"/>
    <col min="204" max="204" width="11.77734375" bestFit="1" customWidth="1"/>
    <col min="205" max="205" width="12.21875" bestFit="1" customWidth="1"/>
    <col min="206" max="206" width="11.77734375" bestFit="1" customWidth="1"/>
    <col min="207" max="207" width="13.21875" bestFit="1" customWidth="1"/>
    <col min="208" max="208" width="11.77734375" bestFit="1" customWidth="1"/>
    <col min="209" max="209" width="11.21875" bestFit="1" customWidth="1"/>
    <col min="210" max="210" width="11.77734375" bestFit="1" customWidth="1"/>
    <col min="211" max="211" width="10" bestFit="1" customWidth="1"/>
    <col min="212" max="212" width="11.77734375" bestFit="1" customWidth="1"/>
    <col min="213" max="213" width="15.77734375" bestFit="1" customWidth="1"/>
    <col min="214" max="214" width="11.77734375" bestFit="1" customWidth="1"/>
    <col min="215" max="215" width="11.21875" bestFit="1" customWidth="1"/>
    <col min="216" max="216" width="11.77734375" bestFit="1" customWidth="1"/>
    <col min="217" max="217" width="9.77734375" bestFit="1" customWidth="1"/>
    <col min="218" max="218" width="11.77734375" bestFit="1" customWidth="1"/>
    <col min="219" max="219" width="10.88671875" bestFit="1" customWidth="1"/>
    <col min="220" max="220" width="11.77734375" bestFit="1" customWidth="1"/>
    <col min="221" max="221" width="9.77734375" bestFit="1" customWidth="1"/>
    <col min="222" max="222" width="11.77734375" bestFit="1" customWidth="1"/>
    <col min="223" max="223" width="9.77734375" bestFit="1" customWidth="1"/>
    <col min="224" max="224" width="11.77734375" bestFit="1" customWidth="1"/>
    <col min="225" max="225" width="11.21875" bestFit="1" customWidth="1"/>
    <col min="226" max="226" width="11.77734375" bestFit="1" customWidth="1"/>
    <col min="227" max="227" width="13.21875" bestFit="1" customWidth="1"/>
    <col min="228" max="228" width="11.77734375" bestFit="1" customWidth="1"/>
    <col min="229" max="229" width="10" bestFit="1" customWidth="1"/>
    <col min="230" max="230" width="11.77734375" bestFit="1" customWidth="1"/>
    <col min="231" max="231" width="12.21875" bestFit="1" customWidth="1"/>
    <col min="232" max="232" width="11.77734375" bestFit="1" customWidth="1"/>
    <col min="233" max="233" width="9.77734375" bestFit="1" customWidth="1"/>
    <col min="234" max="234" width="11.77734375" bestFit="1" customWidth="1"/>
    <col min="235" max="235" width="12.21875" bestFit="1" customWidth="1"/>
    <col min="236" max="236" width="11.77734375" bestFit="1" customWidth="1"/>
    <col min="237" max="237" width="9.77734375" bestFit="1" customWidth="1"/>
    <col min="238" max="238" width="11.77734375" bestFit="1" customWidth="1"/>
    <col min="239" max="239" width="11.21875" bestFit="1" customWidth="1"/>
    <col min="240" max="240" width="11.77734375" bestFit="1" customWidth="1"/>
    <col min="241" max="241" width="10.88671875" bestFit="1" customWidth="1"/>
    <col min="242" max="242" width="11.77734375" bestFit="1" customWidth="1"/>
    <col min="243" max="243" width="15.77734375" bestFit="1" customWidth="1"/>
    <col min="244" max="244" width="11.77734375" bestFit="1" customWidth="1"/>
    <col min="245" max="245" width="12.21875" bestFit="1" customWidth="1"/>
    <col min="246" max="246" width="11.77734375" bestFit="1" customWidth="1"/>
    <col min="247" max="247" width="10" bestFit="1" customWidth="1"/>
    <col min="248" max="248" width="11.77734375" bestFit="1" customWidth="1"/>
    <col min="249" max="249" width="10.88671875" bestFit="1" customWidth="1"/>
    <col min="250" max="250" width="11.77734375" bestFit="1" customWidth="1"/>
    <col min="251" max="251" width="10" bestFit="1" customWidth="1"/>
    <col min="252" max="252" width="11.77734375" bestFit="1" customWidth="1"/>
    <col min="253" max="253" width="12.21875" bestFit="1" customWidth="1"/>
    <col min="254" max="254" width="11.77734375" bestFit="1" customWidth="1"/>
    <col min="255" max="255" width="9.77734375" bestFit="1" customWidth="1"/>
    <col min="256" max="256" width="11.77734375" bestFit="1" customWidth="1"/>
    <col min="257" max="257" width="10" bestFit="1" customWidth="1"/>
    <col min="258" max="258" width="11.77734375" bestFit="1" customWidth="1"/>
    <col min="259" max="259" width="9.77734375" bestFit="1" customWidth="1"/>
    <col min="260" max="260" width="11.77734375" bestFit="1" customWidth="1"/>
    <col min="261" max="261" width="10.88671875" bestFit="1" customWidth="1"/>
    <col min="262" max="262" width="11.77734375" bestFit="1" customWidth="1"/>
    <col min="263" max="263" width="9.77734375" bestFit="1" customWidth="1"/>
    <col min="264" max="264" width="11.77734375" bestFit="1" customWidth="1"/>
    <col min="265" max="265" width="10" bestFit="1" customWidth="1"/>
    <col min="266" max="266" width="11.77734375" bestFit="1" customWidth="1"/>
    <col min="267" max="267" width="15.77734375" bestFit="1" customWidth="1"/>
    <col min="268" max="268" width="11.77734375" bestFit="1" customWidth="1"/>
    <col min="269" max="269" width="10.88671875" bestFit="1" customWidth="1"/>
    <col min="270" max="270" width="11.77734375" bestFit="1" customWidth="1"/>
    <col min="271" max="271" width="13.21875" bestFit="1" customWidth="1"/>
    <col min="272" max="272" width="11.77734375" bestFit="1" customWidth="1"/>
    <col min="273" max="273" width="12.21875" bestFit="1" customWidth="1"/>
    <col min="274" max="274" width="11.77734375" bestFit="1" customWidth="1"/>
    <col min="275" max="275" width="9.77734375" bestFit="1" customWidth="1"/>
    <col min="276" max="276" width="11.77734375" bestFit="1" customWidth="1"/>
    <col min="277" max="277" width="13.21875" bestFit="1" customWidth="1"/>
    <col min="278" max="278" width="11.77734375" bestFit="1" customWidth="1"/>
    <col min="279" max="279" width="10.88671875" bestFit="1" customWidth="1"/>
    <col min="280" max="280" width="11.77734375" bestFit="1" customWidth="1"/>
    <col min="281" max="281" width="15.77734375" bestFit="1" customWidth="1"/>
    <col min="282" max="282" width="11.77734375" bestFit="1" customWidth="1"/>
    <col min="283" max="283" width="12.21875" bestFit="1" customWidth="1"/>
    <col min="284" max="284" width="11.77734375" bestFit="1" customWidth="1"/>
    <col min="285" max="285" width="9.77734375" bestFit="1" customWidth="1"/>
    <col min="286" max="286" width="11.77734375" bestFit="1" customWidth="1"/>
    <col min="287" max="287" width="15.77734375" bestFit="1" customWidth="1"/>
    <col min="288" max="288" width="11.77734375" bestFit="1" customWidth="1"/>
    <col min="289" max="289" width="12.21875" bestFit="1" customWidth="1"/>
    <col min="290" max="290" width="11.77734375" bestFit="1" customWidth="1"/>
    <col min="291" max="291" width="10" bestFit="1" customWidth="1"/>
    <col min="292" max="292" width="11.77734375" bestFit="1" customWidth="1"/>
    <col min="293" max="293" width="12.21875" bestFit="1" customWidth="1"/>
    <col min="294" max="294" width="11.77734375" bestFit="1" customWidth="1"/>
    <col min="295" max="295" width="10" bestFit="1" customWidth="1"/>
    <col min="296" max="296" width="11.77734375" bestFit="1" customWidth="1"/>
    <col min="297" max="297" width="11.21875" bestFit="1" customWidth="1"/>
    <col min="298" max="298" width="11.77734375" bestFit="1" customWidth="1"/>
    <col min="299" max="299" width="10" bestFit="1" customWidth="1"/>
    <col min="300" max="300" width="11.77734375" bestFit="1" customWidth="1"/>
    <col min="301" max="301" width="12.21875" bestFit="1" customWidth="1"/>
    <col min="302" max="302" width="11.77734375" bestFit="1" customWidth="1"/>
    <col min="303" max="303" width="13.21875" bestFit="1" customWidth="1"/>
    <col min="304" max="304" width="11.77734375" bestFit="1" customWidth="1"/>
    <col min="305" max="305" width="9.77734375" bestFit="1" customWidth="1"/>
    <col min="306" max="306" width="11.77734375" bestFit="1" customWidth="1"/>
    <col min="307" max="307" width="13.21875" bestFit="1" customWidth="1"/>
    <col min="308" max="308" width="11.77734375" bestFit="1" customWidth="1"/>
    <col min="309" max="309" width="11.21875" bestFit="1" customWidth="1"/>
    <col min="310" max="310" width="11.77734375" bestFit="1" customWidth="1"/>
    <col min="311" max="311" width="9.77734375" bestFit="1" customWidth="1"/>
    <col min="312" max="312" width="11.77734375" bestFit="1" customWidth="1"/>
    <col min="313" max="313" width="9.77734375" bestFit="1" customWidth="1"/>
    <col min="314" max="314" width="11.77734375" bestFit="1" customWidth="1"/>
    <col min="315" max="315" width="10" bestFit="1" customWidth="1"/>
    <col min="316" max="316" width="11.77734375" bestFit="1" customWidth="1"/>
    <col min="317" max="317" width="13.21875" bestFit="1" customWidth="1"/>
    <col min="318" max="318" width="11.77734375" bestFit="1" customWidth="1"/>
    <col min="319" max="319" width="12.21875" bestFit="1" customWidth="1"/>
    <col min="320" max="320" width="11.77734375" bestFit="1" customWidth="1"/>
    <col min="321" max="321" width="15.77734375" bestFit="1" customWidth="1"/>
    <col min="322" max="322" width="11.77734375" bestFit="1" customWidth="1"/>
    <col min="323" max="323" width="15.77734375" bestFit="1" customWidth="1"/>
    <col min="324" max="324" width="11.77734375" bestFit="1" customWidth="1"/>
    <col min="325" max="325" width="10" bestFit="1" customWidth="1"/>
    <col min="326" max="326" width="11.77734375" bestFit="1" customWidth="1"/>
    <col min="327" max="327" width="12.21875" bestFit="1" customWidth="1"/>
    <col min="328" max="328" width="11.77734375" bestFit="1" customWidth="1"/>
    <col min="329" max="329" width="11.21875" bestFit="1" customWidth="1"/>
    <col min="330" max="330" width="11.77734375" bestFit="1" customWidth="1"/>
    <col min="331" max="331" width="12.21875" bestFit="1" customWidth="1"/>
    <col min="332" max="332" width="11.77734375" bestFit="1" customWidth="1"/>
    <col min="333" max="333" width="10" bestFit="1" customWidth="1"/>
    <col min="334" max="334" width="11.77734375" bestFit="1" customWidth="1"/>
    <col min="335" max="335" width="15.77734375" bestFit="1" customWidth="1"/>
    <col min="336" max="336" width="11.77734375" bestFit="1" customWidth="1"/>
    <col min="337" max="337" width="10" bestFit="1" customWidth="1"/>
    <col min="338" max="338" width="11.77734375" bestFit="1" customWidth="1"/>
    <col min="339" max="339" width="12.21875" bestFit="1" customWidth="1"/>
    <col min="340" max="340" width="11.77734375" bestFit="1" customWidth="1"/>
    <col min="341" max="341" width="9.77734375" bestFit="1" customWidth="1"/>
    <col min="342" max="342" width="11.77734375" bestFit="1" customWidth="1"/>
    <col min="343" max="343" width="10" bestFit="1" customWidth="1"/>
    <col min="344" max="344" width="11.77734375" bestFit="1" customWidth="1"/>
    <col min="345" max="345" width="12.21875" bestFit="1" customWidth="1"/>
    <col min="346" max="346" width="11.77734375" bestFit="1" customWidth="1"/>
    <col min="347" max="347" width="15.77734375" bestFit="1" customWidth="1"/>
    <col min="348" max="348" width="11.77734375" bestFit="1" customWidth="1"/>
    <col min="349" max="349" width="12.21875" bestFit="1" customWidth="1"/>
    <col min="350" max="350" width="11.77734375" bestFit="1" customWidth="1"/>
    <col min="351" max="351" width="9.77734375" bestFit="1" customWidth="1"/>
    <col min="352" max="352" width="11.77734375" bestFit="1" customWidth="1"/>
    <col min="353" max="353" width="15.77734375" bestFit="1" customWidth="1"/>
    <col min="354" max="354" width="11.77734375" bestFit="1" customWidth="1"/>
    <col min="355" max="355" width="10" bestFit="1" customWidth="1"/>
    <col min="356" max="356" width="11.77734375" bestFit="1" customWidth="1"/>
    <col min="357" max="357" width="10" bestFit="1" customWidth="1"/>
    <col min="358" max="358" width="11.77734375" bestFit="1" customWidth="1"/>
    <col min="359" max="359" width="9.77734375" bestFit="1" customWidth="1"/>
    <col min="360" max="360" width="11.77734375" bestFit="1" customWidth="1"/>
    <col min="361" max="361" width="12.21875" bestFit="1" customWidth="1"/>
    <col min="362" max="362" width="11.77734375" bestFit="1" customWidth="1"/>
    <col min="363" max="363" width="15.77734375" bestFit="1" customWidth="1"/>
    <col min="364" max="364" width="11.77734375" bestFit="1" customWidth="1"/>
    <col min="365" max="365" width="9.77734375" bestFit="1" customWidth="1"/>
    <col min="366" max="366" width="11.77734375" bestFit="1" customWidth="1"/>
    <col min="367" max="367" width="9.77734375" bestFit="1" customWidth="1"/>
    <col min="368" max="368" width="11.77734375" bestFit="1" customWidth="1"/>
    <col min="369" max="369" width="10" bestFit="1" customWidth="1"/>
    <col min="370" max="370" width="11.77734375" bestFit="1" customWidth="1"/>
    <col min="371" max="371" width="15.77734375" bestFit="1" customWidth="1"/>
    <col min="372" max="372" width="11.77734375" bestFit="1" customWidth="1"/>
    <col min="373" max="373" width="10.88671875" bestFit="1" customWidth="1"/>
    <col min="374" max="374" width="11.77734375" bestFit="1" customWidth="1"/>
    <col min="375" max="375" width="13.21875" bestFit="1" customWidth="1"/>
    <col min="376" max="376" width="11.77734375" bestFit="1" customWidth="1"/>
    <col min="377" max="377" width="10" bestFit="1" customWidth="1"/>
    <col min="378" max="378" width="11.77734375" bestFit="1" customWidth="1"/>
    <col min="379" max="379" width="10" bestFit="1" customWidth="1"/>
    <col min="380" max="380" width="11.77734375" bestFit="1" customWidth="1"/>
    <col min="381" max="381" width="15.77734375" bestFit="1" customWidth="1"/>
    <col min="382" max="382" width="11.77734375" bestFit="1" customWidth="1"/>
    <col min="383" max="383" width="13.21875" bestFit="1" customWidth="1"/>
    <col min="384" max="384" width="11.77734375" bestFit="1" customWidth="1"/>
    <col min="385" max="385" width="13.21875" bestFit="1" customWidth="1"/>
    <col min="386" max="386" width="11.77734375" bestFit="1" customWidth="1"/>
    <col min="387" max="387" width="10" bestFit="1" customWidth="1"/>
    <col min="388" max="388" width="11.77734375" bestFit="1" customWidth="1"/>
    <col min="389" max="389" width="9.77734375" bestFit="1" customWidth="1"/>
    <col min="390" max="390" width="11.77734375" bestFit="1" customWidth="1"/>
    <col min="391" max="391" width="15.77734375" bestFit="1" customWidth="1"/>
    <col min="392" max="392" width="11.77734375" bestFit="1" customWidth="1"/>
    <col min="393" max="393" width="9.77734375" bestFit="1" customWidth="1"/>
    <col min="394" max="394" width="11.77734375" bestFit="1" customWidth="1"/>
    <col min="395" max="395" width="12.21875" bestFit="1" customWidth="1"/>
    <col min="396" max="396" width="11.77734375" bestFit="1" customWidth="1"/>
    <col min="397" max="397" width="10" bestFit="1" customWidth="1"/>
    <col min="398" max="398" width="11.77734375" bestFit="1" customWidth="1"/>
    <col min="399" max="399" width="12.21875" bestFit="1" customWidth="1"/>
    <col min="400" max="400" width="11.77734375" bestFit="1" customWidth="1"/>
    <col min="401" max="401" width="12.21875" bestFit="1" customWidth="1"/>
    <col min="402" max="402" width="11.77734375" bestFit="1" customWidth="1"/>
    <col min="403" max="403" width="12.21875" bestFit="1" customWidth="1"/>
    <col min="404" max="404" width="11.77734375" bestFit="1" customWidth="1"/>
    <col min="405" max="405" width="10" bestFit="1" customWidth="1"/>
    <col min="406" max="406" width="11.77734375" bestFit="1" customWidth="1"/>
    <col min="407" max="407" width="12.21875" bestFit="1" customWidth="1"/>
    <col min="408" max="408" width="11.77734375" bestFit="1" customWidth="1"/>
    <col min="409" max="409" width="12.21875" bestFit="1" customWidth="1"/>
    <col min="410" max="410" width="11.77734375" bestFit="1" customWidth="1"/>
    <col min="411" max="411" width="12.21875" bestFit="1" customWidth="1"/>
    <col min="412" max="412" width="11.77734375" bestFit="1" customWidth="1"/>
    <col min="413" max="413" width="11.21875" bestFit="1" customWidth="1"/>
    <col min="414" max="414" width="11.77734375" bestFit="1" customWidth="1"/>
    <col min="415" max="415" width="9.77734375" bestFit="1" customWidth="1"/>
    <col min="416" max="416" width="11.77734375" bestFit="1" customWidth="1"/>
    <col min="417" max="417" width="11.21875" bestFit="1" customWidth="1"/>
    <col min="418" max="418" width="11.77734375" bestFit="1" customWidth="1"/>
    <col min="419" max="419" width="12.21875" bestFit="1" customWidth="1"/>
    <col min="420" max="420" width="11.77734375" bestFit="1" customWidth="1"/>
    <col min="421" max="421" width="11.21875" bestFit="1" customWidth="1"/>
    <col min="422" max="422" width="11.77734375" bestFit="1" customWidth="1"/>
    <col min="423" max="423" width="12.21875" bestFit="1" customWidth="1"/>
    <col min="424" max="424" width="11.77734375" bestFit="1" customWidth="1"/>
    <col min="425" max="425" width="12.21875" bestFit="1" customWidth="1"/>
    <col min="426" max="426" width="11.77734375" bestFit="1" customWidth="1"/>
    <col min="427" max="427" width="10" bestFit="1" customWidth="1"/>
    <col min="428" max="428" width="11.77734375" bestFit="1" customWidth="1"/>
    <col min="429" max="429" width="9.77734375" bestFit="1" customWidth="1"/>
    <col min="430" max="430" width="11.77734375" bestFit="1" customWidth="1"/>
    <col min="431" max="431" width="15.77734375" bestFit="1" customWidth="1"/>
    <col min="432" max="432" width="11.77734375" bestFit="1" customWidth="1"/>
    <col min="433" max="433" width="11.21875" bestFit="1" customWidth="1"/>
    <col min="434" max="434" width="11.77734375" bestFit="1" customWidth="1"/>
    <col min="435" max="435" width="9.77734375" bestFit="1" customWidth="1"/>
    <col min="436" max="436" width="11.77734375" bestFit="1" customWidth="1"/>
    <col min="437" max="437" width="10" bestFit="1" customWidth="1"/>
    <col min="438" max="438" width="11.77734375" bestFit="1" customWidth="1"/>
    <col min="439" max="439" width="9.77734375" bestFit="1" customWidth="1"/>
    <col min="440" max="440" width="11.77734375" bestFit="1" customWidth="1"/>
    <col min="441" max="441" width="10" bestFit="1" customWidth="1"/>
    <col min="442" max="442" width="11.77734375" bestFit="1" customWidth="1"/>
    <col min="443" max="443" width="10" bestFit="1" customWidth="1"/>
    <col min="444" max="444" width="11.77734375" bestFit="1" customWidth="1"/>
    <col min="445" max="445" width="10" bestFit="1" customWidth="1"/>
    <col min="446" max="446" width="11.77734375" bestFit="1" customWidth="1"/>
    <col min="447" max="447" width="10" bestFit="1" customWidth="1"/>
    <col min="448" max="448" width="11.77734375" bestFit="1" customWidth="1"/>
    <col min="449" max="449" width="10" bestFit="1" customWidth="1"/>
    <col min="450" max="450" width="11.77734375" bestFit="1" customWidth="1"/>
    <col min="451" max="451" width="15.77734375" bestFit="1" customWidth="1"/>
    <col min="452" max="452" width="11.77734375" bestFit="1" customWidth="1"/>
    <col min="453" max="453" width="12.21875" bestFit="1" customWidth="1"/>
    <col min="454" max="454" width="11.77734375" bestFit="1" customWidth="1"/>
    <col min="455" max="455" width="15.77734375" bestFit="1" customWidth="1"/>
    <col min="456" max="456" width="11.77734375" bestFit="1" customWidth="1"/>
    <col min="457" max="457" width="9.77734375" bestFit="1" customWidth="1"/>
    <col min="458" max="458" width="11.77734375" bestFit="1" customWidth="1"/>
    <col min="459" max="459" width="12.21875" bestFit="1" customWidth="1"/>
    <col min="460" max="460" width="11.77734375" bestFit="1" customWidth="1"/>
    <col min="461" max="461" width="11.21875" bestFit="1" customWidth="1"/>
    <col min="462" max="462" width="11.77734375" bestFit="1" customWidth="1"/>
    <col min="463" max="463" width="12.21875" bestFit="1" customWidth="1"/>
    <col min="464" max="464" width="11.77734375" bestFit="1" customWidth="1"/>
    <col min="465" max="465" width="9.77734375" bestFit="1" customWidth="1"/>
    <col min="466" max="466" width="11.77734375" bestFit="1" customWidth="1"/>
    <col min="467" max="467" width="13.21875" bestFit="1" customWidth="1"/>
    <col min="468" max="468" width="11.77734375" bestFit="1" customWidth="1"/>
    <col min="469" max="469" width="15.77734375" bestFit="1" customWidth="1"/>
    <col min="470" max="470" width="11.77734375" bestFit="1" customWidth="1"/>
    <col min="471" max="471" width="12.21875" bestFit="1" customWidth="1"/>
    <col min="472" max="472" width="11.77734375" bestFit="1" customWidth="1"/>
    <col min="473" max="473" width="13.21875" bestFit="1" customWidth="1"/>
    <col min="474" max="474" width="11.77734375" bestFit="1" customWidth="1"/>
    <col min="475" max="475" width="10" bestFit="1" customWidth="1"/>
    <col min="476" max="476" width="11.77734375" bestFit="1" customWidth="1"/>
    <col min="477" max="477" width="15.77734375" bestFit="1" customWidth="1"/>
    <col min="478" max="478" width="11.77734375" bestFit="1" customWidth="1"/>
    <col min="479" max="479" width="10" bestFit="1" customWidth="1"/>
    <col min="480" max="480" width="11.77734375" bestFit="1" customWidth="1"/>
    <col min="481" max="481" width="15.77734375" bestFit="1" customWidth="1"/>
    <col min="482" max="482" width="11.77734375" bestFit="1" customWidth="1"/>
    <col min="483" max="483" width="12.21875" bestFit="1" customWidth="1"/>
    <col min="484" max="484" width="11.77734375" bestFit="1" customWidth="1"/>
    <col min="485" max="485" width="10" bestFit="1" customWidth="1"/>
    <col min="486" max="486" width="11.77734375" bestFit="1" customWidth="1"/>
    <col min="487" max="487" width="9.77734375" bestFit="1" customWidth="1"/>
    <col min="488" max="488" width="11.77734375" bestFit="1" customWidth="1"/>
    <col min="489" max="489" width="12.21875" bestFit="1" customWidth="1"/>
    <col min="490" max="490" width="11.77734375" bestFit="1" customWidth="1"/>
    <col min="491" max="491" width="10.88671875" bestFit="1" customWidth="1"/>
    <col min="492" max="492" width="11.77734375" bestFit="1" customWidth="1"/>
    <col min="493" max="493" width="11.21875" bestFit="1" customWidth="1"/>
    <col min="494" max="494" width="11.77734375" bestFit="1" customWidth="1"/>
    <col min="495" max="495" width="11.21875" bestFit="1" customWidth="1"/>
    <col min="496" max="496" width="11.77734375" bestFit="1" customWidth="1"/>
    <col min="497" max="497" width="9.77734375" bestFit="1" customWidth="1"/>
    <col min="498" max="498" width="11.77734375" bestFit="1" customWidth="1"/>
    <col min="499" max="499" width="12.21875" bestFit="1" customWidth="1"/>
    <col min="500" max="500" width="11.77734375" bestFit="1" customWidth="1"/>
    <col min="501" max="501" width="10" bestFit="1" customWidth="1"/>
    <col min="502" max="502" width="11.77734375" bestFit="1" customWidth="1"/>
    <col min="503" max="503" width="10" bestFit="1" customWidth="1"/>
    <col min="504" max="504" width="11.77734375" bestFit="1" customWidth="1"/>
    <col min="505" max="505" width="10" bestFit="1" customWidth="1"/>
    <col min="506" max="506" width="11.77734375" bestFit="1" customWidth="1"/>
    <col min="507" max="507" width="12.21875" bestFit="1" customWidth="1"/>
    <col min="508" max="508" width="11.77734375" bestFit="1" customWidth="1"/>
    <col min="509" max="509" width="12.21875" bestFit="1" customWidth="1"/>
    <col min="510" max="510" width="11.77734375" bestFit="1" customWidth="1"/>
    <col min="511" max="511" width="10.88671875" bestFit="1" customWidth="1"/>
    <col min="512" max="512" width="11.77734375" bestFit="1" customWidth="1"/>
    <col min="513" max="513" width="11.21875" bestFit="1" customWidth="1"/>
    <col min="514" max="514" width="11.77734375" bestFit="1" customWidth="1"/>
    <col min="515" max="515" width="9.77734375" bestFit="1" customWidth="1"/>
    <col min="516" max="516" width="11.77734375" bestFit="1" customWidth="1"/>
    <col min="517" max="517" width="10" bestFit="1" customWidth="1"/>
    <col min="518" max="518" width="11.77734375" bestFit="1" customWidth="1"/>
    <col min="519" max="519" width="11.21875" bestFit="1" customWidth="1"/>
    <col min="520" max="520" width="11.77734375" bestFit="1" customWidth="1"/>
    <col min="521" max="521" width="12.21875" bestFit="1" customWidth="1"/>
    <col min="522" max="522" width="11.77734375" bestFit="1" customWidth="1"/>
    <col min="523" max="523" width="10" bestFit="1" customWidth="1"/>
    <col min="524" max="524" width="11.77734375" bestFit="1" customWidth="1"/>
    <col min="525" max="525" width="10" bestFit="1" customWidth="1"/>
    <col min="526" max="526" width="11.77734375" bestFit="1" customWidth="1"/>
    <col min="527" max="527" width="15.77734375" bestFit="1" customWidth="1"/>
    <col min="528" max="528" width="11.77734375" bestFit="1" customWidth="1"/>
    <col min="529" max="529" width="13.21875" bestFit="1" customWidth="1"/>
    <col min="530" max="530" width="11.77734375" bestFit="1" customWidth="1"/>
    <col min="531" max="531" width="10.88671875" bestFit="1" customWidth="1"/>
    <col min="532" max="532" width="11.77734375" bestFit="1" customWidth="1"/>
    <col min="533" max="533" width="12.21875" bestFit="1" customWidth="1"/>
    <col min="534" max="534" width="11.77734375" bestFit="1" customWidth="1"/>
    <col min="535" max="535" width="10.88671875" bestFit="1" customWidth="1"/>
    <col min="536" max="536" width="11.77734375" bestFit="1" customWidth="1"/>
    <col min="537" max="537" width="11.21875" bestFit="1" customWidth="1"/>
    <col min="538" max="538" width="11.77734375" bestFit="1" customWidth="1"/>
    <col min="539" max="539" width="12.21875" bestFit="1" customWidth="1"/>
    <col min="540" max="540" width="11.77734375" bestFit="1" customWidth="1"/>
    <col min="541" max="541" width="9.77734375" bestFit="1" customWidth="1"/>
    <col min="542" max="542" width="11.77734375" bestFit="1" customWidth="1"/>
    <col min="543" max="543" width="13.21875" bestFit="1" customWidth="1"/>
    <col min="544" max="544" width="11.77734375" bestFit="1" customWidth="1"/>
    <col min="545" max="545" width="15.77734375" bestFit="1" customWidth="1"/>
    <col min="546" max="546" width="11.77734375" bestFit="1" customWidth="1"/>
    <col min="547" max="547" width="15.77734375" bestFit="1" customWidth="1"/>
    <col min="548" max="548" width="11.77734375" bestFit="1" customWidth="1"/>
    <col min="549" max="549" width="11.21875" bestFit="1" customWidth="1"/>
    <col min="550" max="550" width="11.77734375" bestFit="1" customWidth="1"/>
    <col min="551" max="551" width="9.77734375" bestFit="1" customWidth="1"/>
    <col min="552" max="552" width="11.77734375" bestFit="1" customWidth="1"/>
    <col min="553" max="553" width="11.21875" bestFit="1" customWidth="1"/>
    <col min="554" max="554" width="11.77734375" bestFit="1" customWidth="1"/>
    <col min="555" max="555" width="12.21875" bestFit="1" customWidth="1"/>
    <col min="556" max="556" width="11.77734375" bestFit="1" customWidth="1"/>
    <col min="557" max="557" width="10.88671875" bestFit="1" customWidth="1"/>
    <col min="558" max="558" width="11.77734375" bestFit="1" customWidth="1"/>
    <col min="559" max="559" width="12.21875" bestFit="1" customWidth="1"/>
    <col min="560" max="560" width="11.77734375" bestFit="1" customWidth="1"/>
    <col min="561" max="561" width="12.21875" bestFit="1" customWidth="1"/>
    <col min="562" max="562" width="11.77734375" bestFit="1" customWidth="1"/>
    <col min="563" max="563" width="10" bestFit="1" customWidth="1"/>
    <col min="564" max="564" width="11.77734375" bestFit="1" customWidth="1"/>
    <col min="565" max="565" width="9.77734375" bestFit="1" customWidth="1"/>
    <col min="566" max="566" width="11.77734375" bestFit="1" customWidth="1"/>
    <col min="567" max="567" width="12.21875" bestFit="1" customWidth="1"/>
    <col min="568" max="568" width="11.77734375" bestFit="1" customWidth="1"/>
    <col min="569" max="569" width="9.77734375" bestFit="1" customWidth="1"/>
    <col min="570" max="570" width="11.77734375" bestFit="1" customWidth="1"/>
    <col min="571" max="571" width="10" bestFit="1" customWidth="1"/>
    <col min="572" max="572" width="11.77734375" bestFit="1" customWidth="1"/>
    <col min="573" max="573" width="13.21875" bestFit="1" customWidth="1"/>
    <col min="574" max="574" width="11.77734375" bestFit="1" customWidth="1"/>
    <col min="575" max="575" width="12.21875" bestFit="1" customWidth="1"/>
    <col min="576" max="576" width="11.77734375" bestFit="1" customWidth="1"/>
    <col min="577" max="577" width="12.21875" bestFit="1" customWidth="1"/>
    <col min="578" max="578" width="11.77734375" bestFit="1" customWidth="1"/>
    <col min="579" max="579" width="10" bestFit="1" customWidth="1"/>
    <col min="580" max="580" width="11.77734375" bestFit="1" customWidth="1"/>
    <col min="581" max="581" width="12.21875" bestFit="1" customWidth="1"/>
    <col min="582" max="582" width="11.77734375" bestFit="1" customWidth="1"/>
    <col min="583" max="583" width="12.21875" bestFit="1" customWidth="1"/>
    <col min="584" max="584" width="11.77734375" bestFit="1" customWidth="1"/>
    <col min="585" max="585" width="13.21875" bestFit="1" customWidth="1"/>
    <col min="586" max="586" width="11.77734375" bestFit="1" customWidth="1"/>
    <col min="587" max="587" width="10" bestFit="1" customWidth="1"/>
    <col min="588" max="588" width="11.77734375" bestFit="1" customWidth="1"/>
    <col min="589" max="589" width="10.88671875" bestFit="1" customWidth="1"/>
    <col min="590" max="590" width="11.77734375" bestFit="1" customWidth="1"/>
    <col min="591" max="591" width="10.88671875" bestFit="1" customWidth="1"/>
    <col min="592" max="592" width="11.77734375" bestFit="1" customWidth="1"/>
    <col min="593" max="593" width="11.21875" bestFit="1" customWidth="1"/>
    <col min="594" max="594" width="11.77734375" bestFit="1" customWidth="1"/>
    <col min="595" max="595" width="15.77734375" bestFit="1" customWidth="1"/>
    <col min="596" max="596" width="11.77734375" bestFit="1" customWidth="1"/>
    <col min="597" max="597" width="15.77734375" bestFit="1" customWidth="1"/>
    <col min="598" max="598" width="11.77734375" bestFit="1" customWidth="1"/>
    <col min="599" max="599" width="10.88671875" bestFit="1" customWidth="1"/>
    <col min="600" max="600" width="11.77734375" bestFit="1" customWidth="1"/>
    <col min="601" max="601" width="12.21875" bestFit="1" customWidth="1"/>
    <col min="602" max="602" width="11.77734375" bestFit="1" customWidth="1"/>
    <col min="603" max="603" width="10" bestFit="1" customWidth="1"/>
    <col min="604" max="604" width="11.77734375" bestFit="1" customWidth="1"/>
    <col min="605" max="605" width="13.21875" bestFit="1" customWidth="1"/>
    <col min="606" max="606" width="11.77734375" bestFit="1" customWidth="1"/>
    <col min="607" max="607" width="9.77734375" bestFit="1" customWidth="1"/>
    <col min="608" max="608" width="11.77734375" bestFit="1" customWidth="1"/>
    <col min="609" max="609" width="15.77734375" bestFit="1" customWidth="1"/>
    <col min="610" max="610" width="11.77734375" bestFit="1" customWidth="1"/>
    <col min="611" max="611" width="12.21875" bestFit="1" customWidth="1"/>
    <col min="612" max="612" width="11.77734375" bestFit="1" customWidth="1"/>
    <col min="613" max="613" width="9.77734375" bestFit="1" customWidth="1"/>
    <col min="614" max="614" width="11.77734375" bestFit="1" customWidth="1"/>
    <col min="615" max="615" width="9.77734375" bestFit="1" customWidth="1"/>
    <col min="616" max="616" width="11.77734375" bestFit="1" customWidth="1"/>
    <col min="617" max="617" width="9.77734375" bestFit="1" customWidth="1"/>
    <col min="618" max="618" width="11.77734375" bestFit="1" customWidth="1"/>
    <col min="619" max="619" width="12.21875" bestFit="1" customWidth="1"/>
    <col min="620" max="620" width="11.77734375" bestFit="1" customWidth="1"/>
    <col min="621" max="621" width="11.21875" bestFit="1" customWidth="1"/>
    <col min="622" max="622" width="11.77734375" bestFit="1" customWidth="1"/>
    <col min="623" max="623" width="10.88671875" bestFit="1" customWidth="1"/>
    <col min="624" max="624" width="11.77734375" bestFit="1" customWidth="1"/>
    <col min="625" max="625" width="10.88671875" bestFit="1" customWidth="1"/>
    <col min="626" max="626" width="11.77734375" bestFit="1" customWidth="1"/>
    <col min="627" max="627" width="10.88671875" bestFit="1" customWidth="1"/>
    <col min="628" max="628" width="11.77734375" bestFit="1" customWidth="1"/>
    <col min="629" max="629" width="10.88671875" bestFit="1" customWidth="1"/>
    <col min="630" max="630" width="11.77734375" bestFit="1" customWidth="1"/>
    <col min="631" max="631" width="10" bestFit="1" customWidth="1"/>
    <col min="632" max="632" width="11.77734375" bestFit="1" customWidth="1"/>
    <col min="633" max="633" width="12.21875" bestFit="1" customWidth="1"/>
    <col min="634" max="634" width="11.77734375" bestFit="1" customWidth="1"/>
    <col min="635" max="635" width="10.88671875" bestFit="1" customWidth="1"/>
    <col min="636" max="636" width="11.77734375" bestFit="1" customWidth="1"/>
    <col min="637" max="637" width="13.21875" bestFit="1" customWidth="1"/>
    <col min="638" max="638" width="11.77734375" bestFit="1" customWidth="1"/>
    <col min="639" max="639" width="15.77734375" bestFit="1" customWidth="1"/>
    <col min="640" max="640" width="11.77734375" bestFit="1" customWidth="1"/>
    <col min="641" max="641" width="9.77734375" bestFit="1" customWidth="1"/>
    <col min="642" max="642" width="11.77734375" bestFit="1" customWidth="1"/>
    <col min="643" max="643" width="10" bestFit="1" customWidth="1"/>
    <col min="644" max="644" width="11.77734375" bestFit="1" customWidth="1"/>
    <col min="645" max="645" width="11.21875" bestFit="1" customWidth="1"/>
    <col min="646" max="646" width="11.77734375" bestFit="1" customWidth="1"/>
    <col min="647" max="647" width="15.77734375" bestFit="1" customWidth="1"/>
    <col min="648" max="648" width="11.77734375" bestFit="1" customWidth="1"/>
    <col min="649" max="649" width="12.21875" bestFit="1" customWidth="1"/>
    <col min="650" max="650" width="11.77734375" bestFit="1" customWidth="1"/>
    <col min="651" max="651" width="12.21875" bestFit="1" customWidth="1"/>
    <col min="652" max="652" width="11.77734375" bestFit="1" customWidth="1"/>
    <col min="653" max="653" width="15.77734375" bestFit="1" customWidth="1"/>
    <col min="654" max="654" width="11.77734375" bestFit="1" customWidth="1"/>
    <col min="655" max="655" width="9.77734375" bestFit="1" customWidth="1"/>
    <col min="656" max="656" width="11.77734375" bestFit="1" customWidth="1"/>
    <col min="657" max="657" width="10" bestFit="1" customWidth="1"/>
    <col min="658" max="658" width="11.77734375" bestFit="1" customWidth="1"/>
    <col min="659" max="659" width="10.88671875" bestFit="1" customWidth="1"/>
    <col min="660" max="660" width="11.77734375" bestFit="1" customWidth="1"/>
    <col min="661" max="661" width="9.77734375" bestFit="1" customWidth="1"/>
    <col min="662" max="662" width="11.77734375" bestFit="1" customWidth="1"/>
    <col min="663" max="663" width="12.21875" bestFit="1" customWidth="1"/>
    <col min="664" max="664" width="11.77734375" bestFit="1" customWidth="1"/>
    <col min="665" max="665" width="10" bestFit="1" customWidth="1"/>
    <col min="666" max="666" width="11.77734375" bestFit="1" customWidth="1"/>
    <col min="667" max="667" width="9.77734375" bestFit="1" customWidth="1"/>
    <col min="668" max="668" width="11.77734375" bestFit="1" customWidth="1"/>
    <col min="669" max="669" width="12.21875" bestFit="1" customWidth="1"/>
    <col min="670" max="670" width="11.77734375" bestFit="1" customWidth="1"/>
    <col min="671" max="671" width="9.77734375" bestFit="1" customWidth="1"/>
    <col min="672" max="672" width="11.77734375" bestFit="1" customWidth="1"/>
    <col min="673" max="673" width="10.88671875" bestFit="1" customWidth="1"/>
    <col min="674" max="674" width="11.77734375" bestFit="1" customWidth="1"/>
    <col min="675" max="675" width="9.77734375" bestFit="1" customWidth="1"/>
    <col min="676" max="676" width="11.77734375" bestFit="1" customWidth="1"/>
    <col min="677" max="677" width="15.77734375" bestFit="1" customWidth="1"/>
    <col min="678" max="678" width="11.77734375" bestFit="1" customWidth="1"/>
    <col min="679" max="679" width="9.77734375" bestFit="1" customWidth="1"/>
    <col min="680" max="680" width="11.77734375" bestFit="1" customWidth="1"/>
    <col min="681" max="681" width="12.21875" bestFit="1" customWidth="1"/>
    <col min="682" max="682" width="11.77734375" bestFit="1" customWidth="1"/>
    <col min="683" max="683" width="11.21875" bestFit="1" customWidth="1"/>
    <col min="684" max="684" width="11.77734375" bestFit="1" customWidth="1"/>
    <col min="685" max="685" width="11.21875" bestFit="1" customWidth="1"/>
    <col min="686" max="686" width="11.77734375" bestFit="1" customWidth="1"/>
    <col min="687" max="687" width="9.77734375" bestFit="1" customWidth="1"/>
    <col min="688" max="688" width="11.77734375" bestFit="1" customWidth="1"/>
    <col min="689" max="689" width="10" bestFit="1" customWidth="1"/>
    <col min="690" max="690" width="11.77734375" bestFit="1" customWidth="1"/>
    <col min="691" max="691" width="15.77734375" bestFit="1" customWidth="1"/>
    <col min="692" max="692" width="11.77734375" bestFit="1" customWidth="1"/>
    <col min="693" max="693" width="9.77734375" bestFit="1" customWidth="1"/>
    <col min="694" max="694" width="11.77734375" bestFit="1" customWidth="1"/>
    <col min="695" max="695" width="13.21875" bestFit="1" customWidth="1"/>
    <col min="696" max="696" width="11.77734375" bestFit="1" customWidth="1"/>
    <col min="697" max="697" width="13.21875" bestFit="1" customWidth="1"/>
    <col min="698" max="698" width="11.77734375" bestFit="1" customWidth="1"/>
    <col min="699" max="699" width="10" bestFit="1" customWidth="1"/>
    <col min="700" max="700" width="11.77734375" bestFit="1" customWidth="1"/>
    <col min="701" max="701" width="9.77734375" bestFit="1" customWidth="1"/>
    <col min="702" max="702" width="11.77734375" bestFit="1" customWidth="1"/>
    <col min="703" max="703" width="13.21875" bestFit="1" customWidth="1"/>
    <col min="704" max="704" width="11.77734375" bestFit="1" customWidth="1"/>
    <col min="705" max="705" width="12.21875" bestFit="1" customWidth="1"/>
    <col min="706" max="706" width="11.77734375" bestFit="1" customWidth="1"/>
    <col min="707" max="707" width="12.21875" bestFit="1" customWidth="1"/>
    <col min="708" max="708" width="11.77734375" bestFit="1" customWidth="1"/>
    <col min="709" max="709" width="10" bestFit="1" customWidth="1"/>
    <col min="710" max="710" width="11.77734375" bestFit="1" customWidth="1"/>
    <col min="711" max="711" width="11.21875" bestFit="1" customWidth="1"/>
    <col min="712" max="712" width="11.77734375" bestFit="1" customWidth="1"/>
    <col min="713" max="713" width="10" bestFit="1" customWidth="1"/>
    <col min="714" max="714" width="11.77734375" bestFit="1" customWidth="1"/>
    <col min="715" max="715" width="9.77734375" bestFit="1" customWidth="1"/>
    <col min="716" max="716" width="11.77734375" bestFit="1" customWidth="1"/>
    <col min="717" max="717" width="15.77734375" bestFit="1" customWidth="1"/>
    <col min="718" max="718" width="11.77734375" bestFit="1" customWidth="1"/>
    <col min="719" max="719" width="11.21875" bestFit="1" customWidth="1"/>
    <col min="720" max="720" width="11.77734375" bestFit="1" customWidth="1"/>
    <col min="721" max="721" width="9.77734375" bestFit="1" customWidth="1"/>
    <col min="722" max="722" width="11.77734375" bestFit="1" customWidth="1"/>
    <col min="723" max="723" width="13.21875" bestFit="1" customWidth="1"/>
    <col min="724" max="724" width="11.77734375" bestFit="1" customWidth="1"/>
    <col min="725" max="725" width="12.21875" bestFit="1" customWidth="1"/>
    <col min="726" max="726" width="11.77734375" bestFit="1" customWidth="1"/>
    <col min="727" max="727" width="12.21875" bestFit="1" customWidth="1"/>
    <col min="728" max="728" width="11.77734375" bestFit="1" customWidth="1"/>
    <col min="729" max="729" width="12.21875" bestFit="1" customWidth="1"/>
    <col min="730" max="730" width="11.77734375" bestFit="1" customWidth="1"/>
    <col min="731" max="731" width="11.21875" bestFit="1" customWidth="1"/>
    <col min="732" max="732" width="11.77734375" bestFit="1" customWidth="1"/>
    <col min="733" max="733" width="15.77734375" bestFit="1" customWidth="1"/>
    <col min="734" max="734" width="11.77734375" bestFit="1" customWidth="1"/>
    <col min="735" max="735" width="10" bestFit="1" customWidth="1"/>
    <col min="736" max="736" width="11.77734375" bestFit="1" customWidth="1"/>
    <col min="737" max="737" width="10.88671875" bestFit="1" customWidth="1"/>
    <col min="738" max="738" width="11.77734375" bestFit="1" customWidth="1"/>
    <col min="739" max="739" width="10" bestFit="1" customWidth="1"/>
    <col min="740" max="740" width="11.77734375" bestFit="1" customWidth="1"/>
    <col min="741" max="741" width="12.21875" bestFit="1" customWidth="1"/>
    <col min="742" max="742" width="11.77734375" bestFit="1" customWidth="1"/>
    <col min="743" max="743" width="11.21875" bestFit="1" customWidth="1"/>
    <col min="744" max="744" width="11.77734375" bestFit="1" customWidth="1"/>
    <col min="745" max="745" width="15.77734375" bestFit="1" customWidth="1"/>
    <col min="746" max="746" width="11.77734375" bestFit="1" customWidth="1"/>
    <col min="747" max="747" width="9.77734375" bestFit="1" customWidth="1"/>
    <col min="748" max="748" width="11.77734375" bestFit="1" customWidth="1"/>
    <col min="749" max="749" width="15.77734375" bestFit="1" customWidth="1"/>
    <col min="750" max="750" width="11.77734375" bestFit="1" customWidth="1"/>
    <col min="751" max="751" width="10.88671875" bestFit="1" customWidth="1"/>
    <col min="752" max="752" width="11.77734375" bestFit="1" customWidth="1"/>
    <col min="753" max="753" width="10" bestFit="1" customWidth="1"/>
    <col min="754" max="754" width="11.77734375" bestFit="1" customWidth="1"/>
    <col min="755" max="755" width="10" bestFit="1" customWidth="1"/>
    <col min="756" max="756" width="11.77734375" bestFit="1" customWidth="1"/>
    <col min="757" max="757" width="15.77734375" bestFit="1" customWidth="1"/>
    <col min="758" max="758" width="11.77734375" bestFit="1" customWidth="1"/>
    <col min="759" max="759" width="10" bestFit="1" customWidth="1"/>
    <col min="760" max="760" width="11.77734375" bestFit="1" customWidth="1"/>
    <col min="761" max="761" width="11.21875" bestFit="1" customWidth="1"/>
    <col min="762" max="762" width="11.77734375" bestFit="1" customWidth="1"/>
    <col min="763" max="763" width="12.21875" bestFit="1" customWidth="1"/>
    <col min="764" max="764" width="11.77734375" bestFit="1" customWidth="1"/>
    <col min="765" max="765" width="12.21875" bestFit="1" customWidth="1"/>
    <col min="766" max="766" width="11.77734375" bestFit="1" customWidth="1"/>
    <col min="767" max="767" width="13.21875" bestFit="1" customWidth="1"/>
    <col min="768" max="768" width="11.77734375" bestFit="1" customWidth="1"/>
    <col min="769" max="769" width="12.21875" bestFit="1" customWidth="1"/>
    <col min="770" max="770" width="11.77734375" bestFit="1" customWidth="1"/>
    <col min="771" max="771" width="10.88671875" bestFit="1" customWidth="1"/>
    <col min="772" max="772" width="11.77734375" bestFit="1" customWidth="1"/>
    <col min="773" max="773" width="11.21875" bestFit="1" customWidth="1"/>
    <col min="774" max="774" width="11.77734375" bestFit="1" customWidth="1"/>
    <col min="775" max="775" width="13.21875" bestFit="1" customWidth="1"/>
    <col min="776" max="776" width="11.77734375" bestFit="1" customWidth="1"/>
    <col min="777" max="777" width="12.21875" bestFit="1" customWidth="1"/>
    <col min="778" max="778" width="11.77734375" bestFit="1" customWidth="1"/>
    <col min="779" max="779" width="9.77734375" bestFit="1" customWidth="1"/>
    <col min="780" max="780" width="11.77734375" bestFit="1" customWidth="1"/>
    <col min="781" max="781" width="10.88671875" bestFit="1" customWidth="1"/>
    <col min="782" max="782" width="11.77734375" bestFit="1" customWidth="1"/>
    <col min="783" max="783" width="11.21875" bestFit="1" customWidth="1"/>
    <col min="784" max="784" width="11.77734375" bestFit="1" customWidth="1"/>
    <col min="785" max="785" width="9.77734375" bestFit="1" customWidth="1"/>
    <col min="786" max="786" width="11.77734375" bestFit="1" customWidth="1"/>
    <col min="787" max="787" width="15.77734375" bestFit="1" customWidth="1"/>
    <col min="788" max="788" width="11.77734375" bestFit="1" customWidth="1"/>
    <col min="789" max="789" width="9.77734375" bestFit="1" customWidth="1"/>
    <col min="790" max="790" width="11.77734375" bestFit="1" customWidth="1"/>
    <col min="791" max="791" width="10" bestFit="1" customWidth="1"/>
    <col min="792" max="792" width="11.77734375" bestFit="1" customWidth="1"/>
    <col min="793" max="793" width="13.21875" bestFit="1" customWidth="1"/>
    <col min="794" max="794" width="11.77734375" bestFit="1" customWidth="1"/>
    <col min="795" max="795" width="12.21875" bestFit="1" customWidth="1"/>
    <col min="796" max="796" width="11.77734375" bestFit="1" customWidth="1"/>
    <col min="797" max="797" width="12.21875" bestFit="1" customWidth="1"/>
    <col min="798" max="798" width="11.77734375" bestFit="1" customWidth="1"/>
    <col min="799" max="799" width="10.88671875" bestFit="1" customWidth="1"/>
    <col min="800" max="800" width="11.77734375" bestFit="1" customWidth="1"/>
    <col min="801" max="801" width="10.88671875" bestFit="1" customWidth="1"/>
    <col min="802" max="802" width="11.77734375" bestFit="1" customWidth="1"/>
    <col min="803" max="803" width="10" bestFit="1" customWidth="1"/>
    <col min="804" max="804" width="11.77734375" bestFit="1" customWidth="1"/>
    <col min="805" max="805" width="12.21875" bestFit="1" customWidth="1"/>
    <col min="806" max="806" width="11.77734375" bestFit="1" customWidth="1"/>
    <col min="807" max="807" width="12.21875" bestFit="1" customWidth="1"/>
    <col min="808" max="808" width="11.77734375" bestFit="1" customWidth="1"/>
    <col min="809" max="809" width="11.21875" bestFit="1" customWidth="1"/>
    <col min="810" max="810" width="11.77734375" bestFit="1" customWidth="1"/>
    <col min="811" max="811" width="12.21875" bestFit="1" customWidth="1"/>
    <col min="812" max="812" width="11.77734375" bestFit="1" customWidth="1"/>
    <col min="813" max="813" width="13.21875" bestFit="1" customWidth="1"/>
    <col min="814" max="814" width="11.77734375" bestFit="1" customWidth="1"/>
    <col min="815" max="815" width="15.77734375" bestFit="1" customWidth="1"/>
    <col min="816" max="816" width="11.77734375" bestFit="1" customWidth="1"/>
    <col min="817" max="817" width="12.21875" bestFit="1" customWidth="1"/>
    <col min="818" max="818" width="11.77734375" bestFit="1" customWidth="1"/>
    <col min="819" max="819" width="13.21875" bestFit="1" customWidth="1"/>
    <col min="820" max="820" width="11.77734375" bestFit="1" customWidth="1"/>
    <col min="821" max="821" width="12.21875" bestFit="1" customWidth="1"/>
    <col min="822" max="822" width="11.77734375" bestFit="1" customWidth="1"/>
    <col min="823" max="823" width="12.21875" bestFit="1" customWidth="1"/>
    <col min="824" max="824" width="11.77734375" bestFit="1" customWidth="1"/>
    <col min="825" max="825" width="12.21875" bestFit="1" customWidth="1"/>
    <col min="826" max="826" width="11.77734375" bestFit="1" customWidth="1"/>
    <col min="827" max="827" width="10.88671875" bestFit="1" customWidth="1"/>
    <col min="828" max="828" width="11.77734375" bestFit="1" customWidth="1"/>
    <col min="829" max="829" width="12.21875" bestFit="1" customWidth="1"/>
    <col min="830" max="830" width="11.77734375" bestFit="1" customWidth="1"/>
    <col min="831" max="831" width="15.77734375" bestFit="1" customWidth="1"/>
    <col min="832" max="832" width="11.77734375" bestFit="1" customWidth="1"/>
    <col min="833" max="833" width="10.88671875" bestFit="1" customWidth="1"/>
    <col min="834" max="834" width="11.77734375" bestFit="1" customWidth="1"/>
    <col min="835" max="835" width="12.21875" bestFit="1" customWidth="1"/>
    <col min="836" max="836" width="11.77734375" bestFit="1" customWidth="1"/>
    <col min="837" max="837" width="10" bestFit="1" customWidth="1"/>
    <col min="838" max="838" width="11.77734375" bestFit="1" customWidth="1"/>
    <col min="839" max="839" width="12.21875" bestFit="1" customWidth="1"/>
    <col min="840" max="840" width="11.77734375" bestFit="1" customWidth="1"/>
    <col min="841" max="841" width="15.77734375" bestFit="1" customWidth="1"/>
    <col min="842" max="842" width="11.77734375" bestFit="1" customWidth="1"/>
    <col min="843" max="843" width="12.21875" bestFit="1" customWidth="1"/>
    <col min="844" max="844" width="11.77734375" bestFit="1" customWidth="1"/>
    <col min="845" max="845" width="10.88671875" bestFit="1" customWidth="1"/>
    <col min="846" max="846" width="11.77734375" bestFit="1" customWidth="1"/>
    <col min="847" max="847" width="12.21875" bestFit="1" customWidth="1"/>
    <col min="848" max="848" width="11.77734375" bestFit="1" customWidth="1"/>
    <col min="849" max="849" width="9.77734375" bestFit="1" customWidth="1"/>
    <col min="850" max="850" width="11.77734375" bestFit="1" customWidth="1"/>
    <col min="851" max="851" width="11.21875" bestFit="1" customWidth="1"/>
    <col min="852" max="852" width="11.77734375" bestFit="1" customWidth="1"/>
    <col min="853" max="853" width="12.21875" bestFit="1" customWidth="1"/>
    <col min="854" max="854" width="11.77734375" bestFit="1" customWidth="1"/>
    <col min="855" max="855" width="10" bestFit="1" customWidth="1"/>
    <col min="856" max="856" width="11.77734375" bestFit="1" customWidth="1"/>
    <col min="857" max="857" width="12.21875" bestFit="1" customWidth="1"/>
    <col min="858" max="858" width="11.77734375" bestFit="1" customWidth="1"/>
    <col min="859" max="859" width="13.21875" bestFit="1" customWidth="1"/>
    <col min="860" max="860" width="11.77734375" bestFit="1" customWidth="1"/>
    <col min="861" max="861" width="12.21875" bestFit="1" customWidth="1"/>
    <col min="862" max="862" width="11.77734375" bestFit="1" customWidth="1"/>
    <col min="863" max="863" width="13.21875" bestFit="1" customWidth="1"/>
    <col min="864" max="864" width="11.77734375" bestFit="1" customWidth="1"/>
    <col min="865" max="865" width="10.88671875" bestFit="1" customWidth="1"/>
    <col min="866" max="866" width="11.77734375" bestFit="1" customWidth="1"/>
    <col min="867" max="867" width="11.21875" bestFit="1" customWidth="1"/>
    <col min="868" max="868" width="11.77734375" bestFit="1" customWidth="1"/>
    <col min="869" max="869" width="11.21875" bestFit="1" customWidth="1"/>
    <col min="870" max="870" width="11.77734375" bestFit="1" customWidth="1"/>
    <col min="871" max="871" width="10" bestFit="1" customWidth="1"/>
    <col min="872" max="872" width="11.77734375" bestFit="1" customWidth="1"/>
    <col min="873" max="873" width="12.21875" bestFit="1" customWidth="1"/>
    <col min="874" max="874" width="11.77734375" bestFit="1" customWidth="1"/>
    <col min="875" max="875" width="12.21875" bestFit="1" customWidth="1"/>
    <col min="876" max="876" width="11.77734375" bestFit="1" customWidth="1"/>
    <col min="877" max="877" width="12.21875" bestFit="1" customWidth="1"/>
    <col min="878" max="878" width="11.77734375" bestFit="1" customWidth="1"/>
    <col min="879" max="879" width="9.77734375" bestFit="1" customWidth="1"/>
    <col min="880" max="880" width="11.77734375" bestFit="1" customWidth="1"/>
    <col min="881" max="881" width="9.77734375" bestFit="1" customWidth="1"/>
    <col min="882" max="882" width="11.77734375" bestFit="1" customWidth="1"/>
    <col min="883" max="883" width="9.77734375" bestFit="1" customWidth="1"/>
    <col min="884" max="884" width="11.77734375" bestFit="1" customWidth="1"/>
    <col min="885" max="885" width="10" bestFit="1" customWidth="1"/>
    <col min="886" max="886" width="11.77734375" bestFit="1" customWidth="1"/>
    <col min="887" max="887" width="12.21875" bestFit="1" customWidth="1"/>
    <col min="888" max="888" width="11.77734375" bestFit="1" customWidth="1"/>
    <col min="889" max="889" width="15.77734375" bestFit="1" customWidth="1"/>
    <col min="890" max="890" width="11.77734375" bestFit="1" customWidth="1"/>
    <col min="891" max="891" width="10" bestFit="1" customWidth="1"/>
    <col min="892" max="892" width="11.77734375" bestFit="1" customWidth="1"/>
    <col min="893" max="893" width="10" bestFit="1" customWidth="1"/>
    <col min="894" max="894" width="11.77734375" bestFit="1" customWidth="1"/>
    <col min="895" max="895" width="9.77734375" bestFit="1" customWidth="1"/>
    <col min="896" max="896" width="11.77734375" bestFit="1" customWidth="1"/>
    <col min="897" max="897" width="10" bestFit="1" customWidth="1"/>
    <col min="898" max="898" width="11.77734375" bestFit="1" customWidth="1"/>
    <col min="899" max="899" width="12.21875" bestFit="1" customWidth="1"/>
    <col min="900" max="900" width="11.77734375" bestFit="1" customWidth="1"/>
    <col min="901" max="901" width="10.88671875" bestFit="1" customWidth="1"/>
    <col min="902" max="902" width="11.77734375" bestFit="1" customWidth="1"/>
    <col min="903" max="903" width="12.21875" bestFit="1" customWidth="1"/>
    <col min="904" max="904" width="11.77734375" bestFit="1" customWidth="1"/>
    <col min="905" max="905" width="11.21875" bestFit="1" customWidth="1"/>
    <col min="906" max="906" width="11.77734375" bestFit="1" customWidth="1"/>
    <col min="907" max="907" width="11.21875" bestFit="1" customWidth="1"/>
    <col min="908" max="908" width="11.77734375" bestFit="1" customWidth="1"/>
    <col min="909" max="909" width="15.77734375" bestFit="1" customWidth="1"/>
    <col min="910" max="910" width="11.77734375" bestFit="1" customWidth="1"/>
    <col min="911" max="911" width="10.88671875" bestFit="1" customWidth="1"/>
    <col min="912" max="912" width="11.77734375" bestFit="1" customWidth="1"/>
    <col min="913" max="913" width="10.88671875" bestFit="1" customWidth="1"/>
    <col min="914" max="914" width="11.77734375" bestFit="1" customWidth="1"/>
    <col min="915" max="915" width="12.21875" bestFit="1" customWidth="1"/>
    <col min="916" max="916" width="11.77734375" bestFit="1" customWidth="1"/>
    <col min="917" max="917" width="11.21875" bestFit="1" customWidth="1"/>
    <col min="918" max="918" width="11.77734375" bestFit="1" customWidth="1"/>
    <col min="919" max="919" width="11.21875" bestFit="1" customWidth="1"/>
    <col min="920" max="920" width="11.77734375" bestFit="1" customWidth="1"/>
    <col min="921" max="921" width="10" bestFit="1" customWidth="1"/>
    <col min="922" max="922" width="11.77734375" bestFit="1" customWidth="1"/>
    <col min="923" max="923" width="9.77734375" bestFit="1" customWidth="1"/>
    <col min="924" max="924" width="11.77734375" bestFit="1" customWidth="1"/>
    <col min="925" max="925" width="11.21875" bestFit="1" customWidth="1"/>
    <col min="926" max="926" width="11.77734375" bestFit="1" customWidth="1"/>
    <col min="927" max="927" width="10" bestFit="1" customWidth="1"/>
    <col min="928" max="928" width="11.77734375" bestFit="1" customWidth="1"/>
    <col min="929" max="929" width="12.21875" bestFit="1" customWidth="1"/>
    <col min="930" max="930" width="11.77734375" bestFit="1" customWidth="1"/>
    <col min="931" max="931" width="9.77734375" bestFit="1" customWidth="1"/>
    <col min="932" max="932" width="11.77734375" bestFit="1" customWidth="1"/>
    <col min="933" max="933" width="15.77734375" bestFit="1" customWidth="1"/>
    <col min="934" max="934" width="11.77734375" bestFit="1" customWidth="1"/>
    <col min="935" max="935" width="11.21875" bestFit="1" customWidth="1"/>
    <col min="936" max="936" width="11.77734375" bestFit="1" customWidth="1"/>
    <col min="937" max="937" width="9.77734375" bestFit="1" customWidth="1"/>
    <col min="938" max="938" width="11.77734375" bestFit="1" customWidth="1"/>
    <col min="939" max="939" width="13.21875" bestFit="1" customWidth="1"/>
    <col min="940" max="940" width="11.77734375" bestFit="1" customWidth="1"/>
    <col min="941" max="941" width="10" bestFit="1" customWidth="1"/>
    <col min="942" max="942" width="11.77734375" bestFit="1" customWidth="1"/>
    <col min="943" max="943" width="12.21875" bestFit="1" customWidth="1"/>
    <col min="944" max="944" width="11.77734375" bestFit="1" customWidth="1"/>
    <col min="945" max="945" width="10" bestFit="1" customWidth="1"/>
    <col min="946" max="946" width="11.77734375" bestFit="1" customWidth="1"/>
    <col min="947" max="947" width="10.88671875" bestFit="1" customWidth="1"/>
    <col min="948" max="948" width="11.77734375" bestFit="1" customWidth="1"/>
    <col min="949" max="949" width="9.77734375" bestFit="1" customWidth="1"/>
    <col min="950" max="950" width="11.77734375" bestFit="1" customWidth="1"/>
    <col min="951" max="951" width="12.21875" bestFit="1" customWidth="1"/>
    <col min="952" max="952" width="11.77734375" bestFit="1" customWidth="1"/>
    <col min="953" max="953" width="11.21875" bestFit="1" customWidth="1"/>
    <col min="954" max="954" width="11.77734375" bestFit="1" customWidth="1"/>
    <col min="955" max="955" width="9.77734375" bestFit="1" customWidth="1"/>
    <col min="956" max="956" width="11.77734375" bestFit="1" customWidth="1"/>
    <col min="957" max="957" width="10" bestFit="1" customWidth="1"/>
    <col min="958" max="958" width="11.77734375" bestFit="1" customWidth="1"/>
    <col min="959" max="959" width="12.21875" bestFit="1" customWidth="1"/>
    <col min="960" max="960" width="11.77734375" bestFit="1" customWidth="1"/>
    <col min="961" max="961" width="10.88671875" bestFit="1" customWidth="1"/>
    <col min="962" max="962" width="11.77734375" bestFit="1" customWidth="1"/>
    <col min="963" max="963" width="15.77734375" bestFit="1" customWidth="1"/>
    <col min="964" max="964" width="11.77734375" bestFit="1" customWidth="1"/>
    <col min="965" max="965" width="12.21875" bestFit="1" customWidth="1"/>
    <col min="966" max="966" width="11.77734375" bestFit="1" customWidth="1"/>
    <col min="967" max="967" width="10" bestFit="1" customWidth="1"/>
    <col min="968" max="968" width="11.77734375" bestFit="1" customWidth="1"/>
    <col min="969" max="969" width="12.21875" bestFit="1" customWidth="1"/>
    <col min="970" max="970" width="11.77734375" bestFit="1" customWidth="1"/>
    <col min="971" max="971" width="11.21875" bestFit="1" customWidth="1"/>
    <col min="972" max="972" width="11.77734375" bestFit="1" customWidth="1"/>
    <col min="973" max="973" width="13.21875" bestFit="1" customWidth="1"/>
    <col min="974" max="974" width="11.77734375" bestFit="1" customWidth="1"/>
    <col min="975" max="975" width="13.21875" bestFit="1" customWidth="1"/>
    <col min="976" max="976" width="11.77734375" bestFit="1" customWidth="1"/>
    <col min="977" max="977" width="13.21875" bestFit="1" customWidth="1"/>
    <col min="978" max="978" width="11.77734375" bestFit="1" customWidth="1"/>
    <col min="979" max="979" width="15.77734375" bestFit="1" customWidth="1"/>
    <col min="980" max="980" width="11.77734375" bestFit="1" customWidth="1"/>
    <col min="981" max="981" width="9.77734375" bestFit="1" customWidth="1"/>
    <col min="982" max="982" width="11.77734375" bestFit="1" customWidth="1"/>
    <col min="983" max="983" width="13.21875" bestFit="1" customWidth="1"/>
    <col min="984" max="984" width="11.77734375" bestFit="1" customWidth="1"/>
    <col min="985" max="985" width="9.77734375" bestFit="1" customWidth="1"/>
    <col min="986" max="986" width="11.77734375" bestFit="1" customWidth="1"/>
    <col min="987" max="987" width="9.77734375" bestFit="1" customWidth="1"/>
    <col min="988" max="988" width="11.77734375" bestFit="1" customWidth="1"/>
    <col min="989" max="989" width="11.21875" bestFit="1" customWidth="1"/>
    <col min="990" max="990" width="11.77734375" bestFit="1" customWidth="1"/>
    <col min="991" max="991" width="10" bestFit="1" customWidth="1"/>
    <col min="992" max="992" width="11.77734375" bestFit="1" customWidth="1"/>
    <col min="993" max="993" width="10" bestFit="1" customWidth="1"/>
    <col min="994" max="994" width="11.77734375" bestFit="1" customWidth="1"/>
    <col min="995" max="995" width="11.21875" bestFit="1" customWidth="1"/>
    <col min="996" max="996" width="11.77734375" bestFit="1" customWidth="1"/>
    <col min="997" max="997" width="15.77734375" bestFit="1" customWidth="1"/>
    <col min="998" max="998" width="11.77734375" bestFit="1" customWidth="1"/>
    <col min="999" max="999" width="9.77734375" bestFit="1" customWidth="1"/>
    <col min="1000" max="1000" width="11.77734375" bestFit="1" customWidth="1"/>
    <col min="1001" max="1001" width="10.88671875" bestFit="1" customWidth="1"/>
    <col min="1002" max="1002" width="11.77734375" bestFit="1" customWidth="1"/>
    <col min="1003" max="1003" width="9.77734375" bestFit="1" customWidth="1"/>
    <col min="1004" max="1004" width="11.77734375" bestFit="1" customWidth="1"/>
    <col min="1005" max="1005" width="12.21875" bestFit="1" customWidth="1"/>
    <col min="1006" max="1006" width="11.77734375" bestFit="1" customWidth="1"/>
    <col min="1007" max="1007" width="10" bestFit="1" customWidth="1"/>
    <col min="1008" max="1008" width="11.77734375" bestFit="1" customWidth="1"/>
    <col min="1009" max="1009" width="15.77734375" bestFit="1" customWidth="1"/>
    <col min="1010" max="1010" width="11.77734375" bestFit="1" customWidth="1"/>
    <col min="1011" max="1011" width="11.21875" bestFit="1" customWidth="1"/>
    <col min="1012" max="1012" width="11.77734375" bestFit="1" customWidth="1"/>
    <col min="1013" max="1013" width="12.21875" bestFit="1" customWidth="1"/>
    <col min="1014" max="1014" width="11.77734375" bestFit="1" customWidth="1"/>
    <col min="1015" max="1015" width="10" bestFit="1" customWidth="1"/>
    <col min="1016" max="1016" width="11.77734375" bestFit="1" customWidth="1"/>
    <col min="1017" max="1017" width="9.77734375" bestFit="1" customWidth="1"/>
    <col min="1018" max="1018" width="11.77734375" bestFit="1" customWidth="1"/>
    <col min="1019" max="1019" width="13.21875" bestFit="1" customWidth="1"/>
    <col min="1020" max="1020" width="11.77734375" bestFit="1" customWidth="1"/>
    <col min="1021" max="1021" width="15.77734375" bestFit="1" customWidth="1"/>
    <col min="1022" max="1022" width="11.77734375" bestFit="1" customWidth="1"/>
    <col min="1023" max="1023" width="9.77734375" bestFit="1" customWidth="1"/>
    <col min="1024" max="1024" width="11.77734375" bestFit="1" customWidth="1"/>
    <col min="1025" max="1025" width="10" bestFit="1" customWidth="1"/>
    <col min="1026" max="1026" width="11.77734375" bestFit="1" customWidth="1"/>
    <col min="1027" max="1027" width="10" bestFit="1" customWidth="1"/>
    <col min="1028" max="1028" width="11.77734375" bestFit="1" customWidth="1"/>
    <col min="1029" max="1029" width="10" bestFit="1" customWidth="1"/>
    <col min="1030" max="1030" width="11.77734375" bestFit="1" customWidth="1"/>
    <col min="1031" max="1031" width="15.77734375" bestFit="1" customWidth="1"/>
    <col min="1032" max="1032" width="11.77734375" bestFit="1" customWidth="1"/>
    <col min="1033" max="1033" width="15.77734375" bestFit="1" customWidth="1"/>
    <col min="1034" max="1034" width="11.77734375" bestFit="1" customWidth="1"/>
    <col min="1035" max="1035" width="12.21875" bestFit="1" customWidth="1"/>
    <col min="1036" max="1036" width="11.77734375" bestFit="1" customWidth="1"/>
    <col min="1037" max="1037" width="15.77734375" bestFit="1" customWidth="1"/>
    <col min="1038" max="1038" width="11.77734375" bestFit="1" customWidth="1"/>
    <col min="1039" max="1039" width="11.21875" bestFit="1" customWidth="1"/>
    <col min="1040" max="1040" width="11.77734375" bestFit="1" customWidth="1"/>
    <col min="1041" max="1041" width="15.77734375" bestFit="1" customWidth="1"/>
    <col min="1042" max="1042" width="11.77734375" bestFit="1" customWidth="1"/>
    <col min="1043" max="1043" width="11.21875" bestFit="1" customWidth="1"/>
    <col min="1044" max="1044" width="11.77734375" bestFit="1" customWidth="1"/>
    <col min="1045" max="1045" width="9.77734375" bestFit="1" customWidth="1"/>
    <col min="1046" max="1046" width="11.77734375" bestFit="1" customWidth="1"/>
    <col min="1047" max="1047" width="9.77734375" bestFit="1" customWidth="1"/>
    <col min="1048" max="1048" width="11.77734375" bestFit="1" customWidth="1"/>
    <col min="1049" max="1049" width="10" bestFit="1" customWidth="1"/>
    <col min="1050" max="1050" width="11.77734375" bestFit="1" customWidth="1"/>
    <col min="1051" max="1051" width="15.77734375" bestFit="1" customWidth="1"/>
    <col min="1052" max="1052" width="11.77734375" bestFit="1" customWidth="1"/>
    <col min="1053" max="1053" width="12.21875" bestFit="1" customWidth="1"/>
    <col min="1054" max="1054" width="11.77734375" bestFit="1" customWidth="1"/>
    <col min="1055" max="1055" width="9.77734375" bestFit="1" customWidth="1"/>
    <col min="1056" max="1056" width="11.77734375" bestFit="1" customWidth="1"/>
    <col min="1057" max="1057" width="9.77734375" bestFit="1" customWidth="1"/>
    <col min="1058" max="1058" width="11.77734375" bestFit="1" customWidth="1"/>
    <col min="1059" max="1059" width="15.77734375" bestFit="1" customWidth="1"/>
    <col min="1060" max="1060" width="11.77734375" bestFit="1" customWidth="1"/>
    <col min="1061" max="1061" width="10" bestFit="1" customWidth="1"/>
    <col min="1062" max="1062" width="11.77734375" bestFit="1" customWidth="1"/>
    <col min="1063" max="1063" width="12.21875" bestFit="1" customWidth="1"/>
    <col min="1064" max="1064" width="11.77734375" bestFit="1" customWidth="1"/>
    <col min="1065" max="1065" width="11.21875" bestFit="1" customWidth="1"/>
    <col min="1066" max="1066" width="11.77734375" bestFit="1" customWidth="1"/>
    <col min="1067" max="1067" width="10" bestFit="1" customWidth="1"/>
    <col min="1068" max="1068" width="11.77734375" bestFit="1" customWidth="1"/>
    <col min="1069" max="1069" width="10" bestFit="1" customWidth="1"/>
    <col min="1070" max="1070" width="11.77734375" bestFit="1" customWidth="1"/>
    <col min="1071" max="1071" width="10" bestFit="1" customWidth="1"/>
    <col min="1072" max="1072" width="11.77734375" bestFit="1" customWidth="1"/>
    <col min="1073" max="1073" width="13.21875" bestFit="1" customWidth="1"/>
    <col min="1074" max="1074" width="11.77734375" bestFit="1" customWidth="1"/>
    <col min="1075" max="1075" width="9.77734375" bestFit="1" customWidth="1"/>
    <col min="1076" max="1076" width="11.77734375" bestFit="1" customWidth="1"/>
    <col min="1077" max="1077" width="9.77734375" bestFit="1" customWidth="1"/>
    <col min="1078" max="1078" width="11.77734375" bestFit="1" customWidth="1"/>
    <col min="1079" max="1079" width="12.21875" bestFit="1" customWidth="1"/>
    <col min="1080" max="1080" width="11.77734375" bestFit="1" customWidth="1"/>
    <col min="1081" max="1081" width="9.77734375" bestFit="1" customWidth="1"/>
    <col min="1082" max="1082" width="11.77734375" bestFit="1" customWidth="1"/>
    <col min="1083" max="1083" width="11.21875" bestFit="1" customWidth="1"/>
    <col min="1084" max="1084" width="11.77734375" bestFit="1" customWidth="1"/>
    <col min="1085" max="1085" width="10" bestFit="1" customWidth="1"/>
    <col min="1086" max="1086" width="11.77734375" bestFit="1" customWidth="1"/>
    <col min="1087" max="1087" width="9.77734375" bestFit="1" customWidth="1"/>
    <col min="1088" max="1088" width="11.77734375" bestFit="1" customWidth="1"/>
    <col min="1089" max="1089" width="12.21875" bestFit="1" customWidth="1"/>
    <col min="1090" max="1090" width="11.77734375" bestFit="1" customWidth="1"/>
    <col min="1091" max="1091" width="11.21875" bestFit="1" customWidth="1"/>
    <col min="1092" max="1092" width="11.77734375" bestFit="1" customWidth="1"/>
    <col min="1093" max="1093" width="9.77734375" bestFit="1" customWidth="1"/>
    <col min="1094" max="1094" width="11.77734375" bestFit="1" customWidth="1"/>
    <col min="1095" max="1095" width="10.88671875" bestFit="1" customWidth="1"/>
    <col min="1096" max="1096" width="11.77734375" bestFit="1" customWidth="1"/>
    <col min="1097" max="1097" width="10" bestFit="1" customWidth="1"/>
    <col min="1098" max="1098" width="11.77734375" bestFit="1" customWidth="1"/>
    <col min="1099" max="1099" width="11.21875" bestFit="1" customWidth="1"/>
    <col min="1100" max="1100" width="11.77734375" bestFit="1" customWidth="1"/>
    <col min="1101" max="1101" width="9.77734375" bestFit="1" customWidth="1"/>
    <col min="1102" max="1102" width="11.77734375" bestFit="1" customWidth="1"/>
    <col min="1103" max="1103" width="13.21875" bestFit="1" customWidth="1"/>
    <col min="1104" max="1104" width="11.77734375" bestFit="1" customWidth="1"/>
    <col min="1105" max="1105" width="13.21875" bestFit="1" customWidth="1"/>
    <col min="1106" max="1106" width="11.77734375" bestFit="1" customWidth="1"/>
    <col min="1107" max="1107" width="9.77734375" bestFit="1" customWidth="1"/>
    <col min="1108" max="1108" width="11.77734375" bestFit="1" customWidth="1"/>
    <col min="1109" max="1109" width="12.21875" bestFit="1" customWidth="1"/>
    <col min="1110" max="1110" width="11.77734375" bestFit="1" customWidth="1"/>
    <col min="1111" max="1111" width="10" bestFit="1" customWidth="1"/>
    <col min="1112" max="1112" width="11.77734375" bestFit="1" customWidth="1"/>
    <col min="1113" max="1113" width="9.77734375" bestFit="1" customWidth="1"/>
    <col min="1114" max="1114" width="11.77734375" bestFit="1" customWidth="1"/>
    <col min="1115" max="1115" width="13.21875" bestFit="1" customWidth="1"/>
    <col min="1116" max="1116" width="11.77734375" bestFit="1" customWidth="1"/>
    <col min="1117" max="1117" width="11.21875" bestFit="1" customWidth="1"/>
    <col min="1118" max="1118" width="11.77734375" bestFit="1" customWidth="1"/>
    <col min="1119" max="1119" width="9.77734375" bestFit="1" customWidth="1"/>
    <col min="1120" max="1120" width="11.77734375" bestFit="1" customWidth="1"/>
    <col min="1121" max="1121" width="12.21875" bestFit="1" customWidth="1"/>
    <col min="1122" max="1122" width="11.77734375" bestFit="1" customWidth="1"/>
    <col min="1123" max="1123" width="10" bestFit="1" customWidth="1"/>
    <col min="1124" max="1124" width="11.77734375" bestFit="1" customWidth="1"/>
    <col min="1125" max="1125" width="11.21875" bestFit="1" customWidth="1"/>
    <col min="1126" max="1126" width="11.77734375" bestFit="1" customWidth="1"/>
    <col min="1127" max="1127" width="10" bestFit="1" customWidth="1"/>
    <col min="1128" max="1128" width="11.77734375" bestFit="1" customWidth="1"/>
    <col min="1129" max="1129" width="10.88671875" bestFit="1" customWidth="1"/>
    <col min="1130" max="1130" width="11.77734375" bestFit="1" customWidth="1"/>
    <col min="1131" max="1131" width="10.88671875" bestFit="1" customWidth="1"/>
    <col min="1132" max="1132" width="11.77734375" bestFit="1" customWidth="1"/>
    <col min="1133" max="1133" width="12.21875" bestFit="1" customWidth="1"/>
    <col min="1134" max="1134" width="11.77734375" bestFit="1" customWidth="1"/>
    <col min="1135" max="1135" width="10" bestFit="1" customWidth="1"/>
    <col min="1136" max="1136" width="11.77734375" bestFit="1" customWidth="1"/>
    <col min="1137" max="1137" width="13.21875" bestFit="1" customWidth="1"/>
    <col min="1138" max="1138" width="11.77734375" bestFit="1" customWidth="1"/>
    <col min="1139" max="1139" width="10" bestFit="1" customWidth="1"/>
    <col min="1140" max="1140" width="11.77734375" bestFit="1" customWidth="1"/>
    <col min="1141" max="1141" width="10.88671875" bestFit="1" customWidth="1"/>
    <col min="1142" max="1142" width="11.77734375" bestFit="1" customWidth="1"/>
    <col min="1143" max="1143" width="9.77734375" bestFit="1" customWidth="1"/>
    <col min="1144" max="1144" width="11.77734375" bestFit="1" customWidth="1"/>
    <col min="1145" max="1145" width="12.21875" bestFit="1" customWidth="1"/>
    <col min="1146" max="1146" width="11.77734375" bestFit="1" customWidth="1"/>
    <col min="1147" max="1147" width="10" bestFit="1" customWidth="1"/>
    <col min="1148" max="1148" width="11.77734375" bestFit="1" customWidth="1"/>
    <col min="1149" max="1149" width="12.21875" bestFit="1" customWidth="1"/>
    <col min="1150" max="1150" width="11.77734375" bestFit="1" customWidth="1"/>
    <col min="1151" max="1151" width="12.21875" bestFit="1" customWidth="1"/>
    <col min="1152" max="1152" width="11.77734375" bestFit="1" customWidth="1"/>
    <col min="1153" max="1153" width="10" bestFit="1" customWidth="1"/>
    <col min="1154" max="1154" width="11.77734375" bestFit="1" customWidth="1"/>
    <col min="1155" max="1155" width="11.21875" bestFit="1" customWidth="1"/>
    <col min="1156" max="1156" width="11.77734375" bestFit="1" customWidth="1"/>
    <col min="1157" max="1157" width="11.21875" bestFit="1" customWidth="1"/>
    <col min="1158" max="1158" width="11.77734375" bestFit="1" customWidth="1"/>
    <col min="1159" max="1159" width="11.21875" bestFit="1" customWidth="1"/>
    <col min="1160" max="1160" width="11.77734375" bestFit="1" customWidth="1"/>
    <col min="1161" max="1161" width="9.77734375" bestFit="1" customWidth="1"/>
    <col min="1162" max="1162" width="11.77734375" bestFit="1" customWidth="1"/>
    <col min="1163" max="1163" width="13.21875" bestFit="1" customWidth="1"/>
    <col min="1164" max="1164" width="11.77734375" bestFit="1" customWidth="1"/>
    <col min="1165" max="1165" width="13.21875" bestFit="1" customWidth="1"/>
    <col min="1166" max="1166" width="11.77734375" bestFit="1" customWidth="1"/>
    <col min="1167" max="1167" width="15.77734375" bestFit="1" customWidth="1"/>
    <col min="1168" max="1168" width="11.77734375" bestFit="1" customWidth="1"/>
    <col min="1169" max="1169" width="10.88671875" bestFit="1" customWidth="1"/>
    <col min="1170" max="1170" width="11.77734375" bestFit="1" customWidth="1"/>
    <col min="1171" max="1171" width="9.77734375" bestFit="1" customWidth="1"/>
    <col min="1172" max="1172" width="11.77734375" bestFit="1" customWidth="1"/>
    <col min="1173" max="1173" width="11.21875" bestFit="1" customWidth="1"/>
    <col min="1174" max="1174" width="11.77734375" bestFit="1" customWidth="1"/>
    <col min="1175" max="1175" width="15.77734375" bestFit="1" customWidth="1"/>
    <col min="1176" max="1176" width="11.77734375" bestFit="1" customWidth="1"/>
    <col min="1177" max="1177" width="11.21875" bestFit="1" customWidth="1"/>
    <col min="1178" max="1178" width="11.77734375" bestFit="1" customWidth="1"/>
    <col min="1179" max="1179" width="10" bestFit="1" customWidth="1"/>
    <col min="1180" max="1180" width="11.77734375" bestFit="1" customWidth="1"/>
    <col min="1181" max="1181" width="9.77734375" bestFit="1" customWidth="1"/>
    <col min="1182" max="1182" width="11.77734375" bestFit="1" customWidth="1"/>
    <col min="1183" max="1183" width="10.88671875" bestFit="1" customWidth="1"/>
    <col min="1184" max="1184" width="11.77734375" bestFit="1" customWidth="1"/>
    <col min="1185" max="1185" width="15.77734375" bestFit="1" customWidth="1"/>
    <col min="1186" max="1186" width="11.77734375" bestFit="1" customWidth="1"/>
    <col min="1187" max="1187" width="10" bestFit="1" customWidth="1"/>
    <col min="1188" max="1188" width="11.77734375" bestFit="1" customWidth="1"/>
    <col min="1189" max="1189" width="10" bestFit="1" customWidth="1"/>
    <col min="1190" max="1190" width="11.77734375" bestFit="1" customWidth="1"/>
    <col min="1191" max="1191" width="13.21875" bestFit="1" customWidth="1"/>
    <col min="1192" max="1192" width="11.77734375" bestFit="1" customWidth="1"/>
    <col min="1193" max="1193" width="9.77734375" bestFit="1" customWidth="1"/>
    <col min="1194" max="1194" width="11.77734375" bestFit="1" customWidth="1"/>
    <col min="1195" max="1195" width="13.21875" bestFit="1" customWidth="1"/>
    <col min="1196" max="1196" width="11.77734375" bestFit="1" customWidth="1"/>
    <col min="1197" max="1197" width="13.21875" bestFit="1" customWidth="1"/>
    <col min="1198" max="1198" width="11.77734375" bestFit="1" customWidth="1"/>
    <col min="1199" max="1199" width="10.88671875" bestFit="1" customWidth="1"/>
    <col min="1200" max="1200" width="11.77734375" bestFit="1" customWidth="1"/>
    <col min="1201" max="1201" width="12.21875" bestFit="1" customWidth="1"/>
    <col min="1202" max="1202" width="11.77734375" bestFit="1" customWidth="1"/>
    <col min="1203" max="1203" width="10.88671875" bestFit="1" customWidth="1"/>
    <col min="1204" max="1204" width="11.77734375" bestFit="1" customWidth="1"/>
    <col min="1205" max="1205" width="10" bestFit="1" customWidth="1"/>
    <col min="1206" max="1206" width="11.77734375" bestFit="1" customWidth="1"/>
    <col min="1207" max="1207" width="10" bestFit="1" customWidth="1"/>
    <col min="1208" max="1208" width="11.77734375" bestFit="1" customWidth="1"/>
    <col min="1209" max="1209" width="10" bestFit="1" customWidth="1"/>
    <col min="1210" max="1210" width="11.77734375" bestFit="1" customWidth="1"/>
    <col min="1211" max="1211" width="13.21875" bestFit="1" customWidth="1"/>
    <col min="1212" max="1212" width="11.77734375" bestFit="1" customWidth="1"/>
    <col min="1213" max="1213" width="12.21875" bestFit="1" customWidth="1"/>
    <col min="1214" max="1214" width="11.77734375" bestFit="1" customWidth="1"/>
    <col min="1215" max="1215" width="13.21875" bestFit="1" customWidth="1"/>
    <col min="1216" max="1216" width="11.77734375" bestFit="1" customWidth="1"/>
    <col min="1217" max="1217" width="11.21875" bestFit="1" customWidth="1"/>
    <col min="1218" max="1218" width="11.77734375" bestFit="1" customWidth="1"/>
    <col min="1219" max="1219" width="10" bestFit="1" customWidth="1"/>
    <col min="1220" max="1220" width="11.77734375" bestFit="1" customWidth="1"/>
    <col min="1221" max="1221" width="10.88671875" bestFit="1" customWidth="1"/>
    <col min="1222" max="1222" width="11.77734375" bestFit="1" customWidth="1"/>
    <col min="1223" max="1223" width="10.88671875" bestFit="1" customWidth="1"/>
    <col min="1224" max="1224" width="11.77734375" bestFit="1" customWidth="1"/>
    <col min="1225" max="1225" width="15.77734375" bestFit="1" customWidth="1"/>
    <col min="1226" max="1226" width="11.77734375" bestFit="1" customWidth="1"/>
    <col min="1227" max="1227" width="15.77734375" bestFit="1" customWidth="1"/>
    <col min="1228" max="1228" width="11.77734375" bestFit="1" customWidth="1"/>
    <col min="1229" max="1229" width="9.77734375" bestFit="1" customWidth="1"/>
    <col min="1230" max="1230" width="11.77734375" bestFit="1" customWidth="1"/>
    <col min="1231" max="1231" width="10" bestFit="1" customWidth="1"/>
    <col min="1232" max="1232" width="11.77734375" bestFit="1" customWidth="1"/>
    <col min="1233" max="1233" width="10" bestFit="1" customWidth="1"/>
    <col min="1234" max="1234" width="11.77734375" bestFit="1" customWidth="1"/>
    <col min="1235" max="1235" width="11.21875" bestFit="1" customWidth="1"/>
    <col min="1236" max="1236" width="11.77734375" bestFit="1" customWidth="1"/>
    <col min="1237" max="1237" width="12.21875" bestFit="1" customWidth="1"/>
    <col min="1238" max="1238" width="11.77734375" bestFit="1" customWidth="1"/>
    <col min="1239" max="1239" width="12.21875" bestFit="1" customWidth="1"/>
    <col min="1240" max="1240" width="11.77734375" bestFit="1" customWidth="1"/>
    <col min="1241" max="1241" width="12.21875" bestFit="1" customWidth="1"/>
    <col min="1242" max="1242" width="11.77734375" bestFit="1" customWidth="1"/>
    <col min="1243" max="1243" width="11.21875" bestFit="1" customWidth="1"/>
    <col min="1244" max="1244" width="11.77734375" bestFit="1" customWidth="1"/>
    <col min="1245" max="1245" width="12.21875" bestFit="1" customWidth="1"/>
    <col min="1246" max="1246" width="11.77734375" bestFit="1" customWidth="1"/>
    <col min="1247" max="1247" width="12.21875" bestFit="1" customWidth="1"/>
    <col min="1248" max="1248" width="11.77734375" bestFit="1" customWidth="1"/>
    <col min="1249" max="1249" width="12.21875" bestFit="1" customWidth="1"/>
    <col min="1250" max="1250" width="11.77734375" bestFit="1" customWidth="1"/>
    <col min="1251" max="1251" width="12.21875" bestFit="1" customWidth="1"/>
    <col min="1252" max="1252" width="11.77734375" bestFit="1" customWidth="1"/>
    <col min="1253" max="1253" width="9.77734375" bestFit="1" customWidth="1"/>
    <col min="1254" max="1254" width="11.77734375" bestFit="1" customWidth="1"/>
    <col min="1255" max="1255" width="10.88671875" bestFit="1" customWidth="1"/>
    <col min="1256" max="1256" width="11.77734375" bestFit="1" customWidth="1"/>
    <col min="1257" max="1257" width="9.77734375" bestFit="1" customWidth="1"/>
    <col min="1258" max="1258" width="11.77734375" bestFit="1" customWidth="1"/>
    <col min="1259" max="1259" width="12.21875" bestFit="1" customWidth="1"/>
    <col min="1260" max="1260" width="11.77734375" bestFit="1" customWidth="1"/>
    <col min="1261" max="1261" width="15.77734375" bestFit="1" customWidth="1"/>
    <col min="1262" max="1262" width="11.77734375" bestFit="1" customWidth="1"/>
    <col min="1263" max="1263" width="13.21875" bestFit="1" customWidth="1"/>
    <col min="1264" max="1264" width="11.77734375" bestFit="1" customWidth="1"/>
    <col min="1265" max="1265" width="13.21875" bestFit="1" customWidth="1"/>
    <col min="1266" max="1266" width="11.77734375" bestFit="1" customWidth="1"/>
    <col min="1267" max="1267" width="15.77734375" bestFit="1" customWidth="1"/>
    <col min="1268" max="1268" width="11.77734375" bestFit="1" customWidth="1"/>
    <col min="1269" max="1269" width="10.88671875" bestFit="1" customWidth="1"/>
    <col min="1270" max="1270" width="11.77734375" bestFit="1" customWidth="1"/>
    <col min="1271" max="1271" width="12.21875" bestFit="1" customWidth="1"/>
    <col min="1272" max="1272" width="11.77734375" bestFit="1" customWidth="1"/>
    <col min="1273" max="1273" width="11.21875" bestFit="1" customWidth="1"/>
    <col min="1274" max="1274" width="11.77734375" bestFit="1" customWidth="1"/>
    <col min="1275" max="1275" width="10" bestFit="1" customWidth="1"/>
    <col min="1276" max="1276" width="11.77734375" bestFit="1" customWidth="1"/>
    <col min="1277" max="1277" width="9.77734375" bestFit="1" customWidth="1"/>
    <col min="1278" max="1278" width="11.77734375" bestFit="1" customWidth="1"/>
    <col min="1279" max="1279" width="10.88671875" bestFit="1" customWidth="1"/>
    <col min="1280" max="1280" width="11.77734375" bestFit="1" customWidth="1"/>
    <col min="1281" max="1281" width="11.21875" bestFit="1" customWidth="1"/>
    <col min="1282" max="1282" width="11.77734375" bestFit="1" customWidth="1"/>
    <col min="1283" max="1283" width="9.77734375" bestFit="1" customWidth="1"/>
    <col min="1284" max="1284" width="11.77734375" bestFit="1" customWidth="1"/>
    <col min="1285" max="1285" width="13.21875" bestFit="1" customWidth="1"/>
    <col min="1286" max="1286" width="11.77734375" bestFit="1" customWidth="1"/>
    <col min="1287" max="1287" width="15.77734375" bestFit="1" customWidth="1"/>
    <col min="1288" max="1288" width="11.77734375" bestFit="1" customWidth="1"/>
    <col min="1289" max="1289" width="15.77734375" bestFit="1" customWidth="1"/>
    <col min="1290" max="1290" width="11.77734375" bestFit="1" customWidth="1"/>
    <col min="1291" max="1291" width="9.77734375" bestFit="1" customWidth="1"/>
    <col min="1292" max="1292" width="11.77734375" bestFit="1" customWidth="1"/>
    <col min="1293" max="1293" width="13.21875" bestFit="1" customWidth="1"/>
    <col min="1294" max="1294" width="11.77734375" bestFit="1" customWidth="1"/>
    <col min="1295" max="1295" width="12.21875" bestFit="1" customWidth="1"/>
    <col min="1296" max="1296" width="11.77734375" bestFit="1" customWidth="1"/>
    <col min="1297" max="1297" width="10" bestFit="1" customWidth="1"/>
    <col min="1298" max="1298" width="11.77734375" bestFit="1" customWidth="1"/>
    <col min="1299" max="1299" width="9.77734375" bestFit="1" customWidth="1"/>
    <col min="1300" max="1300" width="11.77734375" bestFit="1" customWidth="1"/>
    <col min="1301" max="1301" width="9.77734375" bestFit="1" customWidth="1"/>
    <col min="1302" max="1302" width="11.77734375" bestFit="1" customWidth="1"/>
    <col min="1303" max="1303" width="12.21875" bestFit="1" customWidth="1"/>
    <col min="1304" max="1304" width="11.77734375" bestFit="1" customWidth="1"/>
    <col min="1305" max="1305" width="13.21875" bestFit="1" customWidth="1"/>
    <col min="1306" max="1306" width="11.77734375" bestFit="1" customWidth="1"/>
    <col min="1307" max="1307" width="12.21875" bestFit="1" customWidth="1"/>
    <col min="1308" max="1308" width="11.77734375" bestFit="1" customWidth="1"/>
    <col min="1309" max="1309" width="13.21875" bestFit="1" customWidth="1"/>
    <col min="1310" max="1310" width="11.77734375" bestFit="1" customWidth="1"/>
    <col min="1311" max="1311" width="10.88671875" bestFit="1" customWidth="1"/>
    <col min="1312" max="1312" width="11.77734375" bestFit="1" customWidth="1"/>
    <col min="1313" max="1313" width="13.21875" bestFit="1" customWidth="1"/>
    <col min="1314" max="1314" width="11.77734375" bestFit="1" customWidth="1"/>
    <col min="1315" max="1315" width="9.77734375" bestFit="1" customWidth="1"/>
    <col min="1316" max="1316" width="11.77734375" bestFit="1" customWidth="1"/>
    <col min="1317" max="1317" width="12.21875" bestFit="1" customWidth="1"/>
    <col min="1318" max="1318" width="11.77734375" bestFit="1" customWidth="1"/>
    <col min="1319" max="1319" width="11.21875" bestFit="1" customWidth="1"/>
    <col min="1320" max="1320" width="11.77734375" bestFit="1" customWidth="1"/>
    <col min="1321" max="1321" width="11.21875" bestFit="1" customWidth="1"/>
    <col min="1322" max="1322" width="11.77734375" bestFit="1" customWidth="1"/>
    <col min="1323" max="1323" width="15.77734375" bestFit="1" customWidth="1"/>
    <col min="1324" max="1324" width="11.77734375" bestFit="1" customWidth="1"/>
    <col min="1325" max="1325" width="13.21875" bestFit="1" customWidth="1"/>
    <col min="1326" max="1326" width="11.77734375" bestFit="1" customWidth="1"/>
    <col min="1327" max="1327" width="9.77734375" bestFit="1" customWidth="1"/>
    <col min="1328" max="1328" width="11.77734375" bestFit="1" customWidth="1"/>
    <col min="1329" max="1329" width="13.21875" bestFit="1" customWidth="1"/>
    <col min="1330" max="1330" width="11.77734375" bestFit="1" customWidth="1"/>
    <col min="1331" max="1331" width="10" bestFit="1" customWidth="1"/>
    <col min="1332" max="1332" width="11.77734375" bestFit="1" customWidth="1"/>
    <col min="1333" max="1333" width="10" bestFit="1" customWidth="1"/>
    <col min="1334" max="1334" width="11.77734375" bestFit="1" customWidth="1"/>
    <col min="1335" max="1335" width="10.88671875" bestFit="1" customWidth="1"/>
    <col min="1336" max="1336" width="11.77734375" bestFit="1" customWidth="1"/>
    <col min="1337" max="1337" width="9.77734375" bestFit="1" customWidth="1"/>
    <col min="1338" max="1338" width="11.77734375" bestFit="1" customWidth="1"/>
    <col min="1339" max="1339" width="11.21875" bestFit="1" customWidth="1"/>
    <col min="1340" max="1340" width="11.77734375" bestFit="1" customWidth="1"/>
    <col min="1341" max="1341" width="15.77734375" bestFit="1" customWidth="1"/>
    <col min="1342" max="1342" width="11.77734375" bestFit="1" customWidth="1"/>
    <col min="1343" max="1343" width="11.21875" bestFit="1" customWidth="1"/>
    <col min="1344" max="1344" width="11.77734375" bestFit="1" customWidth="1"/>
    <col min="1345" max="1345" width="10.88671875" bestFit="1" customWidth="1"/>
    <col min="1346" max="1346" width="11.77734375" bestFit="1" customWidth="1"/>
    <col min="1347" max="1347" width="15.77734375" bestFit="1" customWidth="1"/>
    <col min="1348" max="1348" width="11.77734375" bestFit="1" customWidth="1"/>
    <col min="1349" max="1349" width="12.21875" bestFit="1" customWidth="1"/>
    <col min="1350" max="1350" width="11.77734375" bestFit="1" customWidth="1"/>
    <col min="1351" max="1351" width="9.77734375" bestFit="1" customWidth="1"/>
    <col min="1352" max="1352" width="11.77734375" bestFit="1" customWidth="1"/>
    <col min="1353" max="1353" width="10" bestFit="1" customWidth="1"/>
    <col min="1354" max="1354" width="11.77734375" bestFit="1" customWidth="1"/>
    <col min="1355" max="1355" width="10.88671875" bestFit="1" customWidth="1"/>
    <col min="1356" max="1356" width="11.77734375" bestFit="1" customWidth="1"/>
    <col min="1357" max="1357" width="10" bestFit="1" customWidth="1"/>
    <col min="1358" max="1358" width="11.77734375" bestFit="1" customWidth="1"/>
    <col min="1359" max="1359" width="10" bestFit="1" customWidth="1"/>
    <col min="1360" max="1360" width="11.77734375" bestFit="1" customWidth="1"/>
    <col min="1361" max="1361" width="12.21875" bestFit="1" customWidth="1"/>
    <col min="1362" max="1362" width="11.77734375" bestFit="1" customWidth="1"/>
    <col min="1363" max="1363" width="12.21875" bestFit="1" customWidth="1"/>
    <col min="1364" max="1364" width="11.77734375" bestFit="1" customWidth="1"/>
    <col min="1365" max="1365" width="10.88671875" bestFit="1" customWidth="1"/>
    <col min="1366" max="1366" width="11.77734375" bestFit="1" customWidth="1"/>
    <col min="1367" max="1367" width="12.21875" bestFit="1" customWidth="1"/>
    <col min="1368" max="1368" width="11.77734375" bestFit="1" customWidth="1"/>
    <col min="1369" max="1369" width="10" bestFit="1" customWidth="1"/>
    <col min="1370" max="1370" width="11.77734375" bestFit="1" customWidth="1"/>
    <col min="1371" max="1371" width="9.77734375" bestFit="1" customWidth="1"/>
    <col min="1372" max="1372" width="11.77734375" bestFit="1" customWidth="1"/>
    <col min="1373" max="1373" width="13.21875" bestFit="1" customWidth="1"/>
    <col min="1374" max="1374" width="11.77734375" bestFit="1" customWidth="1"/>
    <col min="1375" max="1375" width="10" bestFit="1" customWidth="1"/>
    <col min="1376" max="1376" width="11.77734375" bestFit="1" customWidth="1"/>
    <col min="1377" max="1377" width="12.21875" bestFit="1" customWidth="1"/>
    <col min="1378" max="1378" width="11.77734375" bestFit="1" customWidth="1"/>
    <col min="1379" max="1379" width="13.21875" bestFit="1" customWidth="1"/>
    <col min="1380" max="1380" width="11.77734375" bestFit="1" customWidth="1"/>
    <col min="1381" max="1381" width="10.88671875" bestFit="1" customWidth="1"/>
    <col min="1382" max="1382" width="11.77734375" bestFit="1" customWidth="1"/>
    <col min="1383" max="1383" width="15.77734375" bestFit="1" customWidth="1"/>
    <col min="1384" max="1384" width="11.77734375" bestFit="1" customWidth="1"/>
    <col min="1385" max="1385" width="10" bestFit="1" customWidth="1"/>
    <col min="1386" max="1386" width="11.77734375" bestFit="1" customWidth="1"/>
    <col min="1387" max="1387" width="12.21875" bestFit="1" customWidth="1"/>
    <col min="1388" max="1388" width="11.77734375" bestFit="1" customWidth="1"/>
    <col min="1389" max="1389" width="12.21875" bestFit="1" customWidth="1"/>
    <col min="1390" max="1390" width="11.77734375" bestFit="1" customWidth="1"/>
    <col min="1391" max="1391" width="13.21875" bestFit="1" customWidth="1"/>
    <col min="1392" max="1392" width="11.77734375" bestFit="1" customWidth="1"/>
    <col min="1393" max="1393" width="9.77734375" bestFit="1" customWidth="1"/>
    <col min="1394" max="1394" width="11.77734375" bestFit="1" customWidth="1"/>
    <col min="1395" max="1395" width="10" bestFit="1" customWidth="1"/>
    <col min="1396" max="1396" width="11.77734375" bestFit="1" customWidth="1"/>
    <col min="1397" max="1397" width="9.77734375" bestFit="1" customWidth="1"/>
    <col min="1398" max="1398" width="11.77734375" bestFit="1" customWidth="1"/>
    <col min="1399" max="1399" width="12.21875" bestFit="1" customWidth="1"/>
    <col min="1400" max="1400" width="11.77734375" bestFit="1" customWidth="1"/>
    <col min="1401" max="1401" width="10" bestFit="1" customWidth="1"/>
    <col min="1402" max="1402" width="11.77734375" bestFit="1" customWidth="1"/>
    <col min="1403" max="1403" width="10" bestFit="1" customWidth="1"/>
    <col min="1404" max="1404" width="11.77734375" bestFit="1" customWidth="1"/>
    <col min="1405" max="1405" width="10" bestFit="1" customWidth="1"/>
    <col min="1406" max="1406" width="11.77734375" bestFit="1" customWidth="1"/>
    <col min="1407" max="1407" width="12.21875" bestFit="1" customWidth="1"/>
    <col min="1408" max="1408" width="11.77734375" bestFit="1" customWidth="1"/>
    <col min="1409" max="1409" width="9.77734375" bestFit="1" customWidth="1"/>
    <col min="1410" max="1410" width="11.77734375" bestFit="1" customWidth="1"/>
    <col min="1411" max="1411" width="10" bestFit="1" customWidth="1"/>
    <col min="1412" max="1412" width="11.77734375" bestFit="1" customWidth="1"/>
    <col min="1413" max="1413" width="15.77734375" bestFit="1" customWidth="1"/>
    <col min="1414" max="1414" width="11.77734375" bestFit="1" customWidth="1"/>
    <col min="1415" max="1415" width="12.21875" bestFit="1" customWidth="1"/>
    <col min="1416" max="1416" width="11.77734375" bestFit="1" customWidth="1"/>
    <col min="1417" max="1417" width="10" bestFit="1" customWidth="1"/>
    <col min="1418" max="1418" width="11.77734375" bestFit="1" customWidth="1"/>
    <col min="1419" max="1419" width="15.77734375" bestFit="1" customWidth="1"/>
    <col min="1420" max="1420" width="11.77734375" bestFit="1" customWidth="1"/>
    <col min="1421" max="1421" width="10" bestFit="1" customWidth="1"/>
    <col min="1422" max="1422" width="11.77734375" bestFit="1" customWidth="1"/>
    <col min="1423" max="1423" width="10" bestFit="1" customWidth="1"/>
    <col min="1424" max="1424" width="11.77734375" bestFit="1" customWidth="1"/>
    <col min="1425" max="1425" width="12.21875" bestFit="1" customWidth="1"/>
    <col min="1426" max="1426" width="11.77734375" bestFit="1" customWidth="1"/>
    <col min="1427" max="1427" width="10" bestFit="1" customWidth="1"/>
    <col min="1428" max="1428" width="11.77734375" bestFit="1" customWidth="1"/>
    <col min="1429" max="1429" width="9.77734375" bestFit="1" customWidth="1"/>
    <col min="1430" max="1430" width="11.77734375" bestFit="1" customWidth="1"/>
    <col min="1431" max="1431" width="10" bestFit="1" customWidth="1"/>
    <col min="1432" max="1432" width="11.77734375" bestFit="1" customWidth="1"/>
    <col min="1433" max="1433" width="10.88671875" bestFit="1" customWidth="1"/>
    <col min="1434" max="1434" width="11.77734375" bestFit="1" customWidth="1"/>
    <col min="1435" max="1435" width="11.21875" bestFit="1" customWidth="1"/>
    <col min="1436" max="1436" width="11.77734375" bestFit="1" customWidth="1"/>
    <col min="1437" max="1437" width="10" bestFit="1" customWidth="1"/>
    <col min="1438" max="1438" width="11.77734375" bestFit="1" customWidth="1"/>
    <col min="1439" max="1439" width="10.88671875" bestFit="1" customWidth="1"/>
    <col min="1440" max="1440" width="11.77734375" bestFit="1" customWidth="1"/>
    <col min="1441" max="1441" width="10.88671875" bestFit="1" customWidth="1"/>
    <col min="1442" max="1442" width="11.77734375" bestFit="1" customWidth="1"/>
    <col min="1443" max="1443" width="10.88671875" bestFit="1" customWidth="1"/>
    <col min="1444" max="1444" width="11.77734375" bestFit="1" customWidth="1"/>
    <col min="1445" max="1445" width="11.21875" bestFit="1" customWidth="1"/>
    <col min="1446" max="1446" width="11.77734375" bestFit="1" customWidth="1"/>
    <col min="1447" max="1447" width="9.77734375" bestFit="1" customWidth="1"/>
    <col min="1448" max="1448" width="11.77734375" bestFit="1" customWidth="1"/>
    <col min="1449" max="1449" width="12.21875" bestFit="1" customWidth="1"/>
    <col min="1450" max="1450" width="11.77734375" bestFit="1" customWidth="1"/>
    <col min="1451" max="1451" width="10" bestFit="1" customWidth="1"/>
    <col min="1452" max="1452" width="11.77734375" bestFit="1" customWidth="1"/>
    <col min="1453" max="1453" width="10.88671875" bestFit="1" customWidth="1"/>
    <col min="1454" max="1454" width="11.77734375" bestFit="1" customWidth="1"/>
    <col min="1455" max="1455" width="12.21875" bestFit="1" customWidth="1"/>
    <col min="1456" max="1456" width="11.77734375" bestFit="1" customWidth="1"/>
    <col min="1457" max="1457" width="15.77734375" bestFit="1" customWidth="1"/>
    <col min="1458" max="1458" width="11.77734375" bestFit="1" customWidth="1"/>
    <col min="1459" max="1459" width="10.88671875" bestFit="1" customWidth="1"/>
    <col min="1460" max="1460" width="11.77734375" bestFit="1" customWidth="1"/>
    <col min="1461" max="1461" width="9.77734375" bestFit="1" customWidth="1"/>
    <col min="1462" max="1462" width="11.77734375" bestFit="1" customWidth="1"/>
    <col min="1463" max="1463" width="12.21875" bestFit="1" customWidth="1"/>
    <col min="1464" max="1464" width="11.77734375" bestFit="1" customWidth="1"/>
    <col min="1465" max="1465" width="9.77734375" bestFit="1" customWidth="1"/>
    <col min="1466" max="1466" width="11.77734375" bestFit="1" customWidth="1"/>
    <col min="1467" max="1467" width="9.77734375" bestFit="1" customWidth="1"/>
    <col min="1468" max="1468" width="11.77734375" bestFit="1" customWidth="1"/>
    <col min="1469" max="1469" width="10.88671875" bestFit="1" customWidth="1"/>
    <col min="1470" max="1470" width="11.77734375" bestFit="1" customWidth="1"/>
    <col min="1471" max="1471" width="15.77734375" bestFit="1" customWidth="1"/>
    <col min="1472" max="1472" width="11.77734375" bestFit="1" customWidth="1"/>
    <col min="1473" max="1473" width="9.77734375" bestFit="1" customWidth="1"/>
    <col min="1474" max="1474" width="11.77734375" bestFit="1" customWidth="1"/>
    <col min="1475" max="1475" width="13.21875" bestFit="1" customWidth="1"/>
    <col min="1476" max="1476" width="11.77734375" bestFit="1" customWidth="1"/>
    <col min="1477" max="1477" width="9.77734375" bestFit="1" customWidth="1"/>
    <col min="1478" max="1478" width="11.77734375" bestFit="1" customWidth="1"/>
    <col min="1479" max="1479" width="13.21875" bestFit="1" customWidth="1"/>
    <col min="1480" max="1480" width="11.77734375" bestFit="1" customWidth="1"/>
    <col min="1481" max="1481" width="12.21875" bestFit="1" customWidth="1"/>
    <col min="1482" max="1482" width="11.77734375" bestFit="1" customWidth="1"/>
    <col min="1483" max="1483" width="9.77734375" bestFit="1" customWidth="1"/>
    <col min="1484" max="1484" width="11.77734375" bestFit="1" customWidth="1"/>
    <col min="1485" max="1485" width="13.21875" bestFit="1" customWidth="1"/>
    <col min="1486" max="1486" width="11.77734375" bestFit="1" customWidth="1"/>
    <col min="1487" max="1487" width="10.88671875" bestFit="1" customWidth="1"/>
    <col min="1488" max="1488" width="11.77734375" bestFit="1" customWidth="1"/>
    <col min="1489" max="1489" width="13.21875" bestFit="1" customWidth="1"/>
    <col min="1490" max="1490" width="11.77734375" bestFit="1" customWidth="1"/>
    <col min="1491" max="1491" width="15.77734375" bestFit="1" customWidth="1"/>
    <col min="1492" max="1492" width="11.77734375" bestFit="1" customWidth="1"/>
    <col min="1493" max="1493" width="10" bestFit="1" customWidth="1"/>
    <col min="1494" max="1494" width="11.77734375" bestFit="1" customWidth="1"/>
    <col min="1495" max="1495" width="10.88671875" bestFit="1" customWidth="1"/>
    <col min="1496" max="1496" width="11.77734375" bestFit="1" customWidth="1"/>
    <col min="1497" max="1497" width="10" bestFit="1" customWidth="1"/>
    <col min="1498" max="1498" width="11.77734375" bestFit="1" customWidth="1"/>
    <col min="1499" max="1499" width="12.21875" bestFit="1" customWidth="1"/>
    <col min="1500" max="1500" width="11.77734375" bestFit="1" customWidth="1"/>
    <col min="1501" max="1501" width="10" bestFit="1" customWidth="1"/>
    <col min="1502" max="1502" width="11.77734375" bestFit="1" customWidth="1"/>
    <col min="1503" max="1503" width="12.21875" bestFit="1" customWidth="1"/>
    <col min="1504" max="1504" width="11.77734375" bestFit="1" customWidth="1"/>
    <col min="1505" max="1505" width="10.88671875" bestFit="1" customWidth="1"/>
    <col min="1506" max="1506" width="11.77734375" bestFit="1" customWidth="1"/>
    <col min="1507" max="1507" width="9.77734375" bestFit="1" customWidth="1"/>
    <col min="1508" max="1508" width="11.77734375" bestFit="1" customWidth="1"/>
    <col min="1509" max="1509" width="13.21875" bestFit="1" customWidth="1"/>
    <col min="1510" max="1510" width="11.77734375" bestFit="1" customWidth="1"/>
    <col min="1511" max="1511" width="15.77734375" bestFit="1" customWidth="1"/>
    <col min="1512" max="1512" width="11.77734375" bestFit="1" customWidth="1"/>
    <col min="1513" max="1513" width="9.77734375" bestFit="1" customWidth="1"/>
    <col min="1514" max="1514" width="11.77734375" bestFit="1" customWidth="1"/>
    <col min="1515" max="1515" width="10" bestFit="1" customWidth="1"/>
    <col min="1516" max="1516" width="11.77734375" bestFit="1" customWidth="1"/>
    <col min="1517" max="1517" width="13.21875" bestFit="1" customWidth="1"/>
    <col min="1518" max="1518" width="11.77734375" bestFit="1" customWidth="1"/>
    <col min="1519" max="1519" width="13.21875" bestFit="1" customWidth="1"/>
    <col min="1520" max="1520" width="11.77734375" bestFit="1" customWidth="1"/>
    <col min="1521" max="1521" width="15.77734375" bestFit="1" customWidth="1"/>
    <col min="1522" max="1522" width="11.77734375" bestFit="1" customWidth="1"/>
    <col min="1523" max="1523" width="15.77734375" bestFit="1" customWidth="1"/>
    <col min="1524" max="1524" width="11.77734375" bestFit="1" customWidth="1"/>
    <col min="1525" max="1525" width="15.77734375" bestFit="1" customWidth="1"/>
    <col min="1526" max="1526" width="11.77734375" bestFit="1" customWidth="1"/>
    <col min="1527" max="1527" width="10" bestFit="1" customWidth="1"/>
    <col min="1528" max="1528" width="11.77734375" bestFit="1" customWidth="1"/>
    <col min="1529" max="1529" width="12.21875" bestFit="1" customWidth="1"/>
    <col min="1530" max="1530" width="11.77734375" bestFit="1" customWidth="1"/>
    <col min="1531" max="1531" width="12.21875" bestFit="1" customWidth="1"/>
    <col min="1532" max="1532" width="11.77734375" bestFit="1" customWidth="1"/>
    <col min="1533" max="1533" width="12.21875" bestFit="1" customWidth="1"/>
    <col min="1534" max="1534" width="11.77734375" bestFit="1" customWidth="1"/>
    <col min="1535" max="1535" width="9.77734375" bestFit="1" customWidth="1"/>
    <col min="1536" max="1536" width="11.77734375" bestFit="1" customWidth="1"/>
    <col min="1537" max="1537" width="11.21875" bestFit="1" customWidth="1"/>
    <col min="1538" max="1538" width="11.77734375" bestFit="1" customWidth="1"/>
    <col min="1539" max="1539" width="9.77734375" bestFit="1" customWidth="1"/>
    <col min="1540" max="1540" width="11.77734375" bestFit="1" customWidth="1"/>
    <col min="1541" max="1541" width="11.21875" bestFit="1" customWidth="1"/>
    <col min="1542" max="1542" width="11.77734375" bestFit="1" customWidth="1"/>
    <col min="1543" max="1543" width="10" bestFit="1" customWidth="1"/>
    <col min="1544" max="1544" width="11.77734375" bestFit="1" customWidth="1"/>
    <col min="1545" max="1545" width="10" bestFit="1" customWidth="1"/>
    <col min="1546" max="1546" width="11.77734375" bestFit="1" customWidth="1"/>
    <col min="1547" max="1547" width="10.88671875" bestFit="1" customWidth="1"/>
    <col min="1548" max="1548" width="11.77734375" bestFit="1" customWidth="1"/>
    <col min="1549" max="1549" width="10.88671875" bestFit="1" customWidth="1"/>
    <col min="1550" max="1550" width="11.77734375" bestFit="1" customWidth="1"/>
    <col min="1551" max="1551" width="10" bestFit="1" customWidth="1"/>
    <col min="1552" max="1552" width="11.77734375" bestFit="1" customWidth="1"/>
    <col min="1553" max="1553" width="10" bestFit="1" customWidth="1"/>
    <col min="1554" max="1554" width="11.77734375" bestFit="1" customWidth="1"/>
    <col min="1555" max="1555" width="10.88671875" bestFit="1" customWidth="1"/>
    <col min="1556" max="1556" width="11.77734375" bestFit="1" customWidth="1"/>
    <col min="1557" max="1557" width="9.77734375" bestFit="1" customWidth="1"/>
    <col min="1558" max="1558" width="11.77734375" bestFit="1" customWidth="1"/>
    <col min="1559" max="1559" width="10" bestFit="1" customWidth="1"/>
    <col min="1560" max="1560" width="11.77734375" bestFit="1" customWidth="1"/>
    <col min="1561" max="1561" width="11.21875" bestFit="1" customWidth="1"/>
    <col min="1562" max="1562" width="11.77734375" bestFit="1" customWidth="1"/>
    <col min="1563" max="1563" width="9.77734375" bestFit="1" customWidth="1"/>
    <col min="1564" max="1564" width="11.77734375" bestFit="1" customWidth="1"/>
    <col min="1565" max="1565" width="11.21875" bestFit="1" customWidth="1"/>
    <col min="1566" max="1566" width="11.77734375" bestFit="1" customWidth="1"/>
    <col min="1567" max="1567" width="10" bestFit="1" customWidth="1"/>
    <col min="1568" max="1568" width="11.77734375" bestFit="1" customWidth="1"/>
    <col min="1569" max="1569" width="12.21875" bestFit="1" customWidth="1"/>
    <col min="1570" max="1570" width="11.77734375" bestFit="1" customWidth="1"/>
    <col min="1571" max="1571" width="12.21875" bestFit="1" customWidth="1"/>
    <col min="1572" max="1572" width="11.77734375" bestFit="1" customWidth="1"/>
    <col min="1573" max="1573" width="10.88671875" bestFit="1" customWidth="1"/>
    <col min="1574" max="1574" width="11.77734375" bestFit="1" customWidth="1"/>
    <col min="1575" max="1575" width="13.21875" bestFit="1" customWidth="1"/>
    <col min="1576" max="1576" width="11.77734375" bestFit="1" customWidth="1"/>
    <col min="1577" max="1577" width="11.21875" bestFit="1" customWidth="1"/>
    <col min="1578" max="1578" width="11.77734375" bestFit="1" customWidth="1"/>
    <col min="1579" max="1579" width="15.77734375" bestFit="1" customWidth="1"/>
    <col min="1580" max="1580" width="11.77734375" bestFit="1" customWidth="1"/>
    <col min="1581" max="1581" width="9.77734375" bestFit="1" customWidth="1"/>
    <col min="1582" max="1582" width="11.77734375" bestFit="1" customWidth="1"/>
    <col min="1583" max="1583" width="12.21875" bestFit="1" customWidth="1"/>
    <col min="1584" max="1584" width="11.77734375" bestFit="1" customWidth="1"/>
    <col min="1585" max="1585" width="11.21875" bestFit="1" customWidth="1"/>
    <col min="1586" max="1586" width="11.77734375" bestFit="1" customWidth="1"/>
    <col min="1587" max="1587" width="12.21875" bestFit="1" customWidth="1"/>
    <col min="1588" max="1588" width="11.77734375" bestFit="1" customWidth="1"/>
    <col min="1589" max="1589" width="9.77734375" bestFit="1" customWidth="1"/>
    <col min="1590" max="1590" width="11.77734375" bestFit="1" customWidth="1"/>
    <col min="1591" max="1591" width="12.21875" bestFit="1" customWidth="1"/>
    <col min="1592" max="1592" width="11.77734375" bestFit="1" customWidth="1"/>
    <col min="1593" max="1593" width="12.21875" bestFit="1" customWidth="1"/>
    <col min="1594" max="1594" width="11.77734375" bestFit="1" customWidth="1"/>
    <col min="1595" max="1595" width="10" bestFit="1" customWidth="1"/>
    <col min="1596" max="1596" width="11.77734375" bestFit="1" customWidth="1"/>
    <col min="1597" max="1597" width="12.21875" bestFit="1" customWidth="1"/>
    <col min="1598" max="1598" width="11.77734375" bestFit="1" customWidth="1"/>
    <col min="1599" max="1599" width="9.77734375" bestFit="1" customWidth="1"/>
    <col min="1600" max="1600" width="11.77734375" bestFit="1" customWidth="1"/>
    <col min="1601" max="1601" width="10.88671875" bestFit="1" customWidth="1"/>
    <col min="1602" max="1602" width="11.77734375" bestFit="1" customWidth="1"/>
    <col min="1603" max="1603" width="13.21875" bestFit="1" customWidth="1"/>
    <col min="1604" max="1604" width="11.77734375" bestFit="1" customWidth="1"/>
    <col min="1605" max="1605" width="9.77734375" bestFit="1" customWidth="1"/>
    <col min="1606" max="1606" width="11.77734375" bestFit="1" customWidth="1"/>
    <col min="1607" max="1607" width="10.88671875" bestFit="1" customWidth="1"/>
    <col min="1608" max="1608" width="11.77734375" bestFit="1" customWidth="1"/>
    <col min="1609" max="1609" width="9.77734375" bestFit="1" customWidth="1"/>
    <col min="1610" max="1610" width="11.77734375" bestFit="1" customWidth="1"/>
    <col min="1611" max="1611" width="9.77734375" bestFit="1" customWidth="1"/>
    <col min="1612" max="1612" width="11.77734375" bestFit="1" customWidth="1"/>
    <col min="1613" max="1613" width="9.77734375" bestFit="1" customWidth="1"/>
    <col min="1614" max="1614" width="11.77734375" bestFit="1" customWidth="1"/>
    <col min="1615" max="1615" width="12.21875" bestFit="1" customWidth="1"/>
    <col min="1616" max="1616" width="11.77734375" bestFit="1" customWidth="1"/>
    <col min="1617" max="1617" width="12.21875" bestFit="1" customWidth="1"/>
    <col min="1618" max="1618" width="11.77734375" bestFit="1" customWidth="1"/>
    <col min="1619" max="1619" width="13.21875" bestFit="1" customWidth="1"/>
    <col min="1620" max="1620" width="11.77734375" bestFit="1" customWidth="1"/>
    <col min="1621" max="1621" width="10" bestFit="1" customWidth="1"/>
    <col min="1622" max="1622" width="11.77734375" bestFit="1" customWidth="1"/>
    <col min="1623" max="1623" width="15.77734375" bestFit="1" customWidth="1"/>
    <col min="1624" max="1624" width="11.77734375" bestFit="1" customWidth="1"/>
    <col min="1625" max="1625" width="9.77734375" bestFit="1" customWidth="1"/>
    <col min="1626" max="1626" width="11.77734375" bestFit="1" customWidth="1"/>
    <col min="1627" max="1627" width="9.77734375" bestFit="1" customWidth="1"/>
    <col min="1628" max="1628" width="11.77734375" bestFit="1" customWidth="1"/>
    <col min="1629" max="1629" width="11.21875" bestFit="1" customWidth="1"/>
    <col min="1630" max="1630" width="11.77734375" bestFit="1" customWidth="1"/>
    <col min="1631" max="1631" width="9.77734375" bestFit="1" customWidth="1"/>
    <col min="1632" max="1632" width="11.77734375" bestFit="1" customWidth="1"/>
    <col min="1633" max="1633" width="13.21875" bestFit="1" customWidth="1"/>
    <col min="1634" max="1634" width="11.77734375" bestFit="1" customWidth="1"/>
    <col min="1635" max="1635" width="12.21875" bestFit="1" customWidth="1"/>
    <col min="1636" max="1636" width="11.77734375" bestFit="1" customWidth="1"/>
    <col min="1637" max="1637" width="9.77734375" bestFit="1" customWidth="1"/>
    <col min="1638" max="1638" width="11.77734375" bestFit="1" customWidth="1"/>
    <col min="1639" max="1639" width="12.21875" bestFit="1" customWidth="1"/>
    <col min="1640" max="1640" width="11.77734375" bestFit="1" customWidth="1"/>
    <col min="1641" max="1641" width="12.21875" bestFit="1" customWidth="1"/>
    <col min="1642" max="1642" width="11.77734375" bestFit="1" customWidth="1"/>
    <col min="1643" max="1643" width="13.21875" bestFit="1" customWidth="1"/>
    <col min="1644" max="1644" width="11.77734375" bestFit="1" customWidth="1"/>
    <col min="1645" max="1645" width="12.21875" bestFit="1" customWidth="1"/>
    <col min="1646" max="1646" width="11.77734375" bestFit="1" customWidth="1"/>
    <col min="1647" max="1647" width="13.21875" bestFit="1" customWidth="1"/>
    <col min="1648" max="1648" width="11.77734375" bestFit="1" customWidth="1"/>
    <col min="1649" max="1649" width="9.77734375" bestFit="1" customWidth="1"/>
    <col min="1650" max="1650" width="11.77734375" bestFit="1" customWidth="1"/>
    <col min="1651" max="1651" width="13.21875" bestFit="1" customWidth="1"/>
    <col min="1652" max="1652" width="11.77734375" bestFit="1" customWidth="1"/>
    <col min="1653" max="1653" width="12.21875" bestFit="1" customWidth="1"/>
    <col min="1654" max="1654" width="11.77734375" bestFit="1" customWidth="1"/>
    <col min="1655" max="1655" width="13.21875" bestFit="1" customWidth="1"/>
    <col min="1656" max="1656" width="11.77734375" bestFit="1" customWidth="1"/>
    <col min="1657" max="1657" width="12.21875" bestFit="1" customWidth="1"/>
    <col min="1658" max="1658" width="11.77734375" bestFit="1" customWidth="1"/>
    <col min="1659" max="1659" width="9.77734375" bestFit="1" customWidth="1"/>
    <col min="1660" max="1660" width="11.77734375" bestFit="1" customWidth="1"/>
    <col min="1661" max="1661" width="12.21875" bestFit="1" customWidth="1"/>
    <col min="1662" max="1662" width="11.77734375" bestFit="1" customWidth="1"/>
    <col min="1663" max="1663" width="10" bestFit="1" customWidth="1"/>
    <col min="1664" max="1664" width="11.77734375" bestFit="1" customWidth="1"/>
    <col min="1665" max="1665" width="10.88671875" bestFit="1" customWidth="1"/>
    <col min="1666" max="1666" width="11.77734375" bestFit="1" customWidth="1"/>
    <col min="1667" max="1667" width="9.77734375" bestFit="1" customWidth="1"/>
    <col min="1668" max="1668" width="11.77734375" bestFit="1" customWidth="1"/>
    <col min="1669" max="1669" width="9.77734375" bestFit="1" customWidth="1"/>
    <col min="1670" max="1670" width="11.77734375" bestFit="1" customWidth="1"/>
    <col min="1671" max="1671" width="10.88671875" bestFit="1" customWidth="1"/>
    <col min="1672" max="1672" width="11.77734375" bestFit="1" customWidth="1"/>
    <col min="1673" max="1673" width="10.88671875" bestFit="1" customWidth="1"/>
    <col min="1674" max="1674" width="11.77734375" bestFit="1" customWidth="1"/>
    <col min="1675" max="1675" width="9.77734375" bestFit="1" customWidth="1"/>
    <col min="1676" max="1676" width="11.77734375" bestFit="1" customWidth="1"/>
    <col min="1677" max="1677" width="10.88671875" bestFit="1" customWidth="1"/>
    <col min="1678" max="1678" width="11.77734375" bestFit="1" customWidth="1"/>
    <col min="1679" max="1679" width="11.21875" bestFit="1" customWidth="1"/>
    <col min="1680" max="1680" width="11.77734375" bestFit="1" customWidth="1"/>
    <col min="1681" max="1681" width="11.21875" bestFit="1" customWidth="1"/>
    <col min="1682" max="1682" width="11.77734375" bestFit="1" customWidth="1"/>
    <col min="1683" max="1683" width="10" bestFit="1" customWidth="1"/>
    <col min="1684" max="1684" width="11.77734375" bestFit="1" customWidth="1"/>
    <col min="1685" max="1685" width="11.21875" bestFit="1" customWidth="1"/>
    <col min="1686" max="1686" width="11.77734375" bestFit="1" customWidth="1"/>
    <col min="1687" max="1687" width="10" bestFit="1" customWidth="1"/>
    <col min="1688" max="1688" width="11.77734375" bestFit="1" customWidth="1"/>
    <col min="1689" max="1689" width="9.77734375" bestFit="1" customWidth="1"/>
    <col min="1690" max="1690" width="11.77734375" bestFit="1" customWidth="1"/>
    <col min="1691" max="1691" width="10" bestFit="1" customWidth="1"/>
    <col min="1692" max="1692" width="11.77734375" bestFit="1" customWidth="1"/>
    <col min="1693" max="1693" width="9.77734375" bestFit="1" customWidth="1"/>
    <col min="1694" max="1694" width="11.77734375" bestFit="1" customWidth="1"/>
    <col min="1695" max="1695" width="13.21875" bestFit="1" customWidth="1"/>
    <col min="1696" max="1696" width="11.77734375" bestFit="1" customWidth="1"/>
    <col min="1697" max="1697" width="13.21875" bestFit="1" customWidth="1"/>
    <col min="1698" max="1698" width="11.77734375" bestFit="1" customWidth="1"/>
    <col min="1699" max="1699" width="9.77734375" bestFit="1" customWidth="1"/>
    <col min="1700" max="1700" width="11.77734375" bestFit="1" customWidth="1"/>
    <col min="1701" max="1701" width="12.21875" bestFit="1" customWidth="1"/>
    <col min="1702" max="1702" width="11.77734375" bestFit="1" customWidth="1"/>
    <col min="1703" max="1703" width="15.77734375" bestFit="1" customWidth="1"/>
    <col min="1704" max="1704" width="11.77734375" bestFit="1" customWidth="1"/>
    <col min="1705" max="1705" width="9.77734375" bestFit="1" customWidth="1"/>
    <col min="1706" max="1706" width="11.77734375" bestFit="1" customWidth="1"/>
    <col min="1707" max="1707" width="9.77734375" bestFit="1" customWidth="1"/>
    <col min="1708" max="1708" width="11.77734375" bestFit="1" customWidth="1"/>
    <col min="1709" max="1709" width="12.21875" bestFit="1" customWidth="1"/>
    <col min="1710" max="1710" width="11.77734375" bestFit="1" customWidth="1"/>
    <col min="1711" max="1711" width="10.88671875" bestFit="1" customWidth="1"/>
    <col min="1712" max="1712" width="11.77734375" bestFit="1" customWidth="1"/>
    <col min="1713" max="1713" width="11.21875" bestFit="1" customWidth="1"/>
    <col min="1714" max="1714" width="11.77734375" bestFit="1" customWidth="1"/>
    <col min="1715" max="1715" width="12.21875" bestFit="1" customWidth="1"/>
    <col min="1716" max="1716" width="11.77734375" bestFit="1" customWidth="1"/>
    <col min="1717" max="1717" width="12.21875" bestFit="1" customWidth="1"/>
    <col min="1718" max="1718" width="11.77734375" bestFit="1" customWidth="1"/>
    <col min="1719" max="1719" width="13.21875" bestFit="1" customWidth="1"/>
    <col min="1720" max="1720" width="11.77734375" bestFit="1" customWidth="1"/>
    <col min="1721" max="1721" width="10.88671875" bestFit="1" customWidth="1"/>
    <col min="1722" max="1722" width="11.77734375" bestFit="1" customWidth="1"/>
    <col min="1723" max="1723" width="9.77734375" bestFit="1" customWidth="1"/>
    <col min="1724" max="1724" width="11.77734375" bestFit="1" customWidth="1"/>
    <col min="1725" max="1725" width="10.88671875" bestFit="1" customWidth="1"/>
    <col min="1726" max="1726" width="11.77734375" bestFit="1" customWidth="1"/>
    <col min="1727" max="1727" width="9.77734375" bestFit="1" customWidth="1"/>
    <col min="1728" max="1728" width="11.77734375" bestFit="1" customWidth="1"/>
    <col min="1729" max="1729" width="13.21875" bestFit="1" customWidth="1"/>
    <col min="1730" max="1730" width="11.77734375" bestFit="1" customWidth="1"/>
    <col min="1731" max="1731" width="12.21875" bestFit="1" customWidth="1"/>
    <col min="1732" max="1732" width="11.77734375" bestFit="1" customWidth="1"/>
    <col min="1733" max="1733" width="10.88671875" bestFit="1" customWidth="1"/>
    <col min="1734" max="1734" width="11.77734375" bestFit="1" customWidth="1"/>
    <col min="1735" max="1735" width="13.21875" bestFit="1" customWidth="1"/>
    <col min="1736" max="1736" width="11.77734375" bestFit="1" customWidth="1"/>
    <col min="1737" max="1737" width="12.21875" bestFit="1" customWidth="1"/>
    <col min="1738" max="1738" width="11.77734375" bestFit="1" customWidth="1"/>
    <col min="1739" max="1739" width="9.77734375" bestFit="1" customWidth="1"/>
    <col min="1740" max="1740" width="11.77734375" bestFit="1" customWidth="1"/>
    <col min="1741" max="1741" width="10.88671875" bestFit="1" customWidth="1"/>
    <col min="1742" max="1742" width="11.77734375" bestFit="1" customWidth="1"/>
    <col min="1743" max="1743" width="9.77734375" bestFit="1" customWidth="1"/>
    <col min="1744" max="1744" width="11.77734375" bestFit="1" customWidth="1"/>
    <col min="1745" max="1745" width="13.21875" bestFit="1" customWidth="1"/>
    <col min="1746" max="1746" width="11.77734375" bestFit="1" customWidth="1"/>
    <col min="1747" max="1747" width="13.21875" bestFit="1" customWidth="1"/>
    <col min="1748" max="1748" width="11.77734375" bestFit="1" customWidth="1"/>
    <col min="1749" max="1749" width="11.21875" bestFit="1" customWidth="1"/>
    <col min="1750" max="1750" width="11.77734375" bestFit="1" customWidth="1"/>
    <col min="1751" max="1751" width="13.21875" bestFit="1" customWidth="1"/>
    <col min="1752" max="1752" width="11.77734375" bestFit="1" customWidth="1"/>
    <col min="1753" max="1753" width="15.77734375" bestFit="1" customWidth="1"/>
    <col min="1754" max="1754" width="11.77734375" bestFit="1" customWidth="1"/>
    <col min="1755" max="1755" width="12.21875" bestFit="1" customWidth="1"/>
    <col min="1756" max="1756" width="11.77734375" bestFit="1" customWidth="1"/>
    <col min="1757" max="1757" width="12.21875" bestFit="1" customWidth="1"/>
    <col min="1758" max="1758" width="11.77734375" bestFit="1" customWidth="1"/>
    <col min="1759" max="1759" width="12.21875" bestFit="1" customWidth="1"/>
    <col min="1760" max="1760" width="11.77734375" bestFit="1" customWidth="1"/>
    <col min="1761" max="1761" width="10.88671875" bestFit="1" customWidth="1"/>
    <col min="1762" max="1762" width="11.77734375" bestFit="1" customWidth="1"/>
    <col min="1763" max="1763" width="10" bestFit="1" customWidth="1"/>
    <col min="1764" max="1764" width="11.77734375" bestFit="1" customWidth="1"/>
    <col min="1765" max="1765" width="12.21875" bestFit="1" customWidth="1"/>
    <col min="1766" max="1766" width="11.77734375" bestFit="1" customWidth="1"/>
    <col min="1767" max="1767" width="12.21875" bestFit="1" customWidth="1"/>
    <col min="1768" max="1768" width="11.77734375" bestFit="1" customWidth="1"/>
    <col min="1769" max="1769" width="10.88671875" bestFit="1" customWidth="1"/>
    <col min="1770" max="1770" width="11.77734375" bestFit="1" customWidth="1"/>
    <col min="1771" max="1771" width="15.77734375" bestFit="1" customWidth="1"/>
    <col min="1772" max="1772" width="11.77734375" bestFit="1" customWidth="1"/>
    <col min="1773" max="1773" width="10" bestFit="1" customWidth="1"/>
    <col min="1774" max="1774" width="11.77734375" bestFit="1" customWidth="1"/>
    <col min="1775" max="1775" width="11.21875" bestFit="1" customWidth="1"/>
    <col min="1776" max="1776" width="11.77734375" bestFit="1" customWidth="1"/>
    <col min="1777" max="1777" width="12.21875" bestFit="1" customWidth="1"/>
    <col min="1778" max="1778" width="11.77734375" bestFit="1" customWidth="1"/>
    <col min="1779" max="1779" width="13.21875" bestFit="1" customWidth="1"/>
    <col min="1780" max="1780" width="11.77734375" bestFit="1" customWidth="1"/>
    <col min="1781" max="1781" width="9.77734375" bestFit="1" customWidth="1"/>
    <col min="1782" max="1782" width="11.77734375" bestFit="1" customWidth="1"/>
    <col min="1783" max="1783" width="15.77734375" bestFit="1" customWidth="1"/>
    <col min="1784" max="1784" width="11.77734375" bestFit="1" customWidth="1"/>
    <col min="1785" max="1785" width="10.88671875" bestFit="1" customWidth="1"/>
    <col min="1786" max="1786" width="11.77734375" bestFit="1" customWidth="1"/>
    <col min="1787" max="1787" width="9.77734375" bestFit="1" customWidth="1"/>
    <col min="1788" max="1788" width="11.77734375" bestFit="1" customWidth="1"/>
    <col min="1789" max="1789" width="12.21875" bestFit="1" customWidth="1"/>
    <col min="1790" max="1790" width="11.77734375" bestFit="1" customWidth="1"/>
    <col min="1791" max="1791" width="12.21875" bestFit="1" customWidth="1"/>
    <col min="1792" max="1792" width="11.77734375" bestFit="1" customWidth="1"/>
    <col min="1793" max="1793" width="13.21875" bestFit="1" customWidth="1"/>
    <col min="1794" max="1794" width="11.77734375" bestFit="1" customWidth="1"/>
    <col min="1795" max="1795" width="12.21875" bestFit="1" customWidth="1"/>
    <col min="1796" max="1796" width="11.77734375" bestFit="1" customWidth="1"/>
    <col min="1797" max="1797" width="11.21875" bestFit="1" customWidth="1"/>
    <col min="1798" max="1798" width="11.77734375" bestFit="1" customWidth="1"/>
    <col min="1799" max="1799" width="10.88671875" bestFit="1" customWidth="1"/>
    <col min="1800" max="1800" width="11.77734375" bestFit="1" customWidth="1"/>
    <col min="1801" max="1801" width="13.21875" bestFit="1" customWidth="1"/>
    <col min="1802" max="1802" width="11.77734375" bestFit="1" customWidth="1"/>
    <col min="1803" max="1803" width="12.21875" bestFit="1" customWidth="1"/>
    <col min="1804" max="1804" width="11.77734375" bestFit="1" customWidth="1"/>
    <col min="1805" max="1805" width="15.77734375" bestFit="1" customWidth="1"/>
    <col min="1806" max="1806" width="11.77734375" bestFit="1" customWidth="1"/>
    <col min="1807" max="1807" width="9.77734375" bestFit="1" customWidth="1"/>
    <col min="1808" max="1808" width="11.77734375" bestFit="1" customWidth="1"/>
    <col min="1809" max="1809" width="15.77734375" bestFit="1" customWidth="1"/>
    <col min="1810" max="1810" width="11.77734375" bestFit="1" customWidth="1"/>
    <col min="1811" max="1811" width="10.88671875" bestFit="1" customWidth="1"/>
    <col min="1812" max="1812" width="11.77734375" bestFit="1" customWidth="1"/>
    <col min="1813" max="1813" width="15.77734375" bestFit="1" customWidth="1"/>
    <col min="1814" max="1814" width="11.77734375" bestFit="1" customWidth="1"/>
    <col min="1815" max="1815" width="13.21875" bestFit="1" customWidth="1"/>
    <col min="1816" max="1816" width="11.77734375" bestFit="1" customWidth="1"/>
    <col min="1817" max="1817" width="15.77734375" bestFit="1" customWidth="1"/>
    <col min="1818" max="1818" width="11.77734375" bestFit="1" customWidth="1"/>
    <col min="1819" max="1819" width="9.77734375" bestFit="1" customWidth="1"/>
    <col min="1820" max="1820" width="11.77734375" bestFit="1" customWidth="1"/>
    <col min="1821" max="1821" width="12.21875" bestFit="1" customWidth="1"/>
    <col min="1822" max="1822" width="11.77734375" bestFit="1" customWidth="1"/>
    <col min="1823" max="1823" width="9.77734375" bestFit="1" customWidth="1"/>
    <col min="1824" max="1824" width="11.77734375" bestFit="1" customWidth="1"/>
    <col min="1825" max="1825" width="15.77734375" bestFit="1" customWidth="1"/>
    <col min="1826" max="1826" width="11.77734375" bestFit="1" customWidth="1"/>
    <col min="1827" max="1827" width="11.21875" bestFit="1" customWidth="1"/>
    <col min="1828" max="1828" width="11.77734375" bestFit="1" customWidth="1"/>
    <col min="1829" max="1829" width="12.21875" bestFit="1" customWidth="1"/>
    <col min="1830" max="1830" width="11.77734375" bestFit="1" customWidth="1"/>
    <col min="1831" max="1831" width="13.21875" bestFit="1" customWidth="1"/>
    <col min="1832" max="1832" width="11.77734375" bestFit="1" customWidth="1"/>
    <col min="1833" max="1833" width="9.77734375" bestFit="1" customWidth="1"/>
    <col min="1834" max="1834" width="11.77734375" bestFit="1" customWidth="1"/>
    <col min="1835" max="1835" width="10" bestFit="1" customWidth="1"/>
    <col min="1836" max="1836" width="11.77734375" bestFit="1" customWidth="1"/>
    <col min="1837" max="1837" width="11.21875" bestFit="1" customWidth="1"/>
    <col min="1838" max="1838" width="11.77734375" bestFit="1" customWidth="1"/>
    <col min="1839" max="1839" width="9.77734375" bestFit="1" customWidth="1"/>
    <col min="1840" max="1840" width="11.77734375" bestFit="1" customWidth="1"/>
    <col min="1841" max="1841" width="13.21875" bestFit="1" customWidth="1"/>
    <col min="1842" max="1842" width="11.77734375" bestFit="1" customWidth="1"/>
    <col min="1843" max="1843" width="9.77734375" bestFit="1" customWidth="1"/>
    <col min="1844" max="1844" width="11.77734375" bestFit="1" customWidth="1"/>
    <col min="1845" max="1845" width="9.77734375" bestFit="1" customWidth="1"/>
    <col min="1846" max="1846" width="11.77734375" bestFit="1" customWidth="1"/>
    <col min="1847" max="1847" width="9.77734375" bestFit="1" customWidth="1"/>
    <col min="1848" max="1848" width="11.77734375" bestFit="1" customWidth="1"/>
    <col min="1849" max="1849" width="12.21875" bestFit="1" customWidth="1"/>
    <col min="1850" max="1850" width="11.77734375" bestFit="1" customWidth="1"/>
    <col min="1851" max="1851" width="9.77734375" bestFit="1" customWidth="1"/>
    <col min="1852" max="1852" width="11.77734375" bestFit="1" customWidth="1"/>
    <col min="1853" max="1853" width="10" bestFit="1" customWidth="1"/>
    <col min="1854" max="1854" width="11.77734375" bestFit="1" customWidth="1"/>
    <col min="1855" max="1855" width="15.77734375" bestFit="1" customWidth="1"/>
    <col min="1856" max="1856" width="11.77734375" bestFit="1" customWidth="1"/>
    <col min="1857" max="1857" width="12.21875" bestFit="1" customWidth="1"/>
    <col min="1858" max="1858" width="11.77734375" bestFit="1" customWidth="1"/>
    <col min="1859" max="1859" width="10" bestFit="1" customWidth="1"/>
    <col min="1860" max="1860" width="11.77734375" bestFit="1" customWidth="1"/>
    <col min="1861" max="1861" width="12.21875" bestFit="1" customWidth="1"/>
    <col min="1862" max="1862" width="11.77734375" bestFit="1" customWidth="1"/>
    <col min="1863" max="1863" width="10" bestFit="1" customWidth="1"/>
    <col min="1864" max="1864" width="11.77734375" bestFit="1" customWidth="1"/>
    <col min="1865" max="1865" width="15.77734375" bestFit="1" customWidth="1"/>
    <col min="1866" max="1866" width="11.77734375" bestFit="1" customWidth="1"/>
    <col min="1867" max="1867" width="10" bestFit="1" customWidth="1"/>
    <col min="1868" max="1868" width="11.77734375" bestFit="1" customWidth="1"/>
    <col min="1869" max="1869" width="9.77734375" bestFit="1" customWidth="1"/>
    <col min="1870" max="1870" width="11.77734375" bestFit="1" customWidth="1"/>
    <col min="1871" max="1871" width="10.88671875" bestFit="1" customWidth="1"/>
    <col min="1872" max="1872" width="11.77734375" bestFit="1" customWidth="1"/>
    <col min="1873" max="1873" width="15.77734375" bestFit="1" customWidth="1"/>
    <col min="1874" max="1874" width="11.77734375" bestFit="1" customWidth="1"/>
    <col min="1875" max="1875" width="12.21875" bestFit="1" customWidth="1"/>
    <col min="1876" max="1876" width="11.77734375" bestFit="1" customWidth="1"/>
    <col min="1877" max="1877" width="12.21875" bestFit="1" customWidth="1"/>
    <col min="1878" max="1878" width="11.77734375" bestFit="1" customWidth="1"/>
    <col min="1879" max="1879" width="9.77734375" bestFit="1" customWidth="1"/>
    <col min="1880" max="1880" width="11.77734375" bestFit="1" customWidth="1"/>
    <col min="1881" max="1881" width="11.21875" bestFit="1" customWidth="1"/>
    <col min="1882" max="1882" width="11.77734375" bestFit="1" customWidth="1"/>
    <col min="1883" max="1883" width="11.21875" bestFit="1" customWidth="1"/>
    <col min="1884" max="1884" width="11.77734375" bestFit="1" customWidth="1"/>
    <col min="1885" max="1885" width="13.21875" bestFit="1" customWidth="1"/>
    <col min="1886" max="1886" width="11.77734375" bestFit="1" customWidth="1"/>
    <col min="1887" max="1887" width="10" bestFit="1" customWidth="1"/>
    <col min="1888" max="1888" width="11.77734375" bestFit="1" customWidth="1"/>
    <col min="1889" max="1889" width="15.77734375" bestFit="1" customWidth="1"/>
    <col min="1890" max="1890" width="11.77734375" bestFit="1" customWidth="1"/>
    <col min="1891" max="1891" width="12.21875" bestFit="1" customWidth="1"/>
    <col min="1892" max="1892" width="11.77734375" bestFit="1" customWidth="1"/>
    <col min="1893" max="1893" width="12.21875" bestFit="1" customWidth="1"/>
    <col min="1894" max="1894" width="11.77734375" bestFit="1" customWidth="1"/>
    <col min="1895" max="1895" width="12.21875" bestFit="1" customWidth="1"/>
    <col min="1896" max="1896" width="11.77734375" bestFit="1" customWidth="1"/>
    <col min="1897" max="1897" width="12.21875" bestFit="1" customWidth="1"/>
    <col min="1898" max="1898" width="11.77734375" bestFit="1" customWidth="1"/>
    <col min="1899" max="1899" width="10" bestFit="1" customWidth="1"/>
    <col min="1900" max="1900" width="11.77734375" bestFit="1" customWidth="1"/>
    <col min="1901" max="1901" width="12.21875" bestFit="1" customWidth="1"/>
    <col min="1902" max="1902" width="11.77734375" bestFit="1" customWidth="1"/>
    <col min="1903" max="1903" width="10" bestFit="1" customWidth="1"/>
    <col min="1904" max="1904" width="11.77734375" bestFit="1" customWidth="1"/>
    <col min="1905" max="1905" width="9.77734375" bestFit="1" customWidth="1"/>
    <col min="1906" max="1906" width="11.77734375" bestFit="1" customWidth="1"/>
    <col min="1907" max="1907" width="11.21875" bestFit="1" customWidth="1"/>
    <col min="1908" max="1908" width="11.77734375" bestFit="1" customWidth="1"/>
    <col min="1909" max="1909" width="10.88671875" bestFit="1" customWidth="1"/>
    <col min="1910" max="1910" width="11.77734375" bestFit="1" customWidth="1"/>
    <col min="1911" max="1911" width="9.77734375" bestFit="1" customWidth="1"/>
    <col min="1912" max="1912" width="11.77734375" bestFit="1" customWidth="1"/>
    <col min="1913" max="1913" width="9.77734375" bestFit="1" customWidth="1"/>
    <col min="1914" max="1914" width="11.77734375" bestFit="1" customWidth="1"/>
    <col min="1915" max="1915" width="10" bestFit="1" customWidth="1"/>
    <col min="1916" max="1916" width="11.77734375" bestFit="1" customWidth="1"/>
    <col min="1917" max="1917" width="13.21875" bestFit="1" customWidth="1"/>
    <col min="1918" max="1918" width="11.77734375" bestFit="1" customWidth="1"/>
    <col min="1919" max="1919" width="12.21875" bestFit="1" customWidth="1"/>
    <col min="1920" max="1920" width="11.77734375" bestFit="1" customWidth="1"/>
    <col min="1921" max="1921" width="9.77734375" bestFit="1" customWidth="1"/>
    <col min="1922" max="1922" width="11.77734375" bestFit="1" customWidth="1"/>
    <col min="1923" max="1923" width="15.77734375" bestFit="1" customWidth="1"/>
    <col min="1924" max="1924" width="11.77734375" bestFit="1" customWidth="1"/>
    <col min="1925" max="1925" width="10.88671875" bestFit="1" customWidth="1"/>
    <col min="1926" max="1926" width="11.77734375" bestFit="1" customWidth="1"/>
    <col min="1927" max="1927" width="15.77734375" bestFit="1" customWidth="1"/>
    <col min="1928" max="1928" width="11.77734375" bestFit="1" customWidth="1"/>
    <col min="1929" max="1929" width="10" bestFit="1" customWidth="1"/>
    <col min="1930" max="1930" width="11.77734375" bestFit="1" customWidth="1"/>
    <col min="1931" max="1931" width="12.21875" bestFit="1" customWidth="1"/>
    <col min="1932" max="1932" width="11.77734375" bestFit="1" customWidth="1"/>
    <col min="1933" max="1933" width="10" bestFit="1" customWidth="1"/>
    <col min="1934" max="1934" width="11.77734375" bestFit="1" customWidth="1"/>
    <col min="1935" max="1935" width="9.77734375" bestFit="1" customWidth="1"/>
    <col min="1936" max="1936" width="11.77734375" bestFit="1" customWidth="1"/>
    <col min="1937" max="1937" width="10" bestFit="1" customWidth="1"/>
    <col min="1938" max="1938" width="11.77734375" bestFit="1" customWidth="1"/>
    <col min="1939" max="1939" width="12.21875" bestFit="1" customWidth="1"/>
    <col min="1940" max="1940" width="11.77734375" bestFit="1" customWidth="1"/>
    <col min="1941" max="1941" width="9.77734375" bestFit="1" customWidth="1"/>
    <col min="1942" max="1942" width="11.77734375" bestFit="1" customWidth="1"/>
    <col min="1943" max="1943" width="13.21875" bestFit="1" customWidth="1"/>
    <col min="1944" max="1944" width="11.77734375" bestFit="1" customWidth="1"/>
    <col min="1945" max="1945" width="12.21875" bestFit="1" customWidth="1"/>
    <col min="1946" max="1946" width="11.77734375" bestFit="1" customWidth="1"/>
    <col min="1947" max="1947" width="13.21875" bestFit="1" customWidth="1"/>
    <col min="1948" max="1948" width="11.77734375" bestFit="1" customWidth="1"/>
    <col min="1949" max="1949" width="12.21875" bestFit="1" customWidth="1"/>
    <col min="1950" max="1950" width="11.77734375" bestFit="1" customWidth="1"/>
    <col min="1951" max="1951" width="12.21875" bestFit="1" customWidth="1"/>
    <col min="1952" max="1952" width="11.77734375" bestFit="1" customWidth="1"/>
    <col min="1953" max="1953" width="9.77734375" bestFit="1" customWidth="1"/>
    <col min="1954" max="1954" width="11.77734375" bestFit="1" customWidth="1"/>
    <col min="1955" max="1955" width="9.77734375" bestFit="1" customWidth="1"/>
    <col min="1956" max="1956" width="11.77734375" bestFit="1" customWidth="1"/>
    <col min="1957" max="1957" width="11.21875" bestFit="1" customWidth="1"/>
    <col min="1958" max="1958" width="11.77734375" bestFit="1" customWidth="1"/>
    <col min="1959" max="1959" width="15.77734375" bestFit="1" customWidth="1"/>
    <col min="1960" max="1960" width="11.77734375" bestFit="1" customWidth="1"/>
    <col min="1961" max="1961" width="15.77734375" bestFit="1" customWidth="1"/>
    <col min="1962" max="1962" width="11.77734375" bestFit="1" customWidth="1"/>
    <col min="1963" max="1963" width="10" bestFit="1" customWidth="1"/>
    <col min="1964" max="1964" width="11.77734375" bestFit="1" customWidth="1"/>
    <col min="1965" max="1965" width="10" bestFit="1" customWidth="1"/>
    <col min="1966" max="1966" width="11.77734375" bestFit="1" customWidth="1"/>
    <col min="1967" max="1967" width="15.77734375" bestFit="1" customWidth="1"/>
    <col min="1968" max="1968" width="11.77734375" bestFit="1" customWidth="1"/>
    <col min="1969" max="1969" width="11.21875" bestFit="1" customWidth="1"/>
    <col min="1970" max="1970" width="11.77734375" bestFit="1" customWidth="1"/>
    <col min="1971" max="1971" width="12.21875" bestFit="1" customWidth="1"/>
    <col min="1972" max="1972" width="11.77734375" bestFit="1" customWidth="1"/>
    <col min="1973" max="1973" width="15.77734375" bestFit="1" customWidth="1"/>
    <col min="1974" max="1974" width="11.77734375" bestFit="1" customWidth="1"/>
    <col min="1975" max="1975" width="10.88671875" bestFit="1" customWidth="1"/>
    <col min="1976" max="1976" width="11.77734375" bestFit="1" customWidth="1"/>
    <col min="1977" max="1977" width="9.77734375" bestFit="1" customWidth="1"/>
    <col min="1978" max="1978" width="11.77734375" bestFit="1" customWidth="1"/>
    <col min="1979" max="1979" width="10.88671875" bestFit="1" customWidth="1"/>
    <col min="1980" max="1980" width="11.77734375" bestFit="1" customWidth="1"/>
    <col min="1981" max="1981" width="9.77734375" bestFit="1" customWidth="1"/>
    <col min="1982" max="1982" width="11.77734375" bestFit="1" customWidth="1"/>
    <col min="1983" max="1983" width="10.88671875" bestFit="1" customWidth="1"/>
    <col min="1984" max="1984" width="11.77734375" bestFit="1" customWidth="1"/>
    <col min="1985" max="1985" width="15.77734375" bestFit="1" customWidth="1"/>
    <col min="1986" max="1986" width="11.77734375" bestFit="1" customWidth="1"/>
    <col min="1987" max="1987" width="12.21875" bestFit="1" customWidth="1"/>
    <col min="1988" max="1988" width="11.77734375" bestFit="1" customWidth="1"/>
    <col min="1989" max="1989" width="13.21875" bestFit="1" customWidth="1"/>
    <col min="1990" max="1990" width="11.77734375" bestFit="1" customWidth="1"/>
    <col min="1991" max="1991" width="9.77734375" bestFit="1" customWidth="1"/>
    <col min="1992" max="1992" width="11.77734375" bestFit="1" customWidth="1"/>
    <col min="1993" max="1993" width="15.77734375" bestFit="1" customWidth="1"/>
    <col min="1994" max="1994" width="11.77734375" bestFit="1" customWidth="1"/>
    <col min="1995" max="1995" width="9.77734375" bestFit="1" customWidth="1"/>
    <col min="1996" max="1996" width="11.77734375" bestFit="1" customWidth="1"/>
    <col min="1997" max="1997" width="15.77734375" bestFit="1" customWidth="1"/>
    <col min="1998" max="1998" width="11.77734375" bestFit="1" customWidth="1"/>
    <col min="1999" max="1999" width="9.77734375" bestFit="1" customWidth="1"/>
    <col min="2000" max="2000" width="11.77734375" bestFit="1" customWidth="1"/>
    <col min="2001" max="2001" width="10" bestFit="1" customWidth="1"/>
    <col min="2002" max="2002" width="11.77734375" bestFit="1" customWidth="1"/>
    <col min="2003" max="2003" width="9.77734375" bestFit="1" customWidth="1"/>
    <col min="2004" max="2004" width="11.77734375" bestFit="1" customWidth="1"/>
    <col min="2005" max="2005" width="9.77734375" bestFit="1" customWidth="1"/>
    <col min="2006" max="2006" width="11.77734375" bestFit="1" customWidth="1"/>
    <col min="2007" max="2007" width="12.21875" bestFit="1" customWidth="1"/>
    <col min="2008" max="2008" width="11.77734375" bestFit="1" customWidth="1"/>
    <col min="2009" max="2009" width="10" bestFit="1" customWidth="1"/>
    <col min="2010" max="2010" width="11.77734375" bestFit="1" customWidth="1"/>
    <col min="2011" max="2011" width="10" bestFit="1" customWidth="1"/>
    <col min="2012" max="2012" width="11.77734375" bestFit="1" customWidth="1"/>
    <col min="2013" max="2013" width="15.77734375" bestFit="1" customWidth="1"/>
    <col min="2014" max="2014" width="11.77734375" bestFit="1" customWidth="1"/>
    <col min="2015" max="2015" width="15.77734375" bestFit="1" customWidth="1"/>
    <col min="2016" max="2016" width="11.77734375" bestFit="1" customWidth="1"/>
    <col min="2017" max="2017" width="10" bestFit="1" customWidth="1"/>
    <col min="2018" max="2018" width="11.77734375" bestFit="1" customWidth="1"/>
    <col min="2019" max="2019" width="15.77734375" bestFit="1" customWidth="1"/>
    <col min="2020" max="2020" width="11.77734375" bestFit="1" customWidth="1"/>
    <col min="2021" max="2021" width="12.21875" bestFit="1" customWidth="1"/>
    <col min="2022" max="2022" width="11.77734375" bestFit="1" customWidth="1"/>
    <col min="2023" max="2023" width="10.88671875" bestFit="1" customWidth="1"/>
    <col min="2024" max="2024" width="11.77734375" bestFit="1" customWidth="1"/>
    <col min="2025" max="2025" width="9.77734375" bestFit="1" customWidth="1"/>
    <col min="2026" max="2026" width="11.77734375" bestFit="1" customWidth="1"/>
    <col min="2027" max="2027" width="12.21875" bestFit="1" customWidth="1"/>
    <col min="2028" max="2028" width="11.77734375" bestFit="1" customWidth="1"/>
    <col min="2029" max="2029" width="12.21875" bestFit="1" customWidth="1"/>
    <col min="2030" max="2030" width="11.77734375" bestFit="1" customWidth="1"/>
    <col min="2031" max="2031" width="9.77734375" bestFit="1" customWidth="1"/>
    <col min="2032" max="2032" width="11.77734375" bestFit="1" customWidth="1"/>
    <col min="2033" max="2033" width="9.77734375" bestFit="1" customWidth="1"/>
    <col min="2034" max="2034" width="11.77734375" bestFit="1" customWidth="1"/>
    <col min="2035" max="2035" width="10" bestFit="1" customWidth="1"/>
    <col min="2036" max="2036" width="11.77734375" bestFit="1" customWidth="1"/>
    <col min="2037" max="2037" width="10.88671875" bestFit="1" customWidth="1"/>
    <col min="2038" max="2038" width="11.77734375" bestFit="1" customWidth="1"/>
    <col min="2039" max="2039" width="10.88671875" bestFit="1" customWidth="1"/>
    <col min="2040" max="2040" width="11.77734375" bestFit="1" customWidth="1"/>
    <col min="2041" max="2041" width="13.21875" bestFit="1" customWidth="1"/>
    <col min="2042" max="2042" width="11.77734375" bestFit="1" customWidth="1"/>
    <col min="2043" max="2043" width="13.21875" bestFit="1" customWidth="1"/>
    <col min="2044" max="2044" width="11.77734375" bestFit="1" customWidth="1"/>
    <col min="2045" max="2045" width="13.21875" bestFit="1" customWidth="1"/>
    <col min="2046" max="2046" width="11.77734375" bestFit="1" customWidth="1"/>
    <col min="2047" max="2047" width="10" bestFit="1" customWidth="1"/>
    <col min="2048" max="2048" width="11.77734375" bestFit="1" customWidth="1"/>
    <col min="2049" max="2049" width="9.77734375" bestFit="1" customWidth="1"/>
    <col min="2050" max="2050" width="11.77734375" bestFit="1" customWidth="1"/>
    <col min="2051" max="2051" width="11.21875" bestFit="1" customWidth="1"/>
    <col min="2052" max="2052" width="11.77734375" bestFit="1" customWidth="1"/>
    <col min="2053" max="2053" width="9.77734375" bestFit="1" customWidth="1"/>
    <col min="2054" max="2054" width="11.77734375" bestFit="1" customWidth="1"/>
    <col min="2055" max="2055" width="10" bestFit="1" customWidth="1"/>
    <col min="2056" max="2056" width="11.77734375" bestFit="1" customWidth="1"/>
    <col min="2057" max="2057" width="13.21875" bestFit="1" customWidth="1"/>
    <col min="2058" max="2058" width="11.77734375" bestFit="1" customWidth="1"/>
    <col min="2059" max="2059" width="13.21875" bestFit="1" customWidth="1"/>
    <col min="2060" max="2060" width="11.77734375" bestFit="1" customWidth="1"/>
    <col min="2061" max="2061" width="9.77734375" bestFit="1" customWidth="1"/>
    <col min="2062" max="2062" width="11.77734375" bestFit="1" customWidth="1"/>
    <col min="2063" max="2063" width="12.21875" bestFit="1" customWidth="1"/>
    <col min="2064" max="2064" width="11.77734375" bestFit="1" customWidth="1"/>
    <col min="2065" max="2065" width="9.77734375" bestFit="1" customWidth="1"/>
    <col min="2066" max="2066" width="11.77734375" bestFit="1" customWidth="1"/>
    <col min="2067" max="2067" width="10" bestFit="1" customWidth="1"/>
    <col min="2068" max="2068" width="11.77734375" bestFit="1" customWidth="1"/>
    <col min="2069" max="2069" width="12.21875" bestFit="1" customWidth="1"/>
    <col min="2070" max="2070" width="11.77734375" bestFit="1" customWidth="1"/>
    <col min="2071" max="2071" width="10" bestFit="1" customWidth="1"/>
    <col min="2072" max="2072" width="11.77734375" bestFit="1" customWidth="1"/>
    <col min="2073" max="2073" width="11.21875" bestFit="1" customWidth="1"/>
    <col min="2074" max="2074" width="11.77734375" bestFit="1" customWidth="1"/>
    <col min="2075" max="2075" width="15.77734375" bestFit="1" customWidth="1"/>
    <col min="2076" max="2076" width="11.77734375" bestFit="1" customWidth="1"/>
    <col min="2077" max="2077" width="9.77734375" bestFit="1" customWidth="1"/>
    <col min="2078" max="2078" width="11.77734375" bestFit="1" customWidth="1"/>
    <col min="2079" max="2079" width="11.21875" bestFit="1" customWidth="1"/>
    <col min="2080" max="2080" width="11.77734375" bestFit="1" customWidth="1"/>
    <col min="2081" max="2081" width="12.21875" bestFit="1" customWidth="1"/>
    <col min="2082" max="2082" width="11.77734375" bestFit="1" customWidth="1"/>
    <col min="2083" max="2083" width="9.77734375" bestFit="1" customWidth="1"/>
    <col min="2084" max="2084" width="11.77734375" bestFit="1" customWidth="1"/>
    <col min="2085" max="2085" width="12.21875" bestFit="1" customWidth="1"/>
    <col min="2086" max="2086" width="11.77734375" bestFit="1" customWidth="1"/>
    <col min="2087" max="2087" width="12.21875" bestFit="1" customWidth="1"/>
    <col min="2088" max="2088" width="11.77734375" bestFit="1" customWidth="1"/>
    <col min="2089" max="2089" width="9.77734375" bestFit="1" customWidth="1"/>
    <col min="2090" max="2090" width="11.77734375" bestFit="1" customWidth="1"/>
    <col min="2091" max="2091" width="10.88671875" bestFit="1" customWidth="1"/>
    <col min="2092" max="2092" width="11.77734375" bestFit="1" customWidth="1"/>
    <col min="2093" max="2093" width="15.77734375" bestFit="1" customWidth="1"/>
    <col min="2094" max="2094" width="11.77734375" bestFit="1" customWidth="1"/>
    <col min="2095" max="2095" width="10.88671875" bestFit="1" customWidth="1"/>
    <col min="2096" max="2096" width="11.77734375" bestFit="1" customWidth="1"/>
    <col min="2097" max="2097" width="10" bestFit="1" customWidth="1"/>
    <col min="2098" max="2098" width="11.77734375" bestFit="1" customWidth="1"/>
    <col min="2099" max="2099" width="12.21875" bestFit="1" customWidth="1"/>
    <col min="2100" max="2100" width="11.77734375" bestFit="1" customWidth="1"/>
    <col min="2101" max="2101" width="12.21875" bestFit="1" customWidth="1"/>
    <col min="2102" max="2102" width="11.77734375" bestFit="1" customWidth="1"/>
    <col min="2103" max="2103" width="10.88671875" bestFit="1" customWidth="1"/>
    <col min="2104" max="2104" width="11.77734375" bestFit="1" customWidth="1"/>
    <col min="2105" max="2105" width="9.77734375" bestFit="1" customWidth="1"/>
    <col min="2106" max="2106" width="11.77734375" bestFit="1" customWidth="1"/>
    <col min="2107" max="2107" width="10" bestFit="1" customWidth="1"/>
    <col min="2108" max="2108" width="11.77734375" bestFit="1" customWidth="1"/>
    <col min="2109" max="2109" width="15.77734375" bestFit="1" customWidth="1"/>
    <col min="2110" max="2110" width="11.77734375" bestFit="1" customWidth="1"/>
    <col min="2111" max="2111" width="11.21875" bestFit="1" customWidth="1"/>
    <col min="2112" max="2112" width="11.77734375" bestFit="1" customWidth="1"/>
    <col min="2113" max="2113" width="10.88671875" bestFit="1" customWidth="1"/>
    <col min="2114" max="2114" width="11.77734375" bestFit="1" customWidth="1"/>
    <col min="2115" max="2115" width="11.21875" bestFit="1" customWidth="1"/>
    <col min="2116" max="2116" width="11.77734375" bestFit="1" customWidth="1"/>
    <col min="2117" max="2117" width="10.88671875" bestFit="1" customWidth="1"/>
    <col min="2118" max="2118" width="11.77734375" bestFit="1" customWidth="1"/>
    <col min="2119" max="2119" width="10.88671875" bestFit="1" customWidth="1"/>
    <col min="2120" max="2120" width="11.77734375" bestFit="1" customWidth="1"/>
    <col min="2121" max="2121" width="12.21875" bestFit="1" customWidth="1"/>
    <col min="2122" max="2122" width="11.77734375" bestFit="1" customWidth="1"/>
    <col min="2123" max="2123" width="15.77734375" bestFit="1" customWidth="1"/>
    <col min="2124" max="2124" width="11.77734375" bestFit="1" customWidth="1"/>
    <col min="2125" max="2125" width="11.21875" bestFit="1" customWidth="1"/>
    <col min="2126" max="2126" width="11.77734375" bestFit="1" customWidth="1"/>
    <col min="2127" max="2127" width="9.77734375" bestFit="1" customWidth="1"/>
    <col min="2128" max="2128" width="11.77734375" bestFit="1" customWidth="1"/>
    <col min="2129" max="2129" width="12.21875" bestFit="1" customWidth="1"/>
    <col min="2130" max="2130" width="11.77734375" bestFit="1" customWidth="1"/>
    <col min="2131" max="2131" width="11.21875" bestFit="1" customWidth="1"/>
    <col min="2132" max="2132" width="11.77734375" bestFit="1" customWidth="1"/>
    <col min="2133" max="2133" width="15.77734375" bestFit="1" customWidth="1"/>
    <col min="2134" max="2134" width="11.77734375" bestFit="1" customWidth="1"/>
    <col min="2135" max="2135" width="12.21875" bestFit="1" customWidth="1"/>
    <col min="2136" max="2136" width="11.77734375" bestFit="1" customWidth="1"/>
    <col min="2137" max="2137" width="11.21875" bestFit="1" customWidth="1"/>
    <col min="2138" max="2138" width="11.77734375" bestFit="1" customWidth="1"/>
    <col min="2139" max="2139" width="9.77734375" bestFit="1" customWidth="1"/>
    <col min="2140" max="2140" width="11.77734375" bestFit="1" customWidth="1"/>
    <col min="2141" max="2141" width="10" bestFit="1" customWidth="1"/>
    <col min="2142" max="2142" width="11.77734375" bestFit="1" customWidth="1"/>
    <col min="2143" max="2143" width="11.21875" bestFit="1" customWidth="1"/>
    <col min="2144" max="2144" width="11.77734375" bestFit="1" customWidth="1"/>
    <col min="2145" max="2145" width="10" bestFit="1" customWidth="1"/>
    <col min="2146" max="2146" width="11.77734375" bestFit="1" customWidth="1"/>
    <col min="2147" max="2147" width="15.77734375" bestFit="1" customWidth="1"/>
    <col min="2148" max="2148" width="11.77734375" bestFit="1" customWidth="1"/>
    <col min="2149" max="2149" width="10.88671875" bestFit="1" customWidth="1"/>
    <col min="2150" max="2150" width="11.77734375" bestFit="1" customWidth="1"/>
    <col min="2151" max="2151" width="10" bestFit="1" customWidth="1"/>
    <col min="2152" max="2152" width="11.77734375" bestFit="1" customWidth="1"/>
    <col min="2153" max="2153" width="15.77734375" bestFit="1" customWidth="1"/>
    <col min="2154" max="2154" width="11.77734375" bestFit="1" customWidth="1"/>
    <col min="2155" max="2155" width="12.21875" bestFit="1" customWidth="1"/>
    <col min="2156" max="2156" width="11.77734375" bestFit="1" customWidth="1"/>
    <col min="2157" max="2157" width="9.77734375" bestFit="1" customWidth="1"/>
    <col min="2158" max="2158" width="11.77734375" bestFit="1" customWidth="1"/>
    <col min="2159" max="2159" width="13.21875" bestFit="1" customWidth="1"/>
    <col min="2160" max="2160" width="11.77734375" bestFit="1" customWidth="1"/>
    <col min="2161" max="2161" width="10" bestFit="1" customWidth="1"/>
    <col min="2162" max="2162" width="11.77734375" bestFit="1" customWidth="1"/>
    <col min="2163" max="2163" width="9.77734375" bestFit="1" customWidth="1"/>
    <col min="2164" max="2164" width="11.77734375" bestFit="1" customWidth="1"/>
    <col min="2165" max="2165" width="12.21875" bestFit="1" customWidth="1"/>
    <col min="2166" max="2166" width="11.77734375" bestFit="1" customWidth="1"/>
    <col min="2167" max="2167" width="10" bestFit="1" customWidth="1"/>
    <col min="2168" max="2168" width="11.77734375" bestFit="1" customWidth="1"/>
    <col min="2169" max="2169" width="12.21875" bestFit="1" customWidth="1"/>
    <col min="2170" max="2170" width="11.77734375" bestFit="1" customWidth="1"/>
    <col min="2171" max="2171" width="11.21875" bestFit="1" customWidth="1"/>
    <col min="2172" max="2172" width="11.77734375" bestFit="1" customWidth="1"/>
    <col min="2173" max="2173" width="10" bestFit="1" customWidth="1"/>
    <col min="2174" max="2174" width="11.77734375" bestFit="1" customWidth="1"/>
    <col min="2175" max="2175" width="10.88671875" bestFit="1" customWidth="1"/>
    <col min="2176" max="2176" width="11.77734375" bestFit="1" customWidth="1"/>
    <col min="2177" max="2177" width="12.21875" bestFit="1" customWidth="1"/>
    <col min="2178" max="2178" width="11.77734375" bestFit="1" customWidth="1"/>
    <col min="2179" max="2179" width="9.77734375" bestFit="1" customWidth="1"/>
    <col min="2180" max="2180" width="11.77734375" bestFit="1" customWidth="1"/>
    <col min="2181" max="2181" width="13.21875" bestFit="1" customWidth="1"/>
    <col min="2182" max="2182" width="11.77734375" bestFit="1" customWidth="1"/>
    <col min="2183" max="2183" width="10.88671875" bestFit="1" customWidth="1"/>
    <col min="2184" max="2184" width="11.77734375" bestFit="1" customWidth="1"/>
    <col min="2185" max="2185" width="13.21875" bestFit="1" customWidth="1"/>
    <col min="2186" max="2186" width="11.77734375" bestFit="1" customWidth="1"/>
    <col min="2187" max="2187" width="12.21875" bestFit="1" customWidth="1"/>
    <col min="2188" max="2188" width="11.77734375" bestFit="1" customWidth="1"/>
    <col min="2189" max="2189" width="10.88671875" bestFit="1" customWidth="1"/>
    <col min="2190" max="2190" width="11.77734375" bestFit="1" customWidth="1"/>
    <col min="2191" max="2191" width="9.77734375" bestFit="1" customWidth="1"/>
    <col min="2192" max="2192" width="11.77734375" bestFit="1" customWidth="1"/>
    <col min="2193" max="2193" width="10.88671875" bestFit="1" customWidth="1"/>
    <col min="2194" max="2194" width="11.77734375" bestFit="1" customWidth="1"/>
    <col min="2195" max="2195" width="12.21875" bestFit="1" customWidth="1"/>
    <col min="2196" max="2196" width="11.77734375" bestFit="1" customWidth="1"/>
    <col min="2197" max="2197" width="12.21875" bestFit="1" customWidth="1"/>
    <col min="2198" max="2198" width="11.77734375" bestFit="1" customWidth="1"/>
    <col min="2199" max="2199" width="11.21875" bestFit="1" customWidth="1"/>
    <col min="2200" max="2200" width="11.77734375" bestFit="1" customWidth="1"/>
    <col min="2201" max="2201" width="13.21875" bestFit="1" customWidth="1"/>
    <col min="2202" max="2202" width="11.77734375" bestFit="1" customWidth="1"/>
    <col min="2203" max="2203" width="12.21875" bestFit="1" customWidth="1"/>
    <col min="2204" max="2204" width="11.77734375" bestFit="1" customWidth="1"/>
    <col min="2205" max="2205" width="9.77734375" bestFit="1" customWidth="1"/>
    <col min="2206" max="2206" width="11.77734375" bestFit="1" customWidth="1"/>
    <col min="2207" max="2207" width="12.21875" bestFit="1" customWidth="1"/>
    <col min="2208" max="2208" width="11.77734375" bestFit="1" customWidth="1"/>
    <col min="2209" max="2209" width="11.21875" bestFit="1" customWidth="1"/>
    <col min="2210" max="2210" width="11.77734375" bestFit="1" customWidth="1"/>
    <col min="2211" max="2211" width="10.88671875" bestFit="1" customWidth="1"/>
    <col min="2212" max="2212" width="11.77734375" bestFit="1" customWidth="1"/>
    <col min="2213" max="2213" width="15.77734375" bestFit="1" customWidth="1"/>
    <col min="2214" max="2214" width="11.77734375" bestFit="1" customWidth="1"/>
    <col min="2215" max="2215" width="12.21875" bestFit="1" customWidth="1"/>
    <col min="2216" max="2216" width="11.77734375" bestFit="1" customWidth="1"/>
    <col min="2217" max="2217" width="12.21875" bestFit="1" customWidth="1"/>
    <col min="2218" max="2218" width="11.77734375" bestFit="1" customWidth="1"/>
    <col min="2219" max="2219" width="10.88671875" bestFit="1" customWidth="1"/>
    <col min="2220" max="2220" width="11.77734375" bestFit="1" customWidth="1"/>
    <col min="2221" max="2221" width="12.21875" bestFit="1" customWidth="1"/>
    <col min="2222" max="2222" width="11.77734375" bestFit="1" customWidth="1"/>
    <col min="2223" max="2223" width="13.21875" bestFit="1" customWidth="1"/>
    <col min="2224" max="2224" width="11.77734375" bestFit="1" customWidth="1"/>
    <col min="2225" max="2225" width="15.77734375" bestFit="1" customWidth="1"/>
    <col min="2226" max="2226" width="11.77734375" bestFit="1" customWidth="1"/>
    <col min="2227" max="2227" width="12.21875" bestFit="1" customWidth="1"/>
    <col min="2228" max="2228" width="11.77734375" bestFit="1" customWidth="1"/>
    <col min="2229" max="2229" width="9.77734375" bestFit="1" customWidth="1"/>
    <col min="2230" max="2230" width="11.77734375" bestFit="1" customWidth="1"/>
    <col min="2231" max="2231" width="10" bestFit="1" customWidth="1"/>
    <col min="2232" max="2232" width="11.77734375" bestFit="1" customWidth="1"/>
    <col min="2233" max="2233" width="9.77734375" bestFit="1" customWidth="1"/>
    <col min="2234" max="2234" width="11.77734375" bestFit="1" customWidth="1"/>
    <col min="2235" max="2235" width="13.21875" bestFit="1" customWidth="1"/>
    <col min="2236" max="2236" width="11.77734375" bestFit="1" customWidth="1"/>
    <col min="2237" max="2237" width="13.21875" bestFit="1" customWidth="1"/>
    <col min="2238" max="2238" width="11.77734375" bestFit="1" customWidth="1"/>
    <col min="2239" max="2239" width="9.77734375" bestFit="1" customWidth="1"/>
    <col min="2240" max="2240" width="11.77734375" bestFit="1" customWidth="1"/>
    <col min="2241" max="2241" width="15.77734375" bestFit="1" customWidth="1"/>
    <col min="2242" max="2242" width="11.77734375" bestFit="1" customWidth="1"/>
    <col min="2243" max="2243" width="10.88671875" bestFit="1" customWidth="1"/>
    <col min="2244" max="2244" width="11.77734375" bestFit="1" customWidth="1"/>
    <col min="2245" max="2245" width="9.77734375" bestFit="1" customWidth="1"/>
    <col min="2246" max="2246" width="11.77734375" bestFit="1" customWidth="1"/>
    <col min="2247" max="2247" width="13.21875" bestFit="1" customWidth="1"/>
    <col min="2248" max="2248" width="11.77734375" bestFit="1" customWidth="1"/>
    <col min="2249" max="2249" width="9.77734375" bestFit="1" customWidth="1"/>
    <col min="2250" max="2250" width="11.77734375" bestFit="1" customWidth="1"/>
    <col min="2251" max="2251" width="12.21875" bestFit="1" customWidth="1"/>
    <col min="2252" max="2252" width="11.77734375" bestFit="1" customWidth="1"/>
    <col min="2253" max="2253" width="11.21875" bestFit="1" customWidth="1"/>
    <col min="2254" max="2254" width="11.77734375" bestFit="1" customWidth="1"/>
    <col min="2255" max="2255" width="10" bestFit="1" customWidth="1"/>
    <col min="2256" max="2256" width="11.77734375" bestFit="1" customWidth="1"/>
    <col min="2257" max="2257" width="12.21875" bestFit="1" customWidth="1"/>
    <col min="2258" max="2258" width="11.77734375" bestFit="1" customWidth="1"/>
    <col min="2259" max="2259" width="11.21875" bestFit="1" customWidth="1"/>
    <col min="2260" max="2260" width="11.77734375" bestFit="1" customWidth="1"/>
    <col min="2261" max="2261" width="9.77734375" bestFit="1" customWidth="1"/>
    <col min="2262" max="2262" width="11.77734375" bestFit="1" customWidth="1"/>
    <col min="2263" max="2263" width="12.21875" bestFit="1" customWidth="1"/>
    <col min="2264" max="2264" width="11.77734375" bestFit="1" customWidth="1"/>
    <col min="2265" max="2265" width="10" bestFit="1" customWidth="1"/>
    <col min="2266" max="2266" width="11.77734375" bestFit="1" customWidth="1"/>
    <col min="2267" max="2267" width="15.77734375" bestFit="1" customWidth="1"/>
    <col min="2268" max="2268" width="11.77734375" bestFit="1" customWidth="1"/>
    <col min="2269" max="2269" width="10.88671875" bestFit="1" customWidth="1"/>
    <col min="2270" max="2270" width="11.77734375" bestFit="1" customWidth="1"/>
    <col min="2271" max="2271" width="12.21875" bestFit="1" customWidth="1"/>
    <col min="2272" max="2272" width="11.77734375" bestFit="1" customWidth="1"/>
    <col min="2273" max="2273" width="12.21875" bestFit="1" customWidth="1"/>
    <col min="2274" max="2274" width="11.77734375" bestFit="1" customWidth="1"/>
    <col min="2275" max="2275" width="15.77734375" bestFit="1" customWidth="1"/>
    <col min="2276" max="2276" width="11.77734375" bestFit="1" customWidth="1"/>
    <col min="2277" max="2277" width="9.77734375" bestFit="1" customWidth="1"/>
    <col min="2278" max="2278" width="11.77734375" bestFit="1" customWidth="1"/>
    <col min="2279" max="2279" width="9.77734375" bestFit="1" customWidth="1"/>
    <col min="2280" max="2280" width="11.77734375" bestFit="1" customWidth="1"/>
    <col min="2281" max="2281" width="10" bestFit="1" customWidth="1"/>
    <col min="2282" max="2282" width="11.77734375" bestFit="1" customWidth="1"/>
    <col min="2283" max="2283" width="9.77734375" bestFit="1" customWidth="1"/>
    <col min="2284" max="2284" width="11.77734375" bestFit="1" customWidth="1"/>
    <col min="2285" max="2285" width="13.21875" bestFit="1" customWidth="1"/>
    <col min="2286" max="2286" width="11.77734375" bestFit="1" customWidth="1"/>
    <col min="2287" max="2287" width="11.21875" bestFit="1" customWidth="1"/>
    <col min="2288" max="2288" width="11.77734375" bestFit="1" customWidth="1"/>
    <col min="2289" max="2289" width="13.21875" bestFit="1" customWidth="1"/>
    <col min="2290" max="2290" width="11.77734375" bestFit="1" customWidth="1"/>
    <col min="2291" max="2291" width="9.77734375" bestFit="1" customWidth="1"/>
    <col min="2292" max="2292" width="11.77734375" bestFit="1" customWidth="1"/>
    <col min="2293" max="2293" width="12.21875" bestFit="1" customWidth="1"/>
    <col min="2294" max="2294" width="11.77734375" bestFit="1" customWidth="1"/>
    <col min="2295" max="2295" width="15.77734375" bestFit="1" customWidth="1"/>
    <col min="2296" max="2296" width="11.77734375" bestFit="1" customWidth="1"/>
    <col min="2297" max="2297" width="11.21875" bestFit="1" customWidth="1"/>
    <col min="2298" max="2298" width="11.77734375" bestFit="1" customWidth="1"/>
    <col min="2299" max="2299" width="11.21875" bestFit="1" customWidth="1"/>
    <col min="2300" max="2300" width="11.77734375" bestFit="1" customWidth="1"/>
    <col min="2301" max="2301" width="10" bestFit="1" customWidth="1"/>
    <col min="2302" max="2302" width="11.77734375" bestFit="1" customWidth="1"/>
    <col min="2303" max="2303" width="15.77734375" bestFit="1" customWidth="1"/>
    <col min="2304" max="2304" width="11.77734375" bestFit="1" customWidth="1"/>
    <col min="2305" max="2305" width="15.77734375" bestFit="1" customWidth="1"/>
    <col min="2306" max="2306" width="11.77734375" bestFit="1" customWidth="1"/>
    <col min="2307" max="2307" width="9.77734375" bestFit="1" customWidth="1"/>
    <col min="2308" max="2308" width="11.77734375" bestFit="1" customWidth="1"/>
    <col min="2309" max="2309" width="10.88671875" bestFit="1" customWidth="1"/>
    <col min="2310" max="2310" width="11.77734375" bestFit="1" customWidth="1"/>
    <col min="2311" max="2311" width="13.21875" bestFit="1" customWidth="1"/>
    <col min="2312" max="2312" width="11.77734375" bestFit="1" customWidth="1"/>
    <col min="2313" max="2313" width="15.77734375" bestFit="1" customWidth="1"/>
    <col min="2314" max="2314" width="11.77734375" bestFit="1" customWidth="1"/>
    <col min="2315" max="2315" width="11.21875" bestFit="1" customWidth="1"/>
    <col min="2316" max="2316" width="11.77734375" bestFit="1" customWidth="1"/>
    <col min="2317" max="2317" width="13.21875" bestFit="1" customWidth="1"/>
    <col min="2318" max="2318" width="11.77734375" bestFit="1" customWidth="1"/>
    <col min="2319" max="2319" width="13.21875" bestFit="1" customWidth="1"/>
    <col min="2320" max="2320" width="11.77734375" bestFit="1" customWidth="1"/>
    <col min="2321" max="2321" width="13.21875" bestFit="1" customWidth="1"/>
    <col min="2322" max="2322" width="11.77734375" bestFit="1" customWidth="1"/>
    <col min="2323" max="2323" width="12.21875" bestFit="1" customWidth="1"/>
    <col min="2324" max="2324" width="11.77734375" bestFit="1" customWidth="1"/>
    <col min="2325" max="2325" width="12.21875" bestFit="1" customWidth="1"/>
    <col min="2326" max="2326" width="11.77734375" bestFit="1" customWidth="1"/>
    <col min="2327" max="2327" width="9.77734375" bestFit="1" customWidth="1"/>
    <col min="2328" max="2328" width="11.77734375" bestFit="1" customWidth="1"/>
    <col min="2329" max="2329" width="10" bestFit="1" customWidth="1"/>
    <col min="2330" max="2330" width="11.77734375" bestFit="1" customWidth="1"/>
    <col min="2331" max="2331" width="10.88671875" bestFit="1" customWidth="1"/>
    <col min="2332" max="2332" width="11.77734375" bestFit="1" customWidth="1"/>
    <col min="2333" max="2333" width="9.77734375" bestFit="1" customWidth="1"/>
    <col min="2334" max="2334" width="11.77734375" bestFit="1" customWidth="1"/>
    <col min="2335" max="2335" width="12.21875" bestFit="1" customWidth="1"/>
    <col min="2336" max="2336" width="11.77734375" bestFit="1" customWidth="1"/>
    <col min="2337" max="2337" width="10" bestFit="1" customWidth="1"/>
    <col min="2338" max="2338" width="11.77734375" bestFit="1" customWidth="1"/>
    <col min="2339" max="2339" width="12.21875" bestFit="1" customWidth="1"/>
    <col min="2340" max="2340" width="11.77734375" bestFit="1" customWidth="1"/>
    <col min="2341" max="2341" width="13.21875" bestFit="1" customWidth="1"/>
    <col min="2342" max="2342" width="11.77734375" bestFit="1" customWidth="1"/>
    <col min="2343" max="2343" width="9.77734375" bestFit="1" customWidth="1"/>
    <col min="2344" max="2344" width="11.77734375" bestFit="1" customWidth="1"/>
    <col min="2345" max="2345" width="9.77734375" bestFit="1" customWidth="1"/>
    <col min="2346" max="2346" width="11.77734375" bestFit="1" customWidth="1"/>
    <col min="2347" max="2347" width="9.77734375" bestFit="1" customWidth="1"/>
    <col min="2348" max="2348" width="11.77734375" bestFit="1" customWidth="1"/>
    <col min="2349" max="2349" width="9.77734375" bestFit="1" customWidth="1"/>
    <col min="2350" max="2350" width="11.77734375" bestFit="1" customWidth="1"/>
    <col min="2351" max="2351" width="12.21875" bestFit="1" customWidth="1"/>
    <col min="2352" max="2352" width="11.77734375" bestFit="1" customWidth="1"/>
    <col min="2353" max="2353" width="9.77734375" bestFit="1" customWidth="1"/>
    <col min="2354" max="2354" width="11.77734375" bestFit="1" customWidth="1"/>
    <col min="2355" max="2355" width="11.21875" bestFit="1" customWidth="1"/>
    <col min="2356" max="2356" width="11.77734375" bestFit="1" customWidth="1"/>
    <col min="2357" max="2357" width="9.77734375" bestFit="1" customWidth="1"/>
    <col min="2358" max="2358" width="11.77734375" bestFit="1" customWidth="1"/>
    <col min="2359" max="2359" width="13.21875" bestFit="1" customWidth="1"/>
    <col min="2360" max="2360" width="11.77734375" bestFit="1" customWidth="1"/>
    <col min="2361" max="2361" width="9.77734375" bestFit="1" customWidth="1"/>
    <col min="2362" max="2362" width="11.77734375" bestFit="1" customWidth="1"/>
    <col min="2363" max="2363" width="9.77734375" bestFit="1" customWidth="1"/>
    <col min="2364" max="2364" width="11.77734375" bestFit="1" customWidth="1"/>
    <col min="2365" max="2365" width="10.88671875" bestFit="1" customWidth="1"/>
    <col min="2366" max="2366" width="11.77734375" bestFit="1" customWidth="1"/>
    <col min="2367" max="2367" width="10" bestFit="1" customWidth="1"/>
    <col min="2368" max="2368" width="11.77734375" bestFit="1" customWidth="1"/>
    <col min="2369" max="2369" width="11.21875" bestFit="1" customWidth="1"/>
    <col min="2370" max="2370" width="11.77734375" bestFit="1" customWidth="1"/>
    <col min="2371" max="2371" width="13.21875" bestFit="1" customWidth="1"/>
    <col min="2372" max="2372" width="11.77734375" bestFit="1" customWidth="1"/>
    <col min="2373" max="2373" width="10" bestFit="1" customWidth="1"/>
    <col min="2374" max="2374" width="11.77734375" bestFit="1" customWidth="1"/>
    <col min="2375" max="2375" width="10.88671875" bestFit="1" customWidth="1"/>
    <col min="2376" max="2376" width="11.77734375" bestFit="1" customWidth="1"/>
    <col min="2377" max="2377" width="12.21875" bestFit="1" customWidth="1"/>
    <col min="2378" max="2378" width="11.77734375" bestFit="1" customWidth="1"/>
    <col min="2379" max="2379" width="13.21875" bestFit="1" customWidth="1"/>
    <col min="2380" max="2380" width="11.77734375" bestFit="1" customWidth="1"/>
    <col min="2381" max="2381" width="10" bestFit="1" customWidth="1"/>
    <col min="2382" max="2382" width="11.77734375" bestFit="1" customWidth="1"/>
    <col min="2383" max="2383" width="10" bestFit="1" customWidth="1"/>
    <col min="2384" max="2384" width="11.77734375" bestFit="1" customWidth="1"/>
    <col min="2385" max="2385" width="9.77734375" bestFit="1" customWidth="1"/>
    <col min="2386" max="2386" width="11.77734375" bestFit="1" customWidth="1"/>
    <col min="2387" max="2387" width="15.77734375" bestFit="1" customWidth="1"/>
    <col min="2388" max="2388" width="11.77734375" bestFit="1" customWidth="1"/>
    <col min="2389" max="2389" width="12.21875" bestFit="1" customWidth="1"/>
    <col min="2390" max="2390" width="11.77734375" bestFit="1" customWidth="1"/>
    <col min="2391" max="2391" width="11.21875" bestFit="1" customWidth="1"/>
    <col min="2392" max="2392" width="11.77734375" bestFit="1" customWidth="1"/>
    <col min="2393" max="2393" width="11.21875" bestFit="1" customWidth="1"/>
    <col min="2394" max="2394" width="11.77734375" bestFit="1" customWidth="1"/>
    <col min="2395" max="2395" width="12.21875" bestFit="1" customWidth="1"/>
    <col min="2396" max="2396" width="11.77734375" bestFit="1" customWidth="1"/>
    <col min="2397" max="2397" width="11.21875" bestFit="1" customWidth="1"/>
    <col min="2398" max="2398" width="11.77734375" bestFit="1" customWidth="1"/>
    <col min="2399" max="2399" width="10" bestFit="1" customWidth="1"/>
    <col min="2400" max="2400" width="11.77734375" bestFit="1" customWidth="1"/>
    <col min="2401" max="2401" width="9.77734375" bestFit="1" customWidth="1"/>
    <col min="2402" max="2402" width="11.77734375" bestFit="1" customWidth="1"/>
    <col min="2403" max="2403" width="10" bestFit="1" customWidth="1"/>
    <col min="2404" max="2404" width="11.77734375" bestFit="1" customWidth="1"/>
    <col min="2405" max="2405" width="12.21875" bestFit="1" customWidth="1"/>
    <col min="2406" max="2406" width="11.77734375" bestFit="1" customWidth="1"/>
    <col min="2407" max="2407" width="12.21875" bestFit="1" customWidth="1"/>
    <col min="2408" max="2408" width="11.77734375" bestFit="1" customWidth="1"/>
    <col min="2409" max="2409" width="9.77734375" bestFit="1" customWidth="1"/>
    <col min="2410" max="2410" width="11.77734375" bestFit="1" customWidth="1"/>
    <col min="2411" max="2411" width="10" bestFit="1" customWidth="1"/>
    <col min="2412" max="2412" width="11.77734375" bestFit="1" customWidth="1"/>
    <col min="2413" max="2413" width="9.77734375" bestFit="1" customWidth="1"/>
    <col min="2414" max="2414" width="11.77734375" bestFit="1" customWidth="1"/>
    <col min="2415" max="2415" width="12.21875" bestFit="1" customWidth="1"/>
    <col min="2416" max="2416" width="11.77734375" bestFit="1" customWidth="1"/>
    <col min="2417" max="2417" width="13.21875" bestFit="1" customWidth="1"/>
    <col min="2418" max="2418" width="11.77734375" bestFit="1" customWidth="1"/>
    <col min="2419" max="2419" width="10.88671875" bestFit="1" customWidth="1"/>
    <col min="2420" max="2420" width="11.77734375" bestFit="1" customWidth="1"/>
    <col min="2421" max="2421" width="12.21875" bestFit="1" customWidth="1"/>
    <col min="2422" max="2422" width="11.77734375" bestFit="1" customWidth="1"/>
    <col min="2423" max="2423" width="12.21875" bestFit="1" customWidth="1"/>
    <col min="2424" max="2424" width="11.77734375" bestFit="1" customWidth="1"/>
    <col min="2425" max="2425" width="11.21875" bestFit="1" customWidth="1"/>
    <col min="2426" max="2426" width="11.77734375" bestFit="1" customWidth="1"/>
    <col min="2427" max="2427" width="9.77734375" bestFit="1" customWidth="1"/>
    <col min="2428" max="2428" width="11.77734375" bestFit="1" customWidth="1"/>
    <col min="2429" max="2429" width="9.77734375" bestFit="1" customWidth="1"/>
    <col min="2430" max="2430" width="11.77734375" bestFit="1" customWidth="1"/>
    <col min="2431" max="2431" width="11.21875" bestFit="1" customWidth="1"/>
    <col min="2432" max="2432" width="11.77734375" bestFit="1" customWidth="1"/>
    <col min="2433" max="2433" width="11.21875" bestFit="1" customWidth="1"/>
    <col min="2434" max="2434" width="11.77734375" bestFit="1" customWidth="1"/>
    <col min="2435" max="2435" width="12.21875" bestFit="1" customWidth="1"/>
    <col min="2436" max="2436" width="11.77734375" bestFit="1" customWidth="1"/>
    <col min="2437" max="2437" width="10" bestFit="1" customWidth="1"/>
    <col min="2438" max="2438" width="11.77734375" bestFit="1" customWidth="1"/>
    <col min="2439" max="2439" width="10" bestFit="1" customWidth="1"/>
    <col min="2440" max="2440" width="11.77734375" bestFit="1" customWidth="1"/>
    <col min="2441" max="2441" width="12.21875" bestFit="1" customWidth="1"/>
    <col min="2442" max="2442" width="11.77734375" bestFit="1" customWidth="1"/>
    <col min="2443" max="2443" width="12.21875" bestFit="1" customWidth="1"/>
    <col min="2444" max="2444" width="11.77734375" bestFit="1" customWidth="1"/>
    <col min="2445" max="2445" width="15.77734375" bestFit="1" customWidth="1"/>
    <col min="2446" max="2446" width="11.77734375" bestFit="1" customWidth="1"/>
    <col min="2447" max="2447" width="10" bestFit="1" customWidth="1"/>
    <col min="2448" max="2448" width="11.77734375" bestFit="1" customWidth="1"/>
    <col min="2449" max="2449" width="9.77734375" bestFit="1" customWidth="1"/>
    <col min="2450" max="2450" width="11.77734375" bestFit="1" customWidth="1"/>
    <col min="2451" max="2451" width="13.21875" bestFit="1" customWidth="1"/>
    <col min="2452" max="2452" width="11.77734375" bestFit="1" customWidth="1"/>
    <col min="2453" max="2453" width="12.21875" bestFit="1" customWidth="1"/>
    <col min="2454" max="2454" width="11.77734375" bestFit="1" customWidth="1"/>
    <col min="2455" max="2455" width="12.21875" bestFit="1" customWidth="1"/>
    <col min="2456" max="2456" width="11.77734375" bestFit="1" customWidth="1"/>
    <col min="2457" max="2457" width="10" bestFit="1" customWidth="1"/>
    <col min="2458" max="2458" width="11.77734375" bestFit="1" customWidth="1"/>
    <col min="2459" max="2459" width="10.88671875" bestFit="1" customWidth="1"/>
    <col min="2460" max="2460" width="11.77734375" bestFit="1" customWidth="1"/>
    <col min="2461" max="2461" width="15.77734375" bestFit="1" customWidth="1"/>
    <col min="2462" max="2462" width="11.77734375" bestFit="1" customWidth="1"/>
    <col min="2463" max="2463" width="10" bestFit="1" customWidth="1"/>
    <col min="2464" max="2464" width="11.77734375" bestFit="1" customWidth="1"/>
    <col min="2465" max="2465" width="9.77734375" bestFit="1" customWidth="1"/>
    <col min="2466" max="2466" width="11.77734375" bestFit="1" customWidth="1"/>
    <col min="2467" max="2467" width="12.21875" bestFit="1" customWidth="1"/>
    <col min="2468" max="2468" width="11.77734375" bestFit="1" customWidth="1"/>
    <col min="2469" max="2469" width="10" bestFit="1" customWidth="1"/>
    <col min="2470" max="2470" width="11.77734375" bestFit="1" customWidth="1"/>
    <col min="2471" max="2471" width="9.77734375" bestFit="1" customWidth="1"/>
    <col min="2472" max="2472" width="11.77734375" bestFit="1" customWidth="1"/>
    <col min="2473" max="2473" width="9.77734375" bestFit="1" customWidth="1"/>
    <col min="2474" max="2474" width="11.77734375" bestFit="1" customWidth="1"/>
    <col min="2475" max="2475" width="10" bestFit="1" customWidth="1"/>
    <col min="2476" max="2476" width="11.77734375" bestFit="1" customWidth="1"/>
    <col min="2477" max="2477" width="12.21875" bestFit="1" customWidth="1"/>
    <col min="2478" max="2478" width="11.77734375" bestFit="1" customWidth="1"/>
    <col min="2479" max="2479" width="11.21875" bestFit="1" customWidth="1"/>
    <col min="2480" max="2480" width="11.77734375" bestFit="1" customWidth="1"/>
    <col min="2481" max="2481" width="9.77734375" bestFit="1" customWidth="1"/>
    <col min="2482" max="2482" width="11.77734375" bestFit="1" customWidth="1"/>
    <col min="2483" max="2483" width="10.88671875" bestFit="1" customWidth="1"/>
    <col min="2484" max="2484" width="11.77734375" bestFit="1" customWidth="1"/>
    <col min="2485" max="2485" width="10.88671875" bestFit="1" customWidth="1"/>
    <col min="2486" max="2486" width="11.77734375" bestFit="1" customWidth="1"/>
    <col min="2487" max="2487" width="10" bestFit="1" customWidth="1"/>
    <col min="2488" max="2488" width="11.77734375" bestFit="1" customWidth="1"/>
    <col min="2489" max="2489" width="11.21875" bestFit="1" customWidth="1"/>
    <col min="2490" max="2490" width="11.77734375" bestFit="1" customWidth="1"/>
    <col min="2491" max="2491" width="9.77734375" bestFit="1" customWidth="1"/>
    <col min="2492" max="2492" width="11.77734375" bestFit="1" customWidth="1"/>
    <col min="2493" max="2493" width="10.88671875" bestFit="1" customWidth="1"/>
    <col min="2494" max="2494" width="11.77734375" bestFit="1" customWidth="1"/>
    <col min="2495" max="2495" width="11.21875" bestFit="1" customWidth="1"/>
    <col min="2496" max="2496" width="11.77734375" bestFit="1" customWidth="1"/>
    <col min="2497" max="2497" width="10.88671875" bestFit="1" customWidth="1"/>
    <col min="2498" max="2498" width="11.77734375" bestFit="1" customWidth="1"/>
    <col min="2499" max="2499" width="15.77734375" bestFit="1" customWidth="1"/>
    <col min="2500" max="2500" width="11.77734375" bestFit="1" customWidth="1"/>
    <col min="2501" max="2501" width="11.21875" bestFit="1" customWidth="1"/>
    <col min="2502" max="2502" width="11.77734375" bestFit="1" customWidth="1"/>
    <col min="2503" max="2503" width="11.21875" bestFit="1" customWidth="1"/>
    <col min="2504" max="2504" width="11.77734375" bestFit="1" customWidth="1"/>
    <col min="2505" max="2505" width="12.21875" bestFit="1" customWidth="1"/>
    <col min="2506" max="2506" width="11.77734375" bestFit="1" customWidth="1"/>
    <col min="2507" max="2507" width="15.77734375" bestFit="1" customWidth="1"/>
    <col min="2508" max="2508" width="11.77734375" bestFit="1" customWidth="1"/>
    <col min="2509" max="2509" width="10.88671875" bestFit="1" customWidth="1"/>
    <col min="2510" max="2510" width="11.77734375" bestFit="1" customWidth="1"/>
    <col min="2511" max="2511" width="12.21875" bestFit="1" customWidth="1"/>
    <col min="2512" max="2512" width="11.77734375" bestFit="1" customWidth="1"/>
    <col min="2513" max="2513" width="10" bestFit="1" customWidth="1"/>
    <col min="2514" max="2514" width="11.77734375" bestFit="1" customWidth="1"/>
    <col min="2515" max="2515" width="11.21875" bestFit="1" customWidth="1"/>
    <col min="2516" max="2516" width="11.77734375" bestFit="1" customWidth="1"/>
    <col min="2517" max="2517" width="9.77734375" bestFit="1" customWidth="1"/>
    <col min="2518" max="2518" width="11.77734375" bestFit="1" customWidth="1"/>
    <col min="2519" max="2519" width="12.21875" bestFit="1" customWidth="1"/>
    <col min="2520" max="2520" width="11.77734375" bestFit="1" customWidth="1"/>
    <col min="2521" max="2521" width="12.21875" bestFit="1" customWidth="1"/>
    <col min="2522" max="2522" width="11.77734375" bestFit="1" customWidth="1"/>
    <col min="2523" max="2523" width="10" bestFit="1" customWidth="1"/>
    <col min="2524" max="2524" width="11.77734375" bestFit="1" customWidth="1"/>
    <col min="2525" max="2525" width="12.21875" bestFit="1" customWidth="1"/>
    <col min="2526" max="2526" width="11.77734375" bestFit="1" customWidth="1"/>
    <col min="2527" max="2527" width="12.21875" bestFit="1" customWidth="1"/>
    <col min="2528" max="2528" width="11.77734375" bestFit="1" customWidth="1"/>
    <col min="2529" max="2529" width="10" bestFit="1" customWidth="1"/>
    <col min="2530" max="2530" width="11.77734375" bestFit="1" customWidth="1"/>
    <col min="2531" max="2531" width="10" bestFit="1" customWidth="1"/>
    <col min="2532" max="2532" width="11.77734375" bestFit="1" customWidth="1"/>
    <col min="2533" max="2533" width="12.21875" bestFit="1" customWidth="1"/>
    <col min="2534" max="2534" width="11.77734375" bestFit="1" customWidth="1"/>
    <col min="2535" max="2535" width="11.21875" bestFit="1" customWidth="1"/>
    <col min="2536" max="2536" width="11.77734375" bestFit="1" customWidth="1"/>
    <col min="2537" max="2537" width="15.77734375" bestFit="1" customWidth="1"/>
    <col min="2538" max="2538" width="11.77734375" bestFit="1" customWidth="1"/>
    <col min="2539" max="2539" width="10" bestFit="1" customWidth="1"/>
    <col min="2540" max="2540" width="11.77734375" bestFit="1" customWidth="1"/>
    <col min="2541" max="2541" width="10" bestFit="1" customWidth="1"/>
    <col min="2542" max="2542" width="11.77734375" bestFit="1" customWidth="1"/>
    <col min="2543" max="2543" width="15.77734375" bestFit="1" customWidth="1"/>
    <col min="2544" max="2544" width="11.77734375" bestFit="1" customWidth="1"/>
    <col min="2545" max="2545" width="10" bestFit="1" customWidth="1"/>
    <col min="2546" max="2546" width="11.77734375" bestFit="1" customWidth="1"/>
    <col min="2547" max="2547" width="10" bestFit="1" customWidth="1"/>
    <col min="2548" max="2548" width="11.77734375" bestFit="1" customWidth="1"/>
    <col min="2549" max="2549" width="12.21875" bestFit="1" customWidth="1"/>
    <col min="2550" max="2550" width="11.77734375" bestFit="1" customWidth="1"/>
    <col min="2551" max="2551" width="10.88671875" bestFit="1" customWidth="1"/>
    <col min="2552" max="2552" width="11.77734375" bestFit="1" customWidth="1"/>
    <col min="2553" max="2553" width="10" bestFit="1" customWidth="1"/>
    <col min="2554" max="2554" width="11.77734375" bestFit="1" customWidth="1"/>
    <col min="2555" max="2555" width="9.77734375" bestFit="1" customWidth="1"/>
    <col min="2556" max="2556" width="11.77734375" bestFit="1" customWidth="1"/>
    <col min="2557" max="2557" width="10.88671875" bestFit="1" customWidth="1"/>
    <col min="2558" max="2558" width="11.77734375" bestFit="1" customWidth="1"/>
    <col min="2559" max="2559" width="9.77734375" bestFit="1" customWidth="1"/>
    <col min="2560" max="2560" width="11.77734375" bestFit="1" customWidth="1"/>
    <col min="2561" max="2561" width="9.77734375" bestFit="1" customWidth="1"/>
    <col min="2562" max="2562" width="11.77734375" bestFit="1" customWidth="1"/>
    <col min="2563" max="2563" width="12.21875" bestFit="1" customWidth="1"/>
    <col min="2564" max="2564" width="11.77734375" bestFit="1" customWidth="1"/>
    <col min="2565" max="2565" width="12.21875" bestFit="1" customWidth="1"/>
    <col min="2566" max="2566" width="11.77734375" bestFit="1" customWidth="1"/>
    <col min="2567" max="2567" width="10" bestFit="1" customWidth="1"/>
    <col min="2568" max="2568" width="11.77734375" bestFit="1" customWidth="1"/>
    <col min="2569" max="2569" width="15.77734375" bestFit="1" customWidth="1"/>
    <col min="2570" max="2570" width="11.77734375" bestFit="1" customWidth="1"/>
    <col min="2571" max="2571" width="15.77734375" bestFit="1" customWidth="1"/>
    <col min="2572" max="2572" width="11.77734375" bestFit="1" customWidth="1"/>
    <col min="2573" max="2573" width="12.21875" bestFit="1" customWidth="1"/>
    <col min="2574" max="2574" width="11.77734375" bestFit="1" customWidth="1"/>
    <col min="2575" max="2575" width="11.21875" bestFit="1" customWidth="1"/>
    <col min="2576" max="2576" width="11.77734375" bestFit="1" customWidth="1"/>
    <col min="2577" max="2577" width="10" bestFit="1" customWidth="1"/>
    <col min="2578" max="2578" width="11.77734375" bestFit="1" customWidth="1"/>
    <col min="2579" max="2579" width="15.77734375" bestFit="1" customWidth="1"/>
    <col min="2580" max="2580" width="11.77734375" bestFit="1" customWidth="1"/>
    <col min="2581" max="2581" width="12.21875" bestFit="1" customWidth="1"/>
    <col min="2582" max="2582" width="11.77734375" bestFit="1" customWidth="1"/>
    <col min="2583" max="2583" width="10.88671875" bestFit="1" customWidth="1"/>
    <col min="2584" max="2584" width="11.77734375" bestFit="1" customWidth="1"/>
    <col min="2585" max="2585" width="10" bestFit="1" customWidth="1"/>
    <col min="2586" max="2586" width="11.77734375" bestFit="1" customWidth="1"/>
    <col min="2587" max="2587" width="11.21875" bestFit="1" customWidth="1"/>
    <col min="2588" max="2588" width="11.77734375" bestFit="1" customWidth="1"/>
    <col min="2589" max="2589" width="10" bestFit="1" customWidth="1"/>
    <col min="2590" max="2590" width="11.77734375" bestFit="1" customWidth="1"/>
    <col min="2591" max="2591" width="13.21875" bestFit="1" customWidth="1"/>
    <col min="2592" max="2592" width="11.77734375" bestFit="1" customWidth="1"/>
    <col min="2593" max="2593" width="10.88671875" bestFit="1" customWidth="1"/>
    <col min="2594" max="2594" width="11.77734375" bestFit="1" customWidth="1"/>
    <col min="2595" max="2595" width="9.77734375" bestFit="1" customWidth="1"/>
    <col min="2596" max="2596" width="11.77734375" bestFit="1" customWidth="1"/>
    <col min="2597" max="2597" width="11.21875" bestFit="1" customWidth="1"/>
    <col min="2598" max="2598" width="11.77734375" bestFit="1" customWidth="1"/>
    <col min="2599" max="2599" width="13.21875" bestFit="1" customWidth="1"/>
    <col min="2600" max="2600" width="11.77734375" bestFit="1" customWidth="1"/>
    <col min="2601" max="2601" width="11.21875" bestFit="1" customWidth="1"/>
    <col min="2602" max="2602" width="11.77734375" bestFit="1" customWidth="1"/>
    <col min="2603" max="2603" width="13.21875" bestFit="1" customWidth="1"/>
    <col min="2604" max="2604" width="11.77734375" bestFit="1" customWidth="1"/>
    <col min="2605" max="2605" width="15.77734375" bestFit="1" customWidth="1"/>
    <col min="2606" max="2606" width="11.77734375" bestFit="1" customWidth="1"/>
    <col min="2607" max="2607" width="11.21875" bestFit="1" customWidth="1"/>
    <col min="2608" max="2608" width="11.77734375" bestFit="1" customWidth="1"/>
    <col min="2609" max="2609" width="12.21875" bestFit="1" customWidth="1"/>
    <col min="2610" max="2610" width="11.77734375" bestFit="1" customWidth="1"/>
    <col min="2611" max="2611" width="9.77734375" bestFit="1" customWidth="1"/>
    <col min="2612" max="2612" width="11.77734375" bestFit="1" customWidth="1"/>
    <col min="2613" max="2613" width="11.21875" bestFit="1" customWidth="1"/>
    <col min="2614" max="2614" width="11.77734375" bestFit="1" customWidth="1"/>
    <col min="2615" max="2615" width="13.21875" bestFit="1" customWidth="1"/>
    <col min="2616" max="2616" width="11.77734375" bestFit="1" customWidth="1"/>
    <col min="2617" max="2617" width="9.77734375" bestFit="1" customWidth="1"/>
    <col min="2618" max="2618" width="11.77734375" bestFit="1" customWidth="1"/>
    <col min="2619" max="2619" width="13.21875" bestFit="1" customWidth="1"/>
    <col min="2620" max="2620" width="11.77734375" bestFit="1" customWidth="1"/>
    <col min="2621" max="2621" width="11.21875" bestFit="1" customWidth="1"/>
    <col min="2622" max="2622" width="11.77734375" bestFit="1" customWidth="1"/>
    <col min="2623" max="2623" width="10" bestFit="1" customWidth="1"/>
    <col min="2624" max="2624" width="11.77734375" bestFit="1" customWidth="1"/>
    <col min="2625" max="2625" width="11.21875" bestFit="1" customWidth="1"/>
    <col min="2626" max="2626" width="11.77734375" bestFit="1" customWidth="1"/>
    <col min="2627" max="2627" width="15.77734375" bestFit="1" customWidth="1"/>
    <col min="2628" max="2628" width="11.77734375" bestFit="1" customWidth="1"/>
    <col min="2629" max="2629" width="11.21875" bestFit="1" customWidth="1"/>
    <col min="2630" max="2630" width="11.77734375" bestFit="1" customWidth="1"/>
    <col min="2631" max="2631" width="9.77734375" bestFit="1" customWidth="1"/>
    <col min="2632" max="2632" width="11.77734375" bestFit="1" customWidth="1"/>
    <col min="2633" max="2633" width="12.21875" bestFit="1" customWidth="1"/>
    <col min="2634" max="2634" width="11.77734375" bestFit="1" customWidth="1"/>
    <col min="2635" max="2635" width="10.88671875" bestFit="1" customWidth="1"/>
    <col min="2636" max="2636" width="11.77734375" bestFit="1" customWidth="1"/>
    <col min="2637" max="2637" width="13.21875" bestFit="1" customWidth="1"/>
    <col min="2638" max="2638" width="11.77734375" bestFit="1" customWidth="1"/>
    <col min="2639" max="2639" width="10.77734375" bestFit="1" customWidth="1"/>
    <col min="2640" max="2821" width="10.44140625" bestFit="1" customWidth="1"/>
    <col min="2822" max="2822" width="13.21875" bestFit="1" customWidth="1"/>
    <col min="2823" max="3149" width="12.6640625" bestFit="1" customWidth="1"/>
    <col min="3150" max="3150" width="15.44140625" bestFit="1" customWidth="1"/>
    <col min="3151" max="3509" width="8.44140625" bestFit="1" customWidth="1"/>
    <col min="3510" max="3510" width="11.109375" bestFit="1" customWidth="1"/>
    <col min="3511" max="3511" width="10.77734375" bestFit="1" customWidth="1"/>
  </cols>
  <sheetData>
    <row r="2" spans="1:4" x14ac:dyDescent="0.3">
      <c r="A2" s="4" t="s">
        <v>12</v>
      </c>
      <c r="B2" t="s">
        <v>3584</v>
      </c>
      <c r="C2" s="4" t="s">
        <v>2</v>
      </c>
      <c r="D2" t="s">
        <v>3584</v>
      </c>
    </row>
    <row r="3" spans="1:4" x14ac:dyDescent="0.3">
      <c r="A3" t="s">
        <v>26</v>
      </c>
      <c r="B3">
        <v>436</v>
      </c>
      <c r="C3" t="s">
        <v>47</v>
      </c>
      <c r="D3">
        <v>165</v>
      </c>
    </row>
    <row r="4" spans="1:4" x14ac:dyDescent="0.3">
      <c r="A4" t="s">
        <v>55</v>
      </c>
      <c r="B4">
        <v>439</v>
      </c>
      <c r="C4" t="s">
        <v>79</v>
      </c>
      <c r="D4">
        <v>175</v>
      </c>
    </row>
    <row r="5" spans="1:4" x14ac:dyDescent="0.3">
      <c r="A5" t="s">
        <v>44</v>
      </c>
      <c r="B5">
        <v>441</v>
      </c>
      <c r="C5" t="s">
        <v>61</v>
      </c>
      <c r="D5">
        <v>168</v>
      </c>
    </row>
    <row r="6" spans="1:4" x14ac:dyDescent="0.3">
      <c r="A6" t="s">
        <v>3581</v>
      </c>
      <c r="B6">
        <v>1316</v>
      </c>
      <c r="C6" t="s">
        <v>32</v>
      </c>
      <c r="D6">
        <v>139</v>
      </c>
    </row>
    <row r="7" spans="1:4" x14ac:dyDescent="0.3">
      <c r="C7" t="s">
        <v>66</v>
      </c>
      <c r="D7">
        <v>153</v>
      </c>
    </row>
    <row r="8" spans="1:4" x14ac:dyDescent="0.3">
      <c r="A8" s="4" t="s">
        <v>7</v>
      </c>
      <c r="B8" t="s">
        <v>3584</v>
      </c>
      <c r="C8" t="s">
        <v>20</v>
      </c>
      <c r="D8">
        <v>178</v>
      </c>
    </row>
    <row r="9" spans="1:4" x14ac:dyDescent="0.3">
      <c r="A9" t="s">
        <v>43</v>
      </c>
      <c r="B9">
        <v>181</v>
      </c>
      <c r="C9" t="s">
        <v>89</v>
      </c>
      <c r="D9">
        <v>172</v>
      </c>
    </row>
    <row r="10" spans="1:4" x14ac:dyDescent="0.3">
      <c r="A10" t="s">
        <v>91</v>
      </c>
      <c r="B10">
        <v>157</v>
      </c>
      <c r="C10" t="s">
        <v>70</v>
      </c>
      <c r="D10">
        <v>166</v>
      </c>
    </row>
    <row r="11" spans="1:4" x14ac:dyDescent="0.3">
      <c r="A11" t="s">
        <v>83</v>
      </c>
      <c r="B11">
        <v>166</v>
      </c>
      <c r="C11" t="s">
        <v>3581</v>
      </c>
      <c r="D11">
        <v>1316</v>
      </c>
    </row>
    <row r="12" spans="1:4" x14ac:dyDescent="0.3">
      <c r="A12" t="s">
        <v>23</v>
      </c>
      <c r="B12">
        <v>142</v>
      </c>
    </row>
    <row r="13" spans="1:4" x14ac:dyDescent="0.3">
      <c r="A13" t="s">
        <v>54</v>
      </c>
      <c r="B13">
        <v>163</v>
      </c>
    </row>
    <row r="14" spans="1:4" x14ac:dyDescent="0.3">
      <c r="A14" t="s">
        <v>58</v>
      </c>
      <c r="B14">
        <v>169</v>
      </c>
      <c r="C14" s="4" t="s">
        <v>3584</v>
      </c>
      <c r="D14" s="4" t="s">
        <v>3600</v>
      </c>
    </row>
    <row r="15" spans="1:4" x14ac:dyDescent="0.3">
      <c r="A15" t="s">
        <v>35</v>
      </c>
      <c r="B15">
        <v>164</v>
      </c>
      <c r="C15" s="4" t="s">
        <v>3598</v>
      </c>
      <c r="D15" t="s">
        <v>3601</v>
      </c>
    </row>
    <row r="16" spans="1:4" x14ac:dyDescent="0.3">
      <c r="A16" t="s">
        <v>81</v>
      </c>
      <c r="B16">
        <v>174</v>
      </c>
      <c r="C16" t="s">
        <v>3602</v>
      </c>
      <c r="D16">
        <v>117</v>
      </c>
    </row>
    <row r="17" spans="1:16" x14ac:dyDescent="0.3">
      <c r="A17" t="s">
        <v>3581</v>
      </c>
      <c r="B17">
        <v>1316</v>
      </c>
      <c r="C17" t="s">
        <v>3603</v>
      </c>
      <c r="D17">
        <v>100</v>
      </c>
    </row>
    <row r="18" spans="1:16" x14ac:dyDescent="0.3">
      <c r="C18" t="s">
        <v>3585</v>
      </c>
      <c r="D18">
        <v>123</v>
      </c>
    </row>
    <row r="19" spans="1:16" x14ac:dyDescent="0.3">
      <c r="C19" t="s">
        <v>3604</v>
      </c>
      <c r="D19">
        <v>107</v>
      </c>
    </row>
    <row r="20" spans="1:16" x14ac:dyDescent="0.3">
      <c r="C20" t="s">
        <v>3586</v>
      </c>
      <c r="D20">
        <v>139</v>
      </c>
    </row>
    <row r="21" spans="1:16" x14ac:dyDescent="0.3">
      <c r="C21" t="s">
        <v>3587</v>
      </c>
      <c r="D21">
        <v>98</v>
      </c>
    </row>
    <row r="22" spans="1:16" x14ac:dyDescent="0.3">
      <c r="C22" t="s">
        <v>3588</v>
      </c>
      <c r="D22">
        <v>104</v>
      </c>
    </row>
    <row r="23" spans="1:16" x14ac:dyDescent="0.3">
      <c r="C23" t="s">
        <v>3605</v>
      </c>
      <c r="D23">
        <v>113</v>
      </c>
    </row>
    <row r="24" spans="1:16" x14ac:dyDescent="0.3">
      <c r="C24" t="s">
        <v>3606</v>
      </c>
      <c r="D24">
        <v>99</v>
      </c>
    </row>
    <row r="25" spans="1:16" x14ac:dyDescent="0.3">
      <c r="C25" t="s">
        <v>3594</v>
      </c>
      <c r="D25">
        <v>128</v>
      </c>
    </row>
    <row r="26" spans="1:16" x14ac:dyDescent="0.3">
      <c r="C26" t="s">
        <v>3607</v>
      </c>
      <c r="D26">
        <v>89</v>
      </c>
      <c r="L26" s="4" t="s">
        <v>3580</v>
      </c>
      <c r="M26" t="s">
        <v>3584</v>
      </c>
      <c r="O26" s="4" t="s">
        <v>3614</v>
      </c>
      <c r="P26" t="s">
        <v>3584</v>
      </c>
    </row>
    <row r="27" spans="1:16" x14ac:dyDescent="0.3">
      <c r="C27" t="s">
        <v>3595</v>
      </c>
      <c r="D27">
        <v>99</v>
      </c>
      <c r="L27" s="5" t="s">
        <v>31</v>
      </c>
      <c r="M27">
        <v>622</v>
      </c>
      <c r="O27" s="5" t="s">
        <v>37</v>
      </c>
      <c r="P27">
        <v>861</v>
      </c>
    </row>
    <row r="28" spans="1:16" x14ac:dyDescent="0.3">
      <c r="C28" t="s">
        <v>3581</v>
      </c>
      <c r="D28">
        <v>1316</v>
      </c>
      <c r="L28" s="5" t="s">
        <v>19</v>
      </c>
      <c r="M28">
        <v>694</v>
      </c>
      <c r="O28" s="5" t="s">
        <v>49</v>
      </c>
      <c r="P28">
        <v>840</v>
      </c>
    </row>
    <row r="29" spans="1:16" x14ac:dyDescent="0.3">
      <c r="L29" s="5" t="s">
        <v>3581</v>
      </c>
      <c r="M29">
        <v>1316</v>
      </c>
      <c r="O29" s="5" t="s">
        <v>56</v>
      </c>
      <c r="P29">
        <v>929</v>
      </c>
    </row>
    <row r="30" spans="1:16" x14ac:dyDescent="0.3">
      <c r="O30" s="5" t="s">
        <v>27</v>
      </c>
      <c r="P30">
        <v>870</v>
      </c>
    </row>
    <row r="31" spans="1:16" x14ac:dyDescent="0.3">
      <c r="L31" s="4" t="s">
        <v>3580</v>
      </c>
      <c r="M31" t="s">
        <v>3584</v>
      </c>
      <c r="O31" s="5" t="s">
        <v>3581</v>
      </c>
      <c r="P31">
        <v>3500</v>
      </c>
    </row>
    <row r="32" spans="1:16" x14ac:dyDescent="0.3">
      <c r="A32" s="4" t="s">
        <v>3584</v>
      </c>
      <c r="B32" s="4" t="s">
        <v>6</v>
      </c>
      <c r="L32" s="5" t="s">
        <v>36</v>
      </c>
      <c r="M32">
        <v>665</v>
      </c>
    </row>
    <row r="33" spans="1:13" x14ac:dyDescent="0.3">
      <c r="A33" s="4" t="s">
        <v>7</v>
      </c>
      <c r="B33" t="s">
        <v>22</v>
      </c>
      <c r="C33" t="s">
        <v>53</v>
      </c>
      <c r="D33" t="s">
        <v>75</v>
      </c>
      <c r="E33" t="s">
        <v>63</v>
      </c>
      <c r="F33" t="s">
        <v>42</v>
      </c>
      <c r="G33" t="s">
        <v>34</v>
      </c>
      <c r="H33" t="s">
        <v>72</v>
      </c>
      <c r="I33" t="s">
        <v>3581</v>
      </c>
      <c r="L33" s="5" t="s">
        <v>24</v>
      </c>
      <c r="M33">
        <v>651</v>
      </c>
    </row>
    <row r="34" spans="1:13" x14ac:dyDescent="0.3">
      <c r="A34" t="s">
        <v>43</v>
      </c>
      <c r="B34">
        <v>79</v>
      </c>
      <c r="C34">
        <v>56</v>
      </c>
      <c r="D34">
        <v>44</v>
      </c>
      <c r="E34">
        <v>44</v>
      </c>
      <c r="F34">
        <v>111</v>
      </c>
      <c r="G34">
        <v>36</v>
      </c>
      <c r="H34">
        <v>80</v>
      </c>
      <c r="I34">
        <v>450</v>
      </c>
      <c r="L34" s="5" t="s">
        <v>3581</v>
      </c>
      <c r="M34">
        <v>1316</v>
      </c>
    </row>
    <row r="35" spans="1:13" x14ac:dyDescent="0.3">
      <c r="A35" t="s">
        <v>91</v>
      </c>
      <c r="B35">
        <v>92</v>
      </c>
      <c r="C35">
        <v>48</v>
      </c>
      <c r="D35">
        <v>55</v>
      </c>
      <c r="E35">
        <v>39</v>
      </c>
      <c r="F35">
        <v>88</v>
      </c>
      <c r="G35">
        <v>47</v>
      </c>
      <c r="H35">
        <v>72</v>
      </c>
      <c r="I35">
        <v>441</v>
      </c>
    </row>
    <row r="36" spans="1:13" x14ac:dyDescent="0.3">
      <c r="A36" t="s">
        <v>83</v>
      </c>
      <c r="B36">
        <v>74</v>
      </c>
      <c r="C36">
        <v>50</v>
      </c>
      <c r="D36">
        <v>32</v>
      </c>
      <c r="E36">
        <v>50</v>
      </c>
      <c r="F36">
        <v>97</v>
      </c>
      <c r="G36">
        <v>45</v>
      </c>
      <c r="H36">
        <v>85</v>
      </c>
      <c r="I36">
        <v>433</v>
      </c>
    </row>
    <row r="37" spans="1:13" x14ac:dyDescent="0.3">
      <c r="A37" t="s">
        <v>23</v>
      </c>
      <c r="B37">
        <v>78</v>
      </c>
      <c r="C37">
        <v>45</v>
      </c>
      <c r="D37">
        <v>41</v>
      </c>
      <c r="E37">
        <v>36</v>
      </c>
      <c r="F37">
        <v>67</v>
      </c>
      <c r="G37">
        <v>44</v>
      </c>
      <c r="H37">
        <v>100</v>
      </c>
      <c r="I37">
        <v>411</v>
      </c>
    </row>
    <row r="38" spans="1:13" x14ac:dyDescent="0.3">
      <c r="A38" t="s">
        <v>54</v>
      </c>
      <c r="B38">
        <v>82</v>
      </c>
      <c r="C38">
        <v>43</v>
      </c>
      <c r="D38">
        <v>46</v>
      </c>
      <c r="E38">
        <v>44</v>
      </c>
      <c r="F38">
        <v>83</v>
      </c>
      <c r="G38">
        <v>41</v>
      </c>
      <c r="H38">
        <v>87</v>
      </c>
      <c r="I38">
        <v>426</v>
      </c>
    </row>
    <row r="39" spans="1:13" x14ac:dyDescent="0.3">
      <c r="A39" t="s">
        <v>58</v>
      </c>
      <c r="B39">
        <v>80</v>
      </c>
      <c r="C39">
        <v>55</v>
      </c>
      <c r="D39">
        <v>41</v>
      </c>
      <c r="E39">
        <v>32</v>
      </c>
      <c r="F39">
        <v>87</v>
      </c>
      <c r="G39">
        <v>46</v>
      </c>
      <c r="H39">
        <v>84</v>
      </c>
      <c r="I39">
        <v>425</v>
      </c>
    </row>
    <row r="40" spans="1:13" x14ac:dyDescent="0.3">
      <c r="A40" t="s">
        <v>35</v>
      </c>
      <c r="B40">
        <v>78</v>
      </c>
      <c r="C40">
        <v>45</v>
      </c>
      <c r="D40">
        <v>49</v>
      </c>
      <c r="E40">
        <v>45</v>
      </c>
      <c r="F40">
        <v>72</v>
      </c>
      <c r="G40">
        <v>44</v>
      </c>
      <c r="H40">
        <v>99</v>
      </c>
      <c r="I40">
        <v>432</v>
      </c>
    </row>
    <row r="41" spans="1:13" x14ac:dyDescent="0.3">
      <c r="A41" t="s">
        <v>81</v>
      </c>
      <c r="B41">
        <v>110</v>
      </c>
      <c r="C41">
        <v>43</v>
      </c>
      <c r="D41">
        <v>51</v>
      </c>
      <c r="E41">
        <v>43</v>
      </c>
      <c r="F41">
        <v>93</v>
      </c>
      <c r="G41">
        <v>49</v>
      </c>
      <c r="H41">
        <v>93</v>
      </c>
      <c r="I41">
        <v>482</v>
      </c>
    </row>
    <row r="42" spans="1:13" x14ac:dyDescent="0.3">
      <c r="A42" t="s">
        <v>3581</v>
      </c>
      <c r="B42">
        <v>673</v>
      </c>
      <c r="C42">
        <v>385</v>
      </c>
      <c r="D42">
        <v>359</v>
      </c>
      <c r="E42">
        <v>333</v>
      </c>
      <c r="F42">
        <v>698</v>
      </c>
      <c r="G42">
        <v>352</v>
      </c>
      <c r="H42">
        <v>700</v>
      </c>
      <c r="I42">
        <v>3500</v>
      </c>
    </row>
    <row r="46" spans="1:13" x14ac:dyDescent="0.3">
      <c r="B46" s="4" t="s">
        <v>3580</v>
      </c>
      <c r="C46" t="s">
        <v>3599</v>
      </c>
      <c r="F46" s="4" t="s">
        <v>6</v>
      </c>
      <c r="G46" t="s">
        <v>3584</v>
      </c>
    </row>
    <row r="47" spans="1:13" x14ac:dyDescent="0.3">
      <c r="B47" s="5" t="s">
        <v>22</v>
      </c>
      <c r="C47" s="8">
        <v>12.56768558951965</v>
      </c>
      <c r="F47" t="s">
        <v>22</v>
      </c>
      <c r="G47">
        <v>229</v>
      </c>
    </row>
    <row r="48" spans="1:13" x14ac:dyDescent="0.3">
      <c r="B48" s="5" t="s">
        <v>53</v>
      </c>
      <c r="C48" s="8">
        <v>12.529411764705882</v>
      </c>
      <c r="F48" t="s">
        <v>53</v>
      </c>
      <c r="G48">
        <v>136</v>
      </c>
    </row>
    <row r="49" spans="2:7" x14ac:dyDescent="0.3">
      <c r="B49" s="5" t="s">
        <v>75</v>
      </c>
      <c r="C49" s="8">
        <v>11.602941176470589</v>
      </c>
      <c r="F49" t="s">
        <v>75</v>
      </c>
      <c r="G49">
        <v>136</v>
      </c>
    </row>
    <row r="50" spans="2:7" x14ac:dyDescent="0.3">
      <c r="B50" s="5" t="s">
        <v>63</v>
      </c>
      <c r="C50" s="8">
        <v>12.840909090909092</v>
      </c>
      <c r="F50" t="s">
        <v>63</v>
      </c>
      <c r="G50">
        <v>132</v>
      </c>
    </row>
    <row r="51" spans="2:7" x14ac:dyDescent="0.3">
      <c r="B51" s="5" t="s">
        <v>42</v>
      </c>
      <c r="C51" s="8">
        <v>11.611764705882353</v>
      </c>
      <c r="F51" t="s">
        <v>42</v>
      </c>
      <c r="G51">
        <v>255</v>
      </c>
    </row>
    <row r="52" spans="2:7" x14ac:dyDescent="0.3">
      <c r="B52" s="5" t="s">
        <v>34</v>
      </c>
      <c r="C52" s="8">
        <v>11.527777777777779</v>
      </c>
      <c r="F52" t="s">
        <v>34</v>
      </c>
      <c r="G52">
        <v>144</v>
      </c>
    </row>
    <row r="53" spans="2:7" x14ac:dyDescent="0.3">
      <c r="B53" s="5" t="s">
        <v>72</v>
      </c>
      <c r="C53" s="8">
        <v>11.964788732394366</v>
      </c>
      <c r="F53" t="s">
        <v>72</v>
      </c>
      <c r="G53">
        <v>284</v>
      </c>
    </row>
    <row r="54" spans="2:7" x14ac:dyDescent="0.3">
      <c r="B54" s="5" t="s">
        <v>3581</v>
      </c>
      <c r="C54" s="8">
        <v>12.062310030395137</v>
      </c>
      <c r="F54" t="s">
        <v>3581</v>
      </c>
      <c r="G54">
        <v>1316</v>
      </c>
    </row>
    <row r="57" spans="2:7" x14ac:dyDescent="0.3">
      <c r="B57" s="4" t="s">
        <v>3580</v>
      </c>
      <c r="C57" t="s">
        <v>3616</v>
      </c>
    </row>
    <row r="58" spans="2:7" x14ac:dyDescent="0.3">
      <c r="B58" s="5" t="s">
        <v>22</v>
      </c>
      <c r="C58">
        <v>8199.9108618127775</v>
      </c>
    </row>
    <row r="59" spans="2:7" x14ac:dyDescent="0.3">
      <c r="B59" s="5" t="s">
        <v>53</v>
      </c>
      <c r="C59">
        <v>8062.2460779220746</v>
      </c>
    </row>
    <row r="60" spans="2:7" x14ac:dyDescent="0.3">
      <c r="B60" s="5" t="s">
        <v>75</v>
      </c>
      <c r="C60">
        <v>8095.9594986072434</v>
      </c>
    </row>
    <row r="61" spans="2:7" x14ac:dyDescent="0.3">
      <c r="B61" s="5" t="s">
        <v>63</v>
      </c>
      <c r="C61">
        <v>8000.2892192192166</v>
      </c>
    </row>
    <row r="62" spans="2:7" x14ac:dyDescent="0.3">
      <c r="B62" s="5" t="s">
        <v>42</v>
      </c>
      <c r="C62">
        <v>7729.112578796562</v>
      </c>
    </row>
    <row r="63" spans="2:7" x14ac:dyDescent="0.3">
      <c r="B63" s="5" t="s">
        <v>34</v>
      </c>
      <c r="C63">
        <v>7713.2684374999981</v>
      </c>
    </row>
    <row r="64" spans="2:7" x14ac:dyDescent="0.3">
      <c r="B64" s="5" t="s">
        <v>72</v>
      </c>
      <c r="C64">
        <v>7768.6262714285749</v>
      </c>
    </row>
    <row r="65" spans="2:3" x14ac:dyDescent="0.3">
      <c r="B65" s="5" t="s">
        <v>3581</v>
      </c>
      <c r="C65">
        <v>7926.0228514285736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DD7F-6150-44BA-B514-C0FF28100758}">
  <dimension ref="A1:C3502"/>
  <sheetViews>
    <sheetView workbookViewId="0">
      <selection activeCell="C2" sqref="C2"/>
    </sheetView>
  </sheetViews>
  <sheetFormatPr defaultRowHeight="14.4" x14ac:dyDescent="0.3"/>
  <cols>
    <col min="1" max="1" width="14.21875" bestFit="1" customWidth="1"/>
    <col min="2" max="2" width="6.33203125" bestFit="1" customWidth="1"/>
    <col min="3" max="3" width="13.21875" bestFit="1" customWidth="1"/>
    <col min="4" max="4" width="15.77734375" bestFit="1" customWidth="1"/>
    <col min="5" max="7" width="12" bestFit="1" customWidth="1"/>
    <col min="8" max="8" width="12.21875" bestFit="1" customWidth="1"/>
    <col min="9" max="9" width="10.77734375" bestFit="1" customWidth="1"/>
  </cols>
  <sheetData>
    <row r="1" spans="1:3" x14ac:dyDescent="0.3">
      <c r="A1" s="4" t="s">
        <v>3</v>
      </c>
      <c r="B1" t="s">
        <v>3617</v>
      </c>
      <c r="C1" s="13" t="s">
        <v>3618</v>
      </c>
    </row>
    <row r="2" spans="1:3" x14ac:dyDescent="0.3">
      <c r="A2" s="10" t="s">
        <v>3608</v>
      </c>
      <c r="C2" s="14">
        <f>95.19*Hospital_Operations_Data[[#This Row],[Medication_Cost_USD]]</f>
        <v>160724.5074</v>
      </c>
    </row>
    <row r="3" spans="1:3" x14ac:dyDescent="0.3">
      <c r="A3" s="11">
        <f>95.19*Hospital_Operations_Data[[#This Row],[Treatment_Cost_USD]]</f>
        <v>541765.31790000002</v>
      </c>
      <c r="C3" s="13">
        <f>95.19*Hospital_Operations_Data[[#This Row],[Medication_Cost_USD]]</f>
        <v>83864.293799999999</v>
      </c>
    </row>
    <row r="4" spans="1:3" x14ac:dyDescent="0.3">
      <c r="A4" s="12">
        <f>95.19*Hospital_Operations_Data[[#This Row],[Treatment_Cost_USD]]</f>
        <v>481803.23309999995</v>
      </c>
      <c r="C4" s="14">
        <f>95.19*Hospital_Operations_Data[[#This Row],[Medication_Cost_USD]]</f>
        <v>152997.9351</v>
      </c>
    </row>
    <row r="5" spans="1:3" x14ac:dyDescent="0.3">
      <c r="A5" s="11">
        <f>95.19*Hospital_Operations_Data[[#This Row],[Treatment_Cost_USD]]</f>
        <v>1654939.0715999999</v>
      </c>
      <c r="C5" s="13">
        <f>95.19*Hospital_Operations_Data[[#This Row],[Medication_Cost_USD]]</f>
        <v>345350.27189999999</v>
      </c>
    </row>
    <row r="6" spans="1:3" x14ac:dyDescent="0.3">
      <c r="A6" s="12">
        <f>95.19*Hospital_Operations_Data[[#This Row],[Treatment_Cost_USD]]</f>
        <v>343886.24969999999</v>
      </c>
      <c r="C6" s="14">
        <f>95.19*Hospital_Operations_Data[[#This Row],[Medication_Cost_USD]]</f>
        <v>71057.431200000006</v>
      </c>
    </row>
    <row r="7" spans="1:3" x14ac:dyDescent="0.3">
      <c r="A7" s="11">
        <f>95.19*Hospital_Operations_Data[[#This Row],[Treatment_Cost_USD]]</f>
        <v>454037.26199999999</v>
      </c>
      <c r="C7" s="13">
        <f>95.19*Hospital_Operations_Data[[#This Row],[Medication_Cost_USD]]</f>
        <v>110555.5698</v>
      </c>
    </row>
    <row r="8" spans="1:3" x14ac:dyDescent="0.3">
      <c r="A8" s="12">
        <f>95.19*Hospital_Operations_Data[[#This Row],[Treatment_Cost_USD]]</f>
        <v>2008470.9239999999</v>
      </c>
      <c r="C8" s="14">
        <f>95.19*Hospital_Operations_Data[[#This Row],[Medication_Cost_USD]]</f>
        <v>447511.03559999994</v>
      </c>
    </row>
    <row r="9" spans="1:3" x14ac:dyDescent="0.3">
      <c r="A9" s="11">
        <f>95.19*Hospital_Operations_Data[[#This Row],[Treatment_Cost_USD]]</f>
        <v>568004.44140000001</v>
      </c>
      <c r="C9" s="13">
        <f>95.19*Hospital_Operations_Data[[#This Row],[Medication_Cost_USD]]</f>
        <v>178332.7536</v>
      </c>
    </row>
    <row r="10" spans="1:3" x14ac:dyDescent="0.3">
      <c r="A10" s="12">
        <f>95.19*Hospital_Operations_Data[[#This Row],[Treatment_Cost_USD]]</f>
        <v>1610269.2603</v>
      </c>
      <c r="C10" s="14">
        <f>95.19*Hospital_Operations_Data[[#This Row],[Medication_Cost_USD]]</f>
        <v>408881.02980000002</v>
      </c>
    </row>
    <row r="11" spans="1:3" x14ac:dyDescent="0.3">
      <c r="A11" s="11">
        <f>95.19*Hospital_Operations_Data[[#This Row],[Treatment_Cost_USD]]</f>
        <v>269690.40419999999</v>
      </c>
      <c r="C11" s="13">
        <f>95.19*Hospital_Operations_Data[[#This Row],[Medication_Cost_USD]]</f>
        <v>78498.433499999999</v>
      </c>
    </row>
    <row r="12" spans="1:3" x14ac:dyDescent="0.3">
      <c r="A12" s="12">
        <f>95.19*Hospital_Operations_Data[[#This Row],[Treatment_Cost_USD]]</f>
        <v>1651971.9993</v>
      </c>
      <c r="C12" s="14">
        <f>95.19*Hospital_Operations_Data[[#This Row],[Medication_Cost_USD]]</f>
        <v>459696.3075</v>
      </c>
    </row>
    <row r="13" spans="1:3" x14ac:dyDescent="0.3">
      <c r="A13" s="11">
        <f>95.19*Hospital_Operations_Data[[#This Row],[Treatment_Cost_USD]]</f>
        <v>332947.01490000001</v>
      </c>
      <c r="C13" s="13">
        <f>95.19*Hospital_Operations_Data[[#This Row],[Medication_Cost_USD]]</f>
        <v>93757.390500000009</v>
      </c>
    </row>
    <row r="14" spans="1:3" x14ac:dyDescent="0.3">
      <c r="A14" s="12">
        <f>95.19*Hospital_Operations_Data[[#This Row],[Treatment_Cost_USD]]</f>
        <v>391256.60130000004</v>
      </c>
      <c r="C14" s="14">
        <f>95.19*Hospital_Operations_Data[[#This Row],[Medication_Cost_USD]]</f>
        <v>146758.23060000001</v>
      </c>
    </row>
    <row r="15" spans="1:3" x14ac:dyDescent="0.3">
      <c r="A15" s="11">
        <f>95.19*Hospital_Operations_Data[[#This Row],[Treatment_Cost_USD]]</f>
        <v>2197002.3341999999</v>
      </c>
      <c r="C15" s="13">
        <f>95.19*Hospital_Operations_Data[[#This Row],[Medication_Cost_USD]]</f>
        <v>552927.29729999998</v>
      </c>
    </row>
    <row r="16" spans="1:3" x14ac:dyDescent="0.3">
      <c r="A16" s="12">
        <f>95.19*Hospital_Operations_Data[[#This Row],[Treatment_Cost_USD]]</f>
        <v>274135.77720000001</v>
      </c>
      <c r="C16" s="14">
        <f>95.19*Hospital_Operations_Data[[#This Row],[Medication_Cost_USD]]</f>
        <v>69113.651399999988</v>
      </c>
    </row>
    <row r="17" spans="1:3" x14ac:dyDescent="0.3">
      <c r="A17" s="11">
        <f>95.19*Hospital_Operations_Data[[#This Row],[Treatment_Cost_USD]]</f>
        <v>848100.06449999986</v>
      </c>
      <c r="C17" s="13">
        <f>95.19*Hospital_Operations_Data[[#This Row],[Medication_Cost_USD]]</f>
        <v>265209.81089999998</v>
      </c>
    </row>
    <row r="18" spans="1:3" x14ac:dyDescent="0.3">
      <c r="A18" s="12">
        <f>95.19*Hospital_Operations_Data[[#This Row],[Treatment_Cost_USD]]</f>
        <v>209666.44590000002</v>
      </c>
      <c r="C18" s="14">
        <f>95.19*Hospital_Operations_Data[[#This Row],[Medication_Cost_USD]]</f>
        <v>43133.4447</v>
      </c>
    </row>
    <row r="19" spans="1:3" x14ac:dyDescent="0.3">
      <c r="A19" s="11">
        <f>95.19*Hospital_Operations_Data[[#This Row],[Treatment_Cost_USD]]</f>
        <v>849285.17999999993</v>
      </c>
      <c r="C19" s="13">
        <f>95.19*Hospital_Operations_Data[[#This Row],[Medication_Cost_USD]]</f>
        <v>253911.70980000001</v>
      </c>
    </row>
    <row r="20" spans="1:3" x14ac:dyDescent="0.3">
      <c r="A20" s="12">
        <f>95.19*Hospital_Operations_Data[[#This Row],[Treatment_Cost_USD]]</f>
        <v>469152.48210000002</v>
      </c>
      <c r="C20" s="14">
        <f>95.19*Hospital_Operations_Data[[#This Row],[Medication_Cost_USD]]</f>
        <v>77443.728300000002</v>
      </c>
    </row>
    <row r="21" spans="1:3" x14ac:dyDescent="0.3">
      <c r="A21" s="11">
        <f>95.19*Hospital_Operations_Data[[#This Row],[Treatment_Cost_USD]]</f>
        <v>451158.71640000003</v>
      </c>
      <c r="C21" s="13">
        <f>95.19*Hospital_Operations_Data[[#This Row],[Medication_Cost_USD]]</f>
        <v>100496.8425</v>
      </c>
    </row>
    <row r="22" spans="1:3" x14ac:dyDescent="0.3">
      <c r="A22" s="12">
        <f>95.19*Hospital_Operations_Data[[#This Row],[Treatment_Cost_USD]]</f>
        <v>1809564.7556999999</v>
      </c>
      <c r="C22" s="14">
        <f>95.19*Hospital_Operations_Data[[#This Row],[Medication_Cost_USD]]</f>
        <v>420754.07849999995</v>
      </c>
    </row>
    <row r="23" spans="1:3" x14ac:dyDescent="0.3">
      <c r="A23" s="11">
        <f>95.19*Hospital_Operations_Data[[#This Row],[Treatment_Cost_USD]]</f>
        <v>1057470.4694999999</v>
      </c>
      <c r="C23" s="13">
        <f>95.19*Hospital_Operations_Data[[#This Row],[Medication_Cost_USD]]</f>
        <v>338538.4755</v>
      </c>
    </row>
    <row r="24" spans="1:3" x14ac:dyDescent="0.3">
      <c r="A24" s="12">
        <f>95.19*Hospital_Operations_Data[[#This Row],[Treatment_Cost_USD]]</f>
        <v>1119918.9171</v>
      </c>
      <c r="C24" s="14">
        <f>95.19*Hospital_Operations_Data[[#This Row],[Medication_Cost_USD]]</f>
        <v>347135.08439999999</v>
      </c>
    </row>
    <row r="25" spans="1:3" x14ac:dyDescent="0.3">
      <c r="A25" s="11">
        <f>95.19*Hospital_Operations_Data[[#This Row],[Treatment_Cost_USD]]</f>
        <v>389540.32559999998</v>
      </c>
      <c r="C25" s="13">
        <f>95.19*Hospital_Operations_Data[[#This Row],[Medication_Cost_USD]]</f>
        <v>102363.51839999999</v>
      </c>
    </row>
    <row r="26" spans="1:3" x14ac:dyDescent="0.3">
      <c r="A26" s="12">
        <f>95.19*Hospital_Operations_Data[[#This Row],[Treatment_Cost_USD]]</f>
        <v>302871.73440000002</v>
      </c>
      <c r="C26" s="14">
        <f>95.19*Hospital_Operations_Data[[#This Row],[Medication_Cost_USD]]</f>
        <v>49149.452700000002</v>
      </c>
    </row>
    <row r="27" spans="1:3" x14ac:dyDescent="0.3">
      <c r="A27" s="11">
        <f>95.19*Hospital_Operations_Data[[#This Row],[Treatment_Cost_USD]]</f>
        <v>455212.85849999997</v>
      </c>
      <c r="C27" s="13">
        <f>95.19*Hospital_Operations_Data[[#This Row],[Medication_Cost_USD]]</f>
        <v>152957.00339999999</v>
      </c>
    </row>
    <row r="28" spans="1:3" x14ac:dyDescent="0.3">
      <c r="A28" s="12">
        <f>95.19*Hospital_Operations_Data[[#This Row],[Treatment_Cost_USD]]</f>
        <v>434868.8517</v>
      </c>
      <c r="C28" s="14">
        <f>95.19*Hospital_Operations_Data[[#This Row],[Medication_Cost_USD]]</f>
        <v>83910.936900000001</v>
      </c>
    </row>
    <row r="29" spans="1:3" x14ac:dyDescent="0.3">
      <c r="A29" s="11">
        <f>95.19*Hospital_Operations_Data[[#This Row],[Treatment_Cost_USD]]</f>
        <v>1013711.6265</v>
      </c>
      <c r="C29" s="13">
        <f>95.19*Hospital_Operations_Data[[#This Row],[Medication_Cost_USD]]</f>
        <v>186944.59290000002</v>
      </c>
    </row>
    <row r="30" spans="1:3" x14ac:dyDescent="0.3">
      <c r="A30" s="12">
        <f>95.19*Hospital_Operations_Data[[#This Row],[Treatment_Cost_USD]]</f>
        <v>530570.97389999998</v>
      </c>
      <c r="C30" s="14">
        <f>95.19*Hospital_Operations_Data[[#This Row],[Medication_Cost_USD]]</f>
        <v>112296.5949</v>
      </c>
    </row>
    <row r="31" spans="1:3" x14ac:dyDescent="0.3">
      <c r="A31" s="11">
        <f>95.19*Hospital_Operations_Data[[#This Row],[Treatment_Cost_USD]]</f>
        <v>1851208.4768999999</v>
      </c>
      <c r="C31" s="13">
        <f>95.19*Hospital_Operations_Data[[#This Row],[Medication_Cost_USD]]</f>
        <v>391980.99719999998</v>
      </c>
    </row>
    <row r="32" spans="1:3" x14ac:dyDescent="0.3">
      <c r="A32" s="12">
        <f>95.19*Hospital_Operations_Data[[#This Row],[Treatment_Cost_USD]]</f>
        <v>220272.51570000002</v>
      </c>
      <c r="C32" s="14">
        <f>95.19*Hospital_Operations_Data[[#This Row],[Medication_Cost_USD]]</f>
        <v>75153.45689999999</v>
      </c>
    </row>
    <row r="33" spans="1:3" x14ac:dyDescent="0.3">
      <c r="A33" s="11">
        <f>95.19*Hospital_Operations_Data[[#This Row],[Treatment_Cost_USD]]</f>
        <v>793754.18969999987</v>
      </c>
      <c r="C33" s="13">
        <f>95.19*Hospital_Operations_Data[[#This Row],[Medication_Cost_USD]]</f>
        <v>203956.9497</v>
      </c>
    </row>
    <row r="34" spans="1:3" x14ac:dyDescent="0.3">
      <c r="A34" s="12">
        <f>95.19*Hospital_Operations_Data[[#This Row],[Treatment_Cost_USD]]</f>
        <v>350509.5699</v>
      </c>
      <c r="C34" s="14">
        <f>95.19*Hospital_Operations_Data[[#This Row],[Medication_Cost_USD]]</f>
        <v>96674.963999999993</v>
      </c>
    </row>
    <row r="35" spans="1:3" x14ac:dyDescent="0.3">
      <c r="A35" s="11">
        <f>95.19*Hospital_Operations_Data[[#This Row],[Treatment_Cost_USD]]</f>
        <v>425790.58140000002</v>
      </c>
      <c r="C35" s="13">
        <f>95.19*Hospital_Operations_Data[[#This Row],[Medication_Cost_USD]]</f>
        <v>162198.04860000001</v>
      </c>
    </row>
    <row r="36" spans="1:3" x14ac:dyDescent="0.3">
      <c r="A36" s="12">
        <f>95.19*Hospital_Operations_Data[[#This Row],[Treatment_Cost_USD]]</f>
        <v>210775.4094</v>
      </c>
      <c r="C36" s="14">
        <f>95.19*Hospital_Operations_Data[[#This Row],[Medication_Cost_USD]]</f>
        <v>43734.0936</v>
      </c>
    </row>
    <row r="37" spans="1:3" x14ac:dyDescent="0.3">
      <c r="A37" s="11">
        <f>95.19*Hospital_Operations_Data[[#This Row],[Treatment_Cost_USD]]</f>
        <v>1070079.3369</v>
      </c>
      <c r="C37" s="13">
        <f>95.19*Hospital_Operations_Data[[#This Row],[Medication_Cost_USD]]</f>
        <v>289768.8309</v>
      </c>
    </row>
    <row r="38" spans="1:3" x14ac:dyDescent="0.3">
      <c r="A38" s="12">
        <f>95.19*Hospital_Operations_Data[[#This Row],[Treatment_Cost_USD]]</f>
        <v>312624.90179999999</v>
      </c>
      <c r="C38" s="14">
        <f>95.19*Hospital_Operations_Data[[#This Row],[Medication_Cost_USD]]</f>
        <v>54001.286999999997</v>
      </c>
    </row>
    <row r="39" spans="1:3" x14ac:dyDescent="0.3">
      <c r="A39" s="11">
        <f>95.19*Hospital_Operations_Data[[#This Row],[Treatment_Cost_USD]]</f>
        <v>704262.26309999998</v>
      </c>
      <c r="C39" s="13">
        <f>95.19*Hospital_Operations_Data[[#This Row],[Medication_Cost_USD]]</f>
        <v>264740.52419999999</v>
      </c>
    </row>
    <row r="40" spans="1:3" x14ac:dyDescent="0.3">
      <c r="A40" s="12">
        <f>95.19*Hospital_Operations_Data[[#This Row],[Treatment_Cost_USD]]</f>
        <v>608653.42709999997</v>
      </c>
      <c r="C40" s="14">
        <f>95.19*Hospital_Operations_Data[[#This Row],[Medication_Cost_USD]]</f>
        <v>171179.22509999998</v>
      </c>
    </row>
    <row r="41" spans="1:3" x14ac:dyDescent="0.3">
      <c r="A41" s="11">
        <f>95.19*Hospital_Operations_Data[[#This Row],[Treatment_Cost_USD]]</f>
        <v>369165.85799999995</v>
      </c>
      <c r="C41" s="13">
        <f>95.19*Hospital_Operations_Data[[#This Row],[Medication_Cost_USD]]</f>
        <v>118812.35040000001</v>
      </c>
    </row>
    <row r="42" spans="1:3" x14ac:dyDescent="0.3">
      <c r="A42" s="12">
        <f>95.19*Hospital_Operations_Data[[#This Row],[Treatment_Cost_USD]]</f>
        <v>1041996.3831</v>
      </c>
      <c r="C42" s="14">
        <f>95.19*Hospital_Operations_Data[[#This Row],[Medication_Cost_USD]]</f>
        <v>281625.32639999996</v>
      </c>
    </row>
    <row r="43" spans="1:3" x14ac:dyDescent="0.3">
      <c r="A43" s="11">
        <f>95.19*Hospital_Operations_Data[[#This Row],[Treatment_Cost_USD]]</f>
        <v>426995.68680000002</v>
      </c>
      <c r="C43" s="13">
        <f>95.19*Hospital_Operations_Data[[#This Row],[Medication_Cost_USD]]</f>
        <v>137460.07139999999</v>
      </c>
    </row>
    <row r="44" spans="1:3" x14ac:dyDescent="0.3">
      <c r="A44" s="12">
        <f>95.19*Hospital_Operations_Data[[#This Row],[Treatment_Cost_USD]]</f>
        <v>370002.57809999998</v>
      </c>
      <c r="C44" s="14">
        <f>95.19*Hospital_Operations_Data[[#This Row],[Medication_Cost_USD]]</f>
        <v>62864.427899999995</v>
      </c>
    </row>
    <row r="45" spans="1:3" x14ac:dyDescent="0.3">
      <c r="A45" s="11">
        <f>95.19*Hospital_Operations_Data[[#This Row],[Treatment_Cost_USD]]</f>
        <v>1909814.1041999999</v>
      </c>
      <c r="C45" s="13">
        <f>95.19*Hospital_Operations_Data[[#This Row],[Medication_Cost_USD]]</f>
        <v>295732.48440000002</v>
      </c>
    </row>
    <row r="46" spans="1:3" x14ac:dyDescent="0.3">
      <c r="A46" s="12">
        <f>95.19*Hospital_Operations_Data[[#This Row],[Treatment_Cost_USD]]</f>
        <v>1106675.1324</v>
      </c>
      <c r="C46" s="14">
        <f>95.19*Hospital_Operations_Data[[#This Row],[Medication_Cost_USD]]</f>
        <v>231923.77169999998</v>
      </c>
    </row>
    <row r="47" spans="1:3" x14ac:dyDescent="0.3">
      <c r="A47" s="11">
        <f>95.19*Hospital_Operations_Data[[#This Row],[Treatment_Cost_USD]]</f>
        <v>369154.43520000001</v>
      </c>
      <c r="C47" s="13">
        <f>95.19*Hospital_Operations_Data[[#This Row],[Medication_Cost_USD]]</f>
        <v>60018.246899999998</v>
      </c>
    </row>
    <row r="48" spans="1:3" x14ac:dyDescent="0.3">
      <c r="A48" s="12">
        <f>95.19*Hospital_Operations_Data[[#This Row],[Treatment_Cost_USD]]</f>
        <v>286442.89230000001</v>
      </c>
      <c r="C48" s="14">
        <f>95.19*Hospital_Operations_Data[[#This Row],[Medication_Cost_USD]]</f>
        <v>106696.5672</v>
      </c>
    </row>
    <row r="49" spans="1:3" x14ac:dyDescent="0.3">
      <c r="A49" s="11">
        <f>95.19*Hospital_Operations_Data[[#This Row],[Treatment_Cost_USD]]</f>
        <v>660397.75919999997</v>
      </c>
      <c r="C49" s="13">
        <f>95.19*Hospital_Operations_Data[[#This Row],[Medication_Cost_USD]]</f>
        <v>201016.53059999997</v>
      </c>
    </row>
    <row r="50" spans="1:3" x14ac:dyDescent="0.3">
      <c r="A50" s="12">
        <f>95.19*Hospital_Operations_Data[[#This Row],[Treatment_Cost_USD]]</f>
        <v>794184.44849999994</v>
      </c>
      <c r="C50" s="14">
        <f>95.19*Hospital_Operations_Data[[#This Row],[Medication_Cost_USD]]</f>
        <v>236399.60549999998</v>
      </c>
    </row>
    <row r="51" spans="1:3" x14ac:dyDescent="0.3">
      <c r="A51" s="11">
        <f>95.19*Hospital_Operations_Data[[#This Row],[Treatment_Cost_USD]]</f>
        <v>790368.28139999998</v>
      </c>
      <c r="C51" s="13">
        <f>95.19*Hospital_Operations_Data[[#This Row],[Medication_Cost_USD]]</f>
        <v>220924.56720000002</v>
      </c>
    </row>
    <row r="52" spans="1:3" x14ac:dyDescent="0.3">
      <c r="A52" s="12">
        <f>95.19*Hospital_Operations_Data[[#This Row],[Treatment_Cost_USD]]</f>
        <v>375968.13539999997</v>
      </c>
      <c r="C52" s="14">
        <f>95.19*Hospital_Operations_Data[[#This Row],[Medication_Cost_USD]]</f>
        <v>72734.679000000004</v>
      </c>
    </row>
    <row r="53" spans="1:3" x14ac:dyDescent="0.3">
      <c r="A53" s="11">
        <f>95.19*Hospital_Operations_Data[[#This Row],[Treatment_Cost_USD]]</f>
        <v>292368.46980000002</v>
      </c>
      <c r="C53" s="13">
        <f>95.19*Hospital_Operations_Data[[#This Row],[Medication_Cost_USD]]</f>
        <v>99251.757299999997</v>
      </c>
    </row>
    <row r="54" spans="1:3" x14ac:dyDescent="0.3">
      <c r="A54" s="12">
        <f>95.19*Hospital_Operations_Data[[#This Row],[Treatment_Cost_USD]]</f>
        <v>463708.56599999993</v>
      </c>
      <c r="C54" s="14">
        <f>95.19*Hospital_Operations_Data[[#This Row],[Medication_Cost_USD]]</f>
        <v>127161.46529999998</v>
      </c>
    </row>
    <row r="55" spans="1:3" x14ac:dyDescent="0.3">
      <c r="A55" s="11">
        <f>95.19*Hospital_Operations_Data[[#This Row],[Treatment_Cost_USD]]</f>
        <v>875096.90039999993</v>
      </c>
      <c r="C55" s="13">
        <f>95.19*Hospital_Operations_Data[[#This Row],[Medication_Cost_USD]]</f>
        <v>256105.83929999996</v>
      </c>
    </row>
    <row r="56" spans="1:3" x14ac:dyDescent="0.3">
      <c r="A56" s="12">
        <f>95.19*Hospital_Operations_Data[[#This Row],[Treatment_Cost_USD]]</f>
        <v>337657.96799999999</v>
      </c>
      <c r="C56" s="14">
        <f>95.19*Hospital_Operations_Data[[#This Row],[Medication_Cost_USD]]</f>
        <v>96707.328600000008</v>
      </c>
    </row>
    <row r="57" spans="1:3" x14ac:dyDescent="0.3">
      <c r="A57" s="11">
        <f>95.19*Hospital_Operations_Data[[#This Row],[Treatment_Cost_USD]]</f>
        <v>799831.1192999999</v>
      </c>
      <c r="C57" s="13">
        <f>95.19*Hospital_Operations_Data[[#This Row],[Medication_Cost_USD]]</f>
        <v>165567.77459999998</v>
      </c>
    </row>
    <row r="58" spans="1:3" x14ac:dyDescent="0.3">
      <c r="A58" s="12">
        <f>95.19*Hospital_Operations_Data[[#This Row],[Treatment_Cost_USD]]</f>
        <v>545445.36329999997</v>
      </c>
      <c r="C58" s="14">
        <f>95.19*Hospital_Operations_Data[[#This Row],[Medication_Cost_USD]]</f>
        <v>205580.89110000001</v>
      </c>
    </row>
    <row r="59" spans="1:3" x14ac:dyDescent="0.3">
      <c r="A59" s="11">
        <f>95.19*Hospital_Operations_Data[[#This Row],[Treatment_Cost_USD]]</f>
        <v>1280860.4576999999</v>
      </c>
      <c r="C59" s="13">
        <f>95.19*Hospital_Operations_Data[[#This Row],[Medication_Cost_USD]]</f>
        <v>354995.87459999998</v>
      </c>
    </row>
    <row r="60" spans="1:3" x14ac:dyDescent="0.3">
      <c r="A60" s="12">
        <f>95.19*Hospital_Operations_Data[[#This Row],[Treatment_Cost_USD]]</f>
        <v>623670.60149999999</v>
      </c>
      <c r="C60" s="14">
        <f>95.19*Hospital_Operations_Data[[#This Row],[Medication_Cost_USD]]</f>
        <v>189948.7893</v>
      </c>
    </row>
    <row r="61" spans="1:3" x14ac:dyDescent="0.3">
      <c r="A61" s="11">
        <f>95.19*Hospital_Operations_Data[[#This Row],[Treatment_Cost_USD]]</f>
        <v>455015.81519999995</v>
      </c>
      <c r="C61" s="13">
        <f>95.19*Hospital_Operations_Data[[#This Row],[Medication_Cost_USD]]</f>
        <v>85404.468000000008</v>
      </c>
    </row>
    <row r="62" spans="1:3" x14ac:dyDescent="0.3">
      <c r="A62" s="12">
        <f>95.19*Hospital_Operations_Data[[#This Row],[Treatment_Cost_USD]]</f>
        <v>404743.12049999996</v>
      </c>
      <c r="C62" s="14">
        <f>95.19*Hospital_Operations_Data[[#This Row],[Medication_Cost_USD]]</f>
        <v>77134.360800000009</v>
      </c>
    </row>
    <row r="63" spans="1:3" x14ac:dyDescent="0.3">
      <c r="A63" s="11">
        <f>95.19*Hospital_Operations_Data[[#This Row],[Treatment_Cost_USD]]</f>
        <v>254451.43710000001</v>
      </c>
      <c r="C63" s="13">
        <f>95.19*Hospital_Operations_Data[[#This Row],[Medication_Cost_USD]]</f>
        <v>88926.498000000007</v>
      </c>
    </row>
    <row r="64" spans="1:3" x14ac:dyDescent="0.3">
      <c r="A64" s="12">
        <f>95.19*Hospital_Operations_Data[[#This Row],[Treatment_Cost_USD]]</f>
        <v>658486.34400000004</v>
      </c>
      <c r="C64" s="14">
        <f>95.19*Hospital_Operations_Data[[#This Row],[Medication_Cost_USD]]</f>
        <v>107937.84480000001</v>
      </c>
    </row>
    <row r="65" spans="1:3" x14ac:dyDescent="0.3">
      <c r="A65" s="11">
        <f>95.19*Hospital_Operations_Data[[#This Row],[Treatment_Cost_USD]]</f>
        <v>759410.58959999995</v>
      </c>
      <c r="C65" s="13">
        <f>95.19*Hospital_Operations_Data[[#This Row],[Medication_Cost_USD]]</f>
        <v>247590.14190000002</v>
      </c>
    </row>
    <row r="66" spans="1:3" x14ac:dyDescent="0.3">
      <c r="A66" s="12">
        <f>95.19*Hospital_Operations_Data[[#This Row],[Treatment_Cost_USD]]</f>
        <v>394848.12</v>
      </c>
      <c r="C66" s="14">
        <f>95.19*Hospital_Operations_Data[[#This Row],[Medication_Cost_USD]]</f>
        <v>143198.12459999998</v>
      </c>
    </row>
    <row r="67" spans="1:3" x14ac:dyDescent="0.3">
      <c r="A67" s="11">
        <f>95.19*Hospital_Operations_Data[[#This Row],[Treatment_Cost_USD]]</f>
        <v>794210.14980000001</v>
      </c>
      <c r="C67" s="13">
        <f>95.19*Hospital_Operations_Data[[#This Row],[Medication_Cost_USD]]</f>
        <v>207132.48809999999</v>
      </c>
    </row>
    <row r="68" spans="1:3" x14ac:dyDescent="0.3">
      <c r="A68" s="12">
        <f>95.19*Hospital_Operations_Data[[#This Row],[Treatment_Cost_USD]]</f>
        <v>970627.68059999996</v>
      </c>
      <c r="C68" s="14">
        <f>95.19*Hospital_Operations_Data[[#This Row],[Medication_Cost_USD]]</f>
        <v>215193.17730000001</v>
      </c>
    </row>
    <row r="69" spans="1:3" x14ac:dyDescent="0.3">
      <c r="A69" s="11">
        <f>95.19*Hospital_Operations_Data[[#This Row],[Treatment_Cost_USD]]</f>
        <v>574471.65</v>
      </c>
      <c r="C69" s="13">
        <f>95.19*Hospital_Operations_Data[[#This Row],[Medication_Cost_USD]]</f>
        <v>132687.24480000001</v>
      </c>
    </row>
    <row r="70" spans="1:3" x14ac:dyDescent="0.3">
      <c r="A70" s="12">
        <f>95.19*Hospital_Operations_Data[[#This Row],[Treatment_Cost_USD]]</f>
        <v>475917.63539999997</v>
      </c>
      <c r="C70" s="14">
        <f>95.19*Hospital_Operations_Data[[#This Row],[Medication_Cost_USD]]</f>
        <v>134597.70809999999</v>
      </c>
    </row>
    <row r="71" spans="1:3" x14ac:dyDescent="0.3">
      <c r="A71" s="11">
        <f>95.19*Hospital_Operations_Data[[#This Row],[Treatment_Cost_USD]]</f>
        <v>526701.50040000002</v>
      </c>
      <c r="C71" s="13">
        <f>95.19*Hospital_Operations_Data[[#This Row],[Medication_Cost_USD]]</f>
        <v>198446.40059999996</v>
      </c>
    </row>
    <row r="72" spans="1:3" x14ac:dyDescent="0.3">
      <c r="A72" s="12">
        <f>95.19*Hospital_Operations_Data[[#This Row],[Treatment_Cost_USD]]</f>
        <v>2190283.824</v>
      </c>
      <c r="C72" s="14">
        <f>95.19*Hospital_Operations_Data[[#This Row],[Medication_Cost_USD]]</f>
        <v>753186.11549999996</v>
      </c>
    </row>
    <row r="73" spans="1:3" x14ac:dyDescent="0.3">
      <c r="A73" s="11">
        <f>95.19*Hospital_Operations_Data[[#This Row],[Treatment_Cost_USD]]</f>
        <v>1110954.8747999999</v>
      </c>
      <c r="C73" s="13">
        <f>95.19*Hospital_Operations_Data[[#This Row],[Medication_Cost_USD]]</f>
        <v>245099.97149999999</v>
      </c>
    </row>
    <row r="74" spans="1:3" x14ac:dyDescent="0.3">
      <c r="A74" s="12">
        <f>95.19*Hospital_Operations_Data[[#This Row],[Treatment_Cost_USD]]</f>
        <v>540969.52950000006</v>
      </c>
      <c r="C74" s="14">
        <f>95.19*Hospital_Operations_Data[[#This Row],[Medication_Cost_USD]]</f>
        <v>147048.5601</v>
      </c>
    </row>
    <row r="75" spans="1:3" x14ac:dyDescent="0.3">
      <c r="A75" s="11">
        <f>95.19*Hospital_Operations_Data[[#This Row],[Treatment_Cost_USD]]</f>
        <v>346283.13390000002</v>
      </c>
      <c r="C75" s="13">
        <f>95.19*Hospital_Operations_Data[[#This Row],[Medication_Cost_USD]]</f>
        <v>116067.07079999999</v>
      </c>
    </row>
    <row r="76" spans="1:3" x14ac:dyDescent="0.3">
      <c r="A76" s="12">
        <f>95.19*Hospital_Operations_Data[[#This Row],[Treatment_Cost_USD]]</f>
        <v>592180.79759999993</v>
      </c>
      <c r="C76" s="14">
        <f>95.19*Hospital_Operations_Data[[#This Row],[Medication_Cost_USD]]</f>
        <v>200784.26700000002</v>
      </c>
    </row>
    <row r="77" spans="1:3" x14ac:dyDescent="0.3">
      <c r="A77" s="11">
        <f>95.19*Hospital_Operations_Data[[#This Row],[Treatment_Cost_USD]]</f>
        <v>916847.23439999996</v>
      </c>
      <c r="C77" s="13">
        <f>95.19*Hospital_Operations_Data[[#This Row],[Medication_Cost_USD]]</f>
        <v>330266.4645</v>
      </c>
    </row>
    <row r="78" spans="1:3" x14ac:dyDescent="0.3">
      <c r="A78" s="12">
        <f>95.19*Hospital_Operations_Data[[#This Row],[Treatment_Cost_USD]]</f>
        <v>716338.06650000007</v>
      </c>
      <c r="C78" s="14">
        <f>95.19*Hospital_Operations_Data[[#This Row],[Medication_Cost_USD]]</f>
        <v>219632.8389</v>
      </c>
    </row>
    <row r="79" spans="1:3" x14ac:dyDescent="0.3">
      <c r="A79" s="11">
        <f>95.19*Hospital_Operations_Data[[#This Row],[Treatment_Cost_USD]]</f>
        <v>557598.27059999993</v>
      </c>
      <c r="C79" s="13">
        <f>95.19*Hospital_Operations_Data[[#This Row],[Medication_Cost_USD]]</f>
        <v>137552.4057</v>
      </c>
    </row>
    <row r="80" spans="1:3" x14ac:dyDescent="0.3">
      <c r="A80" s="12">
        <f>95.19*Hospital_Operations_Data[[#This Row],[Treatment_Cost_USD]]</f>
        <v>329123.23259999999</v>
      </c>
      <c r="C80" s="14">
        <f>95.19*Hospital_Operations_Data[[#This Row],[Medication_Cost_USD]]</f>
        <v>131375.52660000001</v>
      </c>
    </row>
    <row r="81" spans="1:3" x14ac:dyDescent="0.3">
      <c r="A81" s="11">
        <f>95.19*Hospital_Operations_Data[[#This Row],[Treatment_Cost_USD]]</f>
        <v>235384.88009999998</v>
      </c>
      <c r="C81" s="13">
        <f>95.19*Hospital_Operations_Data[[#This Row],[Medication_Cost_USD]]</f>
        <v>87122.647499999992</v>
      </c>
    </row>
    <row r="82" spans="1:3" x14ac:dyDescent="0.3">
      <c r="A82" s="12">
        <f>95.19*Hospital_Operations_Data[[#This Row],[Treatment_Cost_USD]]</f>
        <v>636684.97829999996</v>
      </c>
      <c r="C82" s="14">
        <f>95.19*Hospital_Operations_Data[[#This Row],[Medication_Cost_USD]]</f>
        <v>180258.4473</v>
      </c>
    </row>
    <row r="83" spans="1:3" x14ac:dyDescent="0.3">
      <c r="A83" s="11">
        <f>95.19*Hospital_Operations_Data[[#This Row],[Treatment_Cost_USD]]</f>
        <v>544241.20979999995</v>
      </c>
      <c r="C83" s="13">
        <f>95.19*Hospital_Operations_Data[[#This Row],[Medication_Cost_USD]]</f>
        <v>191171.02889999998</v>
      </c>
    </row>
    <row r="84" spans="1:3" x14ac:dyDescent="0.3">
      <c r="A84" s="12">
        <f>95.19*Hospital_Operations_Data[[#This Row],[Treatment_Cost_USD]]</f>
        <v>474369.84599999996</v>
      </c>
      <c r="C84" s="14">
        <f>95.19*Hospital_Operations_Data[[#This Row],[Medication_Cost_USD]]</f>
        <v>93102.483300000007</v>
      </c>
    </row>
    <row r="85" spans="1:3" x14ac:dyDescent="0.3">
      <c r="A85" s="11">
        <f>95.19*Hospital_Operations_Data[[#This Row],[Treatment_Cost_USD]]</f>
        <v>629407.70279999997</v>
      </c>
      <c r="C85" s="13">
        <f>95.19*Hospital_Operations_Data[[#This Row],[Medication_Cost_USD]]</f>
        <v>196581.62849999999</v>
      </c>
    </row>
    <row r="86" spans="1:3" x14ac:dyDescent="0.3">
      <c r="A86" s="12">
        <f>95.19*Hospital_Operations_Data[[#This Row],[Treatment_Cost_USD]]</f>
        <v>716483.70719999995</v>
      </c>
      <c r="C86" s="14">
        <f>95.19*Hospital_Operations_Data[[#This Row],[Medication_Cost_USD]]</f>
        <v>269957.88809999998</v>
      </c>
    </row>
    <row r="87" spans="1:3" x14ac:dyDescent="0.3">
      <c r="A87" s="11">
        <f>95.19*Hospital_Operations_Data[[#This Row],[Treatment_Cost_USD]]</f>
        <v>568154.84160000004</v>
      </c>
      <c r="C87" s="13">
        <f>95.19*Hospital_Operations_Data[[#This Row],[Medication_Cost_USD]]</f>
        <v>133194.60749999998</v>
      </c>
    </row>
    <row r="88" spans="1:3" x14ac:dyDescent="0.3">
      <c r="A88" s="12">
        <f>95.19*Hospital_Operations_Data[[#This Row],[Treatment_Cost_USD]]</f>
        <v>887126.06070000003</v>
      </c>
      <c r="C88" s="14">
        <f>95.19*Hospital_Operations_Data[[#This Row],[Medication_Cost_USD]]</f>
        <v>155587.10310000001</v>
      </c>
    </row>
    <row r="89" spans="1:3" x14ac:dyDescent="0.3">
      <c r="A89" s="11">
        <f>95.19*Hospital_Operations_Data[[#This Row],[Treatment_Cost_USD]]</f>
        <v>909120.66209999996</v>
      </c>
      <c r="C89" s="13">
        <f>95.19*Hospital_Operations_Data[[#This Row],[Medication_Cost_USD]]</f>
        <v>319814.60249999998</v>
      </c>
    </row>
    <row r="90" spans="1:3" x14ac:dyDescent="0.3">
      <c r="A90" s="12">
        <f>95.19*Hospital_Operations_Data[[#This Row],[Treatment_Cost_USD]]</f>
        <v>1402864.5288</v>
      </c>
      <c r="C90" s="14">
        <f>95.19*Hospital_Operations_Data[[#This Row],[Medication_Cost_USD]]</f>
        <v>441234.20699999999</v>
      </c>
    </row>
    <row r="91" spans="1:3" x14ac:dyDescent="0.3">
      <c r="A91" s="11">
        <f>95.19*Hospital_Operations_Data[[#This Row],[Treatment_Cost_USD]]</f>
        <v>572532.62970000005</v>
      </c>
      <c r="C91" s="13">
        <f>95.19*Hospital_Operations_Data[[#This Row],[Medication_Cost_USD]]</f>
        <v>93367.111499999999</v>
      </c>
    </row>
    <row r="92" spans="1:3" x14ac:dyDescent="0.3">
      <c r="A92" s="12">
        <f>95.19*Hospital_Operations_Data[[#This Row],[Treatment_Cost_USD]]</f>
        <v>411201.76199999999</v>
      </c>
      <c r="C92" s="14">
        <f>95.19*Hospital_Operations_Data[[#This Row],[Medication_Cost_USD]]</f>
        <v>87624.29879999999</v>
      </c>
    </row>
    <row r="93" spans="1:3" x14ac:dyDescent="0.3">
      <c r="A93" s="11">
        <f>95.19*Hospital_Operations_Data[[#This Row],[Treatment_Cost_USD]]</f>
        <v>653981.0013</v>
      </c>
      <c r="C93" s="13">
        <f>95.19*Hospital_Operations_Data[[#This Row],[Medication_Cost_USD]]</f>
        <v>99701.054100000008</v>
      </c>
    </row>
    <row r="94" spans="1:3" x14ac:dyDescent="0.3">
      <c r="A94" s="12">
        <f>95.19*Hospital_Operations_Data[[#This Row],[Treatment_Cost_USD]]</f>
        <v>655435.50450000004</v>
      </c>
      <c r="C94" s="14">
        <f>95.19*Hospital_Operations_Data[[#This Row],[Medication_Cost_USD]]</f>
        <v>260448.40710000001</v>
      </c>
    </row>
    <row r="95" spans="1:3" x14ac:dyDescent="0.3">
      <c r="A95" s="11">
        <f>95.19*Hospital_Operations_Data[[#This Row],[Treatment_Cost_USD]]</f>
        <v>1079756.3522999999</v>
      </c>
      <c r="C95" s="13">
        <f>95.19*Hospital_Operations_Data[[#This Row],[Medication_Cost_USD]]</f>
        <v>176388.97380000001</v>
      </c>
    </row>
    <row r="96" spans="1:3" x14ac:dyDescent="0.3">
      <c r="A96" s="12">
        <f>95.19*Hospital_Operations_Data[[#This Row],[Treatment_Cost_USD]]</f>
        <v>1029549.3387</v>
      </c>
      <c r="C96" s="14">
        <f>95.19*Hospital_Operations_Data[[#This Row],[Medication_Cost_USD]]</f>
        <v>203200.18919999999</v>
      </c>
    </row>
    <row r="97" spans="1:3" x14ac:dyDescent="0.3">
      <c r="A97" s="11">
        <f>95.19*Hospital_Operations_Data[[#This Row],[Treatment_Cost_USD]]</f>
        <v>936449.71110000007</v>
      </c>
      <c r="C97" s="13">
        <f>95.19*Hospital_Operations_Data[[#This Row],[Medication_Cost_USD]]</f>
        <v>157971.61259999999</v>
      </c>
    </row>
    <row r="98" spans="1:3" x14ac:dyDescent="0.3">
      <c r="A98" s="12">
        <f>95.19*Hospital_Operations_Data[[#This Row],[Treatment_Cost_USD]]</f>
        <v>352855.0515</v>
      </c>
      <c r="C98" s="14">
        <f>95.19*Hospital_Operations_Data[[#This Row],[Medication_Cost_USD]]</f>
        <v>70380.630300000004</v>
      </c>
    </row>
    <row r="99" spans="1:3" x14ac:dyDescent="0.3">
      <c r="A99" s="11">
        <f>95.19*Hospital_Operations_Data[[#This Row],[Treatment_Cost_USD]]</f>
        <v>865562.66999999993</v>
      </c>
      <c r="C99" s="13">
        <f>95.19*Hospital_Operations_Data[[#This Row],[Medication_Cost_USD]]</f>
        <v>241853.99249999999</v>
      </c>
    </row>
    <row r="100" spans="1:3" x14ac:dyDescent="0.3">
      <c r="A100" s="12">
        <f>95.19*Hospital_Operations_Data[[#This Row],[Treatment_Cost_USD]]</f>
        <v>1274651.2139999999</v>
      </c>
      <c r="C100" s="14">
        <f>95.19*Hospital_Operations_Data[[#This Row],[Medication_Cost_USD]]</f>
        <v>348218.34659999999</v>
      </c>
    </row>
    <row r="101" spans="1:3" x14ac:dyDescent="0.3">
      <c r="A101" s="11">
        <f>95.19*Hospital_Operations_Data[[#This Row],[Treatment_Cost_USD]]</f>
        <v>589120.43909999996</v>
      </c>
      <c r="C101" s="13">
        <f>95.19*Hospital_Operations_Data[[#This Row],[Medication_Cost_USD]]</f>
        <v>113373.19379999999</v>
      </c>
    </row>
    <row r="102" spans="1:3" x14ac:dyDescent="0.3">
      <c r="A102" s="12">
        <f>95.19*Hospital_Operations_Data[[#This Row],[Treatment_Cost_USD]]</f>
        <v>1602189.5331000001</v>
      </c>
      <c r="C102" s="14">
        <f>95.19*Hospital_Operations_Data[[#This Row],[Medication_Cost_USD]]</f>
        <v>600134.87400000007</v>
      </c>
    </row>
    <row r="103" spans="1:3" x14ac:dyDescent="0.3">
      <c r="A103" s="11">
        <f>95.19*Hospital_Operations_Data[[#This Row],[Treatment_Cost_USD]]</f>
        <v>358677.82380000001</v>
      </c>
      <c r="C103" s="13">
        <f>95.19*Hospital_Operations_Data[[#This Row],[Medication_Cost_USD]]</f>
        <v>92902.584300000002</v>
      </c>
    </row>
    <row r="104" spans="1:3" x14ac:dyDescent="0.3">
      <c r="A104" s="12">
        <f>95.19*Hospital_Operations_Data[[#This Row],[Treatment_Cost_USD]]</f>
        <v>431016.51240000001</v>
      </c>
      <c r="C104" s="14">
        <f>95.19*Hospital_Operations_Data[[#This Row],[Medication_Cost_USD]]</f>
        <v>112998.14519999998</v>
      </c>
    </row>
    <row r="105" spans="1:3" x14ac:dyDescent="0.3">
      <c r="A105" s="11">
        <f>95.19*Hospital_Operations_Data[[#This Row],[Treatment_Cost_USD]]</f>
        <v>419725.07459999999</v>
      </c>
      <c r="C105" s="13">
        <f>95.19*Hospital_Operations_Data[[#This Row],[Medication_Cost_USD]]</f>
        <v>66099.936000000002</v>
      </c>
    </row>
    <row r="106" spans="1:3" x14ac:dyDescent="0.3">
      <c r="A106" s="12">
        <f>95.19*Hospital_Operations_Data[[#This Row],[Treatment_Cost_USD]]</f>
        <v>179475.0336</v>
      </c>
      <c r="C106" s="14">
        <f>95.19*Hospital_Operations_Data[[#This Row],[Medication_Cost_USD]]</f>
        <v>38178.805199999995</v>
      </c>
    </row>
    <row r="107" spans="1:3" x14ac:dyDescent="0.3">
      <c r="A107" s="11">
        <f>95.19*Hospital_Operations_Data[[#This Row],[Treatment_Cost_USD]]</f>
        <v>782164.80719999992</v>
      </c>
      <c r="C107" s="13">
        <f>95.19*Hospital_Operations_Data[[#This Row],[Medication_Cost_USD]]</f>
        <v>172662.28529999999</v>
      </c>
    </row>
    <row r="108" spans="1:3" x14ac:dyDescent="0.3">
      <c r="A108" s="12">
        <f>95.19*Hospital_Operations_Data[[#This Row],[Treatment_Cost_USD]]</f>
        <v>670917.20609999995</v>
      </c>
      <c r="C108" s="14">
        <f>95.19*Hospital_Operations_Data[[#This Row],[Medication_Cost_USD]]</f>
        <v>265951.34100000001</v>
      </c>
    </row>
    <row r="109" spans="1:3" x14ac:dyDescent="0.3">
      <c r="A109" s="11">
        <f>95.19*Hospital_Operations_Data[[#This Row],[Treatment_Cost_USD]]</f>
        <v>833090.50530000008</v>
      </c>
      <c r="C109" s="13">
        <f>95.19*Hospital_Operations_Data[[#This Row],[Medication_Cost_USD]]</f>
        <v>272566.09409999999</v>
      </c>
    </row>
    <row r="110" spans="1:3" x14ac:dyDescent="0.3">
      <c r="A110" s="12">
        <f>95.19*Hospital_Operations_Data[[#This Row],[Treatment_Cost_USD]]</f>
        <v>341289.46649999998</v>
      </c>
      <c r="C110" s="14">
        <f>95.19*Hospital_Operations_Data[[#This Row],[Medication_Cost_USD]]</f>
        <v>78326.139599999995</v>
      </c>
    </row>
    <row r="111" spans="1:3" x14ac:dyDescent="0.3">
      <c r="A111" s="11">
        <f>95.19*Hospital_Operations_Data[[#This Row],[Treatment_Cost_USD]]</f>
        <v>991809.35939999996</v>
      </c>
      <c r="C111" s="13">
        <f>95.19*Hospital_Operations_Data[[#This Row],[Medication_Cost_USD]]</f>
        <v>305428.53779999999</v>
      </c>
    </row>
    <row r="112" spans="1:3" x14ac:dyDescent="0.3">
      <c r="A112" s="12">
        <f>95.19*Hospital_Operations_Data[[#This Row],[Treatment_Cost_USD]]</f>
        <v>631555.18920000002</v>
      </c>
      <c r="C112" s="14">
        <f>95.19*Hospital_Operations_Data[[#This Row],[Medication_Cost_USD]]</f>
        <v>156096.36959999998</v>
      </c>
    </row>
    <row r="113" spans="1:3" x14ac:dyDescent="0.3">
      <c r="A113" s="11">
        <f>95.19*Hospital_Operations_Data[[#This Row],[Treatment_Cost_USD]]</f>
        <v>246379.32509999999</v>
      </c>
      <c r="C113" s="13">
        <f>95.19*Hospital_Operations_Data[[#This Row],[Medication_Cost_USD]]</f>
        <v>72869.848799999992</v>
      </c>
    </row>
    <row r="114" spans="1:3" x14ac:dyDescent="0.3">
      <c r="A114" s="12">
        <f>95.19*Hospital_Operations_Data[[#This Row],[Treatment_Cost_USD]]</f>
        <v>548419.09889999998</v>
      </c>
      <c r="C114" s="14">
        <f>95.19*Hospital_Operations_Data[[#This Row],[Medication_Cost_USD]]</f>
        <v>111913.9311</v>
      </c>
    </row>
    <row r="115" spans="1:3" x14ac:dyDescent="0.3">
      <c r="A115" s="11">
        <f>95.19*Hospital_Operations_Data[[#This Row],[Treatment_Cost_USD]]</f>
        <v>649796.44890000008</v>
      </c>
      <c r="C115" s="13">
        <f>95.19*Hospital_Operations_Data[[#This Row],[Medication_Cost_USD]]</f>
        <v>108139.6476</v>
      </c>
    </row>
    <row r="116" spans="1:3" x14ac:dyDescent="0.3">
      <c r="A116" s="12">
        <f>95.19*Hospital_Operations_Data[[#This Row],[Treatment_Cost_USD]]</f>
        <v>767860.60589999997</v>
      </c>
      <c r="C116" s="14">
        <f>95.19*Hospital_Operations_Data[[#This Row],[Medication_Cost_USD]]</f>
        <v>209683.58009999999</v>
      </c>
    </row>
    <row r="117" spans="1:3" x14ac:dyDescent="0.3">
      <c r="A117" s="11">
        <f>95.19*Hospital_Operations_Data[[#This Row],[Treatment_Cost_USD]]</f>
        <v>146934.3321</v>
      </c>
      <c r="C117" s="13">
        <f>95.19*Hospital_Operations_Data[[#This Row],[Medication_Cost_USD]]</f>
        <v>41935.0026</v>
      </c>
    </row>
    <row r="118" spans="1:3" x14ac:dyDescent="0.3">
      <c r="A118" s="12">
        <f>95.19*Hospital_Operations_Data[[#This Row],[Treatment_Cost_USD]]</f>
        <v>293808.69449999998</v>
      </c>
      <c r="C118" s="14">
        <f>95.19*Hospital_Operations_Data[[#This Row],[Medication_Cost_USD]]</f>
        <v>88070.7399</v>
      </c>
    </row>
    <row r="119" spans="1:3" x14ac:dyDescent="0.3">
      <c r="A119" s="11">
        <f>95.19*Hospital_Operations_Data[[#This Row],[Treatment_Cost_USD]]</f>
        <v>257273.82059999998</v>
      </c>
      <c r="C119" s="13">
        <f>95.19*Hospital_Operations_Data[[#This Row],[Medication_Cost_USD]]</f>
        <v>56006.940300000002</v>
      </c>
    </row>
    <row r="120" spans="1:3" x14ac:dyDescent="0.3">
      <c r="A120" s="12">
        <f>95.19*Hospital_Operations_Data[[#This Row],[Treatment_Cost_USD]]</f>
        <v>1416597.5901000001</v>
      </c>
      <c r="C120" s="14">
        <f>95.19*Hospital_Operations_Data[[#This Row],[Medication_Cost_USD]]</f>
        <v>546698.06369999994</v>
      </c>
    </row>
    <row r="121" spans="1:3" x14ac:dyDescent="0.3">
      <c r="A121" s="11">
        <f>95.19*Hospital_Operations_Data[[#This Row],[Treatment_Cost_USD]]</f>
        <v>2071482.8964</v>
      </c>
      <c r="C121" s="13">
        <f>95.19*Hospital_Operations_Data[[#This Row],[Medication_Cost_USD]]</f>
        <v>444162.25140000001</v>
      </c>
    </row>
    <row r="122" spans="1:3" x14ac:dyDescent="0.3">
      <c r="A122" s="12">
        <f>95.19*Hospital_Operations_Data[[#This Row],[Treatment_Cost_USD]]</f>
        <v>207216.25529999999</v>
      </c>
      <c r="C122" s="14">
        <f>95.19*Hospital_Operations_Data[[#This Row],[Medication_Cost_USD]]</f>
        <v>53689.063799999996</v>
      </c>
    </row>
    <row r="123" spans="1:3" x14ac:dyDescent="0.3">
      <c r="A123" s="11">
        <f>95.19*Hospital_Operations_Data[[#This Row],[Treatment_Cost_USD]]</f>
        <v>906307.79760000005</v>
      </c>
      <c r="C123" s="13">
        <f>95.19*Hospital_Operations_Data[[#This Row],[Medication_Cost_USD]]</f>
        <v>163007.1636</v>
      </c>
    </row>
    <row r="124" spans="1:3" x14ac:dyDescent="0.3">
      <c r="A124" s="12">
        <f>95.19*Hospital_Operations_Data[[#This Row],[Treatment_Cost_USD]]</f>
        <v>1207444.2182999998</v>
      </c>
      <c r="C124" s="14">
        <f>95.19*Hospital_Operations_Data[[#This Row],[Medication_Cost_USD]]</f>
        <v>279116.11799999996</v>
      </c>
    </row>
    <row r="125" spans="1:3" x14ac:dyDescent="0.3">
      <c r="A125" s="11">
        <f>95.19*Hospital_Operations_Data[[#This Row],[Treatment_Cost_USD]]</f>
        <v>603421.78469999996</v>
      </c>
      <c r="C125" s="13">
        <f>95.19*Hospital_Operations_Data[[#This Row],[Medication_Cost_USD]]</f>
        <v>177059.11139999999</v>
      </c>
    </row>
    <row r="126" spans="1:3" x14ac:dyDescent="0.3">
      <c r="A126" s="12">
        <f>95.19*Hospital_Operations_Data[[#This Row],[Treatment_Cost_USD]]</f>
        <v>978563.67090000003</v>
      </c>
      <c r="C126" s="14">
        <f>95.19*Hospital_Operations_Data[[#This Row],[Medication_Cost_USD]]</f>
        <v>291682.14990000002</v>
      </c>
    </row>
    <row r="127" spans="1:3" x14ac:dyDescent="0.3">
      <c r="A127" s="11">
        <f>95.19*Hospital_Operations_Data[[#This Row],[Treatment_Cost_USD]]</f>
        <v>997431.28079999995</v>
      </c>
      <c r="C127" s="13">
        <f>95.19*Hospital_Operations_Data[[#This Row],[Medication_Cost_USD]]</f>
        <v>326057.16269999999</v>
      </c>
    </row>
    <row r="128" spans="1:3" x14ac:dyDescent="0.3">
      <c r="A128" s="12">
        <f>95.19*Hospital_Operations_Data[[#This Row],[Treatment_Cost_USD]]</f>
        <v>680416.21619999991</v>
      </c>
      <c r="C128" s="14">
        <f>95.19*Hospital_Operations_Data[[#This Row],[Medication_Cost_USD]]</f>
        <v>214017.5808</v>
      </c>
    </row>
    <row r="129" spans="1:3" x14ac:dyDescent="0.3">
      <c r="A129" s="11">
        <f>95.19*Hospital_Operations_Data[[#This Row],[Treatment_Cost_USD]]</f>
        <v>512440.13459999999</v>
      </c>
      <c r="C129" s="13">
        <f>95.19*Hospital_Operations_Data[[#This Row],[Medication_Cost_USD]]</f>
        <v>149495.89499999999</v>
      </c>
    </row>
    <row r="130" spans="1:3" x14ac:dyDescent="0.3">
      <c r="A130" s="12">
        <f>95.19*Hospital_Operations_Data[[#This Row],[Treatment_Cost_USD]]</f>
        <v>213643.48409999997</v>
      </c>
      <c r="C130" s="14">
        <f>95.19*Hospital_Operations_Data[[#This Row],[Medication_Cost_USD]]</f>
        <v>79382.748600000006</v>
      </c>
    </row>
    <row r="131" spans="1:3" x14ac:dyDescent="0.3">
      <c r="A131" s="11">
        <f>95.19*Hospital_Operations_Data[[#This Row],[Treatment_Cost_USD]]</f>
        <v>734458.43489999999</v>
      </c>
      <c r="C131" s="13">
        <f>95.19*Hospital_Operations_Data[[#This Row],[Medication_Cost_USD]]</f>
        <v>185896.55100000001</v>
      </c>
    </row>
    <row r="132" spans="1:3" x14ac:dyDescent="0.3">
      <c r="A132" s="12">
        <f>95.19*Hospital_Operations_Data[[#This Row],[Treatment_Cost_USD]]</f>
        <v>320744.60879999999</v>
      </c>
      <c r="C132" s="14">
        <f>95.19*Hospital_Operations_Data[[#This Row],[Medication_Cost_USD]]</f>
        <v>92725.530899999998</v>
      </c>
    </row>
    <row r="133" spans="1:3" x14ac:dyDescent="0.3">
      <c r="A133" s="11">
        <f>95.19*Hospital_Operations_Data[[#This Row],[Treatment_Cost_USD]]</f>
        <v>949081.42409999995</v>
      </c>
      <c r="C133" s="13">
        <f>95.19*Hospital_Operations_Data[[#This Row],[Medication_Cost_USD]]</f>
        <v>324571.24679999996</v>
      </c>
    </row>
    <row r="134" spans="1:3" x14ac:dyDescent="0.3">
      <c r="A134" s="12">
        <f>95.19*Hospital_Operations_Data[[#This Row],[Treatment_Cost_USD]]</f>
        <v>409638.74219999998</v>
      </c>
      <c r="C134" s="14">
        <f>95.19*Hospital_Operations_Data[[#This Row],[Medication_Cost_USD]]</f>
        <v>107879.77889999999</v>
      </c>
    </row>
    <row r="135" spans="1:3" x14ac:dyDescent="0.3">
      <c r="A135" s="11">
        <f>95.19*Hospital_Operations_Data[[#This Row],[Treatment_Cost_USD]]</f>
        <v>743119.77299999993</v>
      </c>
      <c r="C135" s="13">
        <f>95.19*Hospital_Operations_Data[[#This Row],[Medication_Cost_USD]]</f>
        <v>218719.01490000001</v>
      </c>
    </row>
    <row r="136" spans="1:3" x14ac:dyDescent="0.3">
      <c r="A136" s="12">
        <f>95.19*Hospital_Operations_Data[[#This Row],[Treatment_Cost_USD]]</f>
        <v>629538.11309999996</v>
      </c>
      <c r="C136" s="14">
        <f>95.19*Hospital_Operations_Data[[#This Row],[Medication_Cost_USD]]</f>
        <v>186205.9185</v>
      </c>
    </row>
    <row r="137" spans="1:3" x14ac:dyDescent="0.3">
      <c r="A137" s="11">
        <f>95.19*Hospital_Operations_Data[[#This Row],[Treatment_Cost_USD]]</f>
        <v>658242.65760000004</v>
      </c>
      <c r="C137" s="13">
        <f>95.19*Hospital_Operations_Data[[#This Row],[Medication_Cost_USD]]</f>
        <v>112934.36790000001</v>
      </c>
    </row>
    <row r="138" spans="1:3" x14ac:dyDescent="0.3">
      <c r="A138" s="12">
        <f>95.19*Hospital_Operations_Data[[#This Row],[Treatment_Cost_USD]]</f>
        <v>446944.65509999997</v>
      </c>
      <c r="C138" s="14">
        <f>95.19*Hospital_Operations_Data[[#This Row],[Medication_Cost_USD]]</f>
        <v>174627.95879999999</v>
      </c>
    </row>
    <row r="139" spans="1:3" x14ac:dyDescent="0.3">
      <c r="A139" s="11">
        <f>95.19*Hospital_Operations_Data[[#This Row],[Treatment_Cost_USD]]</f>
        <v>975771.74820000003</v>
      </c>
      <c r="C139" s="13">
        <f>95.19*Hospital_Operations_Data[[#This Row],[Medication_Cost_USD]]</f>
        <v>292173.33029999997</v>
      </c>
    </row>
    <row r="140" spans="1:3" x14ac:dyDescent="0.3">
      <c r="A140" s="12">
        <f>95.19*Hospital_Operations_Data[[#This Row],[Treatment_Cost_USD]]</f>
        <v>964921.0401000001</v>
      </c>
      <c r="C140" s="14">
        <f>95.19*Hospital_Operations_Data[[#This Row],[Medication_Cost_USD]]</f>
        <v>295067.10629999998</v>
      </c>
    </row>
    <row r="141" spans="1:3" x14ac:dyDescent="0.3">
      <c r="A141" s="11">
        <f>95.19*Hospital_Operations_Data[[#This Row],[Treatment_Cost_USD]]</f>
        <v>506911.49940000003</v>
      </c>
      <c r="C141" s="13">
        <f>95.19*Hospital_Operations_Data[[#This Row],[Medication_Cost_USD]]</f>
        <v>89150.194499999998</v>
      </c>
    </row>
    <row r="142" spans="1:3" x14ac:dyDescent="0.3">
      <c r="A142" s="12">
        <f>95.19*Hospital_Operations_Data[[#This Row],[Treatment_Cost_USD]]</f>
        <v>932381.2905</v>
      </c>
      <c r="C142" s="14">
        <f>95.19*Hospital_Operations_Data[[#This Row],[Medication_Cost_USD]]</f>
        <v>311309.37599999999</v>
      </c>
    </row>
    <row r="143" spans="1:3" x14ac:dyDescent="0.3">
      <c r="A143" s="11">
        <f>95.19*Hospital_Operations_Data[[#This Row],[Treatment_Cost_USD]]</f>
        <v>1947977.6789999998</v>
      </c>
      <c r="C143" s="13">
        <f>95.19*Hospital_Operations_Data[[#This Row],[Medication_Cost_USD]]</f>
        <v>565557.10649999999</v>
      </c>
    </row>
    <row r="144" spans="1:3" x14ac:dyDescent="0.3">
      <c r="A144" s="12">
        <f>95.19*Hospital_Operations_Data[[#This Row],[Treatment_Cost_USD]]</f>
        <v>1045869.6642</v>
      </c>
      <c r="C144" s="14">
        <f>95.19*Hospital_Operations_Data[[#This Row],[Medication_Cost_USD]]</f>
        <v>343731.08999999997</v>
      </c>
    </row>
    <row r="145" spans="1:3" x14ac:dyDescent="0.3">
      <c r="A145" s="11">
        <f>95.19*Hospital_Operations_Data[[#This Row],[Treatment_Cost_USD]]</f>
        <v>1016715.8228999999</v>
      </c>
      <c r="C145" s="13">
        <f>95.19*Hospital_Operations_Data[[#This Row],[Medication_Cost_USD]]</f>
        <v>183671.00879999998</v>
      </c>
    </row>
    <row r="146" spans="1:3" x14ac:dyDescent="0.3">
      <c r="A146" s="12">
        <f>95.19*Hospital_Operations_Data[[#This Row],[Treatment_Cost_USD]]</f>
        <v>193261.4013</v>
      </c>
      <c r="C146" s="14">
        <f>95.19*Hospital_Operations_Data[[#This Row],[Medication_Cost_USD]]</f>
        <v>42421.423499999997</v>
      </c>
    </row>
    <row r="147" spans="1:3" x14ac:dyDescent="0.3">
      <c r="A147" s="11">
        <f>95.19*Hospital_Operations_Data[[#This Row],[Treatment_Cost_USD]]</f>
        <v>709798.5135</v>
      </c>
      <c r="C147" s="13">
        <f>95.19*Hospital_Operations_Data[[#This Row],[Medication_Cost_USD]]</f>
        <v>244108.09169999999</v>
      </c>
    </row>
    <row r="148" spans="1:3" x14ac:dyDescent="0.3">
      <c r="A148" s="12">
        <f>95.19*Hospital_Operations_Data[[#This Row],[Treatment_Cost_USD]]</f>
        <v>1004244.0290999999</v>
      </c>
      <c r="C148" s="14">
        <f>95.19*Hospital_Operations_Data[[#This Row],[Medication_Cost_USD]]</f>
        <v>153492.92309999999</v>
      </c>
    </row>
    <row r="149" spans="1:3" x14ac:dyDescent="0.3">
      <c r="A149" s="11">
        <f>95.19*Hospital_Operations_Data[[#This Row],[Treatment_Cost_USD]]</f>
        <v>2135319.2141999998</v>
      </c>
      <c r="C149" s="13">
        <f>95.19*Hospital_Operations_Data[[#This Row],[Medication_Cost_USD]]</f>
        <v>680453.34029999992</v>
      </c>
    </row>
    <row r="150" spans="1:3" x14ac:dyDescent="0.3">
      <c r="A150" s="12">
        <f>95.19*Hospital_Operations_Data[[#This Row],[Treatment_Cost_USD]]</f>
        <v>1089721.7934000001</v>
      </c>
      <c r="C150" s="14">
        <f>95.19*Hospital_Operations_Data[[#This Row],[Medication_Cost_USD]]</f>
        <v>354275.28629999998</v>
      </c>
    </row>
    <row r="151" spans="1:3" x14ac:dyDescent="0.3">
      <c r="A151" s="11">
        <f>95.19*Hospital_Operations_Data[[#This Row],[Treatment_Cost_USD]]</f>
        <v>1496899.8740999999</v>
      </c>
      <c r="C151" s="13">
        <f>95.19*Hospital_Operations_Data[[#This Row],[Medication_Cost_USD]]</f>
        <v>529954.14269999997</v>
      </c>
    </row>
    <row r="152" spans="1:3" x14ac:dyDescent="0.3">
      <c r="A152" s="12">
        <f>95.19*Hospital_Operations_Data[[#This Row],[Treatment_Cost_USD]]</f>
        <v>502445.18459999998</v>
      </c>
      <c r="C152" s="14">
        <f>95.19*Hospital_Operations_Data[[#This Row],[Medication_Cost_USD]]</f>
        <v>146491.6986</v>
      </c>
    </row>
    <row r="153" spans="1:3" x14ac:dyDescent="0.3">
      <c r="A153" s="11">
        <f>95.19*Hospital_Operations_Data[[#This Row],[Treatment_Cost_USD]]</f>
        <v>1124587.0347</v>
      </c>
      <c r="C153" s="13">
        <f>95.19*Hospital_Operations_Data[[#This Row],[Medication_Cost_USD]]</f>
        <v>413764.27679999999</v>
      </c>
    </row>
    <row r="154" spans="1:3" x14ac:dyDescent="0.3">
      <c r="A154" s="12">
        <f>95.19*Hospital_Operations_Data[[#This Row],[Treatment_Cost_USD]]</f>
        <v>624262.68329999992</v>
      </c>
      <c r="C154" s="14">
        <f>95.19*Hospital_Operations_Data[[#This Row],[Medication_Cost_USD]]</f>
        <v>196229.42549999998</v>
      </c>
    </row>
    <row r="155" spans="1:3" x14ac:dyDescent="0.3">
      <c r="A155" s="11">
        <f>95.19*Hospital_Operations_Data[[#This Row],[Treatment_Cost_USD]]</f>
        <v>859003.12710000004</v>
      </c>
      <c r="C155" s="13">
        <f>95.19*Hospital_Operations_Data[[#This Row],[Medication_Cost_USD]]</f>
        <v>271190.59860000003</v>
      </c>
    </row>
    <row r="156" spans="1:3" x14ac:dyDescent="0.3">
      <c r="A156" s="12">
        <f>95.19*Hospital_Operations_Data[[#This Row],[Treatment_Cost_USD]]</f>
        <v>1261206.5784</v>
      </c>
      <c r="C156" s="14">
        <f>95.19*Hospital_Operations_Data[[#This Row],[Medication_Cost_USD]]</f>
        <v>424871.04599999997</v>
      </c>
    </row>
    <row r="157" spans="1:3" x14ac:dyDescent="0.3">
      <c r="A157" s="11">
        <f>95.19*Hospital_Operations_Data[[#This Row],[Treatment_Cost_USD]]</f>
        <v>1191199.0929</v>
      </c>
      <c r="C157" s="13">
        <f>95.19*Hospital_Operations_Data[[#This Row],[Medication_Cost_USD]]</f>
        <v>474080.46839999995</v>
      </c>
    </row>
    <row r="158" spans="1:3" x14ac:dyDescent="0.3">
      <c r="A158" s="12">
        <f>95.19*Hospital_Operations_Data[[#This Row],[Treatment_Cost_USD]]</f>
        <v>100655.8098</v>
      </c>
      <c r="C158" s="14">
        <f>95.19*Hospital_Operations_Data[[#This Row],[Medication_Cost_USD]]</f>
        <v>36504.413099999998</v>
      </c>
    </row>
    <row r="159" spans="1:3" x14ac:dyDescent="0.3">
      <c r="A159" s="11">
        <f>95.19*Hospital_Operations_Data[[#This Row],[Treatment_Cost_USD]]</f>
        <v>1165923.2921999998</v>
      </c>
      <c r="C159" s="13">
        <f>95.19*Hospital_Operations_Data[[#This Row],[Medication_Cost_USD]]</f>
        <v>444348.82380000001</v>
      </c>
    </row>
    <row r="160" spans="1:3" x14ac:dyDescent="0.3">
      <c r="A160" s="12">
        <f>95.19*Hospital_Operations_Data[[#This Row],[Treatment_Cost_USD]]</f>
        <v>1240728.3536999999</v>
      </c>
      <c r="C160" s="14">
        <f>95.19*Hospital_Operations_Data[[#This Row],[Medication_Cost_USD]]</f>
        <v>295361.24339999998</v>
      </c>
    </row>
    <row r="161" spans="1:3" x14ac:dyDescent="0.3">
      <c r="A161" s="11">
        <f>95.19*Hospital_Operations_Data[[#This Row],[Treatment_Cost_USD]]</f>
        <v>1353894.0333</v>
      </c>
      <c r="C161" s="13">
        <f>95.19*Hospital_Operations_Data[[#This Row],[Medication_Cost_USD]]</f>
        <v>216734.3034</v>
      </c>
    </row>
    <row r="162" spans="1:3" x14ac:dyDescent="0.3">
      <c r="A162" s="12">
        <f>95.19*Hospital_Operations_Data[[#This Row],[Treatment_Cost_USD]]</f>
        <v>186512.43029999998</v>
      </c>
      <c r="C162" s="14">
        <f>95.19*Hospital_Operations_Data[[#This Row],[Medication_Cost_USD]]</f>
        <v>65926.690199999997</v>
      </c>
    </row>
    <row r="163" spans="1:3" x14ac:dyDescent="0.3">
      <c r="A163" s="11">
        <f>95.19*Hospital_Operations_Data[[#This Row],[Treatment_Cost_USD]]</f>
        <v>288166.78320000001</v>
      </c>
      <c r="C163" s="13">
        <f>95.19*Hospital_Operations_Data[[#This Row],[Medication_Cost_USD]]</f>
        <v>81468.361499999999</v>
      </c>
    </row>
    <row r="164" spans="1:3" x14ac:dyDescent="0.3">
      <c r="A164" s="12">
        <f>95.19*Hospital_Operations_Data[[#This Row],[Treatment_Cost_USD]]</f>
        <v>293571.67139999999</v>
      </c>
      <c r="C164" s="14">
        <f>95.19*Hospital_Operations_Data[[#This Row],[Medication_Cost_USD]]</f>
        <v>78745.927500000005</v>
      </c>
    </row>
    <row r="165" spans="1:3" x14ac:dyDescent="0.3">
      <c r="A165" s="11">
        <f>95.19*Hospital_Operations_Data[[#This Row],[Treatment_Cost_USD]]</f>
        <v>438528.90720000002</v>
      </c>
      <c r="C165" s="13">
        <f>95.19*Hospital_Operations_Data[[#This Row],[Medication_Cost_USD]]</f>
        <v>117151.2849</v>
      </c>
    </row>
    <row r="166" spans="1:3" x14ac:dyDescent="0.3">
      <c r="A166" s="12">
        <f>95.19*Hospital_Operations_Data[[#This Row],[Treatment_Cost_USD]]</f>
        <v>942516.16980000003</v>
      </c>
      <c r="C166" s="14">
        <f>95.19*Hospital_Operations_Data[[#This Row],[Medication_Cost_USD]]</f>
        <v>339093.43320000003</v>
      </c>
    </row>
    <row r="167" spans="1:3" x14ac:dyDescent="0.3">
      <c r="A167" s="11">
        <f>95.19*Hospital_Operations_Data[[#This Row],[Treatment_Cost_USD]]</f>
        <v>229525.93559999997</v>
      </c>
      <c r="C167" s="13">
        <f>95.19*Hospital_Operations_Data[[#This Row],[Medication_Cost_USD]]</f>
        <v>63586.92</v>
      </c>
    </row>
    <row r="168" spans="1:3" x14ac:dyDescent="0.3">
      <c r="A168" s="12">
        <f>95.19*Hospital_Operations_Data[[#This Row],[Treatment_Cost_USD]]</f>
        <v>698570.853</v>
      </c>
      <c r="C168" s="14">
        <f>95.19*Hospital_Operations_Data[[#This Row],[Medication_Cost_USD]]</f>
        <v>247762.43580000001</v>
      </c>
    </row>
    <row r="169" spans="1:3" x14ac:dyDescent="0.3">
      <c r="A169" s="11">
        <f>95.19*Hospital_Operations_Data[[#This Row],[Treatment_Cost_USD]]</f>
        <v>1594117.4210999999</v>
      </c>
      <c r="C169" s="13">
        <f>95.19*Hospital_Operations_Data[[#This Row],[Medication_Cost_USD]]</f>
        <v>259282.3296</v>
      </c>
    </row>
    <row r="170" spans="1:3" x14ac:dyDescent="0.3">
      <c r="A170" s="12">
        <f>95.19*Hospital_Operations_Data[[#This Row],[Treatment_Cost_USD]]</f>
        <v>1536010.5893999999</v>
      </c>
      <c r="C170" s="14">
        <f>95.19*Hospital_Operations_Data[[#This Row],[Medication_Cost_USD]]</f>
        <v>539919.58380000002</v>
      </c>
    </row>
    <row r="171" spans="1:3" x14ac:dyDescent="0.3">
      <c r="A171" s="11">
        <f>95.19*Hospital_Operations_Data[[#This Row],[Treatment_Cost_USD]]</f>
        <v>281736.69870000001</v>
      </c>
      <c r="C171" s="13">
        <f>95.19*Hospital_Operations_Data[[#This Row],[Medication_Cost_USD]]</f>
        <v>60674.106</v>
      </c>
    </row>
    <row r="172" spans="1:3" x14ac:dyDescent="0.3">
      <c r="A172" s="12">
        <f>95.19*Hospital_Operations_Data[[#This Row],[Treatment_Cost_USD]]</f>
        <v>610796.15399999998</v>
      </c>
      <c r="C172" s="14">
        <f>95.19*Hospital_Operations_Data[[#This Row],[Medication_Cost_USD]]</f>
        <v>177971.03160000002</v>
      </c>
    </row>
    <row r="173" spans="1:3" x14ac:dyDescent="0.3">
      <c r="A173" s="11">
        <f>95.19*Hospital_Operations_Data[[#This Row],[Treatment_Cost_USD]]</f>
        <v>269470.51529999997</v>
      </c>
      <c r="C173" s="13">
        <f>95.19*Hospital_Operations_Data[[#This Row],[Medication_Cost_USD]]</f>
        <v>102645.28079999999</v>
      </c>
    </row>
    <row r="174" spans="1:3" x14ac:dyDescent="0.3">
      <c r="A174" s="12">
        <f>95.19*Hospital_Operations_Data[[#This Row],[Treatment_Cost_USD]]</f>
        <v>592062.76199999999</v>
      </c>
      <c r="C174" s="14">
        <f>95.19*Hospital_Operations_Data[[#This Row],[Medication_Cost_USD]]</f>
        <v>89440.524000000005</v>
      </c>
    </row>
    <row r="175" spans="1:3" x14ac:dyDescent="0.3">
      <c r="A175" s="11">
        <f>95.19*Hospital_Operations_Data[[#This Row],[Treatment_Cost_USD]]</f>
        <v>133090.8504</v>
      </c>
      <c r="C175" s="13">
        <f>95.19*Hospital_Operations_Data[[#This Row],[Medication_Cost_USD]]</f>
        <v>28890.165000000001</v>
      </c>
    </row>
    <row r="176" spans="1:3" x14ac:dyDescent="0.3">
      <c r="A176" s="12">
        <f>95.19*Hospital_Operations_Data[[#This Row],[Treatment_Cost_USD]]</f>
        <v>526632.01170000003</v>
      </c>
      <c r="C176" s="14">
        <f>95.19*Hospital_Operations_Data[[#This Row],[Medication_Cost_USD]]</f>
        <v>128716.86990000001</v>
      </c>
    </row>
    <row r="177" spans="1:3" x14ac:dyDescent="0.3">
      <c r="A177" s="11">
        <f>95.19*Hospital_Operations_Data[[#This Row],[Treatment_Cost_USD]]</f>
        <v>405453.23789999995</v>
      </c>
      <c r="C177" s="13">
        <f>95.19*Hospital_Operations_Data[[#This Row],[Medication_Cost_USD]]</f>
        <v>117574.88040000001</v>
      </c>
    </row>
    <row r="178" spans="1:3" x14ac:dyDescent="0.3">
      <c r="A178" s="12">
        <f>95.19*Hospital_Operations_Data[[#This Row],[Treatment_Cost_USD]]</f>
        <v>752369.38529999997</v>
      </c>
      <c r="C178" s="14">
        <f>95.19*Hospital_Operations_Data[[#This Row],[Medication_Cost_USD]]</f>
        <v>228356.05049999998</v>
      </c>
    </row>
    <row r="179" spans="1:3" x14ac:dyDescent="0.3">
      <c r="A179" s="11">
        <f>95.19*Hospital_Operations_Data[[#This Row],[Treatment_Cost_USD]]</f>
        <v>1258324.2252</v>
      </c>
      <c r="C179" s="13">
        <f>95.19*Hospital_Operations_Data[[#This Row],[Medication_Cost_USD]]</f>
        <v>486864.48539999995</v>
      </c>
    </row>
    <row r="180" spans="1:3" x14ac:dyDescent="0.3">
      <c r="A180" s="12">
        <f>95.19*Hospital_Operations_Data[[#This Row],[Treatment_Cost_USD]]</f>
        <v>870350.72699999996</v>
      </c>
      <c r="C180" s="14">
        <f>95.19*Hospital_Operations_Data[[#This Row],[Medication_Cost_USD]]</f>
        <v>279355.04489999998</v>
      </c>
    </row>
    <row r="181" spans="1:3" x14ac:dyDescent="0.3">
      <c r="A181" s="11">
        <f>95.19*Hospital_Operations_Data[[#This Row],[Treatment_Cost_USD]]</f>
        <v>303924.53580000001</v>
      </c>
      <c r="C181" s="13">
        <f>95.19*Hospital_Operations_Data[[#This Row],[Medication_Cost_USD]]</f>
        <v>48791.5383</v>
      </c>
    </row>
    <row r="182" spans="1:3" x14ac:dyDescent="0.3">
      <c r="A182" s="12">
        <f>95.19*Hospital_Operations_Data[[#This Row],[Treatment_Cost_USD]]</f>
        <v>863194.3428000001</v>
      </c>
      <c r="C182" s="14">
        <f>95.19*Hospital_Operations_Data[[#This Row],[Medication_Cost_USD]]</f>
        <v>199181.26740000001</v>
      </c>
    </row>
    <row r="183" spans="1:3" x14ac:dyDescent="0.3">
      <c r="A183" s="11">
        <f>95.19*Hospital_Operations_Data[[#This Row],[Treatment_Cost_USD]]</f>
        <v>434971.6569</v>
      </c>
      <c r="C183" s="13">
        <f>95.19*Hospital_Operations_Data[[#This Row],[Medication_Cost_USD]]</f>
        <v>71705.675099999993</v>
      </c>
    </row>
    <row r="184" spans="1:3" x14ac:dyDescent="0.3">
      <c r="A184" s="12">
        <f>95.19*Hospital_Operations_Data[[#This Row],[Treatment_Cost_USD]]</f>
        <v>638052.85859999992</v>
      </c>
      <c r="C184" s="14">
        <f>95.19*Hospital_Operations_Data[[#This Row],[Medication_Cost_USD]]</f>
        <v>253191.12149999998</v>
      </c>
    </row>
    <row r="185" spans="1:3" x14ac:dyDescent="0.3">
      <c r="A185" s="11">
        <f>95.19*Hospital_Operations_Data[[#This Row],[Treatment_Cost_USD]]</f>
        <v>193308.9963</v>
      </c>
      <c r="C185" s="13">
        <f>95.19*Hospital_Operations_Data[[#This Row],[Medication_Cost_USD]]</f>
        <v>56533.340999999993</v>
      </c>
    </row>
    <row r="186" spans="1:3" x14ac:dyDescent="0.3">
      <c r="A186" s="12">
        <f>95.19*Hospital_Operations_Data[[#This Row],[Treatment_Cost_USD]]</f>
        <v>2213349.3128999998</v>
      </c>
      <c r="C186" s="14">
        <f>95.19*Hospital_Operations_Data[[#This Row],[Medication_Cost_USD]]</f>
        <v>439978.65089999995</v>
      </c>
    </row>
    <row r="187" spans="1:3" x14ac:dyDescent="0.3">
      <c r="A187" s="11">
        <f>95.19*Hospital_Operations_Data[[#This Row],[Treatment_Cost_USD]]</f>
        <v>781807.8446999999</v>
      </c>
      <c r="C187" s="13">
        <f>95.19*Hospital_Operations_Data[[#This Row],[Medication_Cost_USD]]</f>
        <v>207380.93399999998</v>
      </c>
    </row>
    <row r="188" spans="1:3" x14ac:dyDescent="0.3">
      <c r="A188" s="12">
        <f>95.19*Hospital_Operations_Data[[#This Row],[Treatment_Cost_USD]]</f>
        <v>513915.5796</v>
      </c>
      <c r="C188" s="14">
        <f>95.19*Hospital_Operations_Data[[#This Row],[Medication_Cost_USD]]</f>
        <v>195199.46970000002</v>
      </c>
    </row>
    <row r="189" spans="1:3" x14ac:dyDescent="0.3">
      <c r="A189" s="11">
        <f>95.19*Hospital_Operations_Data[[#This Row],[Treatment_Cost_USD]]</f>
        <v>688945.2402</v>
      </c>
      <c r="C189" s="13">
        <f>95.19*Hospital_Operations_Data[[#This Row],[Medication_Cost_USD]]</f>
        <v>171520.00529999999</v>
      </c>
    </row>
    <row r="190" spans="1:3" x14ac:dyDescent="0.3">
      <c r="A190" s="12">
        <f>95.19*Hospital_Operations_Data[[#This Row],[Treatment_Cost_USD]]</f>
        <v>598164.44099999999</v>
      </c>
      <c r="C190" s="14">
        <f>95.19*Hospital_Operations_Data[[#This Row],[Medication_Cost_USD]]</f>
        <v>101832.35819999999</v>
      </c>
    </row>
    <row r="191" spans="1:3" x14ac:dyDescent="0.3">
      <c r="A191" s="11">
        <f>95.19*Hospital_Operations_Data[[#This Row],[Treatment_Cost_USD]]</f>
        <v>1226823.9504</v>
      </c>
      <c r="C191" s="13">
        <f>95.19*Hospital_Operations_Data[[#This Row],[Medication_Cost_USD]]</f>
        <v>424111.42979999998</v>
      </c>
    </row>
    <row r="192" spans="1:3" x14ac:dyDescent="0.3">
      <c r="A192" s="12">
        <f>95.19*Hospital_Operations_Data[[#This Row],[Treatment_Cost_USD]]</f>
        <v>296167.50270000001</v>
      </c>
      <c r="C192" s="14">
        <f>95.19*Hospital_Operations_Data[[#This Row],[Medication_Cost_USD]]</f>
        <v>103832.30009999999</v>
      </c>
    </row>
    <row r="193" spans="1:3" x14ac:dyDescent="0.3">
      <c r="A193" s="11">
        <f>95.19*Hospital_Operations_Data[[#This Row],[Treatment_Cost_USD]]</f>
        <v>1315769.4863999998</v>
      </c>
      <c r="C193" s="13">
        <f>95.19*Hospital_Operations_Data[[#This Row],[Medication_Cost_USD]]</f>
        <v>310822.00320000004</v>
      </c>
    </row>
    <row r="194" spans="1:3" x14ac:dyDescent="0.3">
      <c r="A194" s="12">
        <f>95.19*Hospital_Operations_Data[[#This Row],[Treatment_Cost_USD]]</f>
        <v>287825.05109999998</v>
      </c>
      <c r="C194" s="14">
        <f>95.19*Hospital_Operations_Data[[#This Row],[Medication_Cost_USD]]</f>
        <v>107951.17139999999</v>
      </c>
    </row>
    <row r="195" spans="1:3" x14ac:dyDescent="0.3">
      <c r="A195" s="11">
        <f>95.19*Hospital_Operations_Data[[#This Row],[Treatment_Cost_USD]]</f>
        <v>237490.48289999997</v>
      </c>
      <c r="C195" s="13">
        <f>95.19*Hospital_Operations_Data[[#This Row],[Medication_Cost_USD]]</f>
        <v>86863.7307</v>
      </c>
    </row>
    <row r="196" spans="1:3" x14ac:dyDescent="0.3">
      <c r="A196" s="12">
        <f>95.19*Hospital_Operations_Data[[#This Row],[Treatment_Cost_USD]]</f>
        <v>682843.5612</v>
      </c>
      <c r="C196" s="14">
        <f>95.19*Hospital_Operations_Data[[#This Row],[Medication_Cost_USD]]</f>
        <v>155373.8775</v>
      </c>
    </row>
    <row r="197" spans="1:3" x14ac:dyDescent="0.3">
      <c r="A197" s="11">
        <f>95.19*Hospital_Operations_Data[[#This Row],[Treatment_Cost_USD]]</f>
        <v>835217.04989999987</v>
      </c>
      <c r="C197" s="13">
        <f>95.19*Hospital_Operations_Data[[#This Row],[Medication_Cost_USD]]</f>
        <v>142880.19</v>
      </c>
    </row>
    <row r="198" spans="1:3" x14ac:dyDescent="0.3">
      <c r="A198" s="12">
        <f>95.19*Hospital_Operations_Data[[#This Row],[Treatment_Cost_USD]]</f>
        <v>131355.5367</v>
      </c>
      <c r="C198" s="14">
        <f>95.19*Hospital_Operations_Data[[#This Row],[Medication_Cost_USD]]</f>
        <v>31326.077099999999</v>
      </c>
    </row>
    <row r="199" spans="1:3" x14ac:dyDescent="0.3">
      <c r="A199" s="11">
        <f>95.19*Hospital_Operations_Data[[#This Row],[Treatment_Cost_USD]]</f>
        <v>618154.3409999999</v>
      </c>
      <c r="C199" s="13">
        <f>95.19*Hospital_Operations_Data[[#This Row],[Medication_Cost_USD]]</f>
        <v>122807.47470000001</v>
      </c>
    </row>
    <row r="200" spans="1:3" x14ac:dyDescent="0.3">
      <c r="A200" s="12">
        <f>95.19*Hospital_Operations_Data[[#This Row],[Treatment_Cost_USD]]</f>
        <v>416920.77720000001</v>
      </c>
      <c r="C200" s="14">
        <f>95.19*Hospital_Operations_Data[[#This Row],[Medication_Cost_USD]]</f>
        <v>116990.41379999999</v>
      </c>
    </row>
    <row r="201" spans="1:3" x14ac:dyDescent="0.3">
      <c r="A201" s="11">
        <f>95.19*Hospital_Operations_Data[[#This Row],[Treatment_Cost_USD]]</f>
        <v>1246844.3111999999</v>
      </c>
      <c r="C201" s="13">
        <f>95.19*Hospital_Operations_Data[[#This Row],[Medication_Cost_USD]]</f>
        <v>462063.68279999995</v>
      </c>
    </row>
    <row r="202" spans="1:3" x14ac:dyDescent="0.3">
      <c r="A202" s="12">
        <f>95.19*Hospital_Operations_Data[[#This Row],[Treatment_Cost_USD]]</f>
        <v>1261501.6673999999</v>
      </c>
      <c r="C202" s="14">
        <f>95.19*Hospital_Operations_Data[[#This Row],[Medication_Cost_USD]]</f>
        <v>356556.03869999998</v>
      </c>
    </row>
    <row r="203" spans="1:3" x14ac:dyDescent="0.3">
      <c r="A203" s="11">
        <f>95.19*Hospital_Operations_Data[[#This Row],[Treatment_Cost_USD]]</f>
        <v>352891.22369999997</v>
      </c>
      <c r="C203" s="13">
        <f>95.19*Hospital_Operations_Data[[#This Row],[Medication_Cost_USD]]</f>
        <v>64485.513600000006</v>
      </c>
    </row>
    <row r="204" spans="1:3" x14ac:dyDescent="0.3">
      <c r="A204" s="12">
        <f>95.19*Hospital_Operations_Data[[#This Row],[Treatment_Cost_USD]]</f>
        <v>826463.37749999994</v>
      </c>
      <c r="C204" s="14">
        <f>95.19*Hospital_Operations_Data[[#This Row],[Medication_Cost_USD]]</f>
        <v>242939.15849999999</v>
      </c>
    </row>
    <row r="205" spans="1:3" x14ac:dyDescent="0.3">
      <c r="A205" s="11">
        <f>95.19*Hospital_Operations_Data[[#This Row],[Treatment_Cost_USD]]</f>
        <v>1312570.1505</v>
      </c>
      <c r="C205" s="13">
        <f>95.19*Hospital_Operations_Data[[#This Row],[Medication_Cost_USD]]</f>
        <v>355611.75390000001</v>
      </c>
    </row>
    <row r="206" spans="1:3" x14ac:dyDescent="0.3">
      <c r="A206" s="12">
        <f>95.19*Hospital_Operations_Data[[#This Row],[Treatment_Cost_USD]]</f>
        <v>142709.79990000001</v>
      </c>
      <c r="C206" s="14">
        <f>95.19*Hospital_Operations_Data[[#This Row],[Medication_Cost_USD]]</f>
        <v>29261.405999999995</v>
      </c>
    </row>
    <row r="207" spans="1:3" x14ac:dyDescent="0.3">
      <c r="A207" s="11">
        <f>95.19*Hospital_Operations_Data[[#This Row],[Treatment_Cost_USD]]</f>
        <v>845684.14229999995</v>
      </c>
      <c r="C207" s="13">
        <f>95.19*Hospital_Operations_Data[[#This Row],[Medication_Cost_USD]]</f>
        <v>155417.6649</v>
      </c>
    </row>
    <row r="208" spans="1:3" x14ac:dyDescent="0.3">
      <c r="A208" s="12">
        <f>95.19*Hospital_Operations_Data[[#This Row],[Treatment_Cost_USD]]</f>
        <v>222034.48259999999</v>
      </c>
      <c r="C208" s="14">
        <f>95.19*Hospital_Operations_Data[[#This Row],[Medication_Cost_USD]]</f>
        <v>38747.089500000002</v>
      </c>
    </row>
    <row r="209" spans="1:3" x14ac:dyDescent="0.3">
      <c r="A209" s="11">
        <f>95.19*Hospital_Operations_Data[[#This Row],[Treatment_Cost_USD]]</f>
        <v>555450.78419999999</v>
      </c>
      <c r="C209" s="13">
        <f>95.19*Hospital_Operations_Data[[#This Row],[Medication_Cost_USD]]</f>
        <v>168141.71220000001</v>
      </c>
    </row>
    <row r="210" spans="1:3" x14ac:dyDescent="0.3">
      <c r="A210" s="12">
        <f>95.19*Hospital_Operations_Data[[#This Row],[Treatment_Cost_USD]]</f>
        <v>786991.89209999994</v>
      </c>
      <c r="C210" s="14">
        <f>95.19*Hospital_Operations_Data[[#This Row],[Medication_Cost_USD]]</f>
        <v>194218.06079999998</v>
      </c>
    </row>
    <row r="211" spans="1:3" x14ac:dyDescent="0.3">
      <c r="A211" s="11">
        <f>95.19*Hospital_Operations_Data[[#This Row],[Treatment_Cost_USD]]</f>
        <v>355930.64039999997</v>
      </c>
      <c r="C211" s="13">
        <f>95.19*Hospital_Operations_Data[[#This Row],[Medication_Cost_USD]]</f>
        <v>57863.145299999996</v>
      </c>
    </row>
    <row r="212" spans="1:3" x14ac:dyDescent="0.3">
      <c r="A212" s="12">
        <f>95.19*Hospital_Operations_Data[[#This Row],[Treatment_Cost_USD]]</f>
        <v>2309475.0306000002</v>
      </c>
      <c r="C212" s="14">
        <f>95.19*Hospital_Operations_Data[[#This Row],[Medication_Cost_USD]]</f>
        <v>796424.26919999998</v>
      </c>
    </row>
    <row r="213" spans="1:3" x14ac:dyDescent="0.3">
      <c r="A213" s="11">
        <f>95.19*Hospital_Operations_Data[[#This Row],[Treatment_Cost_USD]]</f>
        <v>694214.00670000003</v>
      </c>
      <c r="C213" s="13">
        <f>95.19*Hospital_Operations_Data[[#This Row],[Medication_Cost_USD]]</f>
        <v>257428.02840000001</v>
      </c>
    </row>
    <row r="214" spans="1:3" x14ac:dyDescent="0.3">
      <c r="A214" s="12">
        <f>95.19*Hospital_Operations_Data[[#This Row],[Treatment_Cost_USD]]</f>
        <v>464224.49579999998</v>
      </c>
      <c r="C214" s="14">
        <f>95.19*Hospital_Operations_Data[[#This Row],[Medication_Cost_USD]]</f>
        <v>77218.127999999997</v>
      </c>
    </row>
    <row r="215" spans="1:3" x14ac:dyDescent="0.3">
      <c r="A215" s="11">
        <f>95.19*Hospital_Operations_Data[[#This Row],[Treatment_Cost_USD]]</f>
        <v>752256.10920000006</v>
      </c>
      <c r="C215" s="13">
        <f>95.19*Hospital_Operations_Data[[#This Row],[Medication_Cost_USD]]</f>
        <v>246229.87679999997</v>
      </c>
    </row>
    <row r="216" spans="1:3" x14ac:dyDescent="0.3">
      <c r="A216" s="12">
        <f>95.19*Hospital_Operations_Data[[#This Row],[Treatment_Cost_USD]]</f>
        <v>215984.20619999999</v>
      </c>
      <c r="C216" s="14">
        <f>95.19*Hospital_Operations_Data[[#This Row],[Medication_Cost_USD]]</f>
        <v>83738.642999999996</v>
      </c>
    </row>
    <row r="217" spans="1:3" x14ac:dyDescent="0.3">
      <c r="A217" s="11">
        <f>95.19*Hospital_Operations_Data[[#This Row],[Treatment_Cost_USD]]</f>
        <v>314251.69889999996</v>
      </c>
      <c r="C217" s="13">
        <f>95.19*Hospital_Operations_Data[[#This Row],[Medication_Cost_USD]]</f>
        <v>94082.940300000002</v>
      </c>
    </row>
    <row r="218" spans="1:3" x14ac:dyDescent="0.3">
      <c r="A218" s="12">
        <f>95.19*Hospital_Operations_Data[[#This Row],[Treatment_Cost_USD]]</f>
        <v>859451.47199999995</v>
      </c>
      <c r="C218" s="14">
        <f>95.19*Hospital_Operations_Data[[#This Row],[Medication_Cost_USD]]</f>
        <v>210919.14629999999</v>
      </c>
    </row>
    <row r="219" spans="1:3" x14ac:dyDescent="0.3">
      <c r="A219" s="11">
        <f>95.19*Hospital_Operations_Data[[#This Row],[Treatment_Cost_USD]]</f>
        <v>2092832.1095999999</v>
      </c>
      <c r="C219" s="13">
        <f>95.19*Hospital_Operations_Data[[#This Row],[Medication_Cost_USD]]</f>
        <v>814441.83239999996</v>
      </c>
    </row>
    <row r="220" spans="1:3" x14ac:dyDescent="0.3">
      <c r="A220" s="12">
        <f>95.19*Hospital_Operations_Data[[#This Row],[Treatment_Cost_USD]]</f>
        <v>660500.56440000003</v>
      </c>
      <c r="C220" s="14">
        <f>95.19*Hospital_Operations_Data[[#This Row],[Medication_Cost_USD]]</f>
        <v>261046.2003</v>
      </c>
    </row>
    <row r="221" spans="1:3" x14ac:dyDescent="0.3">
      <c r="A221" s="11">
        <f>95.19*Hospital_Operations_Data[[#This Row],[Treatment_Cost_USD]]</f>
        <v>625438.27980000002</v>
      </c>
      <c r="C221" s="13">
        <f>95.19*Hospital_Operations_Data[[#This Row],[Medication_Cost_USD]]</f>
        <v>136961.2758</v>
      </c>
    </row>
    <row r="222" spans="1:3" x14ac:dyDescent="0.3">
      <c r="A222" s="12">
        <f>95.19*Hospital_Operations_Data[[#This Row],[Treatment_Cost_USD]]</f>
        <v>1347290.703</v>
      </c>
      <c r="C222" s="14">
        <f>95.19*Hospital_Operations_Data[[#This Row],[Medication_Cost_USD]]</f>
        <v>510542.04599999997</v>
      </c>
    </row>
    <row r="223" spans="1:3" x14ac:dyDescent="0.3">
      <c r="A223" s="11">
        <f>95.19*Hospital_Operations_Data[[#This Row],[Treatment_Cost_USD]]</f>
        <v>792498.63360000006</v>
      </c>
      <c r="C223" s="13">
        <f>95.19*Hospital_Operations_Data[[#This Row],[Medication_Cost_USD]]</f>
        <v>133777.1703</v>
      </c>
    </row>
    <row r="224" spans="1:3" x14ac:dyDescent="0.3">
      <c r="A224" s="12">
        <f>95.19*Hospital_Operations_Data[[#This Row],[Treatment_Cost_USD]]</f>
        <v>841858.4561999999</v>
      </c>
      <c r="C224" s="14">
        <f>95.19*Hospital_Operations_Data[[#This Row],[Medication_Cost_USD]]</f>
        <v>171252.5214</v>
      </c>
    </row>
    <row r="225" spans="1:3" x14ac:dyDescent="0.3">
      <c r="A225" s="11">
        <f>95.19*Hospital_Operations_Data[[#This Row],[Treatment_Cost_USD]]</f>
        <v>974668.49609999999</v>
      </c>
      <c r="C225" s="13">
        <f>95.19*Hospital_Operations_Data[[#This Row],[Medication_Cost_USD]]</f>
        <v>148464.03539999999</v>
      </c>
    </row>
    <row r="226" spans="1:3" x14ac:dyDescent="0.3">
      <c r="A226" s="12">
        <f>95.19*Hospital_Operations_Data[[#This Row],[Treatment_Cost_USD]]</f>
        <v>950207.52179999987</v>
      </c>
      <c r="C226" s="14">
        <f>95.19*Hospital_Operations_Data[[#This Row],[Medication_Cost_USD]]</f>
        <v>301770.3861</v>
      </c>
    </row>
    <row r="227" spans="1:3" x14ac:dyDescent="0.3">
      <c r="A227" s="11">
        <f>95.19*Hospital_Operations_Data[[#This Row],[Treatment_Cost_USD]]</f>
        <v>374842.98960000003</v>
      </c>
      <c r="C227" s="13">
        <f>95.19*Hospital_Operations_Data[[#This Row],[Medication_Cost_USD]]</f>
        <v>77705.500800000009</v>
      </c>
    </row>
    <row r="228" spans="1:3" x14ac:dyDescent="0.3">
      <c r="A228" s="12">
        <f>95.19*Hospital_Operations_Data[[#This Row],[Treatment_Cost_USD]]</f>
        <v>338873.54429999995</v>
      </c>
      <c r="C228" s="14">
        <f>95.19*Hospital_Operations_Data[[#This Row],[Medication_Cost_USD]]</f>
        <v>114418.37999999999</v>
      </c>
    </row>
    <row r="229" spans="1:3" x14ac:dyDescent="0.3">
      <c r="A229" s="11">
        <f>95.19*Hospital_Operations_Data[[#This Row],[Treatment_Cost_USD]]</f>
        <v>345992.80440000002</v>
      </c>
      <c r="C229" s="13">
        <f>95.19*Hospital_Operations_Data[[#This Row],[Medication_Cost_USD]]</f>
        <v>114616.37519999999</v>
      </c>
    </row>
    <row r="230" spans="1:3" x14ac:dyDescent="0.3">
      <c r="A230" s="12">
        <f>95.19*Hospital_Operations_Data[[#This Row],[Treatment_Cost_USD]]</f>
        <v>356842.56059999997</v>
      </c>
      <c r="C230" s="14">
        <f>95.19*Hospital_Operations_Data[[#This Row],[Medication_Cost_USD]]</f>
        <v>112462.2255</v>
      </c>
    </row>
    <row r="231" spans="1:3" x14ac:dyDescent="0.3">
      <c r="A231" s="11">
        <f>95.19*Hospital_Operations_Data[[#This Row],[Treatment_Cost_USD]]</f>
        <v>1051672.4465999999</v>
      </c>
      <c r="C231" s="13">
        <f>95.19*Hospital_Operations_Data[[#This Row],[Medication_Cost_USD]]</f>
        <v>170241.6036</v>
      </c>
    </row>
    <row r="232" spans="1:3" x14ac:dyDescent="0.3">
      <c r="A232" s="12">
        <f>95.19*Hospital_Operations_Data[[#This Row],[Treatment_Cost_USD]]</f>
        <v>336221.55090000003</v>
      </c>
      <c r="C232" s="14">
        <f>95.19*Hospital_Operations_Data[[#This Row],[Medication_Cost_USD]]</f>
        <v>110129.1186</v>
      </c>
    </row>
    <row r="233" spans="1:3" x14ac:dyDescent="0.3">
      <c r="A233" s="11">
        <f>95.19*Hospital_Operations_Data[[#This Row],[Treatment_Cost_USD]]</f>
        <v>274500.35489999998</v>
      </c>
      <c r="C233" s="13">
        <f>95.19*Hospital_Operations_Data[[#This Row],[Medication_Cost_USD]]</f>
        <v>105504.78839999999</v>
      </c>
    </row>
    <row r="234" spans="1:3" x14ac:dyDescent="0.3">
      <c r="A234" s="12">
        <f>95.19*Hospital_Operations_Data[[#This Row],[Treatment_Cost_USD]]</f>
        <v>314432.55989999999</v>
      </c>
      <c r="C234" s="14">
        <f>95.19*Hospital_Operations_Data[[#This Row],[Medication_Cost_USD]]</f>
        <v>90878.844899999996</v>
      </c>
    </row>
    <row r="235" spans="1:3" x14ac:dyDescent="0.3">
      <c r="A235" s="11">
        <f>95.19*Hospital_Operations_Data[[#This Row],[Treatment_Cost_USD]]</f>
        <v>405979.63859999995</v>
      </c>
      <c r="C235" s="13">
        <f>95.19*Hospital_Operations_Data[[#This Row],[Medication_Cost_USD]]</f>
        <v>132780.53100000002</v>
      </c>
    </row>
    <row r="236" spans="1:3" x14ac:dyDescent="0.3">
      <c r="A236" s="12">
        <f>95.19*Hospital_Operations_Data[[#This Row],[Treatment_Cost_USD]]</f>
        <v>1059389.4998999999</v>
      </c>
      <c r="C236" s="14">
        <f>95.19*Hospital_Operations_Data[[#This Row],[Medication_Cost_USD]]</f>
        <v>384984.53220000002</v>
      </c>
    </row>
    <row r="237" spans="1:3" x14ac:dyDescent="0.3">
      <c r="A237" s="11">
        <f>95.19*Hospital_Operations_Data[[#This Row],[Treatment_Cost_USD]]</f>
        <v>1384356.7371</v>
      </c>
      <c r="C237" s="13">
        <f>95.19*Hospital_Operations_Data[[#This Row],[Medication_Cost_USD]]</f>
        <v>248828.5638</v>
      </c>
    </row>
    <row r="238" spans="1:3" x14ac:dyDescent="0.3">
      <c r="A238" s="12">
        <f>95.19*Hospital_Operations_Data[[#This Row],[Treatment_Cost_USD]]</f>
        <v>1242716.8728</v>
      </c>
      <c r="C238" s="14">
        <f>95.19*Hospital_Operations_Data[[#This Row],[Medication_Cost_USD]]</f>
        <v>496305.42959999997</v>
      </c>
    </row>
    <row r="239" spans="1:3" x14ac:dyDescent="0.3">
      <c r="A239" s="11">
        <f>95.19*Hospital_Operations_Data[[#This Row],[Treatment_Cost_USD]]</f>
        <v>96573.11069999999</v>
      </c>
      <c r="C239" s="13">
        <f>95.19*Hospital_Operations_Data[[#This Row],[Medication_Cost_USD]]</f>
        <v>31905.784199999998</v>
      </c>
    </row>
    <row r="240" spans="1:3" x14ac:dyDescent="0.3">
      <c r="A240" s="12">
        <f>95.19*Hospital_Operations_Data[[#This Row],[Treatment_Cost_USD]]</f>
        <v>444297.42119999992</v>
      </c>
      <c r="C240" s="14">
        <f>95.19*Hospital_Operations_Data[[#This Row],[Medication_Cost_USD]]</f>
        <v>132509.2395</v>
      </c>
    </row>
    <row r="241" spans="1:3" x14ac:dyDescent="0.3">
      <c r="A241" s="11">
        <f>95.19*Hospital_Operations_Data[[#This Row],[Treatment_Cost_USD]]</f>
        <v>1317836.0612999999</v>
      </c>
      <c r="C241" s="13">
        <f>95.19*Hospital_Operations_Data[[#This Row],[Medication_Cost_USD]]</f>
        <v>393982.84289999999</v>
      </c>
    </row>
    <row r="242" spans="1:3" x14ac:dyDescent="0.3">
      <c r="A242" s="12">
        <f>95.19*Hospital_Operations_Data[[#This Row],[Treatment_Cost_USD]]</f>
        <v>1001198.901</v>
      </c>
      <c r="C242" s="14">
        <f>95.19*Hospital_Operations_Data[[#This Row],[Medication_Cost_USD]]</f>
        <v>155906.94149999999</v>
      </c>
    </row>
    <row r="243" spans="1:3" x14ac:dyDescent="0.3">
      <c r="A243" s="11">
        <f>95.19*Hospital_Operations_Data[[#This Row],[Treatment_Cost_USD]]</f>
        <v>1244423.6294999998</v>
      </c>
      <c r="C243" s="13">
        <f>95.19*Hospital_Operations_Data[[#This Row],[Medication_Cost_USD]]</f>
        <v>313588.22460000002</v>
      </c>
    </row>
    <row r="244" spans="1:3" x14ac:dyDescent="0.3">
      <c r="A244" s="12">
        <f>95.19*Hospital_Operations_Data[[#This Row],[Treatment_Cost_USD]]</f>
        <v>516469.52730000002</v>
      </c>
      <c r="C244" s="14">
        <f>95.19*Hospital_Operations_Data[[#This Row],[Medication_Cost_USD]]</f>
        <v>84463.9908</v>
      </c>
    </row>
    <row r="245" spans="1:3" x14ac:dyDescent="0.3">
      <c r="A245" s="11">
        <f>95.19*Hospital_Operations_Data[[#This Row],[Treatment_Cost_USD]]</f>
        <v>700140.53609999991</v>
      </c>
      <c r="C245" s="13">
        <f>95.19*Hospital_Operations_Data[[#This Row],[Medication_Cost_USD]]</f>
        <v>217798.5276</v>
      </c>
    </row>
    <row r="246" spans="1:3" x14ac:dyDescent="0.3">
      <c r="A246" s="12">
        <f>95.19*Hospital_Operations_Data[[#This Row],[Treatment_Cost_USD]]</f>
        <v>1599670.8056999999</v>
      </c>
      <c r="C246" s="14">
        <f>95.19*Hospital_Operations_Data[[#This Row],[Medication_Cost_USD]]</f>
        <v>508910.48940000002</v>
      </c>
    </row>
    <row r="247" spans="1:3" x14ac:dyDescent="0.3">
      <c r="A247" s="11">
        <f>95.19*Hospital_Operations_Data[[#This Row],[Treatment_Cost_USD]]</f>
        <v>1180299.8378999999</v>
      </c>
      <c r="C247" s="13">
        <f>95.19*Hospital_Operations_Data[[#This Row],[Medication_Cost_USD]]</f>
        <v>288405.71009999997</v>
      </c>
    </row>
    <row r="248" spans="1:3" x14ac:dyDescent="0.3">
      <c r="A248" s="12">
        <f>95.19*Hospital_Operations_Data[[#This Row],[Treatment_Cost_USD]]</f>
        <v>925163.98469999991</v>
      </c>
      <c r="C248" s="14">
        <f>95.19*Hospital_Operations_Data[[#This Row],[Medication_Cost_USD]]</f>
        <v>259716.39600000001</v>
      </c>
    </row>
    <row r="249" spans="1:3" x14ac:dyDescent="0.3">
      <c r="A249" s="11">
        <f>95.19*Hospital_Operations_Data[[#This Row],[Treatment_Cost_USD]]</f>
        <v>816455.10090000008</v>
      </c>
      <c r="C249" s="13">
        <f>95.19*Hospital_Operations_Data[[#This Row],[Medication_Cost_USD]]</f>
        <v>169634.29139999999</v>
      </c>
    </row>
    <row r="250" spans="1:3" x14ac:dyDescent="0.3">
      <c r="A250" s="12">
        <f>95.19*Hospital_Operations_Data[[#This Row],[Treatment_Cost_USD]]</f>
        <v>452923.53900000005</v>
      </c>
      <c r="C250" s="14">
        <f>95.19*Hospital_Operations_Data[[#This Row],[Medication_Cost_USD]]</f>
        <v>102135.0624</v>
      </c>
    </row>
    <row r="251" spans="1:3" x14ac:dyDescent="0.3">
      <c r="A251" s="11">
        <f>95.19*Hospital_Operations_Data[[#This Row],[Treatment_Cost_USD]]</f>
        <v>526898.54369999992</v>
      </c>
      <c r="C251" s="13">
        <f>95.19*Hospital_Operations_Data[[#This Row],[Medication_Cost_USD]]</f>
        <v>196574.96519999998</v>
      </c>
    </row>
    <row r="252" spans="1:3" x14ac:dyDescent="0.3">
      <c r="A252" s="12">
        <f>95.19*Hospital_Operations_Data[[#This Row],[Treatment_Cost_USD]]</f>
        <v>289328.10119999998</v>
      </c>
      <c r="C252" s="14">
        <f>95.19*Hospital_Operations_Data[[#This Row],[Medication_Cost_USD]]</f>
        <v>52166.975699999995</v>
      </c>
    </row>
    <row r="253" spans="1:3" x14ac:dyDescent="0.3">
      <c r="A253" s="11">
        <f>95.19*Hospital_Operations_Data[[#This Row],[Treatment_Cost_USD]]</f>
        <v>505739.71049999999</v>
      </c>
      <c r="C253" s="13">
        <f>95.19*Hospital_Operations_Data[[#This Row],[Medication_Cost_USD]]</f>
        <v>95354.678700000004</v>
      </c>
    </row>
    <row r="254" spans="1:3" x14ac:dyDescent="0.3">
      <c r="A254" s="12">
        <f>95.19*Hospital_Operations_Data[[#This Row],[Treatment_Cost_USD]]</f>
        <v>1240662.6726000002</v>
      </c>
      <c r="C254" s="14">
        <f>95.19*Hospital_Operations_Data[[#This Row],[Medication_Cost_USD]]</f>
        <v>471243.8064</v>
      </c>
    </row>
    <row r="255" spans="1:3" x14ac:dyDescent="0.3">
      <c r="A255" s="11">
        <f>95.19*Hospital_Operations_Data[[#This Row],[Treatment_Cost_USD]]</f>
        <v>177848.2365</v>
      </c>
      <c r="C255" s="13">
        <f>95.19*Hospital_Operations_Data[[#This Row],[Medication_Cost_USD]]</f>
        <v>40572.833700000003</v>
      </c>
    </row>
    <row r="256" spans="1:3" x14ac:dyDescent="0.3">
      <c r="A256" s="12">
        <f>95.19*Hospital_Operations_Data[[#This Row],[Treatment_Cost_USD]]</f>
        <v>1011708.8289</v>
      </c>
      <c r="C256" s="14">
        <f>95.19*Hospital_Operations_Data[[#This Row],[Medication_Cost_USD]]</f>
        <v>182915.20019999999</v>
      </c>
    </row>
    <row r="257" spans="1:3" x14ac:dyDescent="0.3">
      <c r="A257" s="11">
        <f>95.19*Hospital_Operations_Data[[#This Row],[Treatment_Cost_USD]]</f>
        <v>446641.95089999994</v>
      </c>
      <c r="C257" s="13">
        <f>95.19*Hospital_Operations_Data[[#This Row],[Medication_Cost_USD]]</f>
        <v>164039.0232</v>
      </c>
    </row>
    <row r="258" spans="1:3" x14ac:dyDescent="0.3">
      <c r="A258" s="12">
        <f>95.19*Hospital_Operations_Data[[#This Row],[Treatment_Cost_USD]]</f>
        <v>739835.71799999999</v>
      </c>
      <c r="C258" s="14">
        <f>95.19*Hospital_Operations_Data[[#This Row],[Medication_Cost_USD]]</f>
        <v>281958.4914</v>
      </c>
    </row>
    <row r="259" spans="1:3" x14ac:dyDescent="0.3">
      <c r="A259" s="11">
        <f>95.19*Hospital_Operations_Data[[#This Row],[Treatment_Cost_USD]]</f>
        <v>1913913.9375</v>
      </c>
      <c r="C259" s="13">
        <f>95.19*Hospital_Operations_Data[[#This Row],[Medication_Cost_USD]]</f>
        <v>385865.03970000002</v>
      </c>
    </row>
    <row r="260" spans="1:3" x14ac:dyDescent="0.3">
      <c r="A260" s="12">
        <f>95.19*Hospital_Operations_Data[[#This Row],[Treatment_Cost_USD]]</f>
        <v>901841.4828</v>
      </c>
      <c r="C260" s="14">
        <f>95.19*Hospital_Operations_Data[[#This Row],[Medication_Cost_USD]]</f>
        <v>225105.31200000001</v>
      </c>
    </row>
    <row r="261" spans="1:3" x14ac:dyDescent="0.3">
      <c r="A261" s="11">
        <f>95.19*Hospital_Operations_Data[[#This Row],[Treatment_Cost_USD]]</f>
        <v>671553.07530000003</v>
      </c>
      <c r="C261" s="13">
        <f>95.19*Hospital_Operations_Data[[#This Row],[Medication_Cost_USD]]</f>
        <v>155786.0502</v>
      </c>
    </row>
    <row r="262" spans="1:3" x14ac:dyDescent="0.3">
      <c r="A262" s="12">
        <f>95.19*Hospital_Operations_Data[[#This Row],[Treatment_Cost_USD]]</f>
        <v>186954.11189999999</v>
      </c>
      <c r="C262" s="14">
        <f>95.19*Hospital_Operations_Data[[#This Row],[Medication_Cost_USD]]</f>
        <v>68427.3315</v>
      </c>
    </row>
    <row r="263" spans="1:3" x14ac:dyDescent="0.3">
      <c r="A263" s="11">
        <f>95.19*Hospital_Operations_Data[[#This Row],[Treatment_Cost_USD]]</f>
        <v>305346.67440000002</v>
      </c>
      <c r="C263" s="13">
        <f>95.19*Hospital_Operations_Data[[#This Row],[Medication_Cost_USD]]</f>
        <v>91302.440399999992</v>
      </c>
    </row>
    <row r="264" spans="1:3" x14ac:dyDescent="0.3">
      <c r="A264" s="12">
        <f>95.19*Hospital_Operations_Data[[#This Row],[Treatment_Cost_USD]]</f>
        <v>590447.38769999996</v>
      </c>
      <c r="C264" s="14">
        <f>95.19*Hospital_Operations_Data[[#This Row],[Medication_Cost_USD]]</f>
        <v>103594.32509999999</v>
      </c>
    </row>
    <row r="265" spans="1:3" x14ac:dyDescent="0.3">
      <c r="A265" s="11">
        <f>95.19*Hospital_Operations_Data[[#This Row],[Treatment_Cost_USD]]</f>
        <v>1112179.0182</v>
      </c>
      <c r="C265" s="13">
        <f>95.19*Hospital_Operations_Data[[#This Row],[Medication_Cost_USD]]</f>
        <v>412039.43400000001</v>
      </c>
    </row>
    <row r="266" spans="1:3" x14ac:dyDescent="0.3">
      <c r="A266" s="12">
        <f>95.19*Hospital_Operations_Data[[#This Row],[Treatment_Cost_USD]]</f>
        <v>1084692.9057</v>
      </c>
      <c r="C266" s="14">
        <f>95.19*Hospital_Operations_Data[[#This Row],[Medication_Cost_USD]]</f>
        <v>163017.63449999999</v>
      </c>
    </row>
    <row r="267" spans="1:3" x14ac:dyDescent="0.3">
      <c r="A267" s="11">
        <f>95.19*Hospital_Operations_Data[[#This Row],[Treatment_Cost_USD]]</f>
        <v>1246841.4554999999</v>
      </c>
      <c r="C267" s="13">
        <f>95.19*Hospital_Operations_Data[[#This Row],[Medication_Cost_USD]]</f>
        <v>255043.5189</v>
      </c>
    </row>
    <row r="268" spans="1:3" x14ac:dyDescent="0.3">
      <c r="A268" s="12">
        <f>95.19*Hospital_Operations_Data[[#This Row],[Treatment_Cost_USD]]</f>
        <v>1059735.9915</v>
      </c>
      <c r="C268" s="14">
        <f>95.19*Hospital_Operations_Data[[#This Row],[Medication_Cost_USD]]</f>
        <v>191279.54550000001</v>
      </c>
    </row>
    <row r="269" spans="1:3" x14ac:dyDescent="0.3">
      <c r="A269" s="11">
        <f>95.19*Hospital_Operations_Data[[#This Row],[Treatment_Cost_USD]]</f>
        <v>77317.125599999999</v>
      </c>
      <c r="C269" s="13">
        <f>95.19*Hospital_Operations_Data[[#This Row],[Medication_Cost_USD]]</f>
        <v>19572.967799999999</v>
      </c>
    </row>
    <row r="270" spans="1:3" x14ac:dyDescent="0.3">
      <c r="A270" s="12">
        <f>95.19*Hospital_Operations_Data[[#This Row],[Treatment_Cost_USD]]</f>
        <v>1079705.9016</v>
      </c>
      <c r="C270" s="14">
        <f>95.19*Hospital_Operations_Data[[#This Row],[Medication_Cost_USD]]</f>
        <v>371807.38049999997</v>
      </c>
    </row>
    <row r="271" spans="1:3" x14ac:dyDescent="0.3">
      <c r="A271" s="11">
        <f>95.19*Hospital_Operations_Data[[#This Row],[Treatment_Cost_USD]]</f>
        <v>459042.35220000002</v>
      </c>
      <c r="C271" s="13">
        <f>95.19*Hospital_Operations_Data[[#This Row],[Medication_Cost_USD]]</f>
        <v>113090.47949999999</v>
      </c>
    </row>
    <row r="272" spans="1:3" x14ac:dyDescent="0.3">
      <c r="A272" s="12">
        <f>95.19*Hospital_Operations_Data[[#This Row],[Treatment_Cost_USD]]</f>
        <v>862747.90170000005</v>
      </c>
      <c r="C272" s="14">
        <f>95.19*Hospital_Operations_Data[[#This Row],[Medication_Cost_USD]]</f>
        <v>165635.35949999999</v>
      </c>
    </row>
    <row r="273" spans="1:3" x14ac:dyDescent="0.3">
      <c r="A273" s="11">
        <f>95.19*Hospital_Operations_Data[[#This Row],[Treatment_Cost_USD]]</f>
        <v>256164.85709999999</v>
      </c>
      <c r="C273" s="13">
        <f>95.19*Hospital_Operations_Data[[#This Row],[Medication_Cost_USD]]</f>
        <v>80117.615399999995</v>
      </c>
    </row>
    <row r="274" spans="1:3" x14ac:dyDescent="0.3">
      <c r="A274" s="12">
        <f>95.19*Hospital_Operations_Data[[#This Row],[Treatment_Cost_USD]]</f>
        <v>334649.01209999999</v>
      </c>
      <c r="C274" s="14">
        <f>95.19*Hospital_Operations_Data[[#This Row],[Medication_Cost_USD]]</f>
        <v>88107.864000000001</v>
      </c>
    </row>
    <row r="275" spans="1:3" x14ac:dyDescent="0.3">
      <c r="A275" s="11">
        <f>95.19*Hospital_Operations_Data[[#This Row],[Treatment_Cost_USD]]</f>
        <v>945392.8115999999</v>
      </c>
      <c r="C275" s="13">
        <f>95.19*Hospital_Operations_Data[[#This Row],[Medication_Cost_USD]]</f>
        <v>148147.0527</v>
      </c>
    </row>
    <row r="276" spans="1:3" x14ac:dyDescent="0.3">
      <c r="A276" s="12">
        <f>95.19*Hospital_Operations_Data[[#This Row],[Treatment_Cost_USD]]</f>
        <v>1248292.1511000001</v>
      </c>
      <c r="C276" s="14">
        <f>95.19*Hospital_Operations_Data[[#This Row],[Medication_Cost_USD]]</f>
        <v>480475.33259999997</v>
      </c>
    </row>
    <row r="277" spans="1:3" x14ac:dyDescent="0.3">
      <c r="A277" s="11">
        <f>95.19*Hospital_Operations_Data[[#This Row],[Treatment_Cost_USD]]</f>
        <v>688263.67980000004</v>
      </c>
      <c r="C277" s="13">
        <f>95.19*Hospital_Operations_Data[[#This Row],[Medication_Cost_USD]]</f>
        <v>256366.6599</v>
      </c>
    </row>
    <row r="278" spans="1:3" x14ac:dyDescent="0.3">
      <c r="A278" s="12">
        <f>95.19*Hospital_Operations_Data[[#This Row],[Treatment_Cost_USD]]</f>
        <v>294864.35159999999</v>
      </c>
      <c r="C278" s="14">
        <f>95.19*Hospital_Operations_Data[[#This Row],[Medication_Cost_USD]]</f>
        <v>117537.75629999999</v>
      </c>
    </row>
    <row r="279" spans="1:3" x14ac:dyDescent="0.3">
      <c r="A279" s="11">
        <f>95.19*Hospital_Operations_Data[[#This Row],[Treatment_Cost_USD]]</f>
        <v>1831462.2633</v>
      </c>
      <c r="C279" s="13">
        <f>95.19*Hospital_Operations_Data[[#This Row],[Medication_Cost_USD]]</f>
        <v>727297.29119999998</v>
      </c>
    </row>
    <row r="280" spans="1:3" x14ac:dyDescent="0.3">
      <c r="A280" s="12">
        <f>95.19*Hospital_Operations_Data[[#This Row],[Treatment_Cost_USD]]</f>
        <v>764675.54849999992</v>
      </c>
      <c r="C280" s="14">
        <f>95.19*Hospital_Operations_Data[[#This Row],[Medication_Cost_USD]]</f>
        <v>138757.5111</v>
      </c>
    </row>
    <row r="281" spans="1:3" x14ac:dyDescent="0.3">
      <c r="A281" s="11">
        <f>95.19*Hospital_Operations_Data[[#This Row],[Treatment_Cost_USD]]</f>
        <v>1115342.1819</v>
      </c>
      <c r="C281" s="13">
        <f>95.19*Hospital_Operations_Data[[#This Row],[Medication_Cost_USD]]</f>
        <v>346267.90350000001</v>
      </c>
    </row>
    <row r="282" spans="1:3" x14ac:dyDescent="0.3">
      <c r="A282" s="12">
        <f>95.19*Hospital_Operations_Data[[#This Row],[Treatment_Cost_USD]]</f>
        <v>673324.5612</v>
      </c>
      <c r="C282" s="14">
        <f>95.19*Hospital_Operations_Data[[#This Row],[Medication_Cost_USD]]</f>
        <v>174626.05499999999</v>
      </c>
    </row>
    <row r="283" spans="1:3" x14ac:dyDescent="0.3">
      <c r="A283" s="11">
        <f>95.19*Hospital_Operations_Data[[#This Row],[Treatment_Cost_USD]]</f>
        <v>241311.40950000001</v>
      </c>
      <c r="C283" s="13">
        <f>95.19*Hospital_Operations_Data[[#This Row],[Medication_Cost_USD]]</f>
        <v>81202.781399999993</v>
      </c>
    </row>
    <row r="284" spans="1:3" x14ac:dyDescent="0.3">
      <c r="A284" s="12">
        <f>95.19*Hospital_Operations_Data[[#This Row],[Treatment_Cost_USD]]</f>
        <v>1400083.0769999998</v>
      </c>
      <c r="C284" s="14">
        <f>95.19*Hospital_Operations_Data[[#This Row],[Medication_Cost_USD]]</f>
        <v>471576.97140000004</v>
      </c>
    </row>
    <row r="285" spans="1:3" x14ac:dyDescent="0.3">
      <c r="A285" s="11">
        <f>95.19*Hospital_Operations_Data[[#This Row],[Treatment_Cost_USD]]</f>
        <v>929724.53760000004</v>
      </c>
      <c r="C285" s="13">
        <f>95.19*Hospital_Operations_Data[[#This Row],[Medication_Cost_USD]]</f>
        <v>142219.57139999999</v>
      </c>
    </row>
    <row r="286" spans="1:3" x14ac:dyDescent="0.3">
      <c r="A286" s="12">
        <f>95.19*Hospital_Operations_Data[[#This Row],[Treatment_Cost_USD]]</f>
        <v>1102464.8787</v>
      </c>
      <c r="C286" s="14">
        <f>95.19*Hospital_Operations_Data[[#This Row],[Medication_Cost_USD]]</f>
        <v>348704.76750000002</v>
      </c>
    </row>
    <row r="287" spans="1:3" x14ac:dyDescent="0.3">
      <c r="A287" s="11">
        <f>95.19*Hospital_Operations_Data[[#This Row],[Treatment_Cost_USD]]</f>
        <v>985062.29219999991</v>
      </c>
      <c r="C287" s="13">
        <f>95.19*Hospital_Operations_Data[[#This Row],[Medication_Cost_USD]]</f>
        <v>361785.77730000002</v>
      </c>
    </row>
    <row r="288" spans="1:3" x14ac:dyDescent="0.3">
      <c r="A288" s="12">
        <f>95.19*Hospital_Operations_Data[[#This Row],[Treatment_Cost_USD]]</f>
        <v>458289.39929999999</v>
      </c>
      <c r="C288" s="14">
        <f>95.19*Hospital_Operations_Data[[#This Row],[Medication_Cost_USD]]</f>
        <v>154567.6182</v>
      </c>
    </row>
    <row r="289" spans="1:3" x14ac:dyDescent="0.3">
      <c r="A289" s="11">
        <f>95.19*Hospital_Operations_Data[[#This Row],[Treatment_Cost_USD]]</f>
        <v>1050963.2811</v>
      </c>
      <c r="C289" s="13">
        <f>95.19*Hospital_Operations_Data[[#This Row],[Medication_Cost_USD]]</f>
        <v>341030.54969999997</v>
      </c>
    </row>
    <row r="290" spans="1:3" x14ac:dyDescent="0.3">
      <c r="A290" s="12">
        <f>95.19*Hospital_Operations_Data[[#This Row],[Treatment_Cost_USD]]</f>
        <v>581571.87210000004</v>
      </c>
      <c r="C290" s="14">
        <f>95.19*Hospital_Operations_Data[[#This Row],[Medication_Cost_USD]]</f>
        <v>94149.573300000004</v>
      </c>
    </row>
    <row r="291" spans="1:3" x14ac:dyDescent="0.3">
      <c r="A291" s="11">
        <f>95.19*Hospital_Operations_Data[[#This Row],[Treatment_Cost_USD]]</f>
        <v>895129.63589999999</v>
      </c>
      <c r="C291" s="13">
        <f>95.19*Hospital_Operations_Data[[#This Row],[Medication_Cost_USD]]</f>
        <v>162637.82639999999</v>
      </c>
    </row>
    <row r="292" spans="1:3" x14ac:dyDescent="0.3">
      <c r="A292" s="12">
        <f>95.19*Hospital_Operations_Data[[#This Row],[Treatment_Cost_USD]]</f>
        <v>221598.51240000001</v>
      </c>
      <c r="C292" s="14">
        <f>95.19*Hospital_Operations_Data[[#This Row],[Medication_Cost_USD]]</f>
        <v>68378.784599999999</v>
      </c>
    </row>
    <row r="293" spans="1:3" x14ac:dyDescent="0.3">
      <c r="A293" s="11">
        <f>95.19*Hospital_Operations_Data[[#This Row],[Treatment_Cost_USD]]</f>
        <v>1187688.4857000001</v>
      </c>
      <c r="C293" s="13">
        <f>95.19*Hospital_Operations_Data[[#This Row],[Medication_Cost_USD]]</f>
        <v>403336.21230000001</v>
      </c>
    </row>
    <row r="294" spans="1:3" x14ac:dyDescent="0.3">
      <c r="A294" s="12">
        <f>95.19*Hospital_Operations_Data[[#This Row],[Treatment_Cost_USD]]</f>
        <v>962961.0780000001</v>
      </c>
      <c r="C294" s="14">
        <f>95.19*Hospital_Operations_Data[[#This Row],[Medication_Cost_USD]]</f>
        <v>360352.21590000001</v>
      </c>
    </row>
    <row r="295" spans="1:3" x14ac:dyDescent="0.3">
      <c r="A295" s="11">
        <f>95.19*Hospital_Operations_Data[[#This Row],[Treatment_Cost_USD]]</f>
        <v>891834.1581</v>
      </c>
      <c r="C295" s="13">
        <f>95.19*Hospital_Operations_Data[[#This Row],[Medication_Cost_USD]]</f>
        <v>316371.58019999997</v>
      </c>
    </row>
    <row r="296" spans="1:3" x14ac:dyDescent="0.3">
      <c r="A296" s="12">
        <f>95.19*Hospital_Operations_Data[[#This Row],[Treatment_Cost_USD]]</f>
        <v>832246.16999999993</v>
      </c>
      <c r="C296" s="14">
        <f>95.19*Hospital_Operations_Data[[#This Row],[Medication_Cost_USD]]</f>
        <v>275457.01439999999</v>
      </c>
    </row>
    <row r="297" spans="1:3" x14ac:dyDescent="0.3">
      <c r="A297" s="11">
        <f>95.19*Hospital_Operations_Data[[#This Row],[Treatment_Cost_USD]]</f>
        <v>556379.8385999999</v>
      </c>
      <c r="C297" s="13">
        <f>95.19*Hospital_Operations_Data[[#This Row],[Medication_Cost_USD]]</f>
        <v>184917.99779999998</v>
      </c>
    </row>
    <row r="298" spans="1:3" x14ac:dyDescent="0.3">
      <c r="A298" s="12">
        <f>95.19*Hospital_Operations_Data[[#This Row],[Treatment_Cost_USD]]</f>
        <v>722295.05669999996</v>
      </c>
      <c r="C298" s="14">
        <f>95.19*Hospital_Operations_Data[[#This Row],[Medication_Cost_USD]]</f>
        <v>158168.65589999998</v>
      </c>
    </row>
    <row r="299" spans="1:3" x14ac:dyDescent="0.3">
      <c r="A299" s="11">
        <f>95.19*Hospital_Operations_Data[[#This Row],[Treatment_Cost_USD]]</f>
        <v>319700.37450000003</v>
      </c>
      <c r="C299" s="13">
        <f>95.19*Hospital_Operations_Data[[#This Row],[Medication_Cost_USD]]</f>
        <v>98346.500400000004</v>
      </c>
    </row>
    <row r="300" spans="1:3" x14ac:dyDescent="0.3">
      <c r="A300" s="12">
        <f>95.19*Hospital_Operations_Data[[#This Row],[Treatment_Cost_USD]]</f>
        <v>872436.3398999999</v>
      </c>
      <c r="C300" s="14">
        <f>95.19*Hospital_Operations_Data[[#This Row],[Medication_Cost_USD]]</f>
        <v>188799.84599999999</v>
      </c>
    </row>
    <row r="301" spans="1:3" x14ac:dyDescent="0.3">
      <c r="A301" s="11">
        <f>95.19*Hospital_Operations_Data[[#This Row],[Treatment_Cost_USD]]</f>
        <v>751803.0048</v>
      </c>
      <c r="C301" s="13">
        <f>95.19*Hospital_Operations_Data[[#This Row],[Medication_Cost_USD]]</f>
        <v>241609.35419999997</v>
      </c>
    </row>
    <row r="302" spans="1:3" x14ac:dyDescent="0.3">
      <c r="A302" s="12">
        <f>95.19*Hospital_Operations_Data[[#This Row],[Treatment_Cost_USD]]</f>
        <v>1125218.1444000001</v>
      </c>
      <c r="C302" s="14">
        <f>95.19*Hospital_Operations_Data[[#This Row],[Medication_Cost_USD]]</f>
        <v>353564.217</v>
      </c>
    </row>
    <row r="303" spans="1:3" x14ac:dyDescent="0.3">
      <c r="A303" s="11">
        <f>95.19*Hospital_Operations_Data[[#This Row],[Treatment_Cost_USD]]</f>
        <v>1479244.0329</v>
      </c>
      <c r="C303" s="13">
        <f>95.19*Hospital_Operations_Data[[#This Row],[Medication_Cost_USD]]</f>
        <v>244310.84639999998</v>
      </c>
    </row>
    <row r="304" spans="1:3" x14ac:dyDescent="0.3">
      <c r="A304" s="12">
        <f>95.19*Hospital_Operations_Data[[#This Row],[Treatment_Cost_USD]]</f>
        <v>1082594.9180999999</v>
      </c>
      <c r="C304" s="14">
        <f>95.19*Hospital_Operations_Data[[#This Row],[Medication_Cost_USD]]</f>
        <v>236100.7089</v>
      </c>
    </row>
    <row r="305" spans="1:3" x14ac:dyDescent="0.3">
      <c r="A305" s="11">
        <f>95.19*Hospital_Operations_Data[[#This Row],[Treatment_Cost_USD]]</f>
        <v>306013.95630000002</v>
      </c>
      <c r="C305" s="13">
        <f>95.19*Hospital_Operations_Data[[#This Row],[Medication_Cost_USD]]</f>
        <v>119234.99399999999</v>
      </c>
    </row>
    <row r="306" spans="1:3" x14ac:dyDescent="0.3">
      <c r="A306" s="12">
        <f>95.19*Hospital_Operations_Data[[#This Row],[Treatment_Cost_USD]]</f>
        <v>677901.29639999999</v>
      </c>
      <c r="C306" s="14">
        <f>95.19*Hospital_Operations_Data[[#This Row],[Medication_Cost_USD]]</f>
        <v>186843.69149999999</v>
      </c>
    </row>
    <row r="307" spans="1:3" x14ac:dyDescent="0.3">
      <c r="A307" s="11">
        <f>95.19*Hospital_Operations_Data[[#This Row],[Treatment_Cost_USD]]</f>
        <v>331066.06049999996</v>
      </c>
      <c r="C307" s="13">
        <f>95.19*Hospital_Operations_Data[[#This Row],[Medication_Cost_USD]]</f>
        <v>118317.3624</v>
      </c>
    </row>
    <row r="308" spans="1:3" x14ac:dyDescent="0.3">
      <c r="A308" s="12">
        <f>95.19*Hospital_Operations_Data[[#This Row],[Treatment_Cost_USD]]</f>
        <v>504596.47859999997</v>
      </c>
      <c r="C308" s="14">
        <f>95.19*Hospital_Operations_Data[[#This Row],[Medication_Cost_USD]]</f>
        <v>100093.2369</v>
      </c>
    </row>
    <row r="309" spans="1:3" x14ac:dyDescent="0.3">
      <c r="A309" s="11">
        <f>95.19*Hospital_Operations_Data[[#This Row],[Treatment_Cost_USD]]</f>
        <v>1186490.9955</v>
      </c>
      <c r="C309" s="13">
        <f>95.19*Hospital_Operations_Data[[#This Row],[Medication_Cost_USD]]</f>
        <v>376702.0503</v>
      </c>
    </row>
    <row r="310" spans="1:3" x14ac:dyDescent="0.3">
      <c r="A310" s="12">
        <f>95.19*Hospital_Operations_Data[[#This Row],[Treatment_Cost_USD]]</f>
        <v>501709.36589999998</v>
      </c>
      <c r="C310" s="14">
        <f>95.19*Hospital_Operations_Data[[#This Row],[Medication_Cost_USD]]</f>
        <v>152266.87589999998</v>
      </c>
    </row>
    <row r="311" spans="1:3" x14ac:dyDescent="0.3">
      <c r="A311" s="11">
        <f>95.19*Hospital_Operations_Data[[#This Row],[Treatment_Cost_USD]]</f>
        <v>393122.32529999997</v>
      </c>
      <c r="C311" s="13">
        <f>95.19*Hospital_Operations_Data[[#This Row],[Medication_Cost_USD]]</f>
        <v>128955.7968</v>
      </c>
    </row>
    <row r="312" spans="1:3" x14ac:dyDescent="0.3">
      <c r="A312" s="12">
        <f>95.19*Hospital_Operations_Data[[#This Row],[Treatment_Cost_USD]]</f>
        <v>801748.24589999998</v>
      </c>
      <c r="C312" s="14">
        <f>95.19*Hospital_Operations_Data[[#This Row],[Medication_Cost_USD]]</f>
        <v>131129.93640000001</v>
      </c>
    </row>
    <row r="313" spans="1:3" x14ac:dyDescent="0.3">
      <c r="A313" s="11">
        <f>95.19*Hospital_Operations_Data[[#This Row],[Treatment_Cost_USD]]</f>
        <v>489873.44130000001</v>
      </c>
      <c r="C313" s="13">
        <f>95.19*Hospital_Operations_Data[[#This Row],[Medication_Cost_USD]]</f>
        <v>153129.29730000001</v>
      </c>
    </row>
    <row r="314" spans="1:3" x14ac:dyDescent="0.3">
      <c r="A314" s="12">
        <f>95.19*Hospital_Operations_Data[[#This Row],[Treatment_Cost_USD]]</f>
        <v>1509617.2581</v>
      </c>
      <c r="C314" s="14">
        <f>95.19*Hospital_Operations_Data[[#This Row],[Medication_Cost_USD]]</f>
        <v>336572.80200000003</v>
      </c>
    </row>
    <row r="315" spans="1:3" x14ac:dyDescent="0.3">
      <c r="A315" s="11">
        <f>95.19*Hospital_Operations_Data[[#This Row],[Treatment_Cost_USD]]</f>
        <v>1112231.3726999999</v>
      </c>
      <c r="C315" s="13">
        <f>95.19*Hospital_Operations_Data[[#This Row],[Medication_Cost_USD]]</f>
        <v>221202.52200000003</v>
      </c>
    </row>
    <row r="316" spans="1:3" x14ac:dyDescent="0.3">
      <c r="A316" s="12">
        <f>95.19*Hospital_Operations_Data[[#This Row],[Treatment_Cost_USD]]</f>
        <v>1096105.2348</v>
      </c>
      <c r="C316" s="14">
        <f>95.19*Hospital_Operations_Data[[#This Row],[Medication_Cost_USD]]</f>
        <v>276102.40259999997</v>
      </c>
    </row>
    <row r="317" spans="1:3" x14ac:dyDescent="0.3">
      <c r="A317" s="11">
        <f>95.19*Hospital_Operations_Data[[#This Row],[Treatment_Cost_USD]]</f>
        <v>1025690.3361000001</v>
      </c>
      <c r="C317" s="13">
        <f>95.19*Hospital_Operations_Data[[#This Row],[Medication_Cost_USD]]</f>
        <v>268036.00200000004</v>
      </c>
    </row>
    <row r="318" spans="1:3" x14ac:dyDescent="0.3">
      <c r="A318" s="12">
        <f>95.19*Hospital_Operations_Data[[#This Row],[Treatment_Cost_USD]]</f>
        <v>821441.1531</v>
      </c>
      <c r="C318" s="14">
        <f>95.19*Hospital_Operations_Data[[#This Row],[Medication_Cost_USD]]</f>
        <v>324034.37520000001</v>
      </c>
    </row>
    <row r="319" spans="1:3" x14ac:dyDescent="0.3">
      <c r="A319" s="11">
        <f>95.19*Hospital_Operations_Data[[#This Row],[Treatment_Cost_USD]]</f>
        <v>379652.94029999996</v>
      </c>
      <c r="C319" s="13">
        <f>95.19*Hospital_Operations_Data[[#This Row],[Medication_Cost_USD]]</f>
        <v>123005.4699</v>
      </c>
    </row>
    <row r="320" spans="1:3" x14ac:dyDescent="0.3">
      <c r="A320" s="12">
        <f>95.19*Hospital_Operations_Data[[#This Row],[Treatment_Cost_USD]]</f>
        <v>2371343.7711</v>
      </c>
      <c r="C320" s="14">
        <f>95.19*Hospital_Operations_Data[[#This Row],[Medication_Cost_USD]]</f>
        <v>697024.01549999998</v>
      </c>
    </row>
    <row r="321" spans="1:3" x14ac:dyDescent="0.3">
      <c r="A321" s="11">
        <f>95.19*Hospital_Operations_Data[[#This Row],[Treatment_Cost_USD]]</f>
        <v>1085320.2078</v>
      </c>
      <c r="C321" s="13">
        <f>95.19*Hospital_Operations_Data[[#This Row],[Medication_Cost_USD]]</f>
        <v>194732.08679999999</v>
      </c>
    </row>
    <row r="322" spans="1:3" x14ac:dyDescent="0.3">
      <c r="A322" s="12">
        <f>95.19*Hospital_Operations_Data[[#This Row],[Treatment_Cost_USD]]</f>
        <v>1227330.3611999999</v>
      </c>
      <c r="C322" s="14">
        <f>95.19*Hospital_Operations_Data[[#This Row],[Medication_Cost_USD]]</f>
        <v>248718.1434</v>
      </c>
    </row>
    <row r="323" spans="1:3" x14ac:dyDescent="0.3">
      <c r="A323" s="11">
        <f>95.19*Hospital_Operations_Data[[#This Row],[Treatment_Cost_USD]]</f>
        <v>713092.08750000002</v>
      </c>
      <c r="C323" s="13">
        <f>95.19*Hospital_Operations_Data[[#This Row],[Medication_Cost_USD]]</f>
        <v>156554.2335</v>
      </c>
    </row>
    <row r="324" spans="1:3" x14ac:dyDescent="0.3">
      <c r="A324" s="12">
        <f>95.19*Hospital_Operations_Data[[#This Row],[Treatment_Cost_USD]]</f>
        <v>812351.46</v>
      </c>
      <c r="C324" s="14">
        <f>95.19*Hospital_Operations_Data[[#This Row],[Medication_Cost_USD]]</f>
        <v>126250.49699999999</v>
      </c>
    </row>
    <row r="325" spans="1:3" x14ac:dyDescent="0.3">
      <c r="A325" s="11">
        <f>95.19*Hospital_Operations_Data[[#This Row],[Treatment_Cost_USD]]</f>
        <v>828578.49929999991</v>
      </c>
      <c r="C325" s="13">
        <f>95.19*Hospital_Operations_Data[[#This Row],[Medication_Cost_USD]]</f>
        <v>206479.4847</v>
      </c>
    </row>
    <row r="326" spans="1:3" x14ac:dyDescent="0.3">
      <c r="A326" s="12">
        <f>95.19*Hospital_Operations_Data[[#This Row],[Treatment_Cost_USD]]</f>
        <v>1971624.7788</v>
      </c>
      <c r="C326" s="14">
        <f>95.19*Hospital_Operations_Data[[#This Row],[Medication_Cost_USD]]</f>
        <v>443304.5895</v>
      </c>
    </row>
    <row r="327" spans="1:3" x14ac:dyDescent="0.3">
      <c r="A327" s="11">
        <f>95.19*Hospital_Operations_Data[[#This Row],[Treatment_Cost_USD]]</f>
        <v>242798.27729999999</v>
      </c>
      <c r="C327" s="13">
        <f>95.19*Hospital_Operations_Data[[#This Row],[Medication_Cost_USD]]</f>
        <v>69121.266600000003</v>
      </c>
    </row>
    <row r="328" spans="1:3" x14ac:dyDescent="0.3">
      <c r="A328" s="12">
        <f>95.19*Hospital_Operations_Data[[#This Row],[Treatment_Cost_USD]]</f>
        <v>374591.68799999997</v>
      </c>
      <c r="C328" s="14">
        <f>95.19*Hospital_Operations_Data[[#This Row],[Medication_Cost_USD]]</f>
        <v>136645.245</v>
      </c>
    </row>
    <row r="329" spans="1:3" x14ac:dyDescent="0.3">
      <c r="A329" s="11">
        <f>95.19*Hospital_Operations_Data[[#This Row],[Treatment_Cost_USD]]</f>
        <v>433051.67460000003</v>
      </c>
      <c r="C329" s="13">
        <f>95.19*Hospital_Operations_Data[[#This Row],[Medication_Cost_USD]]</f>
        <v>120058.3875</v>
      </c>
    </row>
    <row r="330" spans="1:3" x14ac:dyDescent="0.3">
      <c r="A330" s="12">
        <f>95.19*Hospital_Operations_Data[[#This Row],[Treatment_Cost_USD]]</f>
        <v>1287659.8794</v>
      </c>
      <c r="C330" s="14">
        <f>95.19*Hospital_Operations_Data[[#This Row],[Medication_Cost_USD]]</f>
        <v>264361.66800000001</v>
      </c>
    </row>
    <row r="331" spans="1:3" x14ac:dyDescent="0.3">
      <c r="A331" s="11">
        <f>95.19*Hospital_Operations_Data[[#This Row],[Treatment_Cost_USD]]</f>
        <v>1725422.5071</v>
      </c>
      <c r="C331" s="13">
        <f>95.19*Hospital_Operations_Data[[#This Row],[Medication_Cost_USD]]</f>
        <v>284450.56559999997</v>
      </c>
    </row>
    <row r="332" spans="1:3" x14ac:dyDescent="0.3">
      <c r="A332" s="12">
        <f>95.19*Hospital_Operations_Data[[#This Row],[Treatment_Cost_USD]]</f>
        <v>546008.88809999998</v>
      </c>
      <c r="C332" s="14">
        <f>95.19*Hospital_Operations_Data[[#This Row],[Medication_Cost_USD]]</f>
        <v>153867.01980000001</v>
      </c>
    </row>
    <row r="333" spans="1:3" x14ac:dyDescent="0.3">
      <c r="A333" s="11">
        <f>95.19*Hospital_Operations_Data[[#This Row],[Treatment_Cost_USD]]</f>
        <v>369855.98549999995</v>
      </c>
      <c r="C333" s="13">
        <f>95.19*Hospital_Operations_Data[[#This Row],[Medication_Cost_USD]]</f>
        <v>126986.31569999999</v>
      </c>
    </row>
    <row r="334" spans="1:3" x14ac:dyDescent="0.3">
      <c r="A334" s="12">
        <f>95.19*Hospital_Operations_Data[[#This Row],[Treatment_Cost_USD]]</f>
        <v>257903.02649999998</v>
      </c>
      <c r="C334" s="14">
        <f>95.19*Hospital_Operations_Data[[#This Row],[Medication_Cost_USD]]</f>
        <v>45889.195199999995</v>
      </c>
    </row>
    <row r="335" spans="1:3" x14ac:dyDescent="0.3">
      <c r="A335" s="11">
        <f>95.19*Hospital_Operations_Data[[#This Row],[Treatment_Cost_USD]]</f>
        <v>1064496.4434</v>
      </c>
      <c r="C335" s="13">
        <f>95.19*Hospital_Operations_Data[[#This Row],[Medication_Cost_USD]]</f>
        <v>355023.47970000003</v>
      </c>
    </row>
    <row r="336" spans="1:3" x14ac:dyDescent="0.3">
      <c r="A336" s="12">
        <f>95.19*Hospital_Operations_Data[[#This Row],[Treatment_Cost_USD]]</f>
        <v>488605.51049999997</v>
      </c>
      <c r="C336" s="14">
        <f>95.19*Hospital_Operations_Data[[#This Row],[Medication_Cost_USD]]</f>
        <v>123648.9543</v>
      </c>
    </row>
    <row r="337" spans="1:3" x14ac:dyDescent="0.3">
      <c r="A337" s="11">
        <f>95.19*Hospital_Operations_Data[[#This Row],[Treatment_Cost_USD]]</f>
        <v>893281.99800000002</v>
      </c>
      <c r="C337" s="13">
        <f>95.19*Hospital_Operations_Data[[#This Row],[Medication_Cost_USD]]</f>
        <v>139900.74299999999</v>
      </c>
    </row>
    <row r="338" spans="1:3" x14ac:dyDescent="0.3">
      <c r="A338" s="12">
        <f>95.19*Hospital_Operations_Data[[#This Row],[Treatment_Cost_USD]]</f>
        <v>222836.93429999996</v>
      </c>
      <c r="C338" s="14">
        <f>95.19*Hospital_Operations_Data[[#This Row],[Medication_Cost_USD]]</f>
        <v>83793.853199999998</v>
      </c>
    </row>
    <row r="339" spans="1:3" x14ac:dyDescent="0.3">
      <c r="A339" s="11">
        <f>95.19*Hospital_Operations_Data[[#This Row],[Treatment_Cost_USD]]</f>
        <v>354989.21129999997</v>
      </c>
      <c r="C339" s="13">
        <f>95.19*Hospital_Operations_Data[[#This Row],[Medication_Cost_USD]]</f>
        <v>97137.587400000004</v>
      </c>
    </row>
    <row r="340" spans="1:3" x14ac:dyDescent="0.3">
      <c r="A340" s="12">
        <f>95.19*Hospital_Operations_Data[[#This Row],[Treatment_Cost_USD]]</f>
        <v>405780.69150000002</v>
      </c>
      <c r="C340" s="14">
        <f>95.19*Hospital_Operations_Data[[#This Row],[Medication_Cost_USD]]</f>
        <v>80915.3076</v>
      </c>
    </row>
    <row r="341" spans="1:3" x14ac:dyDescent="0.3">
      <c r="A341" s="11">
        <f>95.19*Hospital_Operations_Data[[#This Row],[Treatment_Cost_USD]]</f>
        <v>1130037.6140999999</v>
      </c>
      <c r="C341" s="13">
        <f>95.19*Hospital_Operations_Data[[#This Row],[Medication_Cost_USD]]</f>
        <v>299691.43650000001</v>
      </c>
    </row>
    <row r="342" spans="1:3" x14ac:dyDescent="0.3">
      <c r="A342" s="12">
        <f>95.19*Hospital_Operations_Data[[#This Row],[Treatment_Cost_USD]]</f>
        <v>1975124.9151000001</v>
      </c>
      <c r="C342" s="14">
        <f>95.19*Hospital_Operations_Data[[#This Row],[Medication_Cost_USD]]</f>
        <v>698204.37150000001</v>
      </c>
    </row>
    <row r="343" spans="1:3" x14ac:dyDescent="0.3">
      <c r="A343" s="11">
        <f>95.19*Hospital_Operations_Data[[#This Row],[Treatment_Cost_USD]]</f>
        <v>696207.28529999999</v>
      </c>
      <c r="C343" s="13">
        <f>95.19*Hospital_Operations_Data[[#This Row],[Medication_Cost_USD]]</f>
        <v>231052.78320000001</v>
      </c>
    </row>
    <row r="344" spans="1:3" x14ac:dyDescent="0.3">
      <c r="A344" s="12">
        <f>95.19*Hospital_Operations_Data[[#This Row],[Treatment_Cost_USD]]</f>
        <v>1369996.3736999999</v>
      </c>
      <c r="C344" s="14">
        <f>95.19*Hospital_Operations_Data[[#This Row],[Medication_Cost_USD]]</f>
        <v>363525.8505</v>
      </c>
    </row>
    <row r="345" spans="1:3" x14ac:dyDescent="0.3">
      <c r="A345" s="11">
        <f>95.19*Hospital_Operations_Data[[#This Row],[Treatment_Cost_USD]]</f>
        <v>1161517.899</v>
      </c>
      <c r="C345" s="13">
        <f>95.19*Hospital_Operations_Data[[#This Row],[Medication_Cost_USD]]</f>
        <v>256932.08850000001</v>
      </c>
    </row>
    <row r="346" spans="1:3" x14ac:dyDescent="0.3">
      <c r="A346" s="12">
        <f>95.19*Hospital_Operations_Data[[#This Row],[Treatment_Cost_USD]]</f>
        <v>1105307.2520999999</v>
      </c>
      <c r="C346" s="14">
        <f>95.19*Hospital_Operations_Data[[#This Row],[Medication_Cost_USD]]</f>
        <v>338550.85019999999</v>
      </c>
    </row>
    <row r="347" spans="1:3" x14ac:dyDescent="0.3">
      <c r="A347" s="11">
        <f>95.19*Hospital_Operations_Data[[#This Row],[Treatment_Cost_USD]]</f>
        <v>1248823.3112999999</v>
      </c>
      <c r="C347" s="13">
        <f>95.19*Hospital_Operations_Data[[#This Row],[Medication_Cost_USD]]</f>
        <v>454162.91279999999</v>
      </c>
    </row>
    <row r="348" spans="1:3" x14ac:dyDescent="0.3">
      <c r="A348" s="12">
        <f>95.19*Hospital_Operations_Data[[#This Row],[Treatment_Cost_USD]]</f>
        <v>231494.46479999999</v>
      </c>
      <c r="C348" s="14">
        <f>95.19*Hospital_Operations_Data[[#This Row],[Medication_Cost_USD]]</f>
        <v>88881.758700000006</v>
      </c>
    </row>
    <row r="349" spans="1:3" x14ac:dyDescent="0.3">
      <c r="A349" s="11">
        <f>95.19*Hospital_Operations_Data[[#This Row],[Treatment_Cost_USD]]</f>
        <v>1805148.8916</v>
      </c>
      <c r="C349" s="13">
        <f>95.19*Hospital_Operations_Data[[#This Row],[Medication_Cost_USD]]</f>
        <v>314036.56949999998</v>
      </c>
    </row>
    <row r="350" spans="1:3" x14ac:dyDescent="0.3">
      <c r="A350" s="12">
        <f>95.19*Hospital_Operations_Data[[#This Row],[Treatment_Cost_USD]]</f>
        <v>2277258.9269999997</v>
      </c>
      <c r="C350" s="14">
        <f>95.19*Hospital_Operations_Data[[#This Row],[Medication_Cost_USD]]</f>
        <v>711087.38609999989</v>
      </c>
    </row>
    <row r="351" spans="1:3" x14ac:dyDescent="0.3">
      <c r="A351" s="11">
        <f>95.19*Hospital_Operations_Data[[#This Row],[Treatment_Cost_USD]]</f>
        <v>1082629.1865000001</v>
      </c>
      <c r="C351" s="13">
        <f>95.19*Hospital_Operations_Data[[#This Row],[Medication_Cost_USD]]</f>
        <v>335703.71730000002</v>
      </c>
    </row>
    <row r="352" spans="1:3" x14ac:dyDescent="0.3">
      <c r="A352" s="12">
        <f>95.19*Hospital_Operations_Data[[#This Row],[Treatment_Cost_USD]]</f>
        <v>793007.90010000009</v>
      </c>
      <c r="C352" s="14">
        <f>95.19*Hospital_Operations_Data[[#This Row],[Medication_Cost_USD]]</f>
        <v>138093.08489999999</v>
      </c>
    </row>
    <row r="353" spans="1:3" x14ac:dyDescent="0.3">
      <c r="A353" s="11">
        <f>95.19*Hospital_Operations_Data[[#This Row],[Treatment_Cost_USD]]</f>
        <v>1070330.6384999999</v>
      </c>
      <c r="C353" s="13">
        <f>95.19*Hospital_Operations_Data[[#This Row],[Medication_Cost_USD]]</f>
        <v>167025.1335</v>
      </c>
    </row>
    <row r="354" spans="1:3" x14ac:dyDescent="0.3">
      <c r="A354" s="12">
        <f>95.19*Hospital_Operations_Data[[#This Row],[Treatment_Cost_USD]]</f>
        <v>1274464.6416</v>
      </c>
      <c r="C354" s="14">
        <f>95.19*Hospital_Operations_Data[[#This Row],[Medication_Cost_USD]]</f>
        <v>193999.1238</v>
      </c>
    </row>
    <row r="355" spans="1:3" x14ac:dyDescent="0.3">
      <c r="A355" s="11">
        <f>95.19*Hospital_Operations_Data[[#This Row],[Treatment_Cost_USD]]</f>
        <v>1172103.9789</v>
      </c>
      <c r="C355" s="13">
        <f>95.19*Hospital_Operations_Data[[#This Row],[Medication_Cost_USD]]</f>
        <v>255105.39240000001</v>
      </c>
    </row>
    <row r="356" spans="1:3" x14ac:dyDescent="0.3">
      <c r="A356" s="12">
        <f>95.19*Hospital_Operations_Data[[#This Row],[Treatment_Cost_USD]]</f>
        <v>983049.97560000001</v>
      </c>
      <c r="C356" s="14">
        <f>95.19*Hospital_Operations_Data[[#This Row],[Medication_Cost_USD]]</f>
        <v>390257.10630000004</v>
      </c>
    </row>
    <row r="357" spans="1:3" x14ac:dyDescent="0.3">
      <c r="A357" s="11">
        <f>95.19*Hospital_Operations_Data[[#This Row],[Treatment_Cost_USD]]</f>
        <v>981498.37860000005</v>
      </c>
      <c r="C357" s="13">
        <f>95.19*Hospital_Operations_Data[[#This Row],[Medication_Cost_USD]]</f>
        <v>360209.43089999998</v>
      </c>
    </row>
    <row r="358" spans="1:3" x14ac:dyDescent="0.3">
      <c r="A358" s="12">
        <f>95.19*Hospital_Operations_Data[[#This Row],[Treatment_Cost_USD]]</f>
        <v>1018713.8609999999</v>
      </c>
      <c r="C358" s="14">
        <f>95.19*Hospital_Operations_Data[[#This Row],[Medication_Cost_USD]]</f>
        <v>157641.3033</v>
      </c>
    </row>
    <row r="359" spans="1:3" x14ac:dyDescent="0.3">
      <c r="A359" s="11">
        <f>95.19*Hospital_Operations_Data[[#This Row],[Treatment_Cost_USD]]</f>
        <v>892303.44479999994</v>
      </c>
      <c r="C359" s="13">
        <f>95.19*Hospital_Operations_Data[[#This Row],[Medication_Cost_USD]]</f>
        <v>150483.96720000001</v>
      </c>
    </row>
    <row r="360" spans="1:3" x14ac:dyDescent="0.3">
      <c r="A360" s="12">
        <f>95.19*Hospital_Operations_Data[[#This Row],[Treatment_Cost_USD]]</f>
        <v>324730.21409999998</v>
      </c>
      <c r="C360" s="14">
        <f>95.19*Hospital_Operations_Data[[#This Row],[Medication_Cost_USD]]</f>
        <v>72131.174400000004</v>
      </c>
    </row>
    <row r="361" spans="1:3" x14ac:dyDescent="0.3">
      <c r="A361" s="11">
        <f>95.19*Hospital_Operations_Data[[#This Row],[Treatment_Cost_USD]]</f>
        <v>1351768.4405999999</v>
      </c>
      <c r="C361" s="13">
        <f>95.19*Hospital_Operations_Data[[#This Row],[Medication_Cost_USD]]</f>
        <v>246550.66710000002</v>
      </c>
    </row>
    <row r="362" spans="1:3" x14ac:dyDescent="0.3">
      <c r="A362" s="12">
        <f>95.19*Hospital_Operations_Data[[#This Row],[Treatment_Cost_USD]]</f>
        <v>1022854.6259999999</v>
      </c>
      <c r="C362" s="14">
        <f>95.19*Hospital_Operations_Data[[#This Row],[Medication_Cost_USD]]</f>
        <v>287743.18770000001</v>
      </c>
    </row>
    <row r="363" spans="1:3" x14ac:dyDescent="0.3">
      <c r="A363" s="11">
        <f>95.19*Hospital_Operations_Data[[#This Row],[Treatment_Cost_USD]]</f>
        <v>670290.85589999997</v>
      </c>
      <c r="C363" s="13">
        <f>95.19*Hospital_Operations_Data[[#This Row],[Medication_Cost_USD]]</f>
        <v>141005.8989</v>
      </c>
    </row>
    <row r="364" spans="1:3" x14ac:dyDescent="0.3">
      <c r="A364" s="12">
        <f>95.19*Hospital_Operations_Data[[#This Row],[Treatment_Cost_USD]]</f>
        <v>1362430.6724999999</v>
      </c>
      <c r="C364" s="14">
        <f>95.19*Hospital_Operations_Data[[#This Row],[Medication_Cost_USD]]</f>
        <v>264712.9191</v>
      </c>
    </row>
    <row r="365" spans="1:3" x14ac:dyDescent="0.3">
      <c r="A365" s="11">
        <f>95.19*Hospital_Operations_Data[[#This Row],[Treatment_Cost_USD]]</f>
        <v>410879.06789999997</v>
      </c>
      <c r="C365" s="13">
        <f>95.19*Hospital_Operations_Data[[#This Row],[Medication_Cost_USD]]</f>
        <v>69388.750500000009</v>
      </c>
    </row>
    <row r="366" spans="1:3" x14ac:dyDescent="0.3">
      <c r="A366" s="12">
        <f>95.19*Hospital_Operations_Data[[#This Row],[Treatment_Cost_USD]]</f>
        <v>153018.8769</v>
      </c>
      <c r="C366" s="14">
        <f>95.19*Hospital_Operations_Data[[#This Row],[Medication_Cost_USD]]</f>
        <v>47235.181799999998</v>
      </c>
    </row>
    <row r="367" spans="1:3" x14ac:dyDescent="0.3">
      <c r="A367" s="11">
        <f>95.19*Hospital_Operations_Data[[#This Row],[Treatment_Cost_USD]]</f>
        <v>350122.14659999998</v>
      </c>
      <c r="C367" s="13">
        <f>95.19*Hospital_Operations_Data[[#This Row],[Medication_Cost_USD]]</f>
        <v>135616.24110000001</v>
      </c>
    </row>
    <row r="368" spans="1:3" x14ac:dyDescent="0.3">
      <c r="A368" s="12">
        <f>95.19*Hospital_Operations_Data[[#This Row],[Treatment_Cost_USD]]</f>
        <v>590619.68160000001</v>
      </c>
      <c r="C368" s="14">
        <f>95.19*Hospital_Operations_Data[[#This Row],[Medication_Cost_USD]]</f>
        <v>206953.53090000001</v>
      </c>
    </row>
    <row r="369" spans="1:3" x14ac:dyDescent="0.3">
      <c r="A369" s="11">
        <f>95.19*Hospital_Operations_Data[[#This Row],[Treatment_Cost_USD]]</f>
        <v>2502582.2240999998</v>
      </c>
      <c r="C369" s="13">
        <f>95.19*Hospital_Operations_Data[[#This Row],[Medication_Cost_USD]]</f>
        <v>724959.42480000004</v>
      </c>
    </row>
    <row r="370" spans="1:3" x14ac:dyDescent="0.3">
      <c r="A370" s="12">
        <f>95.19*Hospital_Operations_Data[[#This Row],[Treatment_Cost_USD]]</f>
        <v>1583242.9155000001</v>
      </c>
      <c r="C370" s="14">
        <f>95.19*Hospital_Operations_Data[[#This Row],[Medication_Cost_USD]]</f>
        <v>550921.64399999997</v>
      </c>
    </row>
    <row r="371" spans="1:3" x14ac:dyDescent="0.3">
      <c r="A371" s="11">
        <f>95.19*Hospital_Operations_Data[[#This Row],[Treatment_Cost_USD]]</f>
        <v>799586.48099999991</v>
      </c>
      <c r="C371" s="13">
        <f>95.19*Hospital_Operations_Data[[#This Row],[Medication_Cost_USD]]</f>
        <v>185222.60579999999</v>
      </c>
    </row>
    <row r="372" spans="1:3" x14ac:dyDescent="0.3">
      <c r="A372" s="12">
        <f>95.19*Hospital_Operations_Data[[#This Row],[Treatment_Cost_USD]]</f>
        <v>831671.22239999985</v>
      </c>
      <c r="C372" s="14">
        <f>95.19*Hospital_Operations_Data[[#This Row],[Medication_Cost_USD]]</f>
        <v>174526.10550000001</v>
      </c>
    </row>
    <row r="373" spans="1:3" x14ac:dyDescent="0.3">
      <c r="A373" s="11">
        <f>95.19*Hospital_Operations_Data[[#This Row],[Treatment_Cost_USD]]</f>
        <v>673085.63430000003</v>
      </c>
      <c r="C373" s="13">
        <f>95.19*Hospital_Operations_Data[[#This Row],[Medication_Cost_USD]]</f>
        <v>173099.20740000001</v>
      </c>
    </row>
    <row r="374" spans="1:3" x14ac:dyDescent="0.3">
      <c r="A374" s="12">
        <f>95.19*Hospital_Operations_Data[[#This Row],[Treatment_Cost_USD]]</f>
        <v>179119.02299999999</v>
      </c>
      <c r="C374" s="14">
        <f>95.19*Hospital_Operations_Data[[#This Row],[Medication_Cost_USD]]</f>
        <v>39544.7817</v>
      </c>
    </row>
    <row r="375" spans="1:3" x14ac:dyDescent="0.3">
      <c r="A375" s="11">
        <f>95.19*Hospital_Operations_Data[[#This Row],[Treatment_Cost_USD]]</f>
        <v>1126507.9689</v>
      </c>
      <c r="C375" s="13">
        <f>95.19*Hospital_Operations_Data[[#This Row],[Medication_Cost_USD]]</f>
        <v>365121.23489999998</v>
      </c>
    </row>
    <row r="376" spans="1:3" x14ac:dyDescent="0.3">
      <c r="A376" s="12">
        <f>95.19*Hospital_Operations_Data[[#This Row],[Treatment_Cost_USD]]</f>
        <v>877463.32380000001</v>
      </c>
      <c r="C376" s="14">
        <f>95.19*Hospital_Operations_Data[[#This Row],[Medication_Cost_USD]]</f>
        <v>209268.55169999998</v>
      </c>
    </row>
    <row r="377" spans="1:3" x14ac:dyDescent="0.3">
      <c r="A377" s="11">
        <f>95.19*Hospital_Operations_Data[[#This Row],[Treatment_Cost_USD]]</f>
        <v>2221574.6807999997</v>
      </c>
      <c r="C377" s="13">
        <f>95.19*Hospital_Operations_Data[[#This Row],[Medication_Cost_USD]]</f>
        <v>536978.21279999998</v>
      </c>
    </row>
    <row r="378" spans="1:3" x14ac:dyDescent="0.3">
      <c r="A378" s="12">
        <f>95.19*Hospital_Operations_Data[[#This Row],[Treatment_Cost_USD]]</f>
        <v>532252.02930000005</v>
      </c>
      <c r="C378" s="14">
        <f>95.19*Hospital_Operations_Data[[#This Row],[Medication_Cost_USD]]</f>
        <v>86924.652299999987</v>
      </c>
    </row>
    <row r="379" spans="1:3" x14ac:dyDescent="0.3">
      <c r="A379" s="11">
        <f>95.19*Hospital_Operations_Data[[#This Row],[Treatment_Cost_USD]]</f>
        <v>1118822.3282999999</v>
      </c>
      <c r="C379" s="13">
        <f>95.19*Hospital_Operations_Data[[#This Row],[Medication_Cost_USD]]</f>
        <v>406723.07250000001</v>
      </c>
    </row>
    <row r="380" spans="1:3" x14ac:dyDescent="0.3">
      <c r="A380" s="12">
        <f>95.19*Hospital_Operations_Data[[#This Row],[Treatment_Cost_USD]]</f>
        <v>1498174.4682</v>
      </c>
      <c r="C380" s="14">
        <f>95.19*Hospital_Operations_Data[[#This Row],[Medication_Cost_USD]]</f>
        <v>484498.06200000003</v>
      </c>
    </row>
    <row r="381" spans="1:3" x14ac:dyDescent="0.3">
      <c r="A381" s="11">
        <f>95.19*Hospital_Operations_Data[[#This Row],[Treatment_Cost_USD]]</f>
        <v>2345390.2176000001</v>
      </c>
      <c r="C381" s="13">
        <f>95.19*Hospital_Operations_Data[[#This Row],[Medication_Cost_USD]]</f>
        <v>646694.20680000004</v>
      </c>
    </row>
    <row r="382" spans="1:3" x14ac:dyDescent="0.3">
      <c r="A382" s="12">
        <f>95.19*Hospital_Operations_Data[[#This Row],[Treatment_Cost_USD]]</f>
        <v>430199.78220000002</v>
      </c>
      <c r="C382" s="14">
        <f>95.19*Hospital_Operations_Data[[#This Row],[Medication_Cost_USD]]</f>
        <v>77209.560899999997</v>
      </c>
    </row>
    <row r="383" spans="1:3" x14ac:dyDescent="0.3">
      <c r="A383" s="11">
        <f>95.19*Hospital_Operations_Data[[#This Row],[Treatment_Cost_USD]]</f>
        <v>210010.08179999999</v>
      </c>
      <c r="C383" s="13">
        <f>95.19*Hospital_Operations_Data[[#This Row],[Medication_Cost_USD]]</f>
        <v>79477.938600000009</v>
      </c>
    </row>
    <row r="384" spans="1:3" x14ac:dyDescent="0.3">
      <c r="A384" s="12">
        <f>95.19*Hospital_Operations_Data[[#This Row],[Treatment_Cost_USD]]</f>
        <v>240550.84139999998</v>
      </c>
      <c r="C384" s="14">
        <f>95.19*Hospital_Operations_Data[[#This Row],[Medication_Cost_USD]]</f>
        <v>82740.099900000001</v>
      </c>
    </row>
    <row r="385" spans="1:3" x14ac:dyDescent="0.3">
      <c r="A385" s="11">
        <f>95.19*Hospital_Operations_Data[[#This Row],[Treatment_Cost_USD]]</f>
        <v>535951.11269999994</v>
      </c>
      <c r="C385" s="13">
        <f>95.19*Hospital_Operations_Data[[#This Row],[Medication_Cost_USD]]</f>
        <v>212980.0098</v>
      </c>
    </row>
    <row r="386" spans="1:3" x14ac:dyDescent="0.3">
      <c r="A386" s="12">
        <f>95.19*Hospital_Operations_Data[[#This Row],[Treatment_Cost_USD]]</f>
        <v>1272199.1196000001</v>
      </c>
      <c r="C386" s="14">
        <f>95.19*Hospital_Operations_Data[[#This Row],[Medication_Cost_USD]]</f>
        <v>405143.87039999996</v>
      </c>
    </row>
    <row r="387" spans="1:3" x14ac:dyDescent="0.3">
      <c r="A387" s="11">
        <f>95.19*Hospital_Operations_Data[[#This Row],[Treatment_Cost_USD]]</f>
        <v>402059.7144</v>
      </c>
      <c r="C387" s="13">
        <f>95.19*Hospital_Operations_Data[[#This Row],[Medication_Cost_USD]]</f>
        <v>149126.55779999998</v>
      </c>
    </row>
    <row r="388" spans="1:3" x14ac:dyDescent="0.3">
      <c r="A388" s="12">
        <f>95.19*Hospital_Operations_Data[[#This Row],[Treatment_Cost_USD]]</f>
        <v>200472.99570000003</v>
      </c>
      <c r="C388" s="14">
        <f>95.19*Hospital_Operations_Data[[#This Row],[Medication_Cost_USD]]</f>
        <v>45305.680499999995</v>
      </c>
    </row>
    <row r="389" spans="1:3" x14ac:dyDescent="0.3">
      <c r="A389" s="11">
        <f>95.19*Hospital_Operations_Data[[#This Row],[Treatment_Cost_USD]]</f>
        <v>730031.14799999993</v>
      </c>
      <c r="C389" s="13">
        <f>95.19*Hospital_Operations_Data[[#This Row],[Medication_Cost_USD]]</f>
        <v>186972.198</v>
      </c>
    </row>
    <row r="390" spans="1:3" x14ac:dyDescent="0.3">
      <c r="A390" s="12">
        <f>95.19*Hospital_Operations_Data[[#This Row],[Treatment_Cost_USD]]</f>
        <v>394572.06900000002</v>
      </c>
      <c r="C390" s="14">
        <f>95.19*Hospital_Operations_Data[[#This Row],[Medication_Cost_USD]]</f>
        <v>146438.3922</v>
      </c>
    </row>
    <row r="391" spans="1:3" x14ac:dyDescent="0.3">
      <c r="A391" s="11">
        <f>95.19*Hospital_Operations_Data[[#This Row],[Treatment_Cost_USD]]</f>
        <v>775422.49950000003</v>
      </c>
      <c r="C391" s="13">
        <f>95.19*Hospital_Operations_Data[[#This Row],[Medication_Cost_USD]]</f>
        <v>274527.96000000002</v>
      </c>
    </row>
    <row r="392" spans="1:3" x14ac:dyDescent="0.3">
      <c r="A392" s="12">
        <f>95.19*Hospital_Operations_Data[[#This Row],[Treatment_Cost_USD]]</f>
        <v>626196.94409999996</v>
      </c>
      <c r="C392" s="14">
        <f>95.19*Hospital_Operations_Data[[#This Row],[Medication_Cost_USD]]</f>
        <v>95835.388200000001</v>
      </c>
    </row>
    <row r="393" spans="1:3" x14ac:dyDescent="0.3">
      <c r="A393" s="11">
        <f>95.19*Hospital_Operations_Data[[#This Row],[Treatment_Cost_USD]]</f>
        <v>835131.37889999989</v>
      </c>
      <c r="C393" s="13">
        <f>95.19*Hospital_Operations_Data[[#This Row],[Medication_Cost_USD]]</f>
        <v>276590.72730000003</v>
      </c>
    </row>
    <row r="394" spans="1:3" x14ac:dyDescent="0.3">
      <c r="A394" s="12">
        <f>95.19*Hospital_Operations_Data[[#This Row],[Treatment_Cost_USD]]</f>
        <v>732113.90519999992</v>
      </c>
      <c r="C394" s="14">
        <f>95.19*Hospital_Operations_Data[[#This Row],[Medication_Cost_USD]]</f>
        <v>219666.15539999999</v>
      </c>
    </row>
    <row r="395" spans="1:3" x14ac:dyDescent="0.3">
      <c r="A395" s="11">
        <f>95.19*Hospital_Operations_Data[[#This Row],[Treatment_Cost_USD]]</f>
        <v>533582.7855</v>
      </c>
      <c r="C395" s="13">
        <f>95.19*Hospital_Operations_Data[[#This Row],[Medication_Cost_USD]]</f>
        <v>171844.60319999998</v>
      </c>
    </row>
    <row r="396" spans="1:3" x14ac:dyDescent="0.3">
      <c r="A396" s="12">
        <f>95.19*Hospital_Operations_Data[[#This Row],[Treatment_Cost_USD]]</f>
        <v>1016300.7945</v>
      </c>
      <c r="C396" s="14">
        <f>95.19*Hospital_Operations_Data[[#This Row],[Medication_Cost_USD]]</f>
        <v>402012.11940000003</v>
      </c>
    </row>
    <row r="397" spans="1:3" x14ac:dyDescent="0.3">
      <c r="A397" s="11">
        <f>95.19*Hospital_Operations_Data[[#This Row],[Treatment_Cost_USD]]</f>
        <v>279252.23969999998</v>
      </c>
      <c r="C397" s="13">
        <f>95.19*Hospital_Operations_Data[[#This Row],[Medication_Cost_USD]]</f>
        <v>96998.61</v>
      </c>
    </row>
    <row r="398" spans="1:3" x14ac:dyDescent="0.3">
      <c r="A398" s="12">
        <f>95.19*Hospital_Operations_Data[[#This Row],[Treatment_Cost_USD]]</f>
        <v>212695.39169999998</v>
      </c>
      <c r="C398" s="14">
        <f>95.19*Hospital_Operations_Data[[#This Row],[Medication_Cost_USD]]</f>
        <v>36839.481899999999</v>
      </c>
    </row>
    <row r="399" spans="1:3" x14ac:dyDescent="0.3">
      <c r="A399" s="11">
        <f>95.19*Hospital_Operations_Data[[#This Row],[Treatment_Cost_USD]]</f>
        <v>423218.54759999999</v>
      </c>
      <c r="C399" s="13">
        <f>95.19*Hospital_Operations_Data[[#This Row],[Medication_Cost_USD]]</f>
        <v>143999.6244</v>
      </c>
    </row>
    <row r="400" spans="1:3" x14ac:dyDescent="0.3">
      <c r="A400" s="12">
        <f>95.19*Hospital_Operations_Data[[#This Row],[Treatment_Cost_USD]]</f>
        <v>891479.09939999995</v>
      </c>
      <c r="C400" s="14">
        <f>95.19*Hospital_Operations_Data[[#This Row],[Medication_Cost_USD]]</f>
        <v>146418.40230000002</v>
      </c>
    </row>
    <row r="401" spans="1:3" x14ac:dyDescent="0.3">
      <c r="A401" s="11">
        <f>95.19*Hospital_Operations_Data[[#This Row],[Treatment_Cost_USD]]</f>
        <v>358003.8786</v>
      </c>
      <c r="C401" s="13">
        <f>95.19*Hospital_Operations_Data[[#This Row],[Medication_Cost_USD]]</f>
        <v>137144.04060000001</v>
      </c>
    </row>
    <row r="402" spans="1:3" x14ac:dyDescent="0.3">
      <c r="A402" s="12">
        <f>95.19*Hospital_Operations_Data[[#This Row],[Treatment_Cost_USD]]</f>
        <v>303167.77529999998</v>
      </c>
      <c r="C402" s="14">
        <f>95.19*Hospital_Operations_Data[[#This Row],[Medication_Cost_USD]]</f>
        <v>70273.065600000002</v>
      </c>
    </row>
    <row r="403" spans="1:3" x14ac:dyDescent="0.3">
      <c r="A403" s="11">
        <f>95.19*Hospital_Operations_Data[[#This Row],[Treatment_Cost_USD]]</f>
        <v>706279.33920000005</v>
      </c>
      <c r="C403" s="13">
        <f>95.19*Hospital_Operations_Data[[#This Row],[Medication_Cost_USD]]</f>
        <v>168258.7959</v>
      </c>
    </row>
    <row r="404" spans="1:3" x14ac:dyDescent="0.3">
      <c r="A404" s="12">
        <f>95.19*Hospital_Operations_Data[[#This Row],[Treatment_Cost_USD]]</f>
        <v>505169.52240000002</v>
      </c>
      <c r="C404" s="14">
        <f>95.19*Hospital_Operations_Data[[#This Row],[Medication_Cost_USD]]</f>
        <v>98704.414799999999</v>
      </c>
    </row>
    <row r="405" spans="1:3" x14ac:dyDescent="0.3">
      <c r="A405" s="11">
        <f>95.19*Hospital_Operations_Data[[#This Row],[Treatment_Cost_USD]]</f>
        <v>715935.41279999993</v>
      </c>
      <c r="C405" s="13">
        <f>95.19*Hospital_Operations_Data[[#This Row],[Medication_Cost_USD]]</f>
        <v>150402.10379999998</v>
      </c>
    </row>
    <row r="406" spans="1:3" x14ac:dyDescent="0.3">
      <c r="A406" s="12">
        <f>95.19*Hospital_Operations_Data[[#This Row],[Treatment_Cost_USD]]</f>
        <v>2402036.8347</v>
      </c>
      <c r="C406" s="14">
        <f>95.19*Hospital_Operations_Data[[#This Row],[Medication_Cost_USD]]</f>
        <v>415918.4265</v>
      </c>
    </row>
    <row r="407" spans="1:3" x14ac:dyDescent="0.3">
      <c r="A407" s="11">
        <f>95.19*Hospital_Operations_Data[[#This Row],[Treatment_Cost_USD]]</f>
        <v>970252.63199999987</v>
      </c>
      <c r="C407" s="13">
        <f>95.19*Hospital_Operations_Data[[#This Row],[Medication_Cost_USD]]</f>
        <v>159367.098</v>
      </c>
    </row>
    <row r="408" spans="1:3" x14ac:dyDescent="0.3">
      <c r="A408" s="12">
        <f>95.19*Hospital_Operations_Data[[#This Row],[Treatment_Cost_USD]]</f>
        <v>628786.11210000003</v>
      </c>
      <c r="C408" s="14">
        <f>95.19*Hospital_Operations_Data[[#This Row],[Medication_Cost_USD]]</f>
        <v>180882.89369999999</v>
      </c>
    </row>
    <row r="409" spans="1:3" x14ac:dyDescent="0.3">
      <c r="A409" s="11">
        <f>95.19*Hospital_Operations_Data[[#This Row],[Treatment_Cost_USD]]</f>
        <v>835001.92050000001</v>
      </c>
      <c r="C409" s="13">
        <f>95.19*Hospital_Operations_Data[[#This Row],[Medication_Cost_USD]]</f>
        <v>216813.31109999999</v>
      </c>
    </row>
    <row r="410" spans="1:3" x14ac:dyDescent="0.3">
      <c r="A410" s="12">
        <f>95.19*Hospital_Operations_Data[[#This Row],[Treatment_Cost_USD]]</f>
        <v>308007.23489999998</v>
      </c>
      <c r="C410" s="14">
        <f>95.19*Hospital_Operations_Data[[#This Row],[Medication_Cost_USD]]</f>
        <v>90235.360499999995</v>
      </c>
    </row>
    <row r="411" spans="1:3" x14ac:dyDescent="0.3">
      <c r="A411" s="11">
        <f>95.19*Hospital_Operations_Data[[#This Row],[Treatment_Cost_USD]]</f>
        <v>497771.35559999995</v>
      </c>
      <c r="C411" s="13">
        <f>95.19*Hospital_Operations_Data[[#This Row],[Medication_Cost_USD]]</f>
        <v>114315.5748</v>
      </c>
    </row>
    <row r="412" spans="1:3" x14ac:dyDescent="0.3">
      <c r="A412" s="12">
        <f>95.19*Hospital_Operations_Data[[#This Row],[Treatment_Cost_USD]]</f>
        <v>894521.37179999996</v>
      </c>
      <c r="C412" s="14">
        <f>95.19*Hospital_Operations_Data[[#This Row],[Medication_Cost_USD]]</f>
        <v>259793.4999</v>
      </c>
    </row>
    <row r="413" spans="1:3" x14ac:dyDescent="0.3">
      <c r="A413" s="11">
        <f>95.19*Hospital_Operations_Data[[#This Row],[Treatment_Cost_USD]]</f>
        <v>737914.78379999998</v>
      </c>
      <c r="C413" s="13">
        <f>95.19*Hospital_Operations_Data[[#This Row],[Medication_Cost_USD]]</f>
        <v>252361.06470000002</v>
      </c>
    </row>
    <row r="414" spans="1:3" x14ac:dyDescent="0.3">
      <c r="A414" s="12">
        <f>95.19*Hospital_Operations_Data[[#This Row],[Treatment_Cost_USD]]</f>
        <v>96715.895699999994</v>
      </c>
      <c r="C414" s="14">
        <f>95.19*Hospital_Operations_Data[[#This Row],[Medication_Cost_USD]]</f>
        <v>22687.584599999998</v>
      </c>
    </row>
    <row r="415" spans="1:3" x14ac:dyDescent="0.3">
      <c r="A415" s="11">
        <f>95.19*Hospital_Operations_Data[[#This Row],[Treatment_Cost_USD]]</f>
        <v>750851.10479999997</v>
      </c>
      <c r="C415" s="13">
        <f>95.19*Hospital_Operations_Data[[#This Row],[Medication_Cost_USD]]</f>
        <v>173853.1122</v>
      </c>
    </row>
    <row r="416" spans="1:3" x14ac:dyDescent="0.3">
      <c r="A416" s="12">
        <f>95.19*Hospital_Operations_Data[[#This Row],[Treatment_Cost_USD]]</f>
        <v>1077399.4479</v>
      </c>
      <c r="C416" s="14">
        <f>95.19*Hospital_Operations_Data[[#This Row],[Medication_Cost_USD]]</f>
        <v>256845.46559999997</v>
      </c>
    </row>
    <row r="417" spans="1:3" x14ac:dyDescent="0.3">
      <c r="A417" s="11">
        <f>95.19*Hospital_Operations_Data[[#This Row],[Treatment_Cost_USD]]</f>
        <v>777114.97769999993</v>
      </c>
      <c r="C417" s="13">
        <f>95.19*Hospital_Operations_Data[[#This Row],[Medication_Cost_USD]]</f>
        <v>174550.85490000001</v>
      </c>
    </row>
    <row r="418" spans="1:3" x14ac:dyDescent="0.3">
      <c r="A418" s="12">
        <f>95.19*Hospital_Operations_Data[[#This Row],[Treatment_Cost_USD]]</f>
        <v>1209349.9221000001</v>
      </c>
      <c r="C418" s="14">
        <f>95.19*Hospital_Operations_Data[[#This Row],[Medication_Cost_USD]]</f>
        <v>414561.0171</v>
      </c>
    </row>
    <row r="419" spans="1:3" x14ac:dyDescent="0.3">
      <c r="A419" s="11">
        <f>95.19*Hospital_Operations_Data[[#This Row],[Treatment_Cost_USD]]</f>
        <v>1226617.3880999999</v>
      </c>
      <c r="C419" s="13">
        <f>95.19*Hospital_Operations_Data[[#This Row],[Medication_Cost_USD]]</f>
        <v>228723.48389999999</v>
      </c>
    </row>
    <row r="420" spans="1:3" x14ac:dyDescent="0.3">
      <c r="A420" s="12">
        <f>95.19*Hospital_Operations_Data[[#This Row],[Treatment_Cost_USD]]</f>
        <v>761135.43239999993</v>
      </c>
      <c r="C420" s="14">
        <f>95.19*Hospital_Operations_Data[[#This Row],[Medication_Cost_USD]]</f>
        <v>255111.10379999998</v>
      </c>
    </row>
    <row r="421" spans="1:3" x14ac:dyDescent="0.3">
      <c r="A421" s="11">
        <f>95.19*Hospital_Operations_Data[[#This Row],[Treatment_Cost_USD]]</f>
        <v>1467360.5133</v>
      </c>
      <c r="C421" s="13">
        <f>95.19*Hospital_Operations_Data[[#This Row],[Medication_Cost_USD]]</f>
        <v>298347.35369999998</v>
      </c>
    </row>
    <row r="422" spans="1:3" x14ac:dyDescent="0.3">
      <c r="A422" s="12">
        <f>95.19*Hospital_Operations_Data[[#This Row],[Treatment_Cost_USD]]</f>
        <v>441561.66059999994</v>
      </c>
      <c r="C422" s="14">
        <f>95.19*Hospital_Operations_Data[[#This Row],[Medication_Cost_USD]]</f>
        <v>113360.81910000001</v>
      </c>
    </row>
    <row r="423" spans="1:3" x14ac:dyDescent="0.3">
      <c r="A423" s="11">
        <f>95.19*Hospital_Operations_Data[[#This Row],[Treatment_Cost_USD]]</f>
        <v>952185.57</v>
      </c>
      <c r="C423" s="13">
        <f>95.19*Hospital_Operations_Data[[#This Row],[Medication_Cost_USD]]</f>
        <v>302885.06099999999</v>
      </c>
    </row>
    <row r="424" spans="1:3" x14ac:dyDescent="0.3">
      <c r="A424" s="12">
        <f>95.19*Hospital_Operations_Data[[#This Row],[Treatment_Cost_USD]]</f>
        <v>1403676.4994999999</v>
      </c>
      <c r="C424" s="14">
        <f>95.19*Hospital_Operations_Data[[#This Row],[Medication_Cost_USD]]</f>
        <v>236376.7599</v>
      </c>
    </row>
    <row r="425" spans="1:3" x14ac:dyDescent="0.3">
      <c r="A425" s="11">
        <f>95.19*Hospital_Operations_Data[[#This Row],[Treatment_Cost_USD]]</f>
        <v>621494.55809999991</v>
      </c>
      <c r="C425" s="13">
        <f>95.19*Hospital_Operations_Data[[#This Row],[Medication_Cost_USD]]</f>
        <v>107159.1906</v>
      </c>
    </row>
    <row r="426" spans="1:3" x14ac:dyDescent="0.3">
      <c r="A426" s="12">
        <f>95.19*Hospital_Operations_Data[[#This Row],[Treatment_Cost_USD]]</f>
        <v>249396.84809999997</v>
      </c>
      <c r="C426" s="14">
        <f>95.19*Hospital_Operations_Data[[#This Row],[Medication_Cost_USD]]</f>
        <v>67891.411800000002</v>
      </c>
    </row>
    <row r="427" spans="1:3" x14ac:dyDescent="0.3">
      <c r="A427" s="11">
        <f>95.19*Hospital_Operations_Data[[#This Row],[Treatment_Cost_USD]]</f>
        <v>772385.93849999993</v>
      </c>
      <c r="C427" s="13">
        <f>95.19*Hospital_Operations_Data[[#This Row],[Medication_Cost_USD]]</f>
        <v>215733.85649999999</v>
      </c>
    </row>
    <row r="428" spans="1:3" x14ac:dyDescent="0.3">
      <c r="A428" s="12">
        <f>95.19*Hospital_Operations_Data[[#This Row],[Treatment_Cost_USD]]</f>
        <v>593757.14399999997</v>
      </c>
      <c r="C428" s="14">
        <f>95.19*Hospital_Operations_Data[[#This Row],[Medication_Cost_USD]]</f>
        <v>191759.30309999999</v>
      </c>
    </row>
    <row r="429" spans="1:3" x14ac:dyDescent="0.3">
      <c r="A429" s="11">
        <f>95.19*Hospital_Operations_Data[[#This Row],[Treatment_Cost_USD]]</f>
        <v>826507.16489999986</v>
      </c>
      <c r="C429" s="13">
        <f>95.19*Hospital_Operations_Data[[#This Row],[Medication_Cost_USD]]</f>
        <v>228495.02789999999</v>
      </c>
    </row>
    <row r="430" spans="1:3" x14ac:dyDescent="0.3">
      <c r="A430" s="12">
        <f>95.19*Hospital_Operations_Data[[#This Row],[Treatment_Cost_USD]]</f>
        <v>1414305.4149</v>
      </c>
      <c r="C430" s="14">
        <f>95.19*Hospital_Operations_Data[[#This Row],[Medication_Cost_USD]]</f>
        <v>547641.39659999998</v>
      </c>
    </row>
    <row r="431" spans="1:3" x14ac:dyDescent="0.3">
      <c r="A431" s="11">
        <f>95.19*Hospital_Operations_Data[[#This Row],[Treatment_Cost_USD]]</f>
        <v>728950.7415</v>
      </c>
      <c r="C431" s="13">
        <f>95.19*Hospital_Operations_Data[[#This Row],[Medication_Cost_USD]]</f>
        <v>163242.28289999999</v>
      </c>
    </row>
    <row r="432" spans="1:3" x14ac:dyDescent="0.3">
      <c r="A432" s="12">
        <f>95.19*Hospital_Operations_Data[[#This Row],[Treatment_Cost_USD]]</f>
        <v>796401.42359999998</v>
      </c>
      <c r="C432" s="14">
        <f>95.19*Hospital_Operations_Data[[#This Row],[Medication_Cost_USD]]</f>
        <v>176975.34419999999</v>
      </c>
    </row>
    <row r="433" spans="1:3" x14ac:dyDescent="0.3">
      <c r="A433" s="11">
        <f>95.19*Hospital_Operations_Data[[#This Row],[Treatment_Cost_USD]]</f>
        <v>650678.8602</v>
      </c>
      <c r="C433" s="13">
        <f>95.19*Hospital_Operations_Data[[#This Row],[Medication_Cost_USD]]</f>
        <v>142358.54879999999</v>
      </c>
    </row>
    <row r="434" spans="1:3" x14ac:dyDescent="0.3">
      <c r="A434" s="12">
        <f>95.19*Hospital_Operations_Data[[#This Row],[Treatment_Cost_USD]]</f>
        <v>409445.50650000002</v>
      </c>
      <c r="C434" s="14">
        <f>95.19*Hospital_Operations_Data[[#This Row],[Medication_Cost_USD]]</f>
        <v>158609.38560000001</v>
      </c>
    </row>
    <row r="435" spans="1:3" x14ac:dyDescent="0.3">
      <c r="A435" s="11">
        <f>95.19*Hospital_Operations_Data[[#This Row],[Treatment_Cost_USD]]</f>
        <v>174310.02420000001</v>
      </c>
      <c r="C435" s="13">
        <f>95.19*Hospital_Operations_Data[[#This Row],[Medication_Cost_USD]]</f>
        <v>68004.68789999999</v>
      </c>
    </row>
    <row r="436" spans="1:3" x14ac:dyDescent="0.3">
      <c r="A436" s="12">
        <f>95.19*Hospital_Operations_Data[[#This Row],[Treatment_Cost_USD]]</f>
        <v>708915.15029999998</v>
      </c>
      <c r="C436" s="14">
        <f>95.19*Hospital_Operations_Data[[#This Row],[Medication_Cost_USD]]</f>
        <v>110961.07920000001</v>
      </c>
    </row>
    <row r="437" spans="1:3" x14ac:dyDescent="0.3">
      <c r="A437" s="11">
        <f>95.19*Hospital_Operations_Data[[#This Row],[Treatment_Cost_USD]]</f>
        <v>413579.60819999996</v>
      </c>
      <c r="C437" s="13">
        <f>95.19*Hospital_Operations_Data[[#This Row],[Medication_Cost_USD]]</f>
        <v>152957.95529999997</v>
      </c>
    </row>
    <row r="438" spans="1:3" x14ac:dyDescent="0.3">
      <c r="A438" s="12">
        <f>95.19*Hospital_Operations_Data[[#This Row],[Treatment_Cost_USD]]</f>
        <v>684180.98069999996</v>
      </c>
      <c r="C438" s="14">
        <f>95.19*Hospital_Operations_Data[[#This Row],[Medication_Cost_USD]]</f>
        <v>203145.93090000001</v>
      </c>
    </row>
    <row r="439" spans="1:3" x14ac:dyDescent="0.3">
      <c r="A439" s="11">
        <f>95.19*Hospital_Operations_Data[[#This Row],[Treatment_Cost_USD]]</f>
        <v>1808093.1183</v>
      </c>
      <c r="C439" s="13">
        <f>95.19*Hospital_Operations_Data[[#This Row],[Medication_Cost_USD]]</f>
        <v>539584.51500000001</v>
      </c>
    </row>
    <row r="440" spans="1:3" x14ac:dyDescent="0.3">
      <c r="A440" s="12">
        <f>95.19*Hospital_Operations_Data[[#This Row],[Treatment_Cost_USD]]</f>
        <v>923855.12219999987</v>
      </c>
      <c r="C440" s="14">
        <f>95.19*Hospital_Operations_Data[[#This Row],[Medication_Cost_USD]]</f>
        <v>254008.80359999998</v>
      </c>
    </row>
    <row r="441" spans="1:3" x14ac:dyDescent="0.3">
      <c r="A441" s="11">
        <f>95.19*Hospital_Operations_Data[[#This Row],[Treatment_Cost_USD]]</f>
        <v>408469.80900000001</v>
      </c>
      <c r="C441" s="13">
        <f>95.19*Hospital_Operations_Data[[#This Row],[Medication_Cost_USD]]</f>
        <v>97548.808199999999</v>
      </c>
    </row>
    <row r="442" spans="1:3" x14ac:dyDescent="0.3">
      <c r="A442" s="12">
        <f>95.19*Hospital_Operations_Data[[#This Row],[Treatment_Cost_USD]]</f>
        <v>746071.61489999993</v>
      </c>
      <c r="C442" s="14">
        <f>95.19*Hospital_Operations_Data[[#This Row],[Medication_Cost_USD]]</f>
        <v>137268.7395</v>
      </c>
    </row>
    <row r="443" spans="1:3" x14ac:dyDescent="0.3">
      <c r="A443" s="11">
        <f>95.19*Hospital_Operations_Data[[#This Row],[Treatment_Cost_USD]]</f>
        <v>419754.58349999995</v>
      </c>
      <c r="C443" s="13">
        <f>95.19*Hospital_Operations_Data[[#This Row],[Medication_Cost_USD]]</f>
        <v>161845.8456</v>
      </c>
    </row>
    <row r="444" spans="1:3" x14ac:dyDescent="0.3">
      <c r="A444" s="12">
        <f>95.19*Hospital_Operations_Data[[#This Row],[Treatment_Cost_USD]]</f>
        <v>1134545.8125</v>
      </c>
      <c r="C444" s="14">
        <f>95.19*Hospital_Operations_Data[[#This Row],[Medication_Cost_USD]]</f>
        <v>238406.21070000003</v>
      </c>
    </row>
    <row r="445" spans="1:3" x14ac:dyDescent="0.3">
      <c r="A445" s="11">
        <f>95.19*Hospital_Operations_Data[[#This Row],[Treatment_Cost_USD]]</f>
        <v>576032.76599999995</v>
      </c>
      <c r="C445" s="13">
        <f>95.19*Hospital_Operations_Data[[#This Row],[Medication_Cost_USD]]</f>
        <v>177437.9676</v>
      </c>
    </row>
    <row r="446" spans="1:3" x14ac:dyDescent="0.3">
      <c r="A446" s="12">
        <f>95.19*Hospital_Operations_Data[[#This Row],[Treatment_Cost_USD]]</f>
        <v>897006.78269999998</v>
      </c>
      <c r="C446" s="14">
        <f>95.19*Hospital_Operations_Data[[#This Row],[Medication_Cost_USD]]</f>
        <v>338404.25760000001</v>
      </c>
    </row>
    <row r="447" spans="1:3" x14ac:dyDescent="0.3">
      <c r="A447" s="11">
        <f>95.19*Hospital_Operations_Data[[#This Row],[Treatment_Cost_USD]]</f>
        <v>988280.66610000003</v>
      </c>
      <c r="C447" s="13">
        <f>95.19*Hospital_Operations_Data[[#This Row],[Medication_Cost_USD]]</f>
        <v>369473.32169999997</v>
      </c>
    </row>
    <row r="448" spans="1:3" x14ac:dyDescent="0.3">
      <c r="A448" s="12">
        <f>95.19*Hospital_Operations_Data[[#This Row],[Treatment_Cost_USD]]</f>
        <v>1262738.1855000001</v>
      </c>
      <c r="C448" s="14">
        <f>95.19*Hospital_Operations_Data[[#This Row],[Medication_Cost_USD]]</f>
        <v>277452.19679999998</v>
      </c>
    </row>
    <row r="449" spans="1:3" x14ac:dyDescent="0.3">
      <c r="A449" s="11">
        <f>95.19*Hospital_Operations_Data[[#This Row],[Treatment_Cost_USD]]</f>
        <v>1259693.0573999998</v>
      </c>
      <c r="C449" s="13">
        <f>95.19*Hospital_Operations_Data[[#This Row],[Medication_Cost_USD]]</f>
        <v>354434.2536</v>
      </c>
    </row>
    <row r="450" spans="1:3" x14ac:dyDescent="0.3">
      <c r="A450" s="12">
        <f>95.19*Hospital_Operations_Data[[#This Row],[Treatment_Cost_USD]]</f>
        <v>805956.59580000001</v>
      </c>
      <c r="C450" s="14">
        <f>95.19*Hospital_Operations_Data[[#This Row],[Medication_Cost_USD]]</f>
        <v>283113.14610000001</v>
      </c>
    </row>
    <row r="451" spans="1:3" x14ac:dyDescent="0.3">
      <c r="A451" s="11">
        <f>95.19*Hospital_Operations_Data[[#This Row],[Treatment_Cost_USD]]</f>
        <v>1669131.9006000001</v>
      </c>
      <c r="C451" s="13">
        <f>95.19*Hospital_Operations_Data[[#This Row],[Medication_Cost_USD]]</f>
        <v>631076.3835</v>
      </c>
    </row>
    <row r="452" spans="1:3" x14ac:dyDescent="0.3">
      <c r="A452" s="12">
        <f>95.19*Hospital_Operations_Data[[#This Row],[Treatment_Cost_USD]]</f>
        <v>130564.50779999999</v>
      </c>
      <c r="C452" s="14">
        <f>95.19*Hospital_Operations_Data[[#This Row],[Medication_Cost_USD]]</f>
        <v>20903.723999999998</v>
      </c>
    </row>
    <row r="453" spans="1:3" x14ac:dyDescent="0.3">
      <c r="A453" s="11">
        <f>95.19*Hospital_Operations_Data[[#This Row],[Treatment_Cost_USD]]</f>
        <v>373693.0944</v>
      </c>
      <c r="C453" s="13">
        <f>95.19*Hospital_Operations_Data[[#This Row],[Medication_Cost_USD]]</f>
        <v>121791.7974</v>
      </c>
    </row>
    <row r="454" spans="1:3" x14ac:dyDescent="0.3">
      <c r="A454" s="12">
        <f>95.19*Hospital_Operations_Data[[#This Row],[Treatment_Cost_USD]]</f>
        <v>497207.83079999994</v>
      </c>
      <c r="C454" s="14">
        <f>95.19*Hospital_Operations_Data[[#This Row],[Medication_Cost_USD]]</f>
        <v>120007.9368</v>
      </c>
    </row>
    <row r="455" spans="1:3" x14ac:dyDescent="0.3">
      <c r="A455" s="11">
        <f>95.19*Hospital_Operations_Data[[#This Row],[Treatment_Cost_USD]]</f>
        <v>382114.55369999999</v>
      </c>
      <c r="C455" s="13">
        <f>95.19*Hospital_Operations_Data[[#This Row],[Medication_Cost_USD]]</f>
        <v>80046.222899999993</v>
      </c>
    </row>
    <row r="456" spans="1:3" x14ac:dyDescent="0.3">
      <c r="A456" s="12">
        <f>95.19*Hospital_Operations_Data[[#This Row],[Treatment_Cost_USD]]</f>
        <v>465336.315</v>
      </c>
      <c r="C456" s="14">
        <f>95.19*Hospital_Operations_Data[[#This Row],[Medication_Cost_USD]]</f>
        <v>173988.28199999998</v>
      </c>
    </row>
    <row r="457" spans="1:3" x14ac:dyDescent="0.3">
      <c r="A457" s="11">
        <f>95.19*Hospital_Operations_Data[[#This Row],[Treatment_Cost_USD]]</f>
        <v>841044.58169999998</v>
      </c>
      <c r="C457" s="13">
        <f>95.19*Hospital_Operations_Data[[#This Row],[Medication_Cost_USD]]</f>
        <v>240112.01549999998</v>
      </c>
    </row>
    <row r="458" spans="1:3" x14ac:dyDescent="0.3">
      <c r="A458" s="12">
        <f>95.19*Hospital_Operations_Data[[#This Row],[Treatment_Cost_USD]]</f>
        <v>1851675.8597999997</v>
      </c>
      <c r="C458" s="14">
        <f>95.19*Hospital_Operations_Data[[#This Row],[Medication_Cost_USD]]</f>
        <v>590831.00339999993</v>
      </c>
    </row>
    <row r="459" spans="1:3" x14ac:dyDescent="0.3">
      <c r="A459" s="11">
        <f>95.19*Hospital_Operations_Data[[#This Row],[Treatment_Cost_USD]]</f>
        <v>1100142.2427000001</v>
      </c>
      <c r="C459" s="13">
        <f>95.19*Hospital_Operations_Data[[#This Row],[Medication_Cost_USD]]</f>
        <v>391492.67249999999</v>
      </c>
    </row>
    <row r="460" spans="1:3" x14ac:dyDescent="0.3">
      <c r="A460" s="12">
        <f>95.19*Hospital_Operations_Data[[#This Row],[Treatment_Cost_USD]]</f>
        <v>427668.6801</v>
      </c>
      <c r="C460" s="14">
        <f>95.19*Hospital_Operations_Data[[#This Row],[Medication_Cost_USD]]</f>
        <v>67354.540200000003</v>
      </c>
    </row>
    <row r="461" spans="1:3" x14ac:dyDescent="0.3">
      <c r="A461" s="11">
        <f>95.19*Hospital_Operations_Data[[#This Row],[Treatment_Cost_USD]]</f>
        <v>323004.41940000001</v>
      </c>
      <c r="C461" s="13">
        <f>95.19*Hospital_Operations_Data[[#This Row],[Medication_Cost_USD]]</f>
        <v>56530.4853</v>
      </c>
    </row>
    <row r="462" spans="1:3" x14ac:dyDescent="0.3">
      <c r="A462" s="12">
        <f>95.19*Hospital_Operations_Data[[#This Row],[Treatment_Cost_USD]]</f>
        <v>355072.02659999998</v>
      </c>
      <c r="C462" s="14">
        <f>95.19*Hospital_Operations_Data[[#This Row],[Medication_Cost_USD]]</f>
        <v>141607.49970000001</v>
      </c>
    </row>
    <row r="463" spans="1:3" x14ac:dyDescent="0.3">
      <c r="A463" s="11">
        <f>95.19*Hospital_Operations_Data[[#This Row],[Treatment_Cost_USD]]</f>
        <v>345586.3431</v>
      </c>
      <c r="C463" s="13">
        <f>95.19*Hospital_Operations_Data[[#This Row],[Medication_Cost_USD]]</f>
        <v>57581.382899999997</v>
      </c>
    </row>
    <row r="464" spans="1:3" x14ac:dyDescent="0.3">
      <c r="A464" s="12">
        <f>95.19*Hospital_Operations_Data[[#This Row],[Treatment_Cost_USD]]</f>
        <v>349084.57559999998</v>
      </c>
      <c r="C464" s="14">
        <f>95.19*Hospital_Operations_Data[[#This Row],[Medication_Cost_USD]]</f>
        <v>55954.585800000001</v>
      </c>
    </row>
    <row r="465" spans="1:3" x14ac:dyDescent="0.3">
      <c r="A465" s="11">
        <f>95.19*Hospital_Operations_Data[[#This Row],[Treatment_Cost_USD]]</f>
        <v>864343.28610000003</v>
      </c>
      <c r="C465" s="13">
        <f>95.19*Hospital_Operations_Data[[#This Row],[Medication_Cost_USD]]</f>
        <v>330342.6165</v>
      </c>
    </row>
    <row r="466" spans="1:3" x14ac:dyDescent="0.3">
      <c r="A466" s="12">
        <f>95.19*Hospital_Operations_Data[[#This Row],[Treatment_Cost_USD]]</f>
        <v>628381.55460000003</v>
      </c>
      <c r="C466" s="14">
        <f>95.19*Hospital_Operations_Data[[#This Row],[Medication_Cost_USD]]</f>
        <v>105239.2083</v>
      </c>
    </row>
    <row r="467" spans="1:3" x14ac:dyDescent="0.3">
      <c r="A467" s="11">
        <f>95.19*Hospital_Operations_Data[[#This Row],[Treatment_Cost_USD]]</f>
        <v>2218403.9018999999</v>
      </c>
      <c r="C467" s="13">
        <f>95.19*Hospital_Operations_Data[[#This Row],[Medication_Cost_USD]]</f>
        <v>693708.54779999994</v>
      </c>
    </row>
    <row r="468" spans="1:3" x14ac:dyDescent="0.3">
      <c r="A468" s="12">
        <f>95.19*Hospital_Operations_Data[[#This Row],[Treatment_Cost_USD]]</f>
        <v>500405.26289999997</v>
      </c>
      <c r="C468" s="14">
        <f>95.19*Hospital_Operations_Data[[#This Row],[Medication_Cost_USD]]</f>
        <v>119751.87569999999</v>
      </c>
    </row>
    <row r="469" spans="1:3" x14ac:dyDescent="0.3">
      <c r="A469" s="11">
        <f>95.19*Hospital_Operations_Data[[#This Row],[Treatment_Cost_USD]]</f>
        <v>846001.125</v>
      </c>
      <c r="C469" s="13">
        <f>95.19*Hospital_Operations_Data[[#This Row],[Medication_Cost_USD]]</f>
        <v>156447.6207</v>
      </c>
    </row>
    <row r="470" spans="1:3" x14ac:dyDescent="0.3">
      <c r="A470" s="12">
        <f>95.19*Hospital_Operations_Data[[#This Row],[Treatment_Cost_USD]]</f>
        <v>644944.61459999997</v>
      </c>
      <c r="C470" s="14">
        <f>95.19*Hospital_Operations_Data[[#This Row],[Medication_Cost_USD]]</f>
        <v>128565.51779999999</v>
      </c>
    </row>
    <row r="471" spans="1:3" x14ac:dyDescent="0.3">
      <c r="A471" s="11">
        <f>95.19*Hospital_Operations_Data[[#This Row],[Treatment_Cost_USD]]</f>
        <v>945226.22909999988</v>
      </c>
      <c r="C471" s="13">
        <f>95.19*Hospital_Operations_Data[[#This Row],[Medication_Cost_USD]]</f>
        <v>266939.41320000001</v>
      </c>
    </row>
    <row r="472" spans="1:3" x14ac:dyDescent="0.3">
      <c r="A472" s="12">
        <f>95.19*Hospital_Operations_Data[[#This Row],[Treatment_Cost_USD]]</f>
        <v>864079.60979999998</v>
      </c>
      <c r="C472" s="14">
        <f>95.19*Hospital_Operations_Data[[#This Row],[Medication_Cost_USD]]</f>
        <v>215163.6684</v>
      </c>
    </row>
    <row r="473" spans="1:3" x14ac:dyDescent="0.3">
      <c r="A473" s="11">
        <f>95.19*Hospital_Operations_Data[[#This Row],[Treatment_Cost_USD]]</f>
        <v>416379.14609999995</v>
      </c>
      <c r="C473" s="13">
        <f>95.19*Hospital_Operations_Data[[#This Row],[Medication_Cost_USD]]</f>
        <v>116944.72259999999</v>
      </c>
    </row>
    <row r="474" spans="1:3" x14ac:dyDescent="0.3">
      <c r="A474" s="12">
        <f>95.19*Hospital_Operations_Data[[#This Row],[Treatment_Cost_USD]]</f>
        <v>1853877.6044999999</v>
      </c>
      <c r="C474" s="14">
        <f>95.19*Hospital_Operations_Data[[#This Row],[Medication_Cost_USD]]</f>
        <v>557029.0344</v>
      </c>
    </row>
    <row r="475" spans="1:3" x14ac:dyDescent="0.3">
      <c r="A475" s="11">
        <f>95.19*Hospital_Operations_Data[[#This Row],[Treatment_Cost_USD]]</f>
        <v>1420290.0101999999</v>
      </c>
      <c r="C475" s="13">
        <f>95.19*Hospital_Operations_Data[[#This Row],[Medication_Cost_USD]]</f>
        <v>435600.8628</v>
      </c>
    </row>
    <row r="476" spans="1:3" x14ac:dyDescent="0.3">
      <c r="A476" s="12">
        <f>95.19*Hospital_Operations_Data[[#This Row],[Treatment_Cost_USD]]</f>
        <v>228899.58539999998</v>
      </c>
      <c r="C476" s="14">
        <f>95.19*Hospital_Operations_Data[[#This Row],[Medication_Cost_USD]]</f>
        <v>59603.218499999995</v>
      </c>
    </row>
    <row r="477" spans="1:3" x14ac:dyDescent="0.3">
      <c r="A477" s="11">
        <f>95.19*Hospital_Operations_Data[[#This Row],[Treatment_Cost_USD]]</f>
        <v>1208312.3511000001</v>
      </c>
      <c r="C477" s="13">
        <f>95.19*Hospital_Operations_Data[[#This Row],[Medication_Cost_USD]]</f>
        <v>452479.95359999995</v>
      </c>
    </row>
    <row r="478" spans="1:3" x14ac:dyDescent="0.3">
      <c r="A478" s="12">
        <f>95.19*Hospital_Operations_Data[[#This Row],[Treatment_Cost_USD]]</f>
        <v>865234.26449999993</v>
      </c>
      <c r="C478" s="14">
        <f>95.19*Hospital_Operations_Data[[#This Row],[Medication_Cost_USD]]</f>
        <v>281631.03779999999</v>
      </c>
    </row>
    <row r="479" spans="1:3" x14ac:dyDescent="0.3">
      <c r="A479" s="11">
        <f>95.19*Hospital_Operations_Data[[#This Row],[Treatment_Cost_USD]]</f>
        <v>1155390.5186999999</v>
      </c>
      <c r="C479" s="13">
        <f>95.19*Hospital_Operations_Data[[#This Row],[Medication_Cost_USD]]</f>
        <v>319632.78960000002</v>
      </c>
    </row>
    <row r="480" spans="1:3" x14ac:dyDescent="0.3">
      <c r="A480" s="12">
        <f>95.19*Hospital_Operations_Data[[#This Row],[Treatment_Cost_USD]]</f>
        <v>846049.67189999996</v>
      </c>
      <c r="C480" s="14">
        <f>95.19*Hospital_Operations_Data[[#This Row],[Medication_Cost_USD]]</f>
        <v>144386.09579999998</v>
      </c>
    </row>
    <row r="481" spans="1:3" x14ac:dyDescent="0.3">
      <c r="A481" s="11">
        <f>95.19*Hospital_Operations_Data[[#This Row],[Treatment_Cost_USD]]</f>
        <v>615605.15279999992</v>
      </c>
      <c r="C481" s="13">
        <f>95.19*Hospital_Operations_Data[[#This Row],[Medication_Cost_USD]]</f>
        <v>230182.74659999998</v>
      </c>
    </row>
    <row r="482" spans="1:3" x14ac:dyDescent="0.3">
      <c r="A482" s="12">
        <f>95.19*Hospital_Operations_Data[[#This Row],[Treatment_Cost_USD]]</f>
        <v>843995.47169999999</v>
      </c>
      <c r="C482" s="14">
        <f>95.19*Hospital_Operations_Data[[#This Row],[Medication_Cost_USD]]</f>
        <v>215484.45869999999</v>
      </c>
    </row>
    <row r="483" spans="1:3" x14ac:dyDescent="0.3">
      <c r="A483" s="11">
        <f>95.19*Hospital_Operations_Data[[#This Row],[Treatment_Cost_USD]]</f>
        <v>1339068.1908</v>
      </c>
      <c r="C483" s="13">
        <f>95.19*Hospital_Operations_Data[[#This Row],[Medication_Cost_USD]]</f>
        <v>456313.2549</v>
      </c>
    </row>
    <row r="484" spans="1:3" x14ac:dyDescent="0.3">
      <c r="A484" s="12">
        <f>95.19*Hospital_Operations_Data[[#This Row],[Treatment_Cost_USD]]</f>
        <v>1884759.1443</v>
      </c>
      <c r="C484" s="14">
        <f>95.19*Hospital_Operations_Data[[#This Row],[Medication_Cost_USD]]</f>
        <v>315707.15399999998</v>
      </c>
    </row>
    <row r="485" spans="1:3" x14ac:dyDescent="0.3">
      <c r="A485" s="11">
        <f>95.19*Hospital_Operations_Data[[#This Row],[Treatment_Cost_USD]]</f>
        <v>335364.84090000001</v>
      </c>
      <c r="C485" s="13">
        <f>95.19*Hospital_Operations_Data[[#This Row],[Medication_Cost_USD]]</f>
        <v>84576.315000000002</v>
      </c>
    </row>
    <row r="486" spans="1:3" x14ac:dyDescent="0.3">
      <c r="A486" s="12">
        <f>95.19*Hospital_Operations_Data[[#This Row],[Treatment_Cost_USD]]</f>
        <v>366397.7328</v>
      </c>
      <c r="C486" s="14">
        <f>95.19*Hospital_Operations_Data[[#This Row],[Medication_Cost_USD]]</f>
        <v>108362.3922</v>
      </c>
    </row>
    <row r="487" spans="1:3" x14ac:dyDescent="0.3">
      <c r="A487" s="11">
        <f>95.19*Hospital_Operations_Data[[#This Row],[Treatment_Cost_USD]]</f>
        <v>762699.40410000004</v>
      </c>
      <c r="C487" s="13">
        <f>95.19*Hospital_Operations_Data[[#This Row],[Medication_Cost_USD]]</f>
        <v>289565.12429999997</v>
      </c>
    </row>
    <row r="488" spans="1:3" x14ac:dyDescent="0.3">
      <c r="A488" s="12">
        <f>95.19*Hospital_Operations_Data[[#This Row],[Treatment_Cost_USD]]</f>
        <v>443391.21240000002</v>
      </c>
      <c r="C488" s="14">
        <f>95.19*Hospital_Operations_Data[[#This Row],[Medication_Cost_USD]]</f>
        <v>117122.7279</v>
      </c>
    </row>
    <row r="489" spans="1:3" x14ac:dyDescent="0.3">
      <c r="A489" s="11">
        <f>95.19*Hospital_Operations_Data[[#This Row],[Treatment_Cost_USD]]</f>
        <v>1586138.5952999999</v>
      </c>
      <c r="C489" s="13">
        <f>95.19*Hospital_Operations_Data[[#This Row],[Medication_Cost_USD]]</f>
        <v>427151.79839999997</v>
      </c>
    </row>
    <row r="490" spans="1:3" x14ac:dyDescent="0.3">
      <c r="A490" s="12">
        <f>95.19*Hospital_Operations_Data[[#This Row],[Treatment_Cost_USD]]</f>
        <v>217694.77049999998</v>
      </c>
      <c r="C490" s="14">
        <f>95.19*Hospital_Operations_Data[[#This Row],[Medication_Cost_USD]]</f>
        <v>72851.762700000007</v>
      </c>
    </row>
    <row r="491" spans="1:3" x14ac:dyDescent="0.3">
      <c r="A491" s="11">
        <f>95.19*Hospital_Operations_Data[[#This Row],[Treatment_Cost_USD]]</f>
        <v>1061827.3158</v>
      </c>
      <c r="C491" s="13">
        <f>95.19*Hospital_Operations_Data[[#This Row],[Medication_Cost_USD]]</f>
        <v>321517.55160000001</v>
      </c>
    </row>
    <row r="492" spans="1:3" x14ac:dyDescent="0.3">
      <c r="A492" s="12">
        <f>95.19*Hospital_Operations_Data[[#This Row],[Treatment_Cost_USD]]</f>
        <v>680465.71499999997</v>
      </c>
      <c r="C492" s="14">
        <f>95.19*Hospital_Operations_Data[[#This Row],[Medication_Cost_USD]]</f>
        <v>235285.88250000001</v>
      </c>
    </row>
    <row r="493" spans="1:3" x14ac:dyDescent="0.3">
      <c r="A493" s="11">
        <f>95.19*Hospital_Operations_Data[[#This Row],[Treatment_Cost_USD]]</f>
        <v>687440.28630000004</v>
      </c>
      <c r="C493" s="13">
        <f>95.19*Hospital_Operations_Data[[#This Row],[Medication_Cost_USD]]</f>
        <v>251385.36720000001</v>
      </c>
    </row>
    <row r="494" spans="1:3" x14ac:dyDescent="0.3">
      <c r="A494" s="12">
        <f>95.19*Hospital_Operations_Data[[#This Row],[Treatment_Cost_USD]]</f>
        <v>944189.61</v>
      </c>
      <c r="C494" s="14">
        <f>95.19*Hospital_Operations_Data[[#This Row],[Medication_Cost_USD]]</f>
        <v>368169.21869999997</v>
      </c>
    </row>
    <row r="495" spans="1:3" x14ac:dyDescent="0.3">
      <c r="A495" s="11">
        <f>95.19*Hospital_Operations_Data[[#This Row],[Treatment_Cost_USD]]</f>
        <v>1348388.2437</v>
      </c>
      <c r="C495" s="13">
        <f>95.19*Hospital_Operations_Data[[#This Row],[Medication_Cost_USD]]</f>
        <v>386583.7242</v>
      </c>
    </row>
    <row r="496" spans="1:3" x14ac:dyDescent="0.3">
      <c r="A496" s="12">
        <f>95.19*Hospital_Operations_Data[[#This Row],[Treatment_Cost_USD]]</f>
        <v>598639.43909999996</v>
      </c>
      <c r="C496" s="14">
        <f>95.19*Hospital_Operations_Data[[#This Row],[Medication_Cost_USD]]</f>
        <v>206250.07679999998</v>
      </c>
    </row>
    <row r="497" spans="1:3" x14ac:dyDescent="0.3">
      <c r="A497" s="11">
        <f>95.19*Hospital_Operations_Data[[#This Row],[Treatment_Cost_USD]]</f>
        <v>2194795.83</v>
      </c>
      <c r="C497" s="13">
        <f>95.19*Hospital_Operations_Data[[#This Row],[Medication_Cost_USD]]</f>
        <v>355450.88279999996</v>
      </c>
    </row>
    <row r="498" spans="1:3" x14ac:dyDescent="0.3">
      <c r="A498" s="12">
        <f>95.19*Hospital_Operations_Data[[#This Row],[Treatment_Cost_USD]]</f>
        <v>211127.61240000001</v>
      </c>
      <c r="C498" s="14">
        <f>95.19*Hospital_Operations_Data[[#This Row],[Medication_Cost_USD]]</f>
        <v>45469.407299999999</v>
      </c>
    </row>
    <row r="499" spans="1:3" x14ac:dyDescent="0.3">
      <c r="A499" s="11">
        <f>95.19*Hospital_Operations_Data[[#This Row],[Treatment_Cost_USD]]</f>
        <v>914132.41559999995</v>
      </c>
      <c r="C499" s="13">
        <f>95.19*Hospital_Operations_Data[[#This Row],[Medication_Cost_USD]]</f>
        <v>167535.35190000001</v>
      </c>
    </row>
    <row r="500" spans="1:3" x14ac:dyDescent="0.3">
      <c r="A500" s="12">
        <f>95.19*Hospital_Operations_Data[[#This Row],[Treatment_Cost_USD]]</f>
        <v>749790.68819999998</v>
      </c>
      <c r="C500" s="14">
        <f>95.19*Hospital_Operations_Data[[#This Row],[Medication_Cost_USD]]</f>
        <v>171356.27850000001</v>
      </c>
    </row>
    <row r="501" spans="1:3" x14ac:dyDescent="0.3">
      <c r="A501" s="11">
        <f>95.19*Hospital_Operations_Data[[#This Row],[Treatment_Cost_USD]]</f>
        <v>112918.1856</v>
      </c>
      <c r="C501" s="13">
        <f>95.19*Hospital_Operations_Data[[#This Row],[Medication_Cost_USD]]</f>
        <v>40639.466699999997</v>
      </c>
    </row>
    <row r="502" spans="1:3" x14ac:dyDescent="0.3">
      <c r="A502" s="12">
        <f>95.19*Hospital_Operations_Data[[#This Row],[Treatment_Cost_USD]]</f>
        <v>768104.29229999997</v>
      </c>
      <c r="C502" s="14">
        <f>95.19*Hospital_Operations_Data[[#This Row],[Medication_Cost_USD]]</f>
        <v>278816.26949999999</v>
      </c>
    </row>
    <row r="503" spans="1:3" x14ac:dyDescent="0.3">
      <c r="A503" s="11">
        <f>95.19*Hospital_Operations_Data[[#This Row],[Treatment_Cost_USD]]</f>
        <v>1517172.4883999999</v>
      </c>
      <c r="C503" s="13">
        <f>95.19*Hospital_Operations_Data[[#This Row],[Medication_Cost_USD]]</f>
        <v>499914.08249999996</v>
      </c>
    </row>
    <row r="504" spans="1:3" x14ac:dyDescent="0.3">
      <c r="A504" s="12">
        <f>95.19*Hospital_Operations_Data[[#This Row],[Treatment_Cost_USD]]</f>
        <v>1607159.4029999999</v>
      </c>
      <c r="C504" s="14">
        <f>95.19*Hospital_Operations_Data[[#This Row],[Medication_Cost_USD]]</f>
        <v>495355.43339999998</v>
      </c>
    </row>
    <row r="505" spans="1:3" x14ac:dyDescent="0.3">
      <c r="A505" s="11">
        <f>95.19*Hospital_Operations_Data[[#This Row],[Treatment_Cost_USD]]</f>
        <v>437537.97930000001</v>
      </c>
      <c r="C505" s="13">
        <f>95.19*Hospital_Operations_Data[[#This Row],[Medication_Cost_USD]]</f>
        <v>107027.82839999998</v>
      </c>
    </row>
    <row r="506" spans="1:3" x14ac:dyDescent="0.3">
      <c r="A506" s="12">
        <f>95.19*Hospital_Operations_Data[[#This Row],[Treatment_Cost_USD]]</f>
        <v>1315162.1742</v>
      </c>
      <c r="C506" s="14">
        <f>95.19*Hospital_Operations_Data[[#This Row],[Medication_Cost_USD]]</f>
        <v>458700.6201</v>
      </c>
    </row>
    <row r="507" spans="1:3" x14ac:dyDescent="0.3">
      <c r="A507" s="11">
        <f>95.19*Hospital_Operations_Data[[#This Row],[Treatment_Cost_USD]]</f>
        <v>1257085.8033</v>
      </c>
      <c r="C507" s="13">
        <f>95.19*Hospital_Operations_Data[[#This Row],[Medication_Cost_USD]]</f>
        <v>466582.35210000002</v>
      </c>
    </row>
    <row r="508" spans="1:3" x14ac:dyDescent="0.3">
      <c r="A508" s="12">
        <f>95.19*Hospital_Operations_Data[[#This Row],[Treatment_Cost_USD]]</f>
        <v>793099.28249999997</v>
      </c>
      <c r="C508" s="14">
        <f>95.19*Hospital_Operations_Data[[#This Row],[Medication_Cost_USD]]</f>
        <v>135287.83559999999</v>
      </c>
    </row>
    <row r="509" spans="1:3" x14ac:dyDescent="0.3">
      <c r="A509" s="11">
        <f>95.19*Hospital_Operations_Data[[#This Row],[Treatment_Cost_USD]]</f>
        <v>435089.6925</v>
      </c>
      <c r="C509" s="13">
        <f>95.19*Hospital_Operations_Data[[#This Row],[Medication_Cost_USD]]</f>
        <v>156064.95689999999</v>
      </c>
    </row>
    <row r="510" spans="1:3" x14ac:dyDescent="0.3">
      <c r="A510" s="12">
        <f>95.19*Hospital_Operations_Data[[#This Row],[Treatment_Cost_USD]]</f>
        <v>428594.87880000001</v>
      </c>
      <c r="C510" s="14">
        <f>95.19*Hospital_Operations_Data[[#This Row],[Medication_Cost_USD]]</f>
        <v>162448.3983</v>
      </c>
    </row>
    <row r="511" spans="1:3" x14ac:dyDescent="0.3">
      <c r="A511" s="11">
        <f>95.19*Hospital_Operations_Data[[#This Row],[Treatment_Cost_USD]]</f>
        <v>269156.38829999999</v>
      </c>
      <c r="C511" s="13">
        <f>95.19*Hospital_Operations_Data[[#This Row],[Medication_Cost_USD]]</f>
        <v>105015.51179999999</v>
      </c>
    </row>
    <row r="512" spans="1:3" x14ac:dyDescent="0.3">
      <c r="A512" s="12">
        <f>95.19*Hospital_Operations_Data[[#This Row],[Treatment_Cost_USD]]</f>
        <v>831521.77409999992</v>
      </c>
      <c r="C512" s="14">
        <f>95.19*Hospital_Operations_Data[[#This Row],[Medication_Cost_USD]]</f>
        <v>225795.43950000001</v>
      </c>
    </row>
    <row r="513" spans="1:3" x14ac:dyDescent="0.3">
      <c r="A513" s="11">
        <f>95.19*Hospital_Operations_Data[[#This Row],[Treatment_Cost_USD]]</f>
        <v>945563.20169999998</v>
      </c>
      <c r="C513" s="13">
        <f>95.19*Hospital_Operations_Data[[#This Row],[Medication_Cost_USD]]</f>
        <v>326227.5528</v>
      </c>
    </row>
    <row r="514" spans="1:3" x14ac:dyDescent="0.3">
      <c r="A514" s="12">
        <f>95.19*Hospital_Operations_Data[[#This Row],[Treatment_Cost_USD]]</f>
        <v>422438.94150000002</v>
      </c>
      <c r="C514" s="14">
        <f>95.19*Hospital_Operations_Data[[#This Row],[Medication_Cost_USD]]</f>
        <v>121089.29519999999</v>
      </c>
    </row>
    <row r="515" spans="1:3" x14ac:dyDescent="0.3">
      <c r="A515" s="11">
        <f>95.19*Hospital_Operations_Data[[#This Row],[Treatment_Cost_USD]]</f>
        <v>942160.15919999999</v>
      </c>
      <c r="C515" s="13">
        <f>95.19*Hospital_Operations_Data[[#This Row],[Medication_Cost_USD]]</f>
        <v>359611.63769999996</v>
      </c>
    </row>
    <row r="516" spans="1:3" x14ac:dyDescent="0.3">
      <c r="A516" s="12">
        <f>95.19*Hospital_Operations_Data[[#This Row],[Treatment_Cost_USD]]</f>
        <v>431537.20170000003</v>
      </c>
      <c r="C516" s="14">
        <f>95.19*Hospital_Operations_Data[[#This Row],[Medication_Cost_USD]]</f>
        <v>72211.134000000005</v>
      </c>
    </row>
    <row r="517" spans="1:3" x14ac:dyDescent="0.3">
      <c r="A517" s="11">
        <f>95.19*Hospital_Operations_Data[[#This Row],[Treatment_Cost_USD]]</f>
        <v>322271.45639999997</v>
      </c>
      <c r="C517" s="13">
        <f>95.19*Hospital_Operations_Data[[#This Row],[Medication_Cost_USD]]</f>
        <v>127945.83089999999</v>
      </c>
    </row>
    <row r="518" spans="1:3" x14ac:dyDescent="0.3">
      <c r="A518" s="12">
        <f>95.19*Hospital_Operations_Data[[#This Row],[Treatment_Cost_USD]]</f>
        <v>1050632.9717999999</v>
      </c>
      <c r="C518" s="14">
        <f>95.19*Hospital_Operations_Data[[#This Row],[Medication_Cost_USD]]</f>
        <v>338217.68520000001</v>
      </c>
    </row>
    <row r="519" spans="1:3" x14ac:dyDescent="0.3">
      <c r="A519" s="11">
        <f>95.19*Hospital_Operations_Data[[#This Row],[Treatment_Cost_USD]]</f>
        <v>551999.19479999994</v>
      </c>
      <c r="C519" s="13">
        <f>95.19*Hospital_Operations_Data[[#This Row],[Medication_Cost_USD]]</f>
        <v>110467.0431</v>
      </c>
    </row>
    <row r="520" spans="1:3" x14ac:dyDescent="0.3">
      <c r="A520" s="12">
        <f>95.19*Hospital_Operations_Data[[#This Row],[Treatment_Cost_USD]]</f>
        <v>880424.68469999987</v>
      </c>
      <c r="C520" s="14">
        <f>95.19*Hospital_Operations_Data[[#This Row],[Medication_Cost_USD]]</f>
        <v>311327.4621</v>
      </c>
    </row>
    <row r="521" spans="1:3" x14ac:dyDescent="0.3">
      <c r="A521" s="11">
        <f>95.19*Hospital_Operations_Data[[#This Row],[Treatment_Cost_USD]]</f>
        <v>806981.79209999996</v>
      </c>
      <c r="C521" s="13">
        <f>95.19*Hospital_Operations_Data[[#This Row],[Medication_Cost_USD]]</f>
        <v>153426.29009999998</v>
      </c>
    </row>
    <row r="522" spans="1:3" x14ac:dyDescent="0.3">
      <c r="A522" s="12">
        <f>95.19*Hospital_Operations_Data[[#This Row],[Treatment_Cost_USD]]</f>
        <v>166851.88769999999</v>
      </c>
      <c r="C522" s="14">
        <f>95.19*Hospital_Operations_Data[[#This Row],[Medication_Cost_USD]]</f>
        <v>26914.0206</v>
      </c>
    </row>
    <row r="523" spans="1:3" x14ac:dyDescent="0.3">
      <c r="A523" s="11">
        <f>95.19*Hospital_Operations_Data[[#This Row],[Treatment_Cost_USD]]</f>
        <v>174225.3051</v>
      </c>
      <c r="C523" s="13">
        <f>95.19*Hospital_Operations_Data[[#This Row],[Medication_Cost_USD]]</f>
        <v>62930.109000000004</v>
      </c>
    </row>
    <row r="524" spans="1:3" x14ac:dyDescent="0.3">
      <c r="A524" s="12">
        <f>95.19*Hospital_Operations_Data[[#This Row],[Treatment_Cost_USD]]</f>
        <v>311063.78580000001</v>
      </c>
      <c r="C524" s="14">
        <f>95.19*Hospital_Operations_Data[[#This Row],[Medication_Cost_USD]]</f>
        <v>116155.5975</v>
      </c>
    </row>
    <row r="525" spans="1:3" x14ac:dyDescent="0.3">
      <c r="A525" s="11">
        <f>95.19*Hospital_Operations_Data[[#This Row],[Treatment_Cost_USD]]</f>
        <v>455247.12690000003</v>
      </c>
      <c r="C525" s="13">
        <f>95.19*Hospital_Operations_Data[[#This Row],[Medication_Cost_USD]]</f>
        <v>114007.15920000001</v>
      </c>
    </row>
    <row r="526" spans="1:3" x14ac:dyDescent="0.3">
      <c r="A526" s="12">
        <f>95.19*Hospital_Operations_Data[[#This Row],[Treatment_Cost_USD]]</f>
        <v>588839.62859999994</v>
      </c>
      <c r="C526" s="14">
        <f>95.19*Hospital_Operations_Data[[#This Row],[Medication_Cost_USD]]</f>
        <v>214644.88289999997</v>
      </c>
    </row>
    <row r="527" spans="1:3" x14ac:dyDescent="0.3">
      <c r="A527" s="11">
        <f>95.19*Hospital_Operations_Data[[#This Row],[Treatment_Cost_USD]]</f>
        <v>591506.85239999997</v>
      </c>
      <c r="C527" s="13">
        <f>95.19*Hospital_Operations_Data[[#This Row],[Medication_Cost_USD]]</f>
        <v>130484.54819999999</v>
      </c>
    </row>
    <row r="528" spans="1:3" x14ac:dyDescent="0.3">
      <c r="A528" s="12">
        <f>95.19*Hospital_Operations_Data[[#This Row],[Treatment_Cost_USD]]</f>
        <v>408012.897</v>
      </c>
      <c r="C528" s="14">
        <f>95.19*Hospital_Operations_Data[[#This Row],[Medication_Cost_USD]]</f>
        <v>80392.714499999987</v>
      </c>
    </row>
    <row r="529" spans="1:3" x14ac:dyDescent="0.3">
      <c r="A529" s="11">
        <f>95.19*Hospital_Operations_Data[[#This Row],[Treatment_Cost_USD]]</f>
        <v>2155477.6005000002</v>
      </c>
      <c r="C529" s="13">
        <f>95.19*Hospital_Operations_Data[[#This Row],[Medication_Cost_USD]]</f>
        <v>638368.88939999999</v>
      </c>
    </row>
    <row r="530" spans="1:3" x14ac:dyDescent="0.3">
      <c r="A530" s="12">
        <f>95.19*Hospital_Operations_Data[[#This Row],[Treatment_Cost_USD]]</f>
        <v>148900.0056</v>
      </c>
      <c r="C530" s="14">
        <f>95.19*Hospital_Operations_Data[[#This Row],[Medication_Cost_USD]]</f>
        <v>41613.260399999999</v>
      </c>
    </row>
    <row r="531" spans="1:3" x14ac:dyDescent="0.3">
      <c r="A531" s="11">
        <f>95.19*Hospital_Operations_Data[[#This Row],[Treatment_Cost_USD]]</f>
        <v>610043.20109999995</v>
      </c>
      <c r="C531" s="13">
        <f>95.19*Hospital_Operations_Data[[#This Row],[Medication_Cost_USD]]</f>
        <v>181542.56040000002</v>
      </c>
    </row>
    <row r="532" spans="1:3" x14ac:dyDescent="0.3">
      <c r="A532" s="12">
        <f>95.19*Hospital_Operations_Data[[#This Row],[Treatment_Cost_USD]]</f>
        <v>508033.78950000001</v>
      </c>
      <c r="C532" s="14">
        <f>95.19*Hospital_Operations_Data[[#This Row],[Medication_Cost_USD]]</f>
        <v>192163.86059999999</v>
      </c>
    </row>
    <row r="533" spans="1:3" x14ac:dyDescent="0.3">
      <c r="A533" s="11">
        <f>95.19*Hospital_Operations_Data[[#This Row],[Treatment_Cost_USD]]</f>
        <v>690011.36819999991</v>
      </c>
      <c r="C533" s="13">
        <f>95.19*Hospital_Operations_Data[[#This Row],[Medication_Cost_USD]]</f>
        <v>259346.10690000001</v>
      </c>
    </row>
    <row r="534" spans="1:3" x14ac:dyDescent="0.3">
      <c r="A534" s="12">
        <f>95.19*Hospital_Operations_Data[[#This Row],[Treatment_Cost_USD]]</f>
        <v>1070009.8482000001</v>
      </c>
      <c r="C534" s="14">
        <f>95.19*Hospital_Operations_Data[[#This Row],[Medication_Cost_USD]]</f>
        <v>382416.30599999998</v>
      </c>
    </row>
    <row r="535" spans="1:3" x14ac:dyDescent="0.3">
      <c r="A535" s="11">
        <f>95.19*Hospital_Operations_Data[[#This Row],[Treatment_Cost_USD]]</f>
        <v>212050.95539999998</v>
      </c>
      <c r="C535" s="13">
        <f>95.19*Hospital_Operations_Data[[#This Row],[Medication_Cost_USD]]</f>
        <v>72668.997900000002</v>
      </c>
    </row>
    <row r="536" spans="1:3" x14ac:dyDescent="0.3">
      <c r="A536" s="12">
        <f>95.19*Hospital_Operations_Data[[#This Row],[Treatment_Cost_USD]]</f>
        <v>1283782.7907</v>
      </c>
      <c r="C536" s="14">
        <f>95.19*Hospital_Operations_Data[[#This Row],[Medication_Cost_USD]]</f>
        <v>433682.7843</v>
      </c>
    </row>
    <row r="537" spans="1:3" x14ac:dyDescent="0.3">
      <c r="A537" s="11">
        <f>95.19*Hospital_Operations_Data[[#This Row],[Treatment_Cost_USD]]</f>
        <v>607155.13650000002</v>
      </c>
      <c r="C537" s="13">
        <f>95.19*Hospital_Operations_Data[[#This Row],[Medication_Cost_USD]]</f>
        <v>138685.1667</v>
      </c>
    </row>
    <row r="538" spans="1:3" x14ac:dyDescent="0.3">
      <c r="A538" s="12">
        <f>95.19*Hospital_Operations_Data[[#This Row],[Treatment_Cost_USD]]</f>
        <v>316094.5773</v>
      </c>
      <c r="C538" s="14">
        <f>95.19*Hospital_Operations_Data[[#This Row],[Medication_Cost_USD]]</f>
        <v>125306.21220000001</v>
      </c>
    </row>
    <row r="539" spans="1:3" x14ac:dyDescent="0.3">
      <c r="A539" s="11">
        <f>95.19*Hospital_Operations_Data[[#This Row],[Treatment_Cost_USD]]</f>
        <v>530684.25</v>
      </c>
      <c r="C539" s="13">
        <f>95.19*Hospital_Operations_Data[[#This Row],[Medication_Cost_USD]]</f>
        <v>148535.42790000001</v>
      </c>
    </row>
    <row r="540" spans="1:3" x14ac:dyDescent="0.3">
      <c r="A540" s="12">
        <f>95.19*Hospital_Operations_Data[[#This Row],[Treatment_Cost_USD]]</f>
        <v>483942.15240000002</v>
      </c>
      <c r="C540" s="14">
        <f>95.19*Hospital_Operations_Data[[#This Row],[Medication_Cost_USD]]</f>
        <v>120907.4823</v>
      </c>
    </row>
    <row r="541" spans="1:3" x14ac:dyDescent="0.3">
      <c r="A541" s="11">
        <f>95.19*Hospital_Operations_Data[[#This Row],[Treatment_Cost_USD]]</f>
        <v>354931.14539999998</v>
      </c>
      <c r="C541" s="13">
        <f>95.19*Hospital_Operations_Data[[#This Row],[Medication_Cost_USD]]</f>
        <v>81086.649600000004</v>
      </c>
    </row>
    <row r="542" spans="1:3" x14ac:dyDescent="0.3">
      <c r="A542" s="12">
        <f>95.19*Hospital_Operations_Data[[#This Row],[Treatment_Cost_USD]]</f>
        <v>347532.02669999999</v>
      </c>
      <c r="C542" s="14">
        <f>95.19*Hospital_Operations_Data[[#This Row],[Medication_Cost_USD]]</f>
        <v>131490.7065</v>
      </c>
    </row>
    <row r="543" spans="1:3" x14ac:dyDescent="0.3">
      <c r="A543" s="11">
        <f>95.19*Hospital_Operations_Data[[#This Row],[Treatment_Cost_USD]]</f>
        <v>432219.71400000004</v>
      </c>
      <c r="C543" s="13">
        <f>95.19*Hospital_Operations_Data[[#This Row],[Medication_Cost_USD]]</f>
        <v>162959.5686</v>
      </c>
    </row>
    <row r="544" spans="1:3" x14ac:dyDescent="0.3">
      <c r="A544" s="12">
        <f>95.19*Hospital_Operations_Data[[#This Row],[Treatment_Cost_USD]]</f>
        <v>457473.62099999993</v>
      </c>
      <c r="C544" s="14">
        <f>95.19*Hospital_Operations_Data[[#This Row],[Medication_Cost_USD]]</f>
        <v>181315.0563</v>
      </c>
    </row>
    <row r="545" spans="1:3" x14ac:dyDescent="0.3">
      <c r="A545" s="11">
        <f>95.19*Hospital_Operations_Data[[#This Row],[Treatment_Cost_USD]]</f>
        <v>122061.18509999999</v>
      </c>
      <c r="C545" s="13">
        <f>95.19*Hospital_Operations_Data[[#This Row],[Medication_Cost_USD]]</f>
        <v>32360.792399999998</v>
      </c>
    </row>
    <row r="546" spans="1:3" x14ac:dyDescent="0.3">
      <c r="A546" s="12">
        <f>95.19*Hospital_Operations_Data[[#This Row],[Treatment_Cost_USD]]</f>
        <v>390839.6691</v>
      </c>
      <c r="C546" s="14">
        <f>95.19*Hospital_Operations_Data[[#This Row],[Medication_Cost_USD]]</f>
        <v>94428.479999999996</v>
      </c>
    </row>
    <row r="547" spans="1:3" x14ac:dyDescent="0.3">
      <c r="A547" s="11">
        <f>95.19*Hospital_Operations_Data[[#This Row],[Treatment_Cost_USD]]</f>
        <v>444134.64630000002</v>
      </c>
      <c r="C547" s="13">
        <f>95.19*Hospital_Operations_Data[[#This Row],[Medication_Cost_USD]]</f>
        <v>112282.3164</v>
      </c>
    </row>
    <row r="548" spans="1:3" x14ac:dyDescent="0.3">
      <c r="A548" s="12">
        <f>95.19*Hospital_Operations_Data[[#This Row],[Treatment_Cost_USD]]</f>
        <v>225706.91279999999</v>
      </c>
      <c r="C548" s="14">
        <f>95.19*Hospital_Operations_Data[[#This Row],[Medication_Cost_USD]]</f>
        <v>50600.148300000001</v>
      </c>
    </row>
    <row r="549" spans="1:3" x14ac:dyDescent="0.3">
      <c r="A549" s="11">
        <f>95.19*Hospital_Operations_Data[[#This Row],[Treatment_Cost_USD]]</f>
        <v>302166.37650000001</v>
      </c>
      <c r="C549" s="13">
        <f>95.19*Hospital_Operations_Data[[#This Row],[Medication_Cost_USD]]</f>
        <v>55322.524199999993</v>
      </c>
    </row>
    <row r="550" spans="1:3" x14ac:dyDescent="0.3">
      <c r="A550" s="12">
        <f>95.19*Hospital_Operations_Data[[#This Row],[Treatment_Cost_USD]]</f>
        <v>302744.17979999998</v>
      </c>
      <c r="C550" s="14">
        <f>95.19*Hospital_Operations_Data[[#This Row],[Medication_Cost_USD]]</f>
        <v>48069.998099999997</v>
      </c>
    </row>
    <row r="551" spans="1:3" x14ac:dyDescent="0.3">
      <c r="A551" s="11">
        <f>95.19*Hospital_Operations_Data[[#This Row],[Treatment_Cost_USD]]</f>
        <v>802927.65</v>
      </c>
      <c r="C551" s="13">
        <f>95.19*Hospital_Operations_Data[[#This Row],[Medication_Cost_USD]]</f>
        <v>187025.50440000001</v>
      </c>
    </row>
    <row r="552" spans="1:3" x14ac:dyDescent="0.3">
      <c r="A552" s="12">
        <f>95.19*Hospital_Operations_Data[[#This Row],[Treatment_Cost_USD]]</f>
        <v>679396.73129999998</v>
      </c>
      <c r="C552" s="14">
        <f>95.19*Hospital_Operations_Data[[#This Row],[Medication_Cost_USD]]</f>
        <v>167744.76990000001</v>
      </c>
    </row>
    <row r="553" spans="1:3" x14ac:dyDescent="0.3">
      <c r="A553" s="11">
        <f>95.19*Hospital_Operations_Data[[#This Row],[Treatment_Cost_USD]]</f>
        <v>730025.43660000002</v>
      </c>
      <c r="C553" s="13">
        <f>95.19*Hospital_Operations_Data[[#This Row],[Medication_Cost_USD]]</f>
        <v>288763.62450000003</v>
      </c>
    </row>
    <row r="554" spans="1:3" x14ac:dyDescent="0.3">
      <c r="A554" s="12">
        <f>95.19*Hospital_Operations_Data[[#This Row],[Treatment_Cost_USD]]</f>
        <v>431089.80869999994</v>
      </c>
      <c r="C554" s="14">
        <f>95.19*Hospital_Operations_Data[[#This Row],[Medication_Cost_USD]]</f>
        <v>143331.39059999998</v>
      </c>
    </row>
    <row r="555" spans="1:3" x14ac:dyDescent="0.3">
      <c r="A555" s="11">
        <f>95.19*Hospital_Operations_Data[[#This Row],[Treatment_Cost_USD]]</f>
        <v>1326985.7241</v>
      </c>
      <c r="C555" s="13">
        <f>95.19*Hospital_Operations_Data[[#This Row],[Medication_Cost_USD]]</f>
        <v>393977.13150000002</v>
      </c>
    </row>
    <row r="556" spans="1:3" x14ac:dyDescent="0.3">
      <c r="A556" s="12">
        <f>95.19*Hospital_Operations_Data[[#This Row],[Treatment_Cost_USD]]</f>
        <v>823213.59090000007</v>
      </c>
      <c r="C556" s="14">
        <f>95.19*Hospital_Operations_Data[[#This Row],[Medication_Cost_USD]]</f>
        <v>166014.2157</v>
      </c>
    </row>
    <row r="557" spans="1:3" x14ac:dyDescent="0.3">
      <c r="A557" s="11">
        <f>95.19*Hospital_Operations_Data[[#This Row],[Treatment_Cost_USD]]</f>
        <v>1799552.6714999997</v>
      </c>
      <c r="C557" s="13">
        <f>95.19*Hospital_Operations_Data[[#This Row],[Medication_Cost_USD]]</f>
        <v>672125.16720000003</v>
      </c>
    </row>
    <row r="558" spans="1:3" x14ac:dyDescent="0.3">
      <c r="A558" s="12">
        <f>95.19*Hospital_Operations_Data[[#This Row],[Treatment_Cost_USD]]</f>
        <v>530139.76319999993</v>
      </c>
      <c r="C558" s="14">
        <f>95.19*Hospital_Operations_Data[[#This Row],[Medication_Cost_USD]]</f>
        <v>143993.913</v>
      </c>
    </row>
    <row r="559" spans="1:3" x14ac:dyDescent="0.3">
      <c r="A559" s="11">
        <f>95.19*Hospital_Operations_Data[[#This Row],[Treatment_Cost_USD]]</f>
        <v>671496.91319999995</v>
      </c>
      <c r="C559" s="13">
        <f>95.19*Hospital_Operations_Data[[#This Row],[Medication_Cost_USD]]</f>
        <v>199001.35830000002</v>
      </c>
    </row>
    <row r="560" spans="1:3" x14ac:dyDescent="0.3">
      <c r="A560" s="12">
        <f>95.19*Hospital_Operations_Data[[#This Row],[Treatment_Cost_USD]]</f>
        <v>1298134.5869999998</v>
      </c>
      <c r="C560" s="14">
        <f>95.19*Hospital_Operations_Data[[#This Row],[Medication_Cost_USD]]</f>
        <v>200112.22559999998</v>
      </c>
    </row>
    <row r="561" spans="1:3" x14ac:dyDescent="0.3">
      <c r="A561" s="11">
        <f>95.19*Hospital_Operations_Data[[#This Row],[Treatment_Cost_USD]]</f>
        <v>473886.28079999995</v>
      </c>
      <c r="C561" s="13">
        <f>95.19*Hospital_Operations_Data[[#This Row],[Medication_Cost_USD]]</f>
        <v>171737.0385</v>
      </c>
    </row>
    <row r="562" spans="1:3" x14ac:dyDescent="0.3">
      <c r="A562" s="12">
        <f>95.19*Hospital_Operations_Data[[#This Row],[Treatment_Cost_USD]]</f>
        <v>428990.86920000002</v>
      </c>
      <c r="C562" s="14">
        <f>95.19*Hospital_Operations_Data[[#This Row],[Medication_Cost_USD]]</f>
        <v>154067.8707</v>
      </c>
    </row>
    <row r="563" spans="1:3" x14ac:dyDescent="0.3">
      <c r="A563" s="11">
        <f>95.19*Hospital_Operations_Data[[#This Row],[Treatment_Cost_USD]]</f>
        <v>814280.00939999998</v>
      </c>
      <c r="C563" s="13">
        <f>95.19*Hospital_Operations_Data[[#This Row],[Medication_Cost_USD]]</f>
        <v>218891.3088</v>
      </c>
    </row>
    <row r="564" spans="1:3" x14ac:dyDescent="0.3">
      <c r="A564" s="12">
        <f>95.19*Hospital_Operations_Data[[#This Row],[Treatment_Cost_USD]]</f>
        <v>1033531.1364</v>
      </c>
      <c r="C564" s="14">
        <f>95.19*Hospital_Operations_Data[[#This Row],[Medication_Cost_USD]]</f>
        <v>366822.28019999998</v>
      </c>
    </row>
    <row r="565" spans="1:3" x14ac:dyDescent="0.3">
      <c r="A565" s="11">
        <f>95.19*Hospital_Operations_Data[[#This Row],[Treatment_Cost_USD]]</f>
        <v>436731.72</v>
      </c>
      <c r="C565" s="13">
        <f>95.19*Hospital_Operations_Data[[#This Row],[Medication_Cost_USD]]</f>
        <v>148782.92189999999</v>
      </c>
    </row>
    <row r="566" spans="1:3" x14ac:dyDescent="0.3">
      <c r="A566" s="12">
        <f>95.19*Hospital_Operations_Data[[#This Row],[Treatment_Cost_USD]]</f>
        <v>294790.10340000002</v>
      </c>
      <c r="C566" s="14">
        <f>95.19*Hospital_Operations_Data[[#This Row],[Medication_Cost_USD]]</f>
        <v>68607.240600000005</v>
      </c>
    </row>
    <row r="567" spans="1:3" x14ac:dyDescent="0.3">
      <c r="A567" s="11">
        <f>95.19*Hospital_Operations_Data[[#This Row],[Treatment_Cost_USD]]</f>
        <v>399831.31650000002</v>
      </c>
      <c r="C567" s="13">
        <f>95.19*Hospital_Operations_Data[[#This Row],[Medication_Cost_USD]]</f>
        <v>112305.162</v>
      </c>
    </row>
    <row r="568" spans="1:3" x14ac:dyDescent="0.3">
      <c r="A568" s="12">
        <f>95.19*Hospital_Operations_Data[[#This Row],[Treatment_Cost_USD]]</f>
        <v>305791.21169999999</v>
      </c>
      <c r="C568" s="14">
        <f>95.19*Hospital_Operations_Data[[#This Row],[Medication_Cost_USD]]</f>
        <v>117730.992</v>
      </c>
    </row>
    <row r="569" spans="1:3" x14ac:dyDescent="0.3">
      <c r="A569" s="11">
        <f>95.19*Hospital_Operations_Data[[#This Row],[Treatment_Cost_USD]]</f>
        <v>644909.39430000004</v>
      </c>
      <c r="C569" s="13">
        <f>95.19*Hospital_Operations_Data[[#This Row],[Medication_Cost_USD]]</f>
        <v>203037.41429999997</v>
      </c>
    </row>
    <row r="570" spans="1:3" x14ac:dyDescent="0.3">
      <c r="A570" s="12">
        <f>95.19*Hospital_Operations_Data[[#This Row],[Treatment_Cost_USD]]</f>
        <v>1074799.8090000001</v>
      </c>
      <c r="C570" s="14">
        <f>95.19*Hospital_Operations_Data[[#This Row],[Medication_Cost_USD]]</f>
        <v>249891.83609999999</v>
      </c>
    </row>
    <row r="571" spans="1:3" x14ac:dyDescent="0.3">
      <c r="A571" s="11">
        <f>95.19*Hospital_Operations_Data[[#This Row],[Treatment_Cost_USD]]</f>
        <v>475566.38430000003</v>
      </c>
      <c r="C571" s="13">
        <f>95.19*Hospital_Operations_Data[[#This Row],[Medication_Cost_USD]]</f>
        <v>189565.17360000001</v>
      </c>
    </row>
    <row r="572" spans="1:3" x14ac:dyDescent="0.3">
      <c r="A572" s="12">
        <f>95.19*Hospital_Operations_Data[[#This Row],[Treatment_Cost_USD]]</f>
        <v>434945.00369999994</v>
      </c>
      <c r="C572" s="14">
        <f>95.19*Hospital_Operations_Data[[#This Row],[Medication_Cost_USD]]</f>
        <v>84017.549700000003</v>
      </c>
    </row>
    <row r="573" spans="1:3" x14ac:dyDescent="0.3">
      <c r="A573" s="11">
        <f>95.19*Hospital_Operations_Data[[#This Row],[Treatment_Cost_USD]]</f>
        <v>192220.97459999999</v>
      </c>
      <c r="C573" s="13">
        <f>95.19*Hospital_Operations_Data[[#This Row],[Medication_Cost_USD]]</f>
        <v>43713.1518</v>
      </c>
    </row>
    <row r="574" spans="1:3" x14ac:dyDescent="0.3">
      <c r="A574" s="12">
        <f>95.19*Hospital_Operations_Data[[#This Row],[Treatment_Cost_USD]]</f>
        <v>551725.99950000003</v>
      </c>
      <c r="C574" s="14">
        <f>95.19*Hospital_Operations_Data[[#This Row],[Medication_Cost_USD]]</f>
        <v>177337.0662</v>
      </c>
    </row>
    <row r="575" spans="1:3" x14ac:dyDescent="0.3">
      <c r="A575" s="11">
        <f>95.19*Hospital_Operations_Data[[#This Row],[Treatment_Cost_USD]]</f>
        <v>600375.7047</v>
      </c>
      <c r="C575" s="13">
        <f>95.19*Hospital_Operations_Data[[#This Row],[Medication_Cost_USD]]</f>
        <v>95927.722500000003</v>
      </c>
    </row>
    <row r="576" spans="1:3" x14ac:dyDescent="0.3">
      <c r="A576" s="12">
        <f>95.19*Hospital_Operations_Data[[#This Row],[Treatment_Cost_USD]]</f>
        <v>471283.78619999997</v>
      </c>
      <c r="C576" s="14">
        <f>95.19*Hospital_Operations_Data[[#This Row],[Medication_Cost_USD]]</f>
        <v>131413.60259999998</v>
      </c>
    </row>
    <row r="577" spans="1:3" x14ac:dyDescent="0.3">
      <c r="A577" s="11">
        <f>95.19*Hospital_Operations_Data[[#This Row],[Treatment_Cost_USD]]</f>
        <v>347383.53029999998</v>
      </c>
      <c r="C577" s="13">
        <f>95.19*Hospital_Operations_Data[[#This Row],[Medication_Cost_USD]]</f>
        <v>90046.884300000005</v>
      </c>
    </row>
    <row r="578" spans="1:3" x14ac:dyDescent="0.3">
      <c r="A578" s="12">
        <f>95.19*Hospital_Operations_Data[[#This Row],[Treatment_Cost_USD]]</f>
        <v>719738.25329999998</v>
      </c>
      <c r="C578" s="14">
        <f>95.19*Hospital_Operations_Data[[#This Row],[Medication_Cost_USD]]</f>
        <v>113552.15100000001</v>
      </c>
    </row>
    <row r="579" spans="1:3" x14ac:dyDescent="0.3">
      <c r="A579" s="11">
        <f>95.19*Hospital_Operations_Data[[#This Row],[Treatment_Cost_USD]]</f>
        <v>1003544.3826</v>
      </c>
      <c r="C579" s="13">
        <f>95.19*Hospital_Operations_Data[[#This Row],[Medication_Cost_USD]]</f>
        <v>363169.83990000002</v>
      </c>
    </row>
    <row r="580" spans="1:3" x14ac:dyDescent="0.3">
      <c r="A580" s="12">
        <f>95.19*Hospital_Operations_Data[[#This Row],[Treatment_Cost_USD]]</f>
        <v>589661.11829999997</v>
      </c>
      <c r="C580" s="14">
        <f>95.19*Hospital_Operations_Data[[#This Row],[Medication_Cost_USD]]</f>
        <v>230993.76539999997</v>
      </c>
    </row>
    <row r="581" spans="1:3" x14ac:dyDescent="0.3">
      <c r="A581" s="11">
        <f>95.19*Hospital_Operations_Data[[#This Row],[Treatment_Cost_USD]]</f>
        <v>497272.56</v>
      </c>
      <c r="C581" s="13">
        <f>95.19*Hospital_Operations_Data[[#This Row],[Medication_Cost_USD]]</f>
        <v>172568.0472</v>
      </c>
    </row>
    <row r="582" spans="1:3" x14ac:dyDescent="0.3">
      <c r="A582" s="12">
        <f>95.19*Hospital_Operations_Data[[#This Row],[Treatment_Cost_USD]]</f>
        <v>246412.64159999997</v>
      </c>
      <c r="C582" s="14">
        <f>95.19*Hospital_Operations_Data[[#This Row],[Medication_Cost_USD]]</f>
        <v>47983.375199999995</v>
      </c>
    </row>
    <row r="583" spans="1:3" x14ac:dyDescent="0.3">
      <c r="A583" s="11">
        <f>95.19*Hospital_Operations_Data[[#This Row],[Treatment_Cost_USD]]</f>
        <v>247244.60219999999</v>
      </c>
      <c r="C583" s="13">
        <f>95.19*Hospital_Operations_Data[[#This Row],[Medication_Cost_USD]]</f>
        <v>84942.796499999997</v>
      </c>
    </row>
    <row r="584" spans="1:3" x14ac:dyDescent="0.3">
      <c r="A584" s="12">
        <f>95.19*Hospital_Operations_Data[[#This Row],[Treatment_Cost_USD]]</f>
        <v>613851.75300000003</v>
      </c>
      <c r="C584" s="14">
        <f>95.19*Hospital_Operations_Data[[#This Row],[Medication_Cost_USD]]</f>
        <v>207620.81279999999</v>
      </c>
    </row>
    <row r="585" spans="1:3" x14ac:dyDescent="0.3">
      <c r="A585" s="11">
        <f>95.19*Hospital_Operations_Data[[#This Row],[Treatment_Cost_USD]]</f>
        <v>508301.27339999995</v>
      </c>
      <c r="C585" s="13">
        <f>95.19*Hospital_Operations_Data[[#This Row],[Medication_Cost_USD]]</f>
        <v>183508.23389999999</v>
      </c>
    </row>
    <row r="586" spans="1:3" x14ac:dyDescent="0.3">
      <c r="A586" s="12">
        <f>95.19*Hospital_Operations_Data[[#This Row],[Treatment_Cost_USD]]</f>
        <v>1046716.8552</v>
      </c>
      <c r="C586" s="14">
        <f>95.19*Hospital_Operations_Data[[#This Row],[Medication_Cost_USD]]</f>
        <v>416444.8272</v>
      </c>
    </row>
    <row r="587" spans="1:3" x14ac:dyDescent="0.3">
      <c r="A587" s="11">
        <f>95.19*Hospital_Operations_Data[[#This Row],[Treatment_Cost_USD]]</f>
        <v>464247.34140000003</v>
      </c>
      <c r="C587" s="13">
        <f>95.19*Hospital_Operations_Data[[#This Row],[Medication_Cost_USD]]</f>
        <v>92089.661699999997</v>
      </c>
    </row>
    <row r="588" spans="1:3" x14ac:dyDescent="0.3">
      <c r="A588" s="12">
        <f>95.19*Hospital_Operations_Data[[#This Row],[Treatment_Cost_USD]]</f>
        <v>731990.15819999995</v>
      </c>
      <c r="C588" s="14">
        <f>95.19*Hospital_Operations_Data[[#This Row],[Medication_Cost_USD]]</f>
        <v>260415.09059999997</v>
      </c>
    </row>
    <row r="589" spans="1:3" x14ac:dyDescent="0.3">
      <c r="A589" s="11">
        <f>95.19*Hospital_Operations_Data[[#This Row],[Treatment_Cost_USD]]</f>
        <v>777688.9733999999</v>
      </c>
      <c r="C589" s="13">
        <f>95.19*Hospital_Operations_Data[[#This Row],[Medication_Cost_USD]]</f>
        <v>162686.37329999998</v>
      </c>
    </row>
    <row r="590" spans="1:3" x14ac:dyDescent="0.3">
      <c r="A590" s="12">
        <f>95.19*Hospital_Operations_Data[[#This Row],[Treatment_Cost_USD]]</f>
        <v>563719.93949999998</v>
      </c>
      <c r="C590" s="14">
        <f>95.19*Hospital_Operations_Data[[#This Row],[Medication_Cost_USD]]</f>
        <v>210778.26509999999</v>
      </c>
    </row>
    <row r="591" spans="1:3" x14ac:dyDescent="0.3">
      <c r="A591" s="11">
        <f>95.19*Hospital_Operations_Data[[#This Row],[Treatment_Cost_USD]]</f>
        <v>831026.78610000003</v>
      </c>
      <c r="C591" s="13">
        <f>95.19*Hospital_Operations_Data[[#This Row],[Medication_Cost_USD]]</f>
        <v>302530.95419999998</v>
      </c>
    </row>
    <row r="592" spans="1:3" x14ac:dyDescent="0.3">
      <c r="A592" s="12">
        <f>95.19*Hospital_Operations_Data[[#This Row],[Treatment_Cost_USD]]</f>
        <v>539587.37069999997</v>
      </c>
      <c r="C592" s="14">
        <f>95.19*Hospital_Operations_Data[[#This Row],[Medication_Cost_USD]]</f>
        <v>135577.2132</v>
      </c>
    </row>
    <row r="593" spans="1:3" x14ac:dyDescent="0.3">
      <c r="A593" s="11">
        <f>95.19*Hospital_Operations_Data[[#This Row],[Treatment_Cost_USD]]</f>
        <v>1014034.3206</v>
      </c>
      <c r="C593" s="13">
        <f>95.19*Hospital_Operations_Data[[#This Row],[Medication_Cost_USD]]</f>
        <v>294729.18179999996</v>
      </c>
    </row>
    <row r="594" spans="1:3" x14ac:dyDescent="0.3">
      <c r="A594" s="12">
        <f>95.19*Hospital_Operations_Data[[#This Row],[Treatment_Cost_USD]]</f>
        <v>503145.783</v>
      </c>
      <c r="C594" s="14">
        <f>95.19*Hospital_Operations_Data[[#This Row],[Medication_Cost_USD]]</f>
        <v>91370.025299999994</v>
      </c>
    </row>
    <row r="595" spans="1:3" x14ac:dyDescent="0.3">
      <c r="A595" s="11">
        <f>95.19*Hospital_Operations_Data[[#This Row],[Treatment_Cost_USD]]</f>
        <v>981350.83409999998</v>
      </c>
      <c r="C595" s="13">
        <f>95.19*Hospital_Operations_Data[[#This Row],[Medication_Cost_USD]]</f>
        <v>273339.98879999999</v>
      </c>
    </row>
    <row r="596" spans="1:3" x14ac:dyDescent="0.3">
      <c r="A596" s="12">
        <f>95.19*Hospital_Operations_Data[[#This Row],[Treatment_Cost_USD]]</f>
        <v>379035.15720000002</v>
      </c>
      <c r="C596" s="14">
        <f>95.19*Hospital_Operations_Data[[#This Row],[Medication_Cost_USD]]</f>
        <v>123897.40019999999</v>
      </c>
    </row>
    <row r="597" spans="1:3" x14ac:dyDescent="0.3">
      <c r="A597" s="11">
        <f>95.19*Hospital_Operations_Data[[#This Row],[Treatment_Cost_USD]]</f>
        <v>1639447.851</v>
      </c>
      <c r="C597" s="13">
        <f>95.19*Hospital_Operations_Data[[#This Row],[Medication_Cost_USD]]</f>
        <v>422180.97659999999</v>
      </c>
    </row>
    <row r="598" spans="1:3" x14ac:dyDescent="0.3">
      <c r="A598" s="12">
        <f>95.19*Hospital_Operations_Data[[#This Row],[Treatment_Cost_USD]]</f>
        <v>352200.14429999999</v>
      </c>
      <c r="C598" s="14">
        <f>95.19*Hospital_Operations_Data[[#This Row],[Medication_Cost_USD]]</f>
        <v>73219.196100000001</v>
      </c>
    </row>
    <row r="599" spans="1:3" x14ac:dyDescent="0.3">
      <c r="A599" s="11">
        <f>95.19*Hospital_Operations_Data[[#This Row],[Treatment_Cost_USD]]</f>
        <v>353771.73119999998</v>
      </c>
      <c r="C599" s="13">
        <f>95.19*Hospital_Operations_Data[[#This Row],[Medication_Cost_USD]]</f>
        <v>61467.038699999997</v>
      </c>
    </row>
    <row r="600" spans="1:3" x14ac:dyDescent="0.3">
      <c r="A600" s="12">
        <f>95.19*Hospital_Operations_Data[[#This Row],[Treatment_Cost_USD]]</f>
        <v>152015.57430000001</v>
      </c>
      <c r="C600" s="14">
        <f>95.19*Hospital_Operations_Data[[#This Row],[Medication_Cost_USD]]</f>
        <v>25691.780999999999</v>
      </c>
    </row>
    <row r="601" spans="1:3" x14ac:dyDescent="0.3">
      <c r="A601" s="11">
        <f>95.19*Hospital_Operations_Data[[#This Row],[Treatment_Cost_USD]]</f>
        <v>685745.90430000005</v>
      </c>
      <c r="C601" s="13">
        <f>95.19*Hospital_Operations_Data[[#This Row],[Medication_Cost_USD]]</f>
        <v>123198.7056</v>
      </c>
    </row>
    <row r="602" spans="1:3" x14ac:dyDescent="0.3">
      <c r="A602" s="12">
        <f>95.19*Hospital_Operations_Data[[#This Row],[Treatment_Cost_USD]]</f>
        <v>507558.79140000005</v>
      </c>
      <c r="C602" s="14">
        <f>95.19*Hospital_Operations_Data[[#This Row],[Medication_Cost_USD]]</f>
        <v>169179.28320000001</v>
      </c>
    </row>
    <row r="603" spans="1:3" x14ac:dyDescent="0.3">
      <c r="A603" s="11">
        <f>95.19*Hospital_Operations_Data[[#This Row],[Treatment_Cost_USD]]</f>
        <v>786476.9142</v>
      </c>
      <c r="C603" s="13">
        <f>95.19*Hospital_Operations_Data[[#This Row],[Medication_Cost_USD]]</f>
        <v>152126.9466</v>
      </c>
    </row>
    <row r="604" spans="1:3" x14ac:dyDescent="0.3">
      <c r="A604" s="12">
        <f>95.19*Hospital_Operations_Data[[#This Row],[Treatment_Cost_USD]]</f>
        <v>614361.01950000005</v>
      </c>
      <c r="C604" s="14">
        <f>95.19*Hospital_Operations_Data[[#This Row],[Medication_Cost_USD]]</f>
        <v>212944.78950000001</v>
      </c>
    </row>
    <row r="605" spans="1:3" x14ac:dyDescent="0.3">
      <c r="A605" s="11">
        <f>95.19*Hospital_Operations_Data[[#This Row],[Treatment_Cost_USD]]</f>
        <v>481799.42549999995</v>
      </c>
      <c r="C605" s="13">
        <f>95.19*Hospital_Operations_Data[[#This Row],[Medication_Cost_USD]]</f>
        <v>75091.583400000003</v>
      </c>
    </row>
    <row r="606" spans="1:3" x14ac:dyDescent="0.3">
      <c r="A606" s="12">
        <f>95.19*Hospital_Operations_Data[[#This Row],[Treatment_Cost_USD]]</f>
        <v>504661.20779999997</v>
      </c>
      <c r="C606" s="14">
        <f>95.19*Hospital_Operations_Data[[#This Row],[Medication_Cost_USD]]</f>
        <v>177876.7935</v>
      </c>
    </row>
    <row r="607" spans="1:3" x14ac:dyDescent="0.3">
      <c r="A607" s="11">
        <f>95.19*Hospital_Operations_Data[[#This Row],[Treatment_Cost_USD]]</f>
        <v>874976.00909999991</v>
      </c>
      <c r="C607" s="13">
        <f>95.19*Hospital_Operations_Data[[#This Row],[Medication_Cost_USD]]</f>
        <v>330219.82140000002</v>
      </c>
    </row>
    <row r="608" spans="1:3" x14ac:dyDescent="0.3">
      <c r="A608" s="12">
        <f>95.19*Hospital_Operations_Data[[#This Row],[Treatment_Cost_USD]]</f>
        <v>1038699.0015</v>
      </c>
      <c r="C608" s="14">
        <f>95.19*Hospital_Operations_Data[[#This Row],[Medication_Cost_USD]]</f>
        <v>309969.10080000001</v>
      </c>
    </row>
    <row r="609" spans="1:3" x14ac:dyDescent="0.3">
      <c r="A609" s="11">
        <f>95.19*Hospital_Operations_Data[[#This Row],[Treatment_Cost_USD]]</f>
        <v>891223.0382999999</v>
      </c>
      <c r="C609" s="13">
        <f>95.19*Hospital_Operations_Data[[#This Row],[Medication_Cost_USD]]</f>
        <v>348092.69579999999</v>
      </c>
    </row>
    <row r="610" spans="1:3" x14ac:dyDescent="0.3">
      <c r="A610" s="12">
        <f>95.19*Hospital_Operations_Data[[#This Row],[Treatment_Cost_USD]]</f>
        <v>904438.26599999995</v>
      </c>
      <c r="C610" s="14">
        <f>95.19*Hospital_Operations_Data[[#This Row],[Medication_Cost_USD]]</f>
        <v>234139.79490000001</v>
      </c>
    </row>
    <row r="611" spans="1:3" x14ac:dyDescent="0.3">
      <c r="A611" s="11">
        <f>95.19*Hospital_Operations_Data[[#This Row],[Treatment_Cost_USD]]</f>
        <v>1099659.6294</v>
      </c>
      <c r="C611" s="13">
        <f>95.19*Hospital_Operations_Data[[#This Row],[Medication_Cost_USD]]</f>
        <v>240944.92799999999</v>
      </c>
    </row>
    <row r="612" spans="1:3" x14ac:dyDescent="0.3">
      <c r="A612" s="12">
        <f>95.19*Hospital_Operations_Data[[#This Row],[Treatment_Cost_USD]]</f>
        <v>459983.78130000003</v>
      </c>
      <c r="C612" s="14">
        <f>95.19*Hospital_Operations_Data[[#This Row],[Medication_Cost_USD]]</f>
        <v>124750.3026</v>
      </c>
    </row>
    <row r="613" spans="1:3" x14ac:dyDescent="0.3">
      <c r="A613" s="11">
        <f>95.19*Hospital_Operations_Data[[#This Row],[Treatment_Cost_USD]]</f>
        <v>902405.95949999988</v>
      </c>
      <c r="C613" s="13">
        <f>95.19*Hospital_Operations_Data[[#This Row],[Medication_Cost_USD]]</f>
        <v>191872.57920000001</v>
      </c>
    </row>
    <row r="614" spans="1:3" x14ac:dyDescent="0.3">
      <c r="A614" s="12">
        <f>95.19*Hospital_Operations_Data[[#This Row],[Treatment_Cost_USD]]</f>
        <v>334703.27039999998</v>
      </c>
      <c r="C614" s="14">
        <f>95.19*Hospital_Operations_Data[[#This Row],[Medication_Cost_USD]]</f>
        <v>124756.014</v>
      </c>
    </row>
    <row r="615" spans="1:3" x14ac:dyDescent="0.3">
      <c r="A615" s="11">
        <f>95.19*Hospital_Operations_Data[[#This Row],[Treatment_Cost_USD]]</f>
        <v>578180.2524</v>
      </c>
      <c r="C615" s="13">
        <f>95.19*Hospital_Operations_Data[[#This Row],[Medication_Cost_USD]]</f>
        <v>146361.28829999999</v>
      </c>
    </row>
    <row r="616" spans="1:3" x14ac:dyDescent="0.3">
      <c r="A616" s="12">
        <f>95.19*Hospital_Operations_Data[[#This Row],[Treatment_Cost_USD]]</f>
        <v>1196401.2263999998</v>
      </c>
      <c r="C616" s="14">
        <f>95.19*Hospital_Operations_Data[[#This Row],[Medication_Cost_USD]]</f>
        <v>330942.31349999999</v>
      </c>
    </row>
    <row r="617" spans="1:3" x14ac:dyDescent="0.3">
      <c r="A617" s="11">
        <f>95.19*Hospital_Operations_Data[[#This Row],[Treatment_Cost_USD]]</f>
        <v>251353.95450000002</v>
      </c>
      <c r="C617" s="13">
        <f>95.19*Hospital_Operations_Data[[#This Row],[Medication_Cost_USD]]</f>
        <v>37713.326099999998</v>
      </c>
    </row>
    <row r="618" spans="1:3" x14ac:dyDescent="0.3">
      <c r="A618" s="12">
        <f>95.19*Hospital_Operations_Data[[#This Row],[Treatment_Cost_USD]]</f>
        <v>959068.7588999999</v>
      </c>
      <c r="C618" s="14">
        <f>95.19*Hospital_Operations_Data[[#This Row],[Medication_Cost_USD]]</f>
        <v>382913.19779999997</v>
      </c>
    </row>
    <row r="619" spans="1:3" x14ac:dyDescent="0.3">
      <c r="A619" s="11">
        <f>95.19*Hospital_Operations_Data[[#This Row],[Treatment_Cost_USD]]</f>
        <v>411963.28200000001</v>
      </c>
      <c r="C619" s="13">
        <f>95.19*Hospital_Operations_Data[[#This Row],[Medication_Cost_USD]]</f>
        <v>127699.28879999999</v>
      </c>
    </row>
    <row r="620" spans="1:3" x14ac:dyDescent="0.3">
      <c r="A620" s="12">
        <f>95.19*Hospital_Operations_Data[[#This Row],[Treatment_Cost_USD]]</f>
        <v>626719.53720000002</v>
      </c>
      <c r="C620" s="14">
        <f>95.19*Hospital_Operations_Data[[#This Row],[Medication_Cost_USD]]</f>
        <v>199166.03700000001</v>
      </c>
    </row>
    <row r="621" spans="1:3" x14ac:dyDescent="0.3">
      <c r="A621" s="11">
        <f>95.19*Hospital_Operations_Data[[#This Row],[Treatment_Cost_USD]]</f>
        <v>1090263.4245</v>
      </c>
      <c r="C621" s="13">
        <f>95.19*Hospital_Operations_Data[[#This Row],[Medication_Cost_USD]]</f>
        <v>276055.75949999999</v>
      </c>
    </row>
    <row r="622" spans="1:3" x14ac:dyDescent="0.3">
      <c r="A622" s="12">
        <f>95.19*Hospital_Operations_Data[[#This Row],[Treatment_Cost_USD]]</f>
        <v>690878.54910000006</v>
      </c>
      <c r="C622" s="14">
        <f>95.19*Hospital_Operations_Data[[#This Row],[Medication_Cost_USD]]</f>
        <v>125154.86009999999</v>
      </c>
    </row>
    <row r="623" spans="1:3" x14ac:dyDescent="0.3">
      <c r="A623" s="11">
        <f>95.19*Hospital_Operations_Data[[#This Row],[Treatment_Cost_USD]]</f>
        <v>388883.51459999999</v>
      </c>
      <c r="C623" s="13">
        <f>95.19*Hospital_Operations_Data[[#This Row],[Medication_Cost_USD]]</f>
        <v>143984.394</v>
      </c>
    </row>
    <row r="624" spans="1:3" x14ac:dyDescent="0.3">
      <c r="A624" s="12">
        <f>95.19*Hospital_Operations_Data[[#This Row],[Treatment_Cost_USD]]</f>
        <v>473030.52269999997</v>
      </c>
      <c r="C624" s="14">
        <f>95.19*Hospital_Operations_Data[[#This Row],[Medication_Cost_USD]]</f>
        <v>113500.74839999998</v>
      </c>
    </row>
    <row r="625" spans="1:3" x14ac:dyDescent="0.3">
      <c r="A625" s="11">
        <f>95.19*Hospital_Operations_Data[[#This Row],[Treatment_Cost_USD]]</f>
        <v>527760.01319999993</v>
      </c>
      <c r="C625" s="13">
        <f>95.19*Hospital_Operations_Data[[#This Row],[Medication_Cost_USD]]</f>
        <v>186418.19220000002</v>
      </c>
    </row>
    <row r="626" spans="1:3" x14ac:dyDescent="0.3">
      <c r="A626" s="12">
        <f>95.19*Hospital_Operations_Data[[#This Row],[Treatment_Cost_USD]]</f>
        <v>1085037.4934999999</v>
      </c>
      <c r="C626" s="14">
        <f>95.19*Hospital_Operations_Data[[#This Row],[Medication_Cost_USD]]</f>
        <v>217142.6685</v>
      </c>
    </row>
    <row r="627" spans="1:3" x14ac:dyDescent="0.3">
      <c r="A627" s="11">
        <f>95.19*Hospital_Operations_Data[[#This Row],[Treatment_Cost_USD]]</f>
        <v>569386.60019999999</v>
      </c>
      <c r="C627" s="13">
        <f>95.19*Hospital_Operations_Data[[#This Row],[Medication_Cost_USD]]</f>
        <v>161679.26310000001</v>
      </c>
    </row>
    <row r="628" spans="1:3" x14ac:dyDescent="0.3">
      <c r="A628" s="12">
        <f>95.19*Hospital_Operations_Data[[#This Row],[Treatment_Cost_USD]]</f>
        <v>1009923.0644999999</v>
      </c>
      <c r="C628" s="14">
        <f>95.19*Hospital_Operations_Data[[#This Row],[Medication_Cost_USD]]</f>
        <v>351721.33860000002</v>
      </c>
    </row>
    <row r="629" spans="1:3" x14ac:dyDescent="0.3">
      <c r="A629" s="11">
        <f>95.19*Hospital_Operations_Data[[#This Row],[Treatment_Cost_USD]]</f>
        <v>716933.00400000007</v>
      </c>
      <c r="C629" s="13">
        <f>95.19*Hospital_Operations_Data[[#This Row],[Medication_Cost_USD]]</f>
        <v>113859.61470000001</v>
      </c>
    </row>
    <row r="630" spans="1:3" x14ac:dyDescent="0.3">
      <c r="A630" s="12">
        <f>95.19*Hospital_Operations_Data[[#This Row],[Treatment_Cost_USD]]</f>
        <v>759765.6483</v>
      </c>
      <c r="C630" s="14">
        <f>95.19*Hospital_Operations_Data[[#This Row],[Medication_Cost_USD]]</f>
        <v>291425.13690000004</v>
      </c>
    </row>
    <row r="631" spans="1:3" x14ac:dyDescent="0.3">
      <c r="A631" s="11">
        <f>95.19*Hospital_Operations_Data[[#This Row],[Treatment_Cost_USD]]</f>
        <v>432890.80349999998</v>
      </c>
      <c r="C631" s="13">
        <f>95.19*Hospital_Operations_Data[[#This Row],[Medication_Cost_USD]]</f>
        <v>125010.1713</v>
      </c>
    </row>
    <row r="632" spans="1:3" x14ac:dyDescent="0.3">
      <c r="A632" s="12">
        <f>95.19*Hospital_Operations_Data[[#This Row],[Treatment_Cost_USD]]</f>
        <v>873125.5155000001</v>
      </c>
      <c r="C632" s="14">
        <f>95.19*Hospital_Operations_Data[[#This Row],[Medication_Cost_USD]]</f>
        <v>131242.26060000001</v>
      </c>
    </row>
    <row r="633" spans="1:3" x14ac:dyDescent="0.3">
      <c r="A633" s="11">
        <f>95.19*Hospital_Operations_Data[[#This Row],[Treatment_Cost_USD]]</f>
        <v>885058.53389999992</v>
      </c>
      <c r="C633" s="13">
        <f>95.19*Hospital_Operations_Data[[#This Row],[Medication_Cost_USD]]</f>
        <v>335615.19059999997</v>
      </c>
    </row>
    <row r="634" spans="1:3" x14ac:dyDescent="0.3">
      <c r="A634" s="12">
        <f>95.19*Hospital_Operations_Data[[#This Row],[Treatment_Cost_USD]]</f>
        <v>922964.14379999996</v>
      </c>
      <c r="C634" s="14">
        <f>95.19*Hospital_Operations_Data[[#This Row],[Medication_Cost_USD]]</f>
        <v>309158.08199999999</v>
      </c>
    </row>
    <row r="635" spans="1:3" x14ac:dyDescent="0.3">
      <c r="A635" s="11">
        <f>95.19*Hospital_Operations_Data[[#This Row],[Treatment_Cost_USD]]</f>
        <v>153351.09</v>
      </c>
      <c r="C635" s="13">
        <f>95.19*Hospital_Operations_Data[[#This Row],[Medication_Cost_USD]]</f>
        <v>60943.493699999999</v>
      </c>
    </row>
    <row r="636" spans="1:3" x14ac:dyDescent="0.3">
      <c r="A636" s="12">
        <f>95.19*Hospital_Operations_Data[[#This Row],[Treatment_Cost_USD]]</f>
        <v>317317.76879999996</v>
      </c>
      <c r="C636" s="14">
        <f>95.19*Hospital_Operations_Data[[#This Row],[Medication_Cost_USD]]</f>
        <v>62864.427899999995</v>
      </c>
    </row>
    <row r="637" spans="1:3" x14ac:dyDescent="0.3">
      <c r="A637" s="11">
        <f>95.19*Hospital_Operations_Data[[#This Row],[Treatment_Cost_USD]]</f>
        <v>436028.26589999994</v>
      </c>
      <c r="C637" s="13">
        <f>95.19*Hospital_Operations_Data[[#This Row],[Medication_Cost_USD]]</f>
        <v>122137.33709999999</v>
      </c>
    </row>
    <row r="638" spans="1:3" x14ac:dyDescent="0.3">
      <c r="A638" s="12">
        <f>95.19*Hospital_Operations_Data[[#This Row],[Treatment_Cost_USD]]</f>
        <v>395705.7819</v>
      </c>
      <c r="C638" s="14">
        <f>95.19*Hospital_Operations_Data[[#This Row],[Medication_Cost_USD]]</f>
        <v>72273.959399999992</v>
      </c>
    </row>
    <row r="639" spans="1:3" x14ac:dyDescent="0.3">
      <c r="A639" s="11">
        <f>95.19*Hospital_Operations_Data[[#This Row],[Treatment_Cost_USD]]</f>
        <v>494188.40400000004</v>
      </c>
      <c r="C639" s="13">
        <f>95.19*Hospital_Operations_Data[[#This Row],[Medication_Cost_USD]]</f>
        <v>92938.756500000003</v>
      </c>
    </row>
    <row r="640" spans="1:3" x14ac:dyDescent="0.3">
      <c r="A640" s="12">
        <f>95.19*Hospital_Operations_Data[[#This Row],[Treatment_Cost_USD]]</f>
        <v>334107.38099999999</v>
      </c>
      <c r="C640" s="14">
        <f>95.19*Hospital_Operations_Data[[#This Row],[Medication_Cost_USD]]</f>
        <v>87069.341100000005</v>
      </c>
    </row>
    <row r="641" spans="1:3" x14ac:dyDescent="0.3">
      <c r="A641" s="11">
        <f>95.19*Hospital_Operations_Data[[#This Row],[Treatment_Cost_USD]]</f>
        <v>402593.7303</v>
      </c>
      <c r="C641" s="13">
        <f>95.19*Hospital_Operations_Data[[#This Row],[Medication_Cost_USD]]</f>
        <v>156425.72699999998</v>
      </c>
    </row>
    <row r="642" spans="1:3" x14ac:dyDescent="0.3">
      <c r="A642" s="12">
        <f>95.19*Hospital_Operations_Data[[#This Row],[Treatment_Cost_USD]]</f>
        <v>275505.5613</v>
      </c>
      <c r="C642" s="14">
        <f>95.19*Hospital_Operations_Data[[#This Row],[Medication_Cost_USD]]</f>
        <v>55810.84889999999</v>
      </c>
    </row>
    <row r="643" spans="1:3" x14ac:dyDescent="0.3">
      <c r="A643" s="11">
        <f>95.19*Hospital_Operations_Data[[#This Row],[Treatment_Cost_USD]]</f>
        <v>561635.2784999999</v>
      </c>
      <c r="C643" s="13">
        <f>95.19*Hospital_Operations_Data[[#This Row],[Medication_Cost_USD]]</f>
        <v>142350.93359999999</v>
      </c>
    </row>
    <row r="644" spans="1:3" x14ac:dyDescent="0.3">
      <c r="A644" s="12">
        <f>95.19*Hospital_Operations_Data[[#This Row],[Treatment_Cost_USD]]</f>
        <v>735436.98809999996</v>
      </c>
      <c r="C644" s="14">
        <f>95.19*Hospital_Operations_Data[[#This Row],[Medication_Cost_USD]]</f>
        <v>227765.8725</v>
      </c>
    </row>
    <row r="645" spans="1:3" x14ac:dyDescent="0.3">
      <c r="A645" s="11">
        <f>95.19*Hospital_Operations_Data[[#This Row],[Treatment_Cost_USD]]</f>
        <v>136322.55089999997</v>
      </c>
      <c r="C645" s="13">
        <f>95.19*Hospital_Operations_Data[[#This Row],[Medication_Cost_USD]]</f>
        <v>46316.598299999998</v>
      </c>
    </row>
    <row r="646" spans="1:3" x14ac:dyDescent="0.3">
      <c r="A646" s="12">
        <f>95.19*Hospital_Operations_Data[[#This Row],[Treatment_Cost_USD]]</f>
        <v>582891.20549999992</v>
      </c>
      <c r="C646" s="14">
        <f>95.19*Hospital_Operations_Data[[#This Row],[Medication_Cost_USD]]</f>
        <v>228176.14139999999</v>
      </c>
    </row>
    <row r="647" spans="1:3" x14ac:dyDescent="0.3">
      <c r="A647" s="11">
        <f>95.19*Hospital_Operations_Data[[#This Row],[Treatment_Cost_USD]]</f>
        <v>441622.5822</v>
      </c>
      <c r="C647" s="13">
        <f>95.19*Hospital_Operations_Data[[#This Row],[Medication_Cost_USD]]</f>
        <v>68621.51909999999</v>
      </c>
    </row>
    <row r="648" spans="1:3" x14ac:dyDescent="0.3">
      <c r="A648" s="12">
        <f>95.19*Hospital_Operations_Data[[#This Row],[Treatment_Cost_USD]]</f>
        <v>605618.76989999996</v>
      </c>
      <c r="C648" s="14">
        <f>95.19*Hospital_Operations_Data[[#This Row],[Medication_Cost_USD]]</f>
        <v>216107.0013</v>
      </c>
    </row>
    <row r="649" spans="1:3" x14ac:dyDescent="0.3">
      <c r="A649" s="11">
        <f>95.19*Hospital_Operations_Data[[#This Row],[Treatment_Cost_USD]]</f>
        <v>579776.58869999996</v>
      </c>
      <c r="C649" s="13">
        <f>95.19*Hospital_Operations_Data[[#This Row],[Medication_Cost_USD]]</f>
        <v>119509.1412</v>
      </c>
    </row>
    <row r="650" spans="1:3" x14ac:dyDescent="0.3">
      <c r="A650" s="12">
        <f>95.19*Hospital_Operations_Data[[#This Row],[Treatment_Cost_USD]]</f>
        <v>681714.6078</v>
      </c>
      <c r="C650" s="14">
        <f>95.19*Hospital_Operations_Data[[#This Row],[Medication_Cost_USD]]</f>
        <v>135719.04629999999</v>
      </c>
    </row>
    <row r="651" spans="1:3" x14ac:dyDescent="0.3">
      <c r="A651" s="11">
        <f>95.19*Hospital_Operations_Data[[#This Row],[Treatment_Cost_USD]]</f>
        <v>2019403.4955</v>
      </c>
      <c r="C651" s="13">
        <f>95.19*Hospital_Operations_Data[[#This Row],[Medication_Cost_USD]]</f>
        <v>392697.77789999999</v>
      </c>
    </row>
    <row r="652" spans="1:3" x14ac:dyDescent="0.3">
      <c r="A652" s="12">
        <f>95.19*Hospital_Operations_Data[[#This Row],[Treatment_Cost_USD]]</f>
        <v>591602.04240000003</v>
      </c>
      <c r="C652" s="14">
        <f>95.19*Hospital_Operations_Data[[#This Row],[Medication_Cost_USD]]</f>
        <v>154859.85149999999</v>
      </c>
    </row>
    <row r="653" spans="1:3" x14ac:dyDescent="0.3">
      <c r="A653" s="11">
        <f>95.19*Hospital_Operations_Data[[#This Row],[Treatment_Cost_USD]]</f>
        <v>167754.28889999999</v>
      </c>
      <c r="C653" s="13">
        <f>95.19*Hospital_Operations_Data[[#This Row],[Medication_Cost_USD]]</f>
        <v>64443.63</v>
      </c>
    </row>
    <row r="654" spans="1:3" x14ac:dyDescent="0.3">
      <c r="A654" s="12">
        <f>95.19*Hospital_Operations_Data[[#This Row],[Treatment_Cost_USD]]</f>
        <v>1200794.2448999998</v>
      </c>
      <c r="C654" s="14">
        <f>95.19*Hospital_Operations_Data[[#This Row],[Medication_Cost_USD]]</f>
        <v>394399.77509999997</v>
      </c>
    </row>
    <row r="655" spans="1:3" x14ac:dyDescent="0.3">
      <c r="A655" s="11">
        <f>95.19*Hospital_Operations_Data[[#This Row],[Treatment_Cost_USD]]</f>
        <v>1046200.9253999999</v>
      </c>
      <c r="C655" s="13">
        <f>95.19*Hospital_Operations_Data[[#This Row],[Medication_Cost_USD]]</f>
        <v>330499.68</v>
      </c>
    </row>
    <row r="656" spans="1:3" x14ac:dyDescent="0.3">
      <c r="A656" s="12">
        <f>95.19*Hospital_Operations_Data[[#This Row],[Treatment_Cost_USD]]</f>
        <v>396030.3798</v>
      </c>
      <c r="C656" s="14">
        <f>95.19*Hospital_Operations_Data[[#This Row],[Medication_Cost_USD]]</f>
        <v>84488.7402</v>
      </c>
    </row>
    <row r="657" spans="1:3" x14ac:dyDescent="0.3">
      <c r="A657" s="11">
        <f>95.19*Hospital_Operations_Data[[#This Row],[Treatment_Cost_USD]]</f>
        <v>480462.95789999998</v>
      </c>
      <c r="C657" s="13">
        <f>95.19*Hospital_Operations_Data[[#This Row],[Medication_Cost_USD]]</f>
        <v>76362.369900000005</v>
      </c>
    </row>
    <row r="658" spans="1:3" x14ac:dyDescent="0.3">
      <c r="A658" s="12">
        <f>95.19*Hospital_Operations_Data[[#This Row],[Treatment_Cost_USD]]</f>
        <v>449976.45660000003</v>
      </c>
      <c r="C658" s="14">
        <f>95.19*Hospital_Operations_Data[[#This Row],[Medication_Cost_USD]]</f>
        <v>146406.0276</v>
      </c>
    </row>
    <row r="659" spans="1:3" x14ac:dyDescent="0.3">
      <c r="A659" s="11">
        <f>95.19*Hospital_Operations_Data[[#This Row],[Treatment_Cost_USD]]</f>
        <v>872749.51500000001</v>
      </c>
      <c r="C659" s="13">
        <f>95.19*Hospital_Operations_Data[[#This Row],[Medication_Cost_USD]]</f>
        <v>132643.45740000001</v>
      </c>
    </row>
    <row r="660" spans="1:3" x14ac:dyDescent="0.3">
      <c r="A660" s="12">
        <f>95.19*Hospital_Operations_Data[[#This Row],[Treatment_Cost_USD]]</f>
        <v>928911.61499999999</v>
      </c>
      <c r="C660" s="14">
        <f>95.19*Hospital_Operations_Data[[#This Row],[Medication_Cost_USD]]</f>
        <v>210918.19440000001</v>
      </c>
    </row>
    <row r="661" spans="1:3" x14ac:dyDescent="0.3">
      <c r="A661" s="11">
        <f>95.19*Hospital_Operations_Data[[#This Row],[Treatment_Cost_USD]]</f>
        <v>1016821.4838</v>
      </c>
      <c r="C661" s="13">
        <f>95.19*Hospital_Operations_Data[[#This Row],[Medication_Cost_USD]]</f>
        <v>344868.61049999995</v>
      </c>
    </row>
    <row r="662" spans="1:3" x14ac:dyDescent="0.3">
      <c r="A662" s="12">
        <f>95.19*Hospital_Operations_Data[[#This Row],[Treatment_Cost_USD]]</f>
        <v>793521.92610000004</v>
      </c>
      <c r="C662" s="14">
        <f>95.19*Hospital_Operations_Data[[#This Row],[Medication_Cost_USD]]</f>
        <v>236768.94269999999</v>
      </c>
    </row>
    <row r="663" spans="1:3" x14ac:dyDescent="0.3">
      <c r="A663" s="11">
        <f>95.19*Hospital_Operations_Data[[#This Row],[Treatment_Cost_USD]]</f>
        <v>534475.66769999999</v>
      </c>
      <c r="C663" s="13">
        <f>95.19*Hospital_Operations_Data[[#This Row],[Medication_Cost_USD]]</f>
        <v>137080.26329999999</v>
      </c>
    </row>
    <row r="664" spans="1:3" x14ac:dyDescent="0.3">
      <c r="A664" s="12">
        <f>95.19*Hospital_Operations_Data[[#This Row],[Treatment_Cost_USD]]</f>
        <v>691697.18309999991</v>
      </c>
      <c r="C664" s="14">
        <f>95.19*Hospital_Operations_Data[[#This Row],[Medication_Cost_USD]]</f>
        <v>224655.06330000001</v>
      </c>
    </row>
    <row r="665" spans="1:3" x14ac:dyDescent="0.3">
      <c r="A665" s="11">
        <f>95.19*Hospital_Operations_Data[[#This Row],[Treatment_Cost_USD]]</f>
        <v>288794.08529999998</v>
      </c>
      <c r="C665" s="13">
        <f>95.19*Hospital_Operations_Data[[#This Row],[Medication_Cost_USD]]</f>
        <v>109515.1431</v>
      </c>
    </row>
    <row r="666" spans="1:3" x14ac:dyDescent="0.3">
      <c r="A666" s="12">
        <f>95.19*Hospital_Operations_Data[[#This Row],[Treatment_Cost_USD]]</f>
        <v>884706.33090000006</v>
      </c>
      <c r="C666" s="14">
        <f>95.19*Hospital_Operations_Data[[#This Row],[Medication_Cost_USD]]</f>
        <v>244410.7959</v>
      </c>
    </row>
    <row r="667" spans="1:3" x14ac:dyDescent="0.3">
      <c r="A667" s="11">
        <f>95.19*Hospital_Operations_Data[[#This Row],[Treatment_Cost_USD]]</f>
        <v>879816.42059999995</v>
      </c>
      <c r="C667" s="13">
        <f>95.19*Hospital_Operations_Data[[#This Row],[Medication_Cost_USD]]</f>
        <v>348220.25039999996</v>
      </c>
    </row>
    <row r="668" spans="1:3" x14ac:dyDescent="0.3">
      <c r="A668" s="12">
        <f>95.19*Hospital_Operations_Data[[#This Row],[Treatment_Cost_USD]]</f>
        <v>652472.23979999998</v>
      </c>
      <c r="C668" s="14">
        <f>95.19*Hospital_Operations_Data[[#This Row],[Medication_Cost_USD]]</f>
        <v>220481.93369999999</v>
      </c>
    </row>
    <row r="669" spans="1:3" x14ac:dyDescent="0.3">
      <c r="A669" s="11">
        <f>95.19*Hospital_Operations_Data[[#This Row],[Treatment_Cost_USD]]</f>
        <v>896896.36230000004</v>
      </c>
      <c r="C669" s="13">
        <f>95.19*Hospital_Operations_Data[[#This Row],[Medication_Cost_USD]]</f>
        <v>217527.23610000001</v>
      </c>
    </row>
    <row r="670" spans="1:3" x14ac:dyDescent="0.3">
      <c r="A670" s="12">
        <f>95.19*Hospital_Operations_Data[[#This Row],[Treatment_Cost_USD]]</f>
        <v>247398.81</v>
      </c>
      <c r="C670" s="14">
        <f>95.19*Hospital_Operations_Data[[#This Row],[Medication_Cost_USD]]</f>
        <v>73401.009000000005</v>
      </c>
    </row>
    <row r="671" spans="1:3" x14ac:dyDescent="0.3">
      <c r="A671" s="11">
        <f>95.19*Hospital_Operations_Data[[#This Row],[Treatment_Cost_USD]]</f>
        <v>537017.24069999997</v>
      </c>
      <c r="C671" s="13">
        <f>95.19*Hospital_Operations_Data[[#This Row],[Medication_Cost_USD]]</f>
        <v>160270.45110000001</v>
      </c>
    </row>
    <row r="672" spans="1:3" x14ac:dyDescent="0.3">
      <c r="A672" s="12">
        <f>95.19*Hospital_Operations_Data[[#This Row],[Treatment_Cost_USD]]</f>
        <v>1392721.0824</v>
      </c>
      <c r="C672" s="14">
        <f>95.19*Hospital_Operations_Data[[#This Row],[Medication_Cost_USD]]</f>
        <v>418584.69839999994</v>
      </c>
    </row>
    <row r="673" spans="1:3" x14ac:dyDescent="0.3">
      <c r="A673" s="11">
        <f>95.19*Hospital_Operations_Data[[#This Row],[Treatment_Cost_USD]]</f>
        <v>433979.77710000001</v>
      </c>
      <c r="C673" s="13">
        <f>95.19*Hospital_Operations_Data[[#This Row],[Medication_Cost_USD]]</f>
        <v>106707.03810000001</v>
      </c>
    </row>
    <row r="674" spans="1:3" x14ac:dyDescent="0.3">
      <c r="A674" s="12">
        <f>95.19*Hospital_Operations_Data[[#This Row],[Treatment_Cost_USD]]</f>
        <v>837714.83550000004</v>
      </c>
      <c r="C674" s="14">
        <f>95.19*Hospital_Operations_Data[[#This Row],[Medication_Cost_USD]]</f>
        <v>276741.1275</v>
      </c>
    </row>
    <row r="675" spans="1:3" x14ac:dyDescent="0.3">
      <c r="A675" s="11">
        <f>95.19*Hospital_Operations_Data[[#This Row],[Treatment_Cost_USD]]</f>
        <v>961590.34199999995</v>
      </c>
      <c r="C675" s="13">
        <f>95.19*Hospital_Operations_Data[[#This Row],[Medication_Cost_USD]]</f>
        <v>147086.6361</v>
      </c>
    </row>
    <row r="676" spans="1:3" x14ac:dyDescent="0.3">
      <c r="A676" s="12">
        <f>95.19*Hospital_Operations_Data[[#This Row],[Treatment_Cost_USD]]</f>
        <v>421057.73460000003</v>
      </c>
      <c r="C676" s="14">
        <f>95.19*Hospital_Operations_Data[[#This Row],[Medication_Cost_USD]]</f>
        <v>86174.555099999998</v>
      </c>
    </row>
    <row r="677" spans="1:3" x14ac:dyDescent="0.3">
      <c r="A677" s="11">
        <f>95.19*Hospital_Operations_Data[[#This Row],[Treatment_Cost_USD]]</f>
        <v>468659.39789999998</v>
      </c>
      <c r="C677" s="13">
        <f>95.19*Hospital_Operations_Data[[#This Row],[Medication_Cost_USD]]</f>
        <v>120571.46160000001</v>
      </c>
    </row>
    <row r="678" spans="1:3" x14ac:dyDescent="0.3">
      <c r="A678" s="12">
        <f>95.19*Hospital_Operations_Data[[#This Row],[Treatment_Cost_USD]]</f>
        <v>377459.76269999996</v>
      </c>
      <c r="C678" s="14">
        <f>95.19*Hospital_Operations_Data[[#This Row],[Medication_Cost_USD]]</f>
        <v>130128.5376</v>
      </c>
    </row>
    <row r="679" spans="1:3" x14ac:dyDescent="0.3">
      <c r="A679" s="11">
        <f>95.19*Hospital_Operations_Data[[#This Row],[Treatment_Cost_USD]]</f>
        <v>257375.67389999999</v>
      </c>
      <c r="C679" s="13">
        <f>95.19*Hospital_Operations_Data[[#This Row],[Medication_Cost_USD]]</f>
        <v>61009.174799999993</v>
      </c>
    </row>
    <row r="680" spans="1:3" x14ac:dyDescent="0.3">
      <c r="A680" s="12">
        <f>95.19*Hospital_Operations_Data[[#This Row],[Treatment_Cost_USD]]</f>
        <v>1115553.5037</v>
      </c>
      <c r="C680" s="14">
        <f>95.19*Hospital_Operations_Data[[#This Row],[Medication_Cost_USD]]</f>
        <v>346821.9093</v>
      </c>
    </row>
    <row r="681" spans="1:3" x14ac:dyDescent="0.3">
      <c r="A681" s="11">
        <f>95.19*Hospital_Operations_Data[[#This Row],[Treatment_Cost_USD]]</f>
        <v>236340.58769999997</v>
      </c>
      <c r="C681" s="13">
        <f>95.19*Hospital_Operations_Data[[#This Row],[Medication_Cost_USD]]</f>
        <v>63110.97</v>
      </c>
    </row>
    <row r="682" spans="1:3" x14ac:dyDescent="0.3">
      <c r="A682" s="12">
        <f>95.19*Hospital_Operations_Data[[#This Row],[Treatment_Cost_USD]]</f>
        <v>168713.80410000001</v>
      </c>
      <c r="C682" s="14">
        <f>95.19*Hospital_Operations_Data[[#This Row],[Medication_Cost_USD]]</f>
        <v>34286.486100000002</v>
      </c>
    </row>
    <row r="683" spans="1:3" x14ac:dyDescent="0.3">
      <c r="A683" s="11">
        <f>95.19*Hospital_Operations_Data[[#This Row],[Treatment_Cost_USD]]</f>
        <v>1735517.4065999999</v>
      </c>
      <c r="C683" s="13">
        <f>95.19*Hospital_Operations_Data[[#This Row],[Medication_Cost_USD]]</f>
        <v>614986.41779999994</v>
      </c>
    </row>
    <row r="684" spans="1:3" x14ac:dyDescent="0.3">
      <c r="A684" s="12">
        <f>95.19*Hospital_Operations_Data[[#This Row],[Treatment_Cost_USD]]</f>
        <v>1116782.4065999999</v>
      </c>
      <c r="C684" s="14">
        <f>95.19*Hospital_Operations_Data[[#This Row],[Medication_Cost_USD]]</f>
        <v>267290.66429999995</v>
      </c>
    </row>
    <row r="685" spans="1:3" x14ac:dyDescent="0.3">
      <c r="A685" s="11">
        <f>95.19*Hospital_Operations_Data[[#This Row],[Treatment_Cost_USD]]</f>
        <v>716478.94770000002</v>
      </c>
      <c r="C685" s="13">
        <f>95.19*Hospital_Operations_Data[[#This Row],[Medication_Cost_USD]]</f>
        <v>170826.07019999999</v>
      </c>
    </row>
    <row r="686" spans="1:3" x14ac:dyDescent="0.3">
      <c r="A686" s="12">
        <f>95.19*Hospital_Operations_Data[[#This Row],[Treatment_Cost_USD]]</f>
        <v>259094.80529999998</v>
      </c>
      <c r="C686" s="14">
        <f>95.19*Hospital_Operations_Data[[#This Row],[Medication_Cost_USD]]</f>
        <v>84730.522799999992</v>
      </c>
    </row>
    <row r="687" spans="1:3" x14ac:dyDescent="0.3">
      <c r="A687" s="11">
        <f>95.19*Hospital_Operations_Data[[#This Row],[Treatment_Cost_USD]]</f>
        <v>765524.6433</v>
      </c>
      <c r="C687" s="13">
        <f>95.19*Hospital_Operations_Data[[#This Row],[Medication_Cost_USD]]</f>
        <v>187961.22209999998</v>
      </c>
    </row>
    <row r="688" spans="1:3" x14ac:dyDescent="0.3">
      <c r="A688" s="12">
        <f>95.19*Hospital_Operations_Data[[#This Row],[Treatment_Cost_USD]]</f>
        <v>1555345.5821999998</v>
      </c>
      <c r="C688" s="14">
        <f>95.19*Hospital_Operations_Data[[#This Row],[Medication_Cost_USD]]</f>
        <v>383545.25940000004</v>
      </c>
    </row>
    <row r="689" spans="1:3" x14ac:dyDescent="0.3">
      <c r="A689" s="11">
        <f>95.19*Hospital_Operations_Data[[#This Row],[Treatment_Cost_USD]]</f>
        <v>268968.864</v>
      </c>
      <c r="C689" s="13">
        <f>95.19*Hospital_Operations_Data[[#This Row],[Medication_Cost_USD]]</f>
        <v>101617.2288</v>
      </c>
    </row>
    <row r="690" spans="1:3" x14ac:dyDescent="0.3">
      <c r="A690" s="12">
        <f>95.19*Hospital_Operations_Data[[#This Row],[Treatment_Cost_USD]]</f>
        <v>739396.89209999994</v>
      </c>
      <c r="C690" s="14">
        <f>95.19*Hospital_Operations_Data[[#This Row],[Medication_Cost_USD]]</f>
        <v>247143.70080000002</v>
      </c>
    </row>
    <row r="691" spans="1:3" x14ac:dyDescent="0.3">
      <c r="A691" s="11">
        <f>95.19*Hospital_Operations_Data[[#This Row],[Treatment_Cost_USD]]</f>
        <v>666567.97499999998</v>
      </c>
      <c r="C691" s="13">
        <f>95.19*Hospital_Operations_Data[[#This Row],[Medication_Cost_USD]]</f>
        <v>127837.3143</v>
      </c>
    </row>
    <row r="692" spans="1:3" x14ac:dyDescent="0.3">
      <c r="A692" s="12">
        <f>95.19*Hospital_Operations_Data[[#This Row],[Treatment_Cost_USD]]</f>
        <v>1475736.2814</v>
      </c>
      <c r="C692" s="14">
        <f>95.19*Hospital_Operations_Data[[#This Row],[Medication_Cost_USD]]</f>
        <v>562515.78599999996</v>
      </c>
    </row>
    <row r="693" spans="1:3" x14ac:dyDescent="0.3">
      <c r="A693" s="11">
        <f>95.19*Hospital_Operations_Data[[#This Row],[Treatment_Cost_USD]]</f>
        <v>263702.95319999999</v>
      </c>
      <c r="C693" s="13">
        <f>95.19*Hospital_Operations_Data[[#This Row],[Medication_Cost_USD]]</f>
        <v>95236.643100000001</v>
      </c>
    </row>
    <row r="694" spans="1:3" x14ac:dyDescent="0.3">
      <c r="A694" s="12">
        <f>95.19*Hospital_Operations_Data[[#This Row],[Treatment_Cost_USD]]</f>
        <v>401932.15980000002</v>
      </c>
      <c r="C694" s="14">
        <f>95.19*Hospital_Operations_Data[[#This Row],[Medication_Cost_USD]]</f>
        <v>119729.98199999999</v>
      </c>
    </row>
    <row r="695" spans="1:3" x14ac:dyDescent="0.3">
      <c r="A695" s="11">
        <f>95.19*Hospital_Operations_Data[[#This Row],[Treatment_Cost_USD]]</f>
        <v>2638098.5156999999</v>
      </c>
      <c r="C695" s="13">
        <f>95.19*Hospital_Operations_Data[[#This Row],[Medication_Cost_USD]]</f>
        <v>601610.31900000002</v>
      </c>
    </row>
    <row r="696" spans="1:3" x14ac:dyDescent="0.3">
      <c r="A696" s="12">
        <f>95.19*Hospital_Operations_Data[[#This Row],[Treatment_Cost_USD]]</f>
        <v>101020.3875</v>
      </c>
      <c r="C696" s="14">
        <f>95.19*Hospital_Operations_Data[[#This Row],[Medication_Cost_USD]]</f>
        <v>37138.378499999999</v>
      </c>
    </row>
    <row r="697" spans="1:3" x14ac:dyDescent="0.3">
      <c r="A697" s="11">
        <f>95.19*Hospital_Operations_Data[[#This Row],[Treatment_Cost_USD]]</f>
        <v>514541.92979999998</v>
      </c>
      <c r="C697" s="13">
        <f>95.19*Hospital_Operations_Data[[#This Row],[Medication_Cost_USD]]</f>
        <v>165578.24549999999</v>
      </c>
    </row>
    <row r="698" spans="1:3" x14ac:dyDescent="0.3">
      <c r="A698" s="12">
        <f>95.19*Hospital_Operations_Data[[#This Row],[Treatment_Cost_USD]]</f>
        <v>536030.12040000001</v>
      </c>
      <c r="C698" s="14">
        <f>95.19*Hospital_Operations_Data[[#This Row],[Medication_Cost_USD]]</f>
        <v>128120.02860000001</v>
      </c>
    </row>
    <row r="699" spans="1:3" x14ac:dyDescent="0.3">
      <c r="A699" s="11">
        <f>95.19*Hospital_Operations_Data[[#This Row],[Treatment_Cost_USD]]</f>
        <v>521937.24089999998</v>
      </c>
      <c r="C699" s="13">
        <f>95.19*Hospital_Operations_Data[[#This Row],[Medication_Cost_USD]]</f>
        <v>121457.6805</v>
      </c>
    </row>
    <row r="700" spans="1:3" x14ac:dyDescent="0.3">
      <c r="A700" s="12">
        <f>95.19*Hospital_Operations_Data[[#This Row],[Treatment_Cost_USD]]</f>
        <v>1139157.7680000002</v>
      </c>
      <c r="C700" s="14">
        <f>95.19*Hospital_Operations_Data[[#This Row],[Medication_Cost_USD]]</f>
        <v>273014.43900000001</v>
      </c>
    </row>
    <row r="701" spans="1:3" x14ac:dyDescent="0.3">
      <c r="A701" s="11">
        <f>95.19*Hospital_Operations_Data[[#This Row],[Treatment_Cost_USD]]</f>
        <v>988581.46649999998</v>
      </c>
      <c r="C701" s="13">
        <f>95.19*Hospital_Operations_Data[[#This Row],[Medication_Cost_USD]]</f>
        <v>273187.68479999999</v>
      </c>
    </row>
    <row r="702" spans="1:3" x14ac:dyDescent="0.3">
      <c r="A702" s="12">
        <f>95.19*Hospital_Operations_Data[[#This Row],[Treatment_Cost_USD]]</f>
        <v>833188.55099999998</v>
      </c>
      <c r="C702" s="14">
        <f>95.19*Hospital_Operations_Data[[#This Row],[Medication_Cost_USD]]</f>
        <v>228273.2352</v>
      </c>
    </row>
    <row r="703" spans="1:3" x14ac:dyDescent="0.3">
      <c r="A703" s="11">
        <f>95.19*Hospital_Operations_Data[[#This Row],[Treatment_Cost_USD]]</f>
        <v>271049.71740000002</v>
      </c>
      <c r="C703" s="13">
        <f>95.19*Hospital_Operations_Data[[#This Row],[Medication_Cost_USD]]</f>
        <v>98205.619200000001</v>
      </c>
    </row>
    <row r="704" spans="1:3" x14ac:dyDescent="0.3">
      <c r="A704" s="12">
        <f>95.19*Hospital_Operations_Data[[#This Row],[Treatment_Cost_USD]]</f>
        <v>335113.53929999995</v>
      </c>
      <c r="C704" s="14">
        <f>95.19*Hospital_Operations_Data[[#This Row],[Medication_Cost_USD]]</f>
        <v>66882.397800000006</v>
      </c>
    </row>
    <row r="705" spans="1:3" x14ac:dyDescent="0.3">
      <c r="A705" s="11">
        <f>95.19*Hospital_Operations_Data[[#This Row],[Treatment_Cost_USD]]</f>
        <v>801195.19199999992</v>
      </c>
      <c r="C705" s="13">
        <f>95.19*Hospital_Operations_Data[[#This Row],[Medication_Cost_USD]]</f>
        <v>147359.8314</v>
      </c>
    </row>
    <row r="706" spans="1:3" x14ac:dyDescent="0.3">
      <c r="A706" s="12">
        <f>95.19*Hospital_Operations_Data[[#This Row],[Treatment_Cost_USD]]</f>
        <v>416892.22019999998</v>
      </c>
      <c r="C706" s="14">
        <f>95.19*Hospital_Operations_Data[[#This Row],[Medication_Cost_USD]]</f>
        <v>127188.11850000001</v>
      </c>
    </row>
    <row r="707" spans="1:3" x14ac:dyDescent="0.3">
      <c r="A707" s="11">
        <f>95.19*Hospital_Operations_Data[[#This Row],[Treatment_Cost_USD]]</f>
        <v>1947798.7218000002</v>
      </c>
      <c r="C707" s="13">
        <f>95.19*Hospital_Operations_Data[[#This Row],[Medication_Cost_USD]]</f>
        <v>654119.97869999998</v>
      </c>
    </row>
    <row r="708" spans="1:3" x14ac:dyDescent="0.3">
      <c r="A708" s="12">
        <f>95.19*Hospital_Operations_Data[[#This Row],[Treatment_Cost_USD]]</f>
        <v>828827.89709999994</v>
      </c>
      <c r="C708" s="14">
        <f>95.19*Hospital_Operations_Data[[#This Row],[Medication_Cost_USD]]</f>
        <v>236312.0307</v>
      </c>
    </row>
    <row r="709" spans="1:3" x14ac:dyDescent="0.3">
      <c r="A709" s="11">
        <f>95.19*Hospital_Operations_Data[[#This Row],[Treatment_Cost_USD]]</f>
        <v>531053.58719999995</v>
      </c>
      <c r="C709" s="13">
        <f>95.19*Hospital_Operations_Data[[#This Row],[Medication_Cost_USD]]</f>
        <v>166426.3884</v>
      </c>
    </row>
    <row r="710" spans="1:3" x14ac:dyDescent="0.3">
      <c r="A710" s="12">
        <f>95.19*Hospital_Operations_Data[[#This Row],[Treatment_Cost_USD]]</f>
        <v>107197.2666</v>
      </c>
      <c r="C710" s="14">
        <f>95.19*Hospital_Operations_Data[[#This Row],[Medication_Cost_USD]]</f>
        <v>33499.264799999997</v>
      </c>
    </row>
    <row r="711" spans="1:3" x14ac:dyDescent="0.3">
      <c r="A711" s="11">
        <f>95.19*Hospital_Operations_Data[[#This Row],[Treatment_Cost_USD]]</f>
        <v>438289.02839999995</v>
      </c>
      <c r="C711" s="13">
        <f>95.19*Hospital_Operations_Data[[#This Row],[Medication_Cost_USD]]</f>
        <v>127045.33350000001</v>
      </c>
    </row>
    <row r="712" spans="1:3" x14ac:dyDescent="0.3">
      <c r="A712" s="12">
        <f>95.19*Hospital_Operations_Data[[#This Row],[Treatment_Cost_USD]]</f>
        <v>1456760.1549</v>
      </c>
      <c r="C712" s="14">
        <f>95.19*Hospital_Operations_Data[[#This Row],[Medication_Cost_USD]]</f>
        <v>315000.84419999999</v>
      </c>
    </row>
    <row r="713" spans="1:3" x14ac:dyDescent="0.3">
      <c r="A713" s="11">
        <f>95.19*Hospital_Operations_Data[[#This Row],[Treatment_Cost_USD]]</f>
        <v>958311.04650000005</v>
      </c>
      <c r="C713" s="13">
        <f>95.19*Hospital_Operations_Data[[#This Row],[Medication_Cost_USD]]</f>
        <v>183812.8419</v>
      </c>
    </row>
    <row r="714" spans="1:3" x14ac:dyDescent="0.3">
      <c r="A714" s="12">
        <f>95.19*Hospital_Operations_Data[[#This Row],[Treatment_Cost_USD]]</f>
        <v>565248.69089999993</v>
      </c>
      <c r="C714" s="14">
        <f>95.19*Hospital_Operations_Data[[#This Row],[Medication_Cost_USD]]</f>
        <v>120769.4568</v>
      </c>
    </row>
    <row r="715" spans="1:3" x14ac:dyDescent="0.3">
      <c r="A715" s="11">
        <f>95.19*Hospital_Operations_Data[[#This Row],[Treatment_Cost_USD]]</f>
        <v>1596604.7357999999</v>
      </c>
      <c r="C715" s="13">
        <f>95.19*Hospital_Operations_Data[[#This Row],[Medication_Cost_USD]]</f>
        <v>251480.55720000001</v>
      </c>
    </row>
    <row r="716" spans="1:3" x14ac:dyDescent="0.3">
      <c r="A716" s="12">
        <f>95.19*Hospital_Operations_Data[[#This Row],[Treatment_Cost_USD]]</f>
        <v>264463.52129999996</v>
      </c>
      <c r="C716" s="14">
        <f>95.19*Hospital_Operations_Data[[#This Row],[Medication_Cost_USD]]</f>
        <v>57158.739300000001</v>
      </c>
    </row>
    <row r="717" spans="1:3" x14ac:dyDescent="0.3">
      <c r="A717" s="11">
        <f>95.19*Hospital_Operations_Data[[#This Row],[Treatment_Cost_USD]]</f>
        <v>785190.89729999995</v>
      </c>
      <c r="C717" s="13">
        <f>95.19*Hospital_Operations_Data[[#This Row],[Medication_Cost_USD]]</f>
        <v>234016.99979999999</v>
      </c>
    </row>
    <row r="718" spans="1:3" x14ac:dyDescent="0.3">
      <c r="A718" s="12">
        <f>95.19*Hospital_Operations_Data[[#This Row],[Treatment_Cost_USD]]</f>
        <v>498369.14880000002</v>
      </c>
      <c r="C718" s="14">
        <f>95.19*Hospital_Operations_Data[[#This Row],[Medication_Cost_USD]]</f>
        <v>196205.62799999997</v>
      </c>
    </row>
    <row r="719" spans="1:3" x14ac:dyDescent="0.3">
      <c r="A719" s="11">
        <f>95.19*Hospital_Operations_Data[[#This Row],[Treatment_Cost_USD]]</f>
        <v>1445090.8128</v>
      </c>
      <c r="C719" s="13">
        <f>95.19*Hospital_Operations_Data[[#This Row],[Medication_Cost_USD]]</f>
        <v>575825.25179999997</v>
      </c>
    </row>
    <row r="720" spans="1:3" x14ac:dyDescent="0.3">
      <c r="A720" s="12">
        <f>95.19*Hospital_Operations_Data[[#This Row],[Treatment_Cost_USD]]</f>
        <v>1215380.2086</v>
      </c>
      <c r="C720" s="14">
        <f>95.19*Hospital_Operations_Data[[#This Row],[Medication_Cost_USD]]</f>
        <v>388279.05809999997</v>
      </c>
    </row>
    <row r="721" spans="1:3" x14ac:dyDescent="0.3">
      <c r="A721" s="11">
        <f>95.19*Hospital_Operations_Data[[#This Row],[Treatment_Cost_USD]]</f>
        <v>1352441.4338999998</v>
      </c>
      <c r="C721" s="13">
        <f>95.19*Hospital_Operations_Data[[#This Row],[Medication_Cost_USD]]</f>
        <v>487048.20209999999</v>
      </c>
    </row>
    <row r="722" spans="1:3" x14ac:dyDescent="0.3">
      <c r="A722" s="12">
        <f>95.19*Hospital_Operations_Data[[#This Row],[Treatment_Cost_USD]]</f>
        <v>835554.97439999995</v>
      </c>
      <c r="C722" s="14">
        <f>95.19*Hospital_Operations_Data[[#This Row],[Medication_Cost_USD]]</f>
        <v>300398.69819999998</v>
      </c>
    </row>
    <row r="723" spans="1:3" x14ac:dyDescent="0.3">
      <c r="A723" s="11">
        <f>95.19*Hospital_Operations_Data[[#This Row],[Treatment_Cost_USD]]</f>
        <v>501933.0624</v>
      </c>
      <c r="C723" s="13">
        <f>95.19*Hospital_Operations_Data[[#This Row],[Medication_Cost_USD]]</f>
        <v>117768.1161</v>
      </c>
    </row>
    <row r="724" spans="1:3" x14ac:dyDescent="0.3">
      <c r="A724" s="12">
        <f>95.19*Hospital_Operations_Data[[#This Row],[Treatment_Cost_USD]]</f>
        <v>473275.16099999996</v>
      </c>
      <c r="C724" s="14">
        <f>95.19*Hospital_Operations_Data[[#This Row],[Medication_Cost_USD]]</f>
        <v>122281.07399999999</v>
      </c>
    </row>
    <row r="725" spans="1:3" x14ac:dyDescent="0.3">
      <c r="A725" s="11">
        <f>95.19*Hospital_Operations_Data[[#This Row],[Treatment_Cost_USD]]</f>
        <v>386502.81270000001</v>
      </c>
      <c r="C725" s="13">
        <f>95.19*Hospital_Operations_Data[[#This Row],[Medication_Cost_USD]]</f>
        <v>80364.157500000001</v>
      </c>
    </row>
    <row r="726" spans="1:3" x14ac:dyDescent="0.3">
      <c r="A726" s="12">
        <f>95.19*Hospital_Operations_Data[[#This Row],[Treatment_Cost_USD]]</f>
        <v>81223.723199999993</v>
      </c>
      <c r="C726" s="14">
        <f>95.19*Hospital_Operations_Data[[#This Row],[Medication_Cost_USD]]</f>
        <v>18105.137999999999</v>
      </c>
    </row>
    <row r="727" spans="1:3" x14ac:dyDescent="0.3">
      <c r="A727" s="11">
        <f>95.19*Hospital_Operations_Data[[#This Row],[Treatment_Cost_USD]]</f>
        <v>302391.02490000002</v>
      </c>
      <c r="C727" s="13">
        <f>95.19*Hospital_Operations_Data[[#This Row],[Medication_Cost_USD]]</f>
        <v>87180.713399999993</v>
      </c>
    </row>
    <row r="728" spans="1:3" x14ac:dyDescent="0.3">
      <c r="A728" s="12">
        <f>95.19*Hospital_Operations_Data[[#This Row],[Treatment_Cost_USD]]</f>
        <v>160706.42129999999</v>
      </c>
      <c r="C728" s="14">
        <f>95.19*Hospital_Operations_Data[[#This Row],[Medication_Cost_USD]]</f>
        <v>54494.371200000001</v>
      </c>
    </row>
    <row r="729" spans="1:3" x14ac:dyDescent="0.3">
      <c r="A729" s="11">
        <f>95.19*Hospital_Operations_Data[[#This Row],[Treatment_Cost_USD]]</f>
        <v>557833.38989999995</v>
      </c>
      <c r="C729" s="13">
        <f>95.19*Hospital_Operations_Data[[#This Row],[Medication_Cost_USD]]</f>
        <v>177094.33170000001</v>
      </c>
    </row>
    <row r="730" spans="1:3" x14ac:dyDescent="0.3">
      <c r="A730" s="12">
        <f>95.19*Hospital_Operations_Data[[#This Row],[Treatment_Cost_USD]]</f>
        <v>464024.5968</v>
      </c>
      <c r="C730" s="14">
        <f>95.19*Hospital_Operations_Data[[#This Row],[Medication_Cost_USD]]</f>
        <v>90245.831399999995</v>
      </c>
    </row>
    <row r="731" spans="1:3" x14ac:dyDescent="0.3">
      <c r="A731" s="11">
        <f>95.19*Hospital_Operations_Data[[#This Row],[Treatment_Cost_USD]]</f>
        <v>640059.46380000003</v>
      </c>
      <c r="C731" s="13">
        <f>95.19*Hospital_Operations_Data[[#This Row],[Medication_Cost_USD]]</f>
        <v>169540.0533</v>
      </c>
    </row>
    <row r="732" spans="1:3" x14ac:dyDescent="0.3">
      <c r="A732" s="12">
        <f>95.19*Hospital_Operations_Data[[#This Row],[Treatment_Cost_USD]]</f>
        <v>417716.56559999997</v>
      </c>
      <c r="C732" s="14">
        <f>95.19*Hospital_Operations_Data[[#This Row],[Medication_Cost_USD]]</f>
        <v>156289.6053</v>
      </c>
    </row>
    <row r="733" spans="1:3" x14ac:dyDescent="0.3">
      <c r="A733" s="11">
        <f>95.19*Hospital_Operations_Data[[#This Row],[Treatment_Cost_USD]]</f>
        <v>1112060.9826</v>
      </c>
      <c r="C733" s="13">
        <f>95.19*Hospital_Operations_Data[[#This Row],[Medication_Cost_USD]]</f>
        <v>301153.55489999999</v>
      </c>
    </row>
    <row r="734" spans="1:3" x14ac:dyDescent="0.3">
      <c r="A734" s="12">
        <f>95.19*Hospital_Operations_Data[[#This Row],[Treatment_Cost_USD]]</f>
        <v>471204.77849999996</v>
      </c>
      <c r="C734" s="14">
        <f>95.19*Hospital_Operations_Data[[#This Row],[Medication_Cost_USD]]</f>
        <v>99702.006000000008</v>
      </c>
    </row>
    <row r="735" spans="1:3" x14ac:dyDescent="0.3">
      <c r="A735" s="11">
        <f>95.19*Hospital_Operations_Data[[#This Row],[Treatment_Cost_USD]]</f>
        <v>566371.93290000001</v>
      </c>
      <c r="C735" s="13">
        <f>95.19*Hospital_Operations_Data[[#This Row],[Medication_Cost_USD]]</f>
        <v>158231.48129999998</v>
      </c>
    </row>
    <row r="736" spans="1:3" x14ac:dyDescent="0.3">
      <c r="A736" s="12">
        <f>95.19*Hospital_Operations_Data[[#This Row],[Treatment_Cost_USD]]</f>
        <v>381749.02409999998</v>
      </c>
      <c r="C736" s="14">
        <f>95.19*Hospital_Operations_Data[[#This Row],[Medication_Cost_USD]]</f>
        <v>144419.4123</v>
      </c>
    </row>
    <row r="737" spans="1:3" x14ac:dyDescent="0.3">
      <c r="A737" s="11">
        <f>95.19*Hospital_Operations_Data[[#This Row],[Treatment_Cost_USD]]</f>
        <v>296439.74609999999</v>
      </c>
      <c r="C737" s="13">
        <f>95.19*Hospital_Operations_Data[[#This Row],[Medication_Cost_USD]]</f>
        <v>82317.456299999991</v>
      </c>
    </row>
    <row r="738" spans="1:3" x14ac:dyDescent="0.3">
      <c r="A738" s="12">
        <f>95.19*Hospital_Operations_Data[[#This Row],[Treatment_Cost_USD]]</f>
        <v>2322964.4054999999</v>
      </c>
      <c r="C738" s="14">
        <f>95.19*Hospital_Operations_Data[[#This Row],[Medication_Cost_USD]]</f>
        <v>744912.20069999993</v>
      </c>
    </row>
    <row r="739" spans="1:3" x14ac:dyDescent="0.3">
      <c r="A739" s="11">
        <f>95.19*Hospital_Operations_Data[[#This Row],[Treatment_Cost_USD]]</f>
        <v>669259.94819999998</v>
      </c>
      <c r="C739" s="13">
        <f>95.19*Hospital_Operations_Data[[#This Row],[Medication_Cost_USD]]</f>
        <v>232088.45039999997</v>
      </c>
    </row>
    <row r="740" spans="1:3" x14ac:dyDescent="0.3">
      <c r="A740" s="12">
        <f>95.19*Hospital_Operations_Data[[#This Row],[Treatment_Cost_USD]]</f>
        <v>532658.49060000002</v>
      </c>
      <c r="C740" s="14">
        <f>95.19*Hospital_Operations_Data[[#This Row],[Medication_Cost_USD]]</f>
        <v>152228.79990000001</v>
      </c>
    </row>
    <row r="741" spans="1:3" x14ac:dyDescent="0.3">
      <c r="A741" s="11">
        <f>95.19*Hospital_Operations_Data[[#This Row],[Treatment_Cost_USD]]</f>
        <v>540188.97149999999</v>
      </c>
      <c r="C741" s="13">
        <f>95.19*Hospital_Operations_Data[[#This Row],[Medication_Cost_USD]]</f>
        <v>120819.9075</v>
      </c>
    </row>
    <row r="742" spans="1:3" x14ac:dyDescent="0.3">
      <c r="A742" s="12">
        <f>95.19*Hospital_Operations_Data[[#This Row],[Treatment_Cost_USD]]</f>
        <v>597703.72140000004</v>
      </c>
      <c r="C742" s="14">
        <f>95.19*Hospital_Operations_Data[[#This Row],[Medication_Cost_USD]]</f>
        <v>234608.12969999999</v>
      </c>
    </row>
    <row r="743" spans="1:3" x14ac:dyDescent="0.3">
      <c r="A743" s="11">
        <f>95.19*Hospital_Operations_Data[[#This Row],[Treatment_Cost_USD]]</f>
        <v>419928.78119999997</v>
      </c>
      <c r="C743" s="13">
        <f>95.19*Hospital_Operations_Data[[#This Row],[Medication_Cost_USD]]</f>
        <v>96100.968300000008</v>
      </c>
    </row>
    <row r="744" spans="1:3" x14ac:dyDescent="0.3">
      <c r="A744" s="12">
        <f>95.19*Hospital_Operations_Data[[#This Row],[Treatment_Cost_USD]]</f>
        <v>169296.36689999999</v>
      </c>
      <c r="C744" s="14">
        <f>95.19*Hospital_Operations_Data[[#This Row],[Medication_Cost_USD]]</f>
        <v>66937.608000000007</v>
      </c>
    </row>
    <row r="745" spans="1:3" x14ac:dyDescent="0.3">
      <c r="A745" s="11">
        <f>95.19*Hospital_Operations_Data[[#This Row],[Treatment_Cost_USD]]</f>
        <v>1099351.2138</v>
      </c>
      <c r="C745" s="13">
        <f>95.19*Hospital_Operations_Data[[#This Row],[Medication_Cost_USD]]</f>
        <v>385578.51779999997</v>
      </c>
    </row>
    <row r="746" spans="1:3" x14ac:dyDescent="0.3">
      <c r="A746" s="12">
        <f>95.19*Hospital_Operations_Data[[#This Row],[Treatment_Cost_USD]]</f>
        <v>574831.4682</v>
      </c>
      <c r="C746" s="14">
        <f>95.19*Hospital_Operations_Data[[#This Row],[Medication_Cost_USD]]</f>
        <v>145996.71059999999</v>
      </c>
    </row>
    <row r="747" spans="1:3" x14ac:dyDescent="0.3">
      <c r="A747" s="11">
        <f>95.19*Hospital_Operations_Data[[#This Row],[Treatment_Cost_USD]]</f>
        <v>841563.36719999986</v>
      </c>
      <c r="C747" s="13">
        <f>95.19*Hospital_Operations_Data[[#This Row],[Medication_Cost_USD]]</f>
        <v>127737.36480000001</v>
      </c>
    </row>
    <row r="748" spans="1:3" x14ac:dyDescent="0.3">
      <c r="A748" s="12">
        <f>95.19*Hospital_Operations_Data[[#This Row],[Treatment_Cost_USD]]</f>
        <v>619596.46950000001</v>
      </c>
      <c r="C748" s="14">
        <f>95.19*Hospital_Operations_Data[[#This Row],[Medication_Cost_USD]]</f>
        <v>143009.64839999998</v>
      </c>
    </row>
    <row r="749" spans="1:3" x14ac:dyDescent="0.3">
      <c r="A749" s="11">
        <f>95.19*Hospital_Operations_Data[[#This Row],[Treatment_Cost_USD]]</f>
        <v>1391472.1895999999</v>
      </c>
      <c r="C749" s="13">
        <f>95.19*Hospital_Operations_Data[[#This Row],[Medication_Cost_USD]]</f>
        <v>536540.33880000003</v>
      </c>
    </row>
    <row r="750" spans="1:3" x14ac:dyDescent="0.3">
      <c r="A750" s="12">
        <f>95.19*Hospital_Operations_Data[[#This Row],[Treatment_Cost_USD]]</f>
        <v>757332.5919</v>
      </c>
      <c r="C750" s="14">
        <f>95.19*Hospital_Operations_Data[[#This Row],[Medication_Cost_USD]]</f>
        <v>293808.69449999998</v>
      </c>
    </row>
    <row r="751" spans="1:3" x14ac:dyDescent="0.3">
      <c r="A751" s="11">
        <f>95.19*Hospital_Operations_Data[[#This Row],[Treatment_Cost_USD]]</f>
        <v>325168.08809999999</v>
      </c>
      <c r="C751" s="13">
        <f>95.19*Hospital_Operations_Data[[#This Row],[Medication_Cost_USD]]</f>
        <v>57077.827799999999</v>
      </c>
    </row>
    <row r="752" spans="1:3" x14ac:dyDescent="0.3">
      <c r="A752" s="12">
        <f>95.19*Hospital_Operations_Data[[#This Row],[Treatment_Cost_USD]]</f>
        <v>376128.05460000003</v>
      </c>
      <c r="C752" s="14">
        <f>95.19*Hospital_Operations_Data[[#This Row],[Medication_Cost_USD]]</f>
        <v>124515.18329999999</v>
      </c>
    </row>
    <row r="753" spans="1:3" x14ac:dyDescent="0.3">
      <c r="A753" s="11">
        <f>95.19*Hospital_Operations_Data[[#This Row],[Treatment_Cost_USD]]</f>
        <v>822268.35420000006</v>
      </c>
      <c r="C753" s="13">
        <f>95.19*Hospital_Operations_Data[[#This Row],[Medication_Cost_USD]]</f>
        <v>303531.40110000002</v>
      </c>
    </row>
    <row r="754" spans="1:3" x14ac:dyDescent="0.3">
      <c r="A754" s="12">
        <f>95.19*Hospital_Operations_Data[[#This Row],[Treatment_Cost_USD]]</f>
        <v>566399.53799999994</v>
      </c>
      <c r="C754" s="14">
        <f>95.19*Hospital_Operations_Data[[#This Row],[Medication_Cost_USD]]</f>
        <v>196923.36059999999</v>
      </c>
    </row>
    <row r="755" spans="1:3" x14ac:dyDescent="0.3">
      <c r="A755" s="11">
        <f>95.19*Hospital_Operations_Data[[#This Row],[Treatment_Cost_USD]]</f>
        <v>2233815.1628999999</v>
      </c>
      <c r="C755" s="13">
        <f>95.19*Hospital_Operations_Data[[#This Row],[Medication_Cost_USD]]</f>
        <v>763548.49890000001</v>
      </c>
    </row>
    <row r="756" spans="1:3" x14ac:dyDescent="0.3">
      <c r="A756" s="12">
        <f>95.19*Hospital_Operations_Data[[#This Row],[Treatment_Cost_USD]]</f>
        <v>1190247.1928999999</v>
      </c>
      <c r="C756" s="14">
        <f>95.19*Hospital_Operations_Data[[#This Row],[Medication_Cost_USD]]</f>
        <v>411437.83319999999</v>
      </c>
    </row>
    <row r="757" spans="1:3" x14ac:dyDescent="0.3">
      <c r="A757" s="11">
        <f>95.19*Hospital_Operations_Data[[#This Row],[Treatment_Cost_USD]]</f>
        <v>692682.3996</v>
      </c>
      <c r="C757" s="13">
        <f>95.19*Hospital_Operations_Data[[#This Row],[Medication_Cost_USD]]</f>
        <v>127645.03050000001</v>
      </c>
    </row>
    <row r="758" spans="1:3" x14ac:dyDescent="0.3">
      <c r="A758" s="12">
        <f>95.19*Hospital_Operations_Data[[#This Row],[Treatment_Cost_USD]]</f>
        <v>656038.05720000004</v>
      </c>
      <c r="C758" s="14">
        <f>95.19*Hospital_Operations_Data[[#This Row],[Medication_Cost_USD]]</f>
        <v>203453.3946</v>
      </c>
    </row>
    <row r="759" spans="1:3" x14ac:dyDescent="0.3">
      <c r="A759" s="11">
        <f>95.19*Hospital_Operations_Data[[#This Row],[Treatment_Cost_USD]]</f>
        <v>482167.81079999998</v>
      </c>
      <c r="C759" s="13">
        <f>95.19*Hospital_Operations_Data[[#This Row],[Medication_Cost_USD]]</f>
        <v>179864.36069999999</v>
      </c>
    </row>
    <row r="760" spans="1:3" x14ac:dyDescent="0.3">
      <c r="A760" s="12">
        <f>95.19*Hospital_Operations_Data[[#This Row],[Treatment_Cost_USD]]</f>
        <v>125488.0251</v>
      </c>
      <c r="C760" s="14">
        <f>95.19*Hospital_Operations_Data[[#This Row],[Medication_Cost_USD]]</f>
        <v>34920.451500000003</v>
      </c>
    </row>
    <row r="761" spans="1:3" x14ac:dyDescent="0.3">
      <c r="A761" s="11">
        <f>95.19*Hospital_Operations_Data[[#This Row],[Treatment_Cost_USD]]</f>
        <v>470589.85109999997</v>
      </c>
      <c r="C761" s="13">
        <f>95.19*Hospital_Operations_Data[[#This Row],[Medication_Cost_USD]]</f>
        <v>150801.90179999999</v>
      </c>
    </row>
    <row r="762" spans="1:3" x14ac:dyDescent="0.3">
      <c r="A762" s="12">
        <f>95.19*Hospital_Operations_Data[[#This Row],[Treatment_Cost_USD]]</f>
        <v>992515.6692</v>
      </c>
      <c r="C762" s="14">
        <f>95.19*Hospital_Operations_Data[[#This Row],[Medication_Cost_USD]]</f>
        <v>194025.777</v>
      </c>
    </row>
    <row r="763" spans="1:3" x14ac:dyDescent="0.3">
      <c r="A763" s="11">
        <f>95.19*Hospital_Operations_Data[[#This Row],[Treatment_Cost_USD]]</f>
        <v>320617.05419999996</v>
      </c>
      <c r="C763" s="13">
        <f>95.19*Hospital_Operations_Data[[#This Row],[Medication_Cost_USD]]</f>
        <v>52214.570699999997</v>
      </c>
    </row>
    <row r="764" spans="1:3" x14ac:dyDescent="0.3">
      <c r="A764" s="12">
        <f>95.19*Hospital_Operations_Data[[#This Row],[Treatment_Cost_USD]]</f>
        <v>1756733.3537999999</v>
      </c>
      <c r="C764" s="14">
        <f>95.19*Hospital_Operations_Data[[#This Row],[Medication_Cost_USD]]</f>
        <v>431777.08049999998</v>
      </c>
    </row>
    <row r="765" spans="1:3" x14ac:dyDescent="0.3">
      <c r="A765" s="11">
        <f>95.19*Hospital_Operations_Data[[#This Row],[Treatment_Cost_USD]]</f>
        <v>282279.28169999999</v>
      </c>
      <c r="C765" s="13">
        <f>95.19*Hospital_Operations_Data[[#This Row],[Medication_Cost_USD]]</f>
        <v>71719.953600000008</v>
      </c>
    </row>
    <row r="766" spans="1:3" x14ac:dyDescent="0.3">
      <c r="A766" s="12">
        <f>95.19*Hospital_Operations_Data[[#This Row],[Treatment_Cost_USD]]</f>
        <v>1349884.6305</v>
      </c>
      <c r="C766" s="14">
        <f>95.19*Hospital_Operations_Data[[#This Row],[Medication_Cost_USD]]</f>
        <v>444479.2341</v>
      </c>
    </row>
    <row r="767" spans="1:3" x14ac:dyDescent="0.3">
      <c r="A767" s="11">
        <f>95.19*Hospital_Operations_Data[[#This Row],[Treatment_Cost_USD]]</f>
        <v>1078770.1838999998</v>
      </c>
      <c r="C767" s="13">
        <f>95.19*Hospital_Operations_Data[[#This Row],[Medication_Cost_USD]]</f>
        <v>401998.7928</v>
      </c>
    </row>
    <row r="768" spans="1:3" x14ac:dyDescent="0.3">
      <c r="A768" s="12">
        <f>95.19*Hospital_Operations_Data[[#This Row],[Treatment_Cost_USD]]</f>
        <v>1377497.3456999999</v>
      </c>
      <c r="C768" s="14">
        <f>95.19*Hospital_Operations_Data[[#This Row],[Medication_Cost_USD]]</f>
        <v>516842.67210000003</v>
      </c>
    </row>
    <row r="769" spans="1:3" x14ac:dyDescent="0.3">
      <c r="A769" s="11">
        <f>95.19*Hospital_Operations_Data[[#This Row],[Treatment_Cost_USD]]</f>
        <v>1826626.6113</v>
      </c>
      <c r="C769" s="13">
        <f>95.19*Hospital_Operations_Data[[#This Row],[Medication_Cost_USD]]</f>
        <v>303060.21059999999</v>
      </c>
    </row>
    <row r="770" spans="1:3" x14ac:dyDescent="0.3">
      <c r="A770" s="12">
        <f>95.19*Hospital_Operations_Data[[#This Row],[Treatment_Cost_USD]]</f>
        <v>133455.42809999999</v>
      </c>
      <c r="C770" s="14">
        <f>95.19*Hospital_Operations_Data[[#This Row],[Medication_Cost_USD]]</f>
        <v>35198.406299999995</v>
      </c>
    </row>
    <row r="771" spans="1:3" x14ac:dyDescent="0.3">
      <c r="A771" s="11">
        <f>95.19*Hospital_Operations_Data[[#This Row],[Treatment_Cost_USD]]</f>
        <v>567356.19750000001</v>
      </c>
      <c r="C771" s="13">
        <f>95.19*Hospital_Operations_Data[[#This Row],[Medication_Cost_USD]]</f>
        <v>180544.01730000001</v>
      </c>
    </row>
    <row r="772" spans="1:3" x14ac:dyDescent="0.3">
      <c r="A772" s="12">
        <f>95.19*Hospital_Operations_Data[[#This Row],[Treatment_Cost_USD]]</f>
        <v>234312.0888</v>
      </c>
      <c r="C772" s="14">
        <f>95.19*Hospital_Operations_Data[[#This Row],[Medication_Cost_USD]]</f>
        <v>91004.495699999999</v>
      </c>
    </row>
    <row r="773" spans="1:3" x14ac:dyDescent="0.3">
      <c r="A773" s="11">
        <f>95.19*Hospital_Operations_Data[[#This Row],[Treatment_Cost_USD]]</f>
        <v>252896.98440000002</v>
      </c>
      <c r="C773" s="13">
        <f>95.19*Hospital_Operations_Data[[#This Row],[Medication_Cost_USD]]</f>
        <v>77428.497900000002</v>
      </c>
    </row>
    <row r="774" spans="1:3" x14ac:dyDescent="0.3">
      <c r="A774" s="12">
        <f>95.19*Hospital_Operations_Data[[#This Row],[Treatment_Cost_USD]]</f>
        <v>801513.12659999996</v>
      </c>
      <c r="C774" s="14">
        <f>95.19*Hospital_Operations_Data[[#This Row],[Medication_Cost_USD]]</f>
        <v>313588.22460000002</v>
      </c>
    </row>
    <row r="775" spans="1:3" x14ac:dyDescent="0.3">
      <c r="A775" s="11">
        <f>95.19*Hospital_Operations_Data[[#This Row],[Treatment_Cost_USD]]</f>
        <v>767883.45149999997</v>
      </c>
      <c r="C775" s="13">
        <f>95.19*Hospital_Operations_Data[[#This Row],[Medication_Cost_USD]]</f>
        <v>139718.9301</v>
      </c>
    </row>
    <row r="776" spans="1:3" x14ac:dyDescent="0.3">
      <c r="A776" s="12">
        <f>95.19*Hospital_Operations_Data[[#This Row],[Treatment_Cost_USD]]</f>
        <v>1480530.0497999999</v>
      </c>
      <c r="C776" s="14">
        <f>95.19*Hospital_Operations_Data[[#This Row],[Medication_Cost_USD]]</f>
        <v>447176.91869999992</v>
      </c>
    </row>
    <row r="777" spans="1:3" x14ac:dyDescent="0.3">
      <c r="A777" s="11">
        <f>95.19*Hospital_Operations_Data[[#This Row],[Treatment_Cost_USD]]</f>
        <v>909210.14069999999</v>
      </c>
      <c r="C777" s="13">
        <f>95.19*Hospital_Operations_Data[[#This Row],[Medication_Cost_USD]]</f>
        <v>258609.3363</v>
      </c>
    </row>
    <row r="778" spans="1:3" x14ac:dyDescent="0.3">
      <c r="A778" s="12">
        <f>95.19*Hospital_Operations_Data[[#This Row],[Treatment_Cost_USD]]</f>
        <v>677992.67879999999</v>
      </c>
      <c r="C778" s="14">
        <f>95.19*Hospital_Operations_Data[[#This Row],[Medication_Cost_USD]]</f>
        <v>146143.30319999999</v>
      </c>
    </row>
    <row r="779" spans="1:3" x14ac:dyDescent="0.3">
      <c r="A779" s="11">
        <f>95.19*Hospital_Operations_Data[[#This Row],[Treatment_Cost_USD]]</f>
        <v>676631.46180000005</v>
      </c>
      <c r="C779" s="13">
        <f>95.19*Hospital_Operations_Data[[#This Row],[Medication_Cost_USD]]</f>
        <v>247368.34919999997</v>
      </c>
    </row>
    <row r="780" spans="1:3" x14ac:dyDescent="0.3">
      <c r="A780" s="12">
        <f>95.19*Hospital_Operations_Data[[#This Row],[Treatment_Cost_USD]]</f>
        <v>884292.25439999998</v>
      </c>
      <c r="C780" s="14">
        <f>95.19*Hospital_Operations_Data[[#This Row],[Medication_Cost_USD]]</f>
        <v>340920.12929999997</v>
      </c>
    </row>
    <row r="781" spans="1:3" x14ac:dyDescent="0.3">
      <c r="A781" s="11">
        <f>95.19*Hospital_Operations_Data[[#This Row],[Treatment_Cost_USD]]</f>
        <v>807140.75939999998</v>
      </c>
      <c r="C781" s="13">
        <f>95.19*Hospital_Operations_Data[[#This Row],[Medication_Cost_USD]]</f>
        <v>174767.88810000001</v>
      </c>
    </row>
    <row r="782" spans="1:3" x14ac:dyDescent="0.3">
      <c r="A782" s="12">
        <f>95.19*Hospital_Operations_Data[[#This Row],[Treatment_Cost_USD]]</f>
        <v>964664.02709999995</v>
      </c>
      <c r="C782" s="14">
        <f>95.19*Hospital_Operations_Data[[#This Row],[Medication_Cost_USD]]</f>
        <v>377988.06719999999</v>
      </c>
    </row>
    <row r="783" spans="1:3" x14ac:dyDescent="0.3">
      <c r="A783" s="11">
        <f>95.19*Hospital_Operations_Data[[#This Row],[Treatment_Cost_USD]]</f>
        <v>841171.18440000003</v>
      </c>
      <c r="C783" s="13">
        <f>95.19*Hospital_Operations_Data[[#This Row],[Medication_Cost_USD]]</f>
        <v>328012.3653</v>
      </c>
    </row>
    <row r="784" spans="1:3" x14ac:dyDescent="0.3">
      <c r="A784" s="12">
        <f>95.19*Hospital_Operations_Data[[#This Row],[Treatment_Cost_USD]]</f>
        <v>1244912.9061</v>
      </c>
      <c r="C784" s="14">
        <f>95.19*Hospital_Operations_Data[[#This Row],[Medication_Cost_USD]]</f>
        <v>287022.59940000001</v>
      </c>
    </row>
    <row r="785" spans="1:3" x14ac:dyDescent="0.3">
      <c r="A785" s="11">
        <f>95.19*Hospital_Operations_Data[[#This Row],[Treatment_Cost_USD]]</f>
        <v>662290.13640000008</v>
      </c>
      <c r="C785" s="13">
        <f>95.19*Hospital_Operations_Data[[#This Row],[Medication_Cost_USD]]</f>
        <v>153859.40459999998</v>
      </c>
    </row>
    <row r="786" spans="1:3" x14ac:dyDescent="0.3">
      <c r="A786" s="12">
        <f>95.19*Hospital_Operations_Data[[#This Row],[Treatment_Cost_USD]]</f>
        <v>300805.15950000001</v>
      </c>
      <c r="C786" s="14">
        <f>95.19*Hospital_Operations_Data[[#This Row],[Medication_Cost_USD]]</f>
        <v>71145.005999999994</v>
      </c>
    </row>
    <row r="787" spans="1:3" x14ac:dyDescent="0.3">
      <c r="A787" s="11">
        <f>95.19*Hospital_Operations_Data[[#This Row],[Treatment_Cost_USD]]</f>
        <v>273364.73820000002</v>
      </c>
      <c r="C787" s="13">
        <f>95.19*Hospital_Operations_Data[[#This Row],[Medication_Cost_USD]]</f>
        <v>75776.951399999991</v>
      </c>
    </row>
    <row r="788" spans="1:3" x14ac:dyDescent="0.3">
      <c r="A788" s="12">
        <f>95.19*Hospital_Operations_Data[[#This Row],[Treatment_Cost_USD]]</f>
        <v>368174.9301</v>
      </c>
      <c r="C788" s="14">
        <f>95.19*Hospital_Operations_Data[[#This Row],[Medication_Cost_USD]]</f>
        <v>137234.4711</v>
      </c>
    </row>
    <row r="789" spans="1:3" x14ac:dyDescent="0.3">
      <c r="A789" s="11">
        <f>95.19*Hospital_Operations_Data[[#This Row],[Treatment_Cost_USD]]</f>
        <v>1071990.7520999999</v>
      </c>
      <c r="C789" s="13">
        <f>95.19*Hospital_Operations_Data[[#This Row],[Medication_Cost_USD]]</f>
        <v>373241.89379999996</v>
      </c>
    </row>
    <row r="790" spans="1:3" x14ac:dyDescent="0.3">
      <c r="A790" s="12">
        <f>95.19*Hospital_Operations_Data[[#This Row],[Treatment_Cost_USD]]</f>
        <v>862951.60829999996</v>
      </c>
      <c r="C790" s="14">
        <f>95.19*Hospital_Operations_Data[[#This Row],[Medication_Cost_USD]]</f>
        <v>188017.3842</v>
      </c>
    </row>
    <row r="791" spans="1:3" x14ac:dyDescent="0.3">
      <c r="A791" s="11">
        <f>95.19*Hospital_Operations_Data[[#This Row],[Treatment_Cost_USD]]</f>
        <v>798460.38329999999</v>
      </c>
      <c r="C791" s="13">
        <f>95.19*Hospital_Operations_Data[[#This Row],[Medication_Cost_USD]]</f>
        <v>242710.70249999998</v>
      </c>
    </row>
    <row r="792" spans="1:3" x14ac:dyDescent="0.3">
      <c r="A792" s="12">
        <f>95.19*Hospital_Operations_Data[[#This Row],[Treatment_Cost_USD]]</f>
        <v>317462.45759999997</v>
      </c>
      <c r="C792" s="14">
        <f>95.19*Hospital_Operations_Data[[#This Row],[Medication_Cost_USD]]</f>
        <v>62791.131600000001</v>
      </c>
    </row>
    <row r="793" spans="1:3" x14ac:dyDescent="0.3">
      <c r="A793" s="11">
        <f>95.19*Hospital_Operations_Data[[#This Row],[Treatment_Cost_USD]]</f>
        <v>342083.35109999997</v>
      </c>
      <c r="C793" s="13">
        <f>95.19*Hospital_Operations_Data[[#This Row],[Medication_Cost_USD]]</f>
        <v>123060.6801</v>
      </c>
    </row>
    <row r="794" spans="1:3" x14ac:dyDescent="0.3">
      <c r="A794" s="12">
        <f>95.19*Hospital_Operations_Data[[#This Row],[Treatment_Cost_USD]]</f>
        <v>407876.77529999998</v>
      </c>
      <c r="C794" s="14">
        <f>95.19*Hospital_Operations_Data[[#This Row],[Medication_Cost_USD]]</f>
        <v>140469.02730000002</v>
      </c>
    </row>
    <row r="795" spans="1:3" x14ac:dyDescent="0.3">
      <c r="A795" s="11">
        <f>95.19*Hospital_Operations_Data[[#This Row],[Treatment_Cost_USD]]</f>
        <v>622407.43019999994</v>
      </c>
      <c r="C795" s="13">
        <f>95.19*Hospital_Operations_Data[[#This Row],[Medication_Cost_USD]]</f>
        <v>94133.390999999989</v>
      </c>
    </row>
    <row r="796" spans="1:3" x14ac:dyDescent="0.3">
      <c r="A796" s="12">
        <f>95.19*Hospital_Operations_Data[[#This Row],[Treatment_Cost_USD]]</f>
        <v>105714.2064</v>
      </c>
      <c r="C796" s="14">
        <f>95.19*Hospital_Operations_Data[[#This Row],[Medication_Cost_USD]]</f>
        <v>16565.915700000001</v>
      </c>
    </row>
    <row r="797" spans="1:3" x14ac:dyDescent="0.3">
      <c r="A797" s="11">
        <f>95.19*Hospital_Operations_Data[[#This Row],[Treatment_Cost_USD]]</f>
        <v>461659.12529999996</v>
      </c>
      <c r="C797" s="13">
        <f>95.19*Hospital_Operations_Data[[#This Row],[Medication_Cost_USD]]</f>
        <v>167911.3524</v>
      </c>
    </row>
    <row r="798" spans="1:3" x14ac:dyDescent="0.3">
      <c r="A798" s="12">
        <f>95.19*Hospital_Operations_Data[[#This Row],[Treatment_Cost_USD]]</f>
        <v>942437.16209999996</v>
      </c>
      <c r="C798" s="14">
        <f>95.19*Hospital_Operations_Data[[#This Row],[Medication_Cost_USD]]</f>
        <v>278576.39069999999</v>
      </c>
    </row>
    <row r="799" spans="1:3" x14ac:dyDescent="0.3">
      <c r="A799" s="11">
        <f>95.19*Hospital_Operations_Data[[#This Row],[Treatment_Cost_USD]]</f>
        <v>1041323.3898</v>
      </c>
      <c r="C799" s="13">
        <f>95.19*Hospital_Operations_Data[[#This Row],[Medication_Cost_USD]]</f>
        <v>202578.59849999999</v>
      </c>
    </row>
    <row r="800" spans="1:3" x14ac:dyDescent="0.3">
      <c r="A800" s="12">
        <f>95.19*Hospital_Operations_Data[[#This Row],[Treatment_Cost_USD]]</f>
        <v>692753.79209999996</v>
      </c>
      <c r="C800" s="14">
        <f>95.19*Hospital_Operations_Data[[#This Row],[Medication_Cost_USD]]</f>
        <v>139250.59529999999</v>
      </c>
    </row>
    <row r="801" spans="1:3" x14ac:dyDescent="0.3">
      <c r="A801" s="11">
        <f>95.19*Hospital_Operations_Data[[#This Row],[Treatment_Cost_USD]]</f>
        <v>838611.5253000001</v>
      </c>
      <c r="C801" s="13">
        <f>95.19*Hospital_Operations_Data[[#This Row],[Medication_Cost_USD]]</f>
        <v>142212.9081</v>
      </c>
    </row>
    <row r="802" spans="1:3" x14ac:dyDescent="0.3">
      <c r="A802" s="12">
        <f>95.19*Hospital_Operations_Data[[#This Row],[Treatment_Cost_USD]]</f>
        <v>1339779.2601000001</v>
      </c>
      <c r="C802" s="14">
        <f>95.19*Hospital_Operations_Data[[#This Row],[Medication_Cost_USD]]</f>
        <v>393904.78710000002</v>
      </c>
    </row>
    <row r="803" spans="1:3" x14ac:dyDescent="0.3">
      <c r="A803" s="11">
        <f>95.19*Hospital_Operations_Data[[#This Row],[Treatment_Cost_USD]]</f>
        <v>796010.19270000001</v>
      </c>
      <c r="C803" s="13">
        <f>95.19*Hospital_Operations_Data[[#This Row],[Medication_Cost_USD]]</f>
        <v>141758.8518</v>
      </c>
    </row>
    <row r="804" spans="1:3" x14ac:dyDescent="0.3">
      <c r="A804" s="12">
        <f>95.19*Hospital_Operations_Data[[#This Row],[Treatment_Cost_USD]]</f>
        <v>1231351.1867999998</v>
      </c>
      <c r="C804" s="14">
        <f>95.19*Hospital_Operations_Data[[#This Row],[Medication_Cost_USD]]</f>
        <v>467531.39640000003</v>
      </c>
    </row>
    <row r="805" spans="1:3" x14ac:dyDescent="0.3">
      <c r="A805" s="11">
        <f>95.19*Hospital_Operations_Data[[#This Row],[Treatment_Cost_USD]]</f>
        <v>489264.22529999999</v>
      </c>
      <c r="C805" s="13">
        <f>95.19*Hospital_Operations_Data[[#This Row],[Medication_Cost_USD]]</f>
        <v>78198.584999999992</v>
      </c>
    </row>
    <row r="806" spans="1:3" x14ac:dyDescent="0.3">
      <c r="A806" s="12">
        <f>95.19*Hospital_Operations_Data[[#This Row],[Treatment_Cost_USD]]</f>
        <v>484733.18130000005</v>
      </c>
      <c r="C806" s="14">
        <f>95.19*Hospital_Operations_Data[[#This Row],[Medication_Cost_USD]]</f>
        <v>121717.54920000001</v>
      </c>
    </row>
    <row r="807" spans="1:3" x14ac:dyDescent="0.3">
      <c r="A807" s="11">
        <f>95.19*Hospital_Operations_Data[[#This Row],[Treatment_Cost_USD]]</f>
        <v>483786.04079999996</v>
      </c>
      <c r="C807" s="13">
        <f>95.19*Hospital_Operations_Data[[#This Row],[Medication_Cost_USD]]</f>
        <v>81756.787199999992</v>
      </c>
    </row>
    <row r="808" spans="1:3" x14ac:dyDescent="0.3">
      <c r="A808" s="12">
        <f>95.19*Hospital_Operations_Data[[#This Row],[Treatment_Cost_USD]]</f>
        <v>1042887.3615</v>
      </c>
      <c r="C808" s="14">
        <f>95.19*Hospital_Operations_Data[[#This Row],[Medication_Cost_USD]]</f>
        <v>283617.6531</v>
      </c>
    </row>
    <row r="809" spans="1:3" x14ac:dyDescent="0.3">
      <c r="A809" s="11">
        <f>95.19*Hospital_Operations_Data[[#This Row],[Treatment_Cost_USD]]</f>
        <v>970845.66570000001</v>
      </c>
      <c r="C809" s="13">
        <f>95.19*Hospital_Operations_Data[[#This Row],[Medication_Cost_USD]]</f>
        <v>192373.27859999999</v>
      </c>
    </row>
    <row r="810" spans="1:3" x14ac:dyDescent="0.3">
      <c r="A810" s="12">
        <f>95.19*Hospital_Operations_Data[[#This Row],[Treatment_Cost_USD]]</f>
        <v>1653924.3462</v>
      </c>
      <c r="C810" s="14">
        <f>95.19*Hospital_Operations_Data[[#This Row],[Medication_Cost_USD]]</f>
        <v>414554.35380000004</v>
      </c>
    </row>
    <row r="811" spans="1:3" x14ac:dyDescent="0.3">
      <c r="A811" s="11">
        <f>95.19*Hospital_Operations_Data[[#This Row],[Treatment_Cost_USD]]</f>
        <v>1055003.1446999998</v>
      </c>
      <c r="C811" s="13">
        <f>95.19*Hospital_Operations_Data[[#This Row],[Medication_Cost_USD]]</f>
        <v>214040.4264</v>
      </c>
    </row>
    <row r="812" spans="1:3" x14ac:dyDescent="0.3">
      <c r="A812" s="12">
        <f>95.19*Hospital_Operations_Data[[#This Row],[Treatment_Cost_USD]]</f>
        <v>2006336.7642000001</v>
      </c>
      <c r="C812" s="14">
        <f>95.19*Hospital_Operations_Data[[#This Row],[Medication_Cost_USD]]</f>
        <v>398778.51509999996</v>
      </c>
    </row>
    <row r="813" spans="1:3" x14ac:dyDescent="0.3">
      <c r="A813" s="11">
        <f>95.19*Hospital_Operations_Data[[#This Row],[Treatment_Cost_USD]]</f>
        <v>1241903.9502000001</v>
      </c>
      <c r="C813" s="13">
        <f>95.19*Hospital_Operations_Data[[#This Row],[Medication_Cost_USD]]</f>
        <v>354043.97460000002</v>
      </c>
    </row>
    <row r="814" spans="1:3" x14ac:dyDescent="0.3">
      <c r="A814" s="12">
        <f>95.19*Hospital_Operations_Data[[#This Row],[Treatment_Cost_USD]]</f>
        <v>1633851.6309</v>
      </c>
      <c r="C814" s="14">
        <f>95.19*Hospital_Operations_Data[[#This Row],[Medication_Cost_USD]]</f>
        <v>369492.35970000003</v>
      </c>
    </row>
    <row r="815" spans="1:3" x14ac:dyDescent="0.3">
      <c r="A815" s="11">
        <f>95.19*Hospital_Operations_Data[[#This Row],[Treatment_Cost_USD]]</f>
        <v>165812.4129</v>
      </c>
      <c r="C815" s="13">
        <f>95.19*Hospital_Operations_Data[[#This Row],[Medication_Cost_USD]]</f>
        <v>34428.319199999998</v>
      </c>
    </row>
    <row r="816" spans="1:3" x14ac:dyDescent="0.3">
      <c r="A816" s="12">
        <f>95.19*Hospital_Operations_Data[[#This Row],[Treatment_Cost_USD]]</f>
        <v>1037716.6407</v>
      </c>
      <c r="C816" s="14">
        <f>95.19*Hospital_Operations_Data[[#This Row],[Medication_Cost_USD]]</f>
        <v>393372.67499999999</v>
      </c>
    </row>
    <row r="817" spans="1:3" x14ac:dyDescent="0.3">
      <c r="A817" s="11">
        <f>95.19*Hospital_Operations_Data[[#This Row],[Treatment_Cost_USD]]</f>
        <v>557813.4</v>
      </c>
      <c r="C817" s="13">
        <f>95.19*Hospital_Operations_Data[[#This Row],[Medication_Cost_USD]]</f>
        <v>212322.24690000003</v>
      </c>
    </row>
    <row r="818" spans="1:3" x14ac:dyDescent="0.3">
      <c r="A818" s="12">
        <f>95.19*Hospital_Operations_Data[[#This Row],[Treatment_Cost_USD]]</f>
        <v>411197.0025</v>
      </c>
      <c r="C818" s="14">
        <f>95.19*Hospital_Operations_Data[[#This Row],[Medication_Cost_USD]]</f>
        <v>104814.66089999999</v>
      </c>
    </row>
    <row r="819" spans="1:3" x14ac:dyDescent="0.3">
      <c r="A819" s="11">
        <f>95.19*Hospital_Operations_Data[[#This Row],[Treatment_Cost_USD]]</f>
        <v>863477.05709999998</v>
      </c>
      <c r="C819" s="13">
        <f>95.19*Hospital_Operations_Data[[#This Row],[Medication_Cost_USD]]</f>
        <v>338413.77659999998</v>
      </c>
    </row>
    <row r="820" spans="1:3" x14ac:dyDescent="0.3">
      <c r="A820" s="12">
        <f>95.19*Hospital_Operations_Data[[#This Row],[Treatment_Cost_USD]]</f>
        <v>944605.59030000004</v>
      </c>
      <c r="C820" s="14">
        <f>95.19*Hospital_Operations_Data[[#This Row],[Medication_Cost_USD]]</f>
        <v>275971.99229999998</v>
      </c>
    </row>
    <row r="821" spans="1:3" x14ac:dyDescent="0.3">
      <c r="A821" s="11">
        <f>95.19*Hospital_Operations_Data[[#This Row],[Treatment_Cost_USD]]</f>
        <v>1306109.6051999999</v>
      </c>
      <c r="C821" s="13">
        <f>95.19*Hospital_Operations_Data[[#This Row],[Medication_Cost_USD]]</f>
        <v>241422.78179999997</v>
      </c>
    </row>
    <row r="822" spans="1:3" x14ac:dyDescent="0.3">
      <c r="A822" s="12">
        <f>95.19*Hospital_Operations_Data[[#This Row],[Treatment_Cost_USD]]</f>
        <v>1630471.4339999999</v>
      </c>
      <c r="C822" s="14">
        <f>95.19*Hospital_Operations_Data[[#This Row],[Medication_Cost_USD]]</f>
        <v>573122.8077</v>
      </c>
    </row>
    <row r="823" spans="1:3" x14ac:dyDescent="0.3">
      <c r="A823" s="11">
        <f>95.19*Hospital_Operations_Data[[#This Row],[Treatment_Cost_USD]]</f>
        <v>175632.2133</v>
      </c>
      <c r="C823" s="13">
        <f>95.19*Hospital_Operations_Data[[#This Row],[Medication_Cost_USD]]</f>
        <v>39454.351199999997</v>
      </c>
    </row>
    <row r="824" spans="1:3" x14ac:dyDescent="0.3">
      <c r="A824" s="12">
        <f>95.19*Hospital_Operations_Data[[#This Row],[Treatment_Cost_USD]]</f>
        <v>1160603.1231</v>
      </c>
      <c r="C824" s="14">
        <f>95.19*Hospital_Operations_Data[[#This Row],[Medication_Cost_USD]]</f>
        <v>301144.9878</v>
      </c>
    </row>
    <row r="825" spans="1:3" x14ac:dyDescent="0.3">
      <c r="A825" s="11">
        <f>95.19*Hospital_Operations_Data[[#This Row],[Treatment_Cost_USD]]</f>
        <v>432438.65099999995</v>
      </c>
      <c r="C825" s="13">
        <f>95.19*Hospital_Operations_Data[[#This Row],[Medication_Cost_USD]]</f>
        <v>102476.79449999999</v>
      </c>
    </row>
    <row r="826" spans="1:3" x14ac:dyDescent="0.3">
      <c r="A826" s="12">
        <f>95.19*Hospital_Operations_Data[[#This Row],[Treatment_Cost_USD]]</f>
        <v>351630.90809999994</v>
      </c>
      <c r="C826" s="14">
        <f>95.19*Hospital_Operations_Data[[#This Row],[Medication_Cost_USD]]</f>
        <v>131739.15239999999</v>
      </c>
    </row>
    <row r="827" spans="1:3" x14ac:dyDescent="0.3">
      <c r="A827" s="11">
        <f>95.19*Hospital_Operations_Data[[#This Row],[Treatment_Cost_USD]]</f>
        <v>1731601.29</v>
      </c>
      <c r="C827" s="13">
        <f>95.19*Hospital_Operations_Data[[#This Row],[Medication_Cost_USD]]</f>
        <v>680134.45380000002</v>
      </c>
    </row>
    <row r="828" spans="1:3" x14ac:dyDescent="0.3">
      <c r="A828" s="12">
        <f>95.19*Hospital_Operations_Data[[#This Row],[Treatment_Cost_USD]]</f>
        <v>577659.56309999991</v>
      </c>
      <c r="C828" s="14">
        <f>95.19*Hospital_Operations_Data[[#This Row],[Medication_Cost_USD]]</f>
        <v>208327.1226</v>
      </c>
    </row>
    <row r="829" spans="1:3" x14ac:dyDescent="0.3">
      <c r="A829" s="11">
        <f>95.19*Hospital_Operations_Data[[#This Row],[Treatment_Cost_USD]]</f>
        <v>2065980.9143999999</v>
      </c>
      <c r="C829" s="13">
        <f>95.19*Hospital_Operations_Data[[#This Row],[Medication_Cost_USD]]</f>
        <v>666081.55410000007</v>
      </c>
    </row>
    <row r="830" spans="1:3" x14ac:dyDescent="0.3">
      <c r="A830" s="12">
        <f>95.19*Hospital_Operations_Data[[#This Row],[Treatment_Cost_USD]]</f>
        <v>1303176.8012999999</v>
      </c>
      <c r="C830" s="14">
        <f>95.19*Hospital_Operations_Data[[#This Row],[Medication_Cost_USD]]</f>
        <v>500189.18160000001</v>
      </c>
    </row>
    <row r="831" spans="1:3" x14ac:dyDescent="0.3">
      <c r="A831" s="11">
        <f>95.19*Hospital_Operations_Data[[#This Row],[Treatment_Cost_USD]]</f>
        <v>1487780.6721000001</v>
      </c>
      <c r="C831" s="13">
        <f>95.19*Hospital_Operations_Data[[#This Row],[Medication_Cost_USD]]</f>
        <v>422580.7746</v>
      </c>
    </row>
    <row r="832" spans="1:3" x14ac:dyDescent="0.3">
      <c r="A832" s="12">
        <f>95.19*Hospital_Operations_Data[[#This Row],[Treatment_Cost_USD]]</f>
        <v>1570488.4073999999</v>
      </c>
      <c r="C832" s="14">
        <f>95.19*Hospital_Operations_Data[[#This Row],[Medication_Cost_USD]]</f>
        <v>526893.78419999999</v>
      </c>
    </row>
    <row r="833" spans="1:3" x14ac:dyDescent="0.3">
      <c r="A833" s="11">
        <f>95.19*Hospital_Operations_Data[[#This Row],[Treatment_Cost_USD]]</f>
        <v>734664.99719999998</v>
      </c>
      <c r="C833" s="13">
        <f>95.19*Hospital_Operations_Data[[#This Row],[Medication_Cost_USD]]</f>
        <v>166239.81599999999</v>
      </c>
    </row>
    <row r="834" spans="1:3" x14ac:dyDescent="0.3">
      <c r="A834" s="12">
        <f>95.19*Hospital_Operations_Data[[#This Row],[Treatment_Cost_USD]]</f>
        <v>762959.27279999992</v>
      </c>
      <c r="C834" s="14">
        <f>95.19*Hospital_Operations_Data[[#This Row],[Medication_Cost_USD]]</f>
        <v>302955.50159999996</v>
      </c>
    </row>
    <row r="835" spans="1:3" x14ac:dyDescent="0.3">
      <c r="A835" s="11">
        <f>95.19*Hospital_Operations_Data[[#This Row],[Treatment_Cost_USD]]</f>
        <v>1843589.4693</v>
      </c>
      <c r="C835" s="13">
        <f>95.19*Hospital_Operations_Data[[#This Row],[Medication_Cost_USD]]</f>
        <v>323796.40019999997</v>
      </c>
    </row>
    <row r="836" spans="1:3" x14ac:dyDescent="0.3">
      <c r="A836" s="12">
        <f>95.19*Hospital_Operations_Data[[#This Row],[Treatment_Cost_USD]]</f>
        <v>1266378.2511</v>
      </c>
      <c r="C836" s="14">
        <f>95.19*Hospital_Operations_Data[[#This Row],[Medication_Cost_USD]]</f>
        <v>368982.14130000002</v>
      </c>
    </row>
    <row r="837" spans="1:3" x14ac:dyDescent="0.3">
      <c r="A837" s="11">
        <f>95.19*Hospital_Operations_Data[[#This Row],[Treatment_Cost_USD]]</f>
        <v>731875.93019999994</v>
      </c>
      <c r="C837" s="13">
        <f>95.19*Hospital_Operations_Data[[#This Row],[Medication_Cost_USD]]</f>
        <v>217588.15769999998</v>
      </c>
    </row>
    <row r="838" spans="1:3" x14ac:dyDescent="0.3">
      <c r="A838" s="12">
        <f>95.19*Hospital_Operations_Data[[#This Row],[Treatment_Cost_USD]]</f>
        <v>890504.35380000004</v>
      </c>
      <c r="C838" s="14">
        <f>95.19*Hospital_Operations_Data[[#This Row],[Medication_Cost_USD]]</f>
        <v>354241.96980000002</v>
      </c>
    </row>
    <row r="839" spans="1:3" x14ac:dyDescent="0.3">
      <c r="A839" s="11">
        <f>95.19*Hospital_Operations_Data[[#This Row],[Treatment_Cost_USD]]</f>
        <v>760842.24719999998</v>
      </c>
      <c r="C839" s="13">
        <f>95.19*Hospital_Operations_Data[[#This Row],[Medication_Cost_USD]]</f>
        <v>176345.18639999998</v>
      </c>
    </row>
    <row r="840" spans="1:3" x14ac:dyDescent="0.3">
      <c r="A840" s="12">
        <f>95.19*Hospital_Operations_Data[[#This Row],[Treatment_Cost_USD]]</f>
        <v>1836593.9561999999</v>
      </c>
      <c r="C840" s="14">
        <f>95.19*Hospital_Operations_Data[[#This Row],[Medication_Cost_USD]]</f>
        <v>714784.56569999992</v>
      </c>
    </row>
    <row r="841" spans="1:3" x14ac:dyDescent="0.3">
      <c r="A841" s="11">
        <f>95.19*Hospital_Operations_Data[[#This Row],[Treatment_Cost_USD]]</f>
        <v>818025.73590000009</v>
      </c>
      <c r="C841" s="13">
        <f>95.19*Hospital_Operations_Data[[#This Row],[Medication_Cost_USD]]</f>
        <v>186879.86369999999</v>
      </c>
    </row>
    <row r="842" spans="1:3" x14ac:dyDescent="0.3">
      <c r="A842" s="12">
        <f>95.19*Hospital_Operations_Data[[#This Row],[Treatment_Cost_USD]]</f>
        <v>232463.49899999998</v>
      </c>
      <c r="C842" s="14">
        <f>95.19*Hospital_Operations_Data[[#This Row],[Medication_Cost_USD]]</f>
        <v>45923.463599999995</v>
      </c>
    </row>
    <row r="843" spans="1:3" x14ac:dyDescent="0.3">
      <c r="A843" s="11">
        <f>95.19*Hospital_Operations_Data[[#This Row],[Treatment_Cost_USD]]</f>
        <v>574118.49509999994</v>
      </c>
      <c r="C843" s="13">
        <f>95.19*Hospital_Operations_Data[[#This Row],[Medication_Cost_USD]]</f>
        <v>209228.57190000001</v>
      </c>
    </row>
    <row r="844" spans="1:3" x14ac:dyDescent="0.3">
      <c r="A844" s="12">
        <f>95.19*Hospital_Operations_Data[[#This Row],[Treatment_Cost_USD]]</f>
        <v>912644.59590000007</v>
      </c>
      <c r="C844" s="14">
        <f>95.19*Hospital_Operations_Data[[#This Row],[Medication_Cost_USD]]</f>
        <v>289067.2806</v>
      </c>
    </row>
    <row r="845" spans="1:3" x14ac:dyDescent="0.3">
      <c r="A845" s="11">
        <f>95.19*Hospital_Operations_Data[[#This Row],[Treatment_Cost_USD]]</f>
        <v>546597.16229999997</v>
      </c>
      <c r="C845" s="13">
        <f>95.19*Hospital_Operations_Data[[#This Row],[Medication_Cost_USD]]</f>
        <v>107632.2849</v>
      </c>
    </row>
    <row r="846" spans="1:3" x14ac:dyDescent="0.3">
      <c r="A846" s="12">
        <f>95.19*Hospital_Operations_Data[[#This Row],[Treatment_Cost_USD]]</f>
        <v>1184772.8159999999</v>
      </c>
      <c r="C846" s="14">
        <f>95.19*Hospital_Operations_Data[[#This Row],[Medication_Cost_USD]]</f>
        <v>201551.49840000001</v>
      </c>
    </row>
    <row r="847" spans="1:3" x14ac:dyDescent="0.3">
      <c r="A847" s="11">
        <f>95.19*Hospital_Operations_Data[[#This Row],[Treatment_Cost_USD]]</f>
        <v>1859050.2290999999</v>
      </c>
      <c r="C847" s="13">
        <f>95.19*Hospital_Operations_Data[[#This Row],[Medication_Cost_USD]]</f>
        <v>305829.28769999999</v>
      </c>
    </row>
    <row r="848" spans="1:3" x14ac:dyDescent="0.3">
      <c r="A848" s="12">
        <f>95.19*Hospital_Operations_Data[[#This Row],[Treatment_Cost_USD]]</f>
        <v>2111694.0081000002</v>
      </c>
      <c r="C848" s="14">
        <f>95.19*Hospital_Operations_Data[[#This Row],[Medication_Cost_USD]]</f>
        <v>576774.29609999992</v>
      </c>
    </row>
    <row r="849" spans="1:3" x14ac:dyDescent="0.3">
      <c r="A849" s="11">
        <f>95.19*Hospital_Operations_Data[[#This Row],[Treatment_Cost_USD]]</f>
        <v>927873.09210000001</v>
      </c>
      <c r="C849" s="13">
        <f>95.19*Hospital_Operations_Data[[#This Row],[Medication_Cost_USD]]</f>
        <v>294678.73109999998</v>
      </c>
    </row>
    <row r="850" spans="1:3" x14ac:dyDescent="0.3">
      <c r="A850" s="12">
        <f>95.19*Hospital_Operations_Data[[#This Row],[Treatment_Cost_USD]]</f>
        <v>824840.38800000004</v>
      </c>
      <c r="C850" s="14">
        <f>95.19*Hospital_Operations_Data[[#This Row],[Medication_Cost_USD]]</f>
        <v>141647.47949999999</v>
      </c>
    </row>
    <row r="851" spans="1:3" x14ac:dyDescent="0.3">
      <c r="A851" s="11">
        <f>95.19*Hospital_Operations_Data[[#This Row],[Treatment_Cost_USD]]</f>
        <v>540634.46069999994</v>
      </c>
      <c r="C851" s="13">
        <f>95.19*Hospital_Operations_Data[[#This Row],[Medication_Cost_USD]]</f>
        <v>178423.18410000001</v>
      </c>
    </row>
    <row r="852" spans="1:3" x14ac:dyDescent="0.3">
      <c r="A852" s="12">
        <f>95.19*Hospital_Operations_Data[[#This Row],[Treatment_Cost_USD]]</f>
        <v>1180929.9957000001</v>
      </c>
      <c r="C852" s="14">
        <f>95.19*Hospital_Operations_Data[[#This Row],[Medication_Cost_USD]]</f>
        <v>291730.69679999998</v>
      </c>
    </row>
    <row r="853" spans="1:3" x14ac:dyDescent="0.3">
      <c r="A853" s="11">
        <f>95.19*Hospital_Operations_Data[[#This Row],[Treatment_Cost_USD]]</f>
        <v>1305614.6172</v>
      </c>
      <c r="C853" s="13">
        <f>95.19*Hospital_Operations_Data[[#This Row],[Medication_Cost_USD]]</f>
        <v>456226.63199999998</v>
      </c>
    </row>
    <row r="854" spans="1:3" x14ac:dyDescent="0.3">
      <c r="A854" s="12">
        <f>95.19*Hospital_Operations_Data[[#This Row],[Treatment_Cost_USD]]</f>
        <v>968185.10519999999</v>
      </c>
      <c r="C854" s="14">
        <f>95.19*Hospital_Operations_Data[[#This Row],[Medication_Cost_USD]]</f>
        <v>154085.0049</v>
      </c>
    </row>
    <row r="855" spans="1:3" x14ac:dyDescent="0.3">
      <c r="A855" s="11">
        <f>95.19*Hospital_Operations_Data[[#This Row],[Treatment_Cost_USD]]</f>
        <v>369028.7844</v>
      </c>
      <c r="C855" s="13">
        <f>95.19*Hospital_Operations_Data[[#This Row],[Medication_Cost_USD]]</f>
        <v>139871.2341</v>
      </c>
    </row>
    <row r="856" spans="1:3" x14ac:dyDescent="0.3">
      <c r="A856" s="12">
        <f>95.19*Hospital_Operations_Data[[#This Row],[Treatment_Cost_USD]]</f>
        <v>1020702.3801000001</v>
      </c>
      <c r="C856" s="14">
        <f>95.19*Hospital_Operations_Data[[#This Row],[Medication_Cost_USD]]</f>
        <v>211535.97750000001</v>
      </c>
    </row>
    <row r="857" spans="1:3" x14ac:dyDescent="0.3">
      <c r="A857" s="11">
        <f>95.19*Hospital_Operations_Data[[#This Row],[Treatment_Cost_USD]]</f>
        <v>199522.04759999999</v>
      </c>
      <c r="C857" s="13">
        <f>95.19*Hospital_Operations_Data[[#This Row],[Medication_Cost_USD]]</f>
        <v>50747.692799999997</v>
      </c>
    </row>
    <row r="858" spans="1:3" x14ac:dyDescent="0.3">
      <c r="A858" s="12">
        <f>95.19*Hospital_Operations_Data[[#This Row],[Treatment_Cost_USD]]</f>
        <v>1057916.9106000001</v>
      </c>
      <c r="C858" s="14">
        <f>95.19*Hospital_Operations_Data[[#This Row],[Medication_Cost_USD]]</f>
        <v>186890.3346</v>
      </c>
    </row>
    <row r="859" spans="1:3" x14ac:dyDescent="0.3">
      <c r="A859" s="11">
        <f>95.19*Hospital_Operations_Data[[#This Row],[Treatment_Cost_USD]]</f>
        <v>667752.13859999995</v>
      </c>
      <c r="C859" s="13">
        <f>95.19*Hospital_Operations_Data[[#This Row],[Medication_Cost_USD]]</f>
        <v>153819.42480000001</v>
      </c>
    </row>
    <row r="860" spans="1:3" x14ac:dyDescent="0.3">
      <c r="A860" s="12">
        <f>95.19*Hospital_Operations_Data[[#This Row],[Treatment_Cost_USD]]</f>
        <v>193289.00639999998</v>
      </c>
      <c r="C860" s="14">
        <f>95.19*Hospital_Operations_Data[[#This Row],[Medication_Cost_USD]]</f>
        <v>72095.002200000003</v>
      </c>
    </row>
    <row r="861" spans="1:3" x14ac:dyDescent="0.3">
      <c r="A861" s="11">
        <f>95.19*Hospital_Operations_Data[[#This Row],[Treatment_Cost_USD]]</f>
        <v>1326766.7871000001</v>
      </c>
      <c r="C861" s="13">
        <f>95.19*Hospital_Operations_Data[[#This Row],[Medication_Cost_USD]]</f>
        <v>288700.7991</v>
      </c>
    </row>
    <row r="862" spans="1:3" x14ac:dyDescent="0.3">
      <c r="A862" s="12">
        <f>95.19*Hospital_Operations_Data[[#This Row],[Treatment_Cost_USD]]</f>
        <v>398601.46170000004</v>
      </c>
      <c r="C862" s="14">
        <f>95.19*Hospital_Operations_Data[[#This Row],[Medication_Cost_USD]]</f>
        <v>66959.501699999993</v>
      </c>
    </row>
    <row r="863" spans="1:3" x14ac:dyDescent="0.3">
      <c r="A863" s="11">
        <f>95.19*Hospital_Operations_Data[[#This Row],[Treatment_Cost_USD]]</f>
        <v>889996.99109999998</v>
      </c>
      <c r="C863" s="13">
        <f>95.19*Hospital_Operations_Data[[#This Row],[Medication_Cost_USD]]</f>
        <v>199745.74409999998</v>
      </c>
    </row>
    <row r="864" spans="1:3" x14ac:dyDescent="0.3">
      <c r="A864" s="12">
        <f>95.19*Hospital_Operations_Data[[#This Row],[Treatment_Cost_USD]]</f>
        <v>480388.70970000001</v>
      </c>
      <c r="C864" s="14">
        <f>95.19*Hospital_Operations_Data[[#This Row],[Medication_Cost_USD]]</f>
        <v>115069.47959999999</v>
      </c>
    </row>
    <row r="865" spans="1:3" x14ac:dyDescent="0.3">
      <c r="A865" s="11">
        <f>95.19*Hospital_Operations_Data[[#This Row],[Treatment_Cost_USD]]</f>
        <v>1740750.0009000001</v>
      </c>
      <c r="C865" s="13">
        <f>95.19*Hospital_Operations_Data[[#This Row],[Medication_Cost_USD]]</f>
        <v>452937.8175</v>
      </c>
    </row>
    <row r="866" spans="1:3" x14ac:dyDescent="0.3">
      <c r="A866" s="12">
        <f>95.19*Hospital_Operations_Data[[#This Row],[Treatment_Cost_USD]]</f>
        <v>1060250.0175000001</v>
      </c>
      <c r="C866" s="14">
        <f>95.19*Hospital_Operations_Data[[#This Row],[Medication_Cost_USD]]</f>
        <v>277092.3786</v>
      </c>
    </row>
    <row r="867" spans="1:3" x14ac:dyDescent="0.3">
      <c r="A867" s="11">
        <f>95.19*Hospital_Operations_Data[[#This Row],[Treatment_Cost_USD]]</f>
        <v>1789668.1418999997</v>
      </c>
      <c r="C867" s="13">
        <f>95.19*Hospital_Operations_Data[[#This Row],[Medication_Cost_USD]]</f>
        <v>669369.41670000006</v>
      </c>
    </row>
    <row r="868" spans="1:3" x14ac:dyDescent="0.3">
      <c r="A868" s="12">
        <f>95.19*Hospital_Operations_Data[[#This Row],[Treatment_Cost_USD]]</f>
        <v>752941.47719999996</v>
      </c>
      <c r="C868" s="14">
        <f>95.19*Hospital_Operations_Data[[#This Row],[Medication_Cost_USD]]</f>
        <v>143212.4031</v>
      </c>
    </row>
    <row r="869" spans="1:3" x14ac:dyDescent="0.3">
      <c r="A869" s="11">
        <f>95.19*Hospital_Operations_Data[[#This Row],[Treatment_Cost_USD]]</f>
        <v>943161.55800000008</v>
      </c>
      <c r="C869" s="13">
        <f>95.19*Hospital_Operations_Data[[#This Row],[Medication_Cost_USD]]</f>
        <v>143880.63689999998</v>
      </c>
    </row>
    <row r="870" spans="1:3" x14ac:dyDescent="0.3">
      <c r="A870" s="12">
        <f>95.19*Hospital_Operations_Data[[#This Row],[Treatment_Cost_USD]]</f>
        <v>103502.94269999999</v>
      </c>
      <c r="C870" s="14">
        <f>95.19*Hospital_Operations_Data[[#This Row],[Medication_Cost_USD]]</f>
        <v>29228.089500000002</v>
      </c>
    </row>
    <row r="871" spans="1:3" x14ac:dyDescent="0.3">
      <c r="A871" s="11">
        <f>95.19*Hospital_Operations_Data[[#This Row],[Treatment_Cost_USD]]</f>
        <v>588407.4659999999</v>
      </c>
      <c r="C871" s="13">
        <f>95.19*Hospital_Operations_Data[[#This Row],[Medication_Cost_USD]]</f>
        <v>123466.18949999999</v>
      </c>
    </row>
    <row r="872" spans="1:3" x14ac:dyDescent="0.3">
      <c r="A872" s="12">
        <f>95.19*Hospital_Operations_Data[[#This Row],[Treatment_Cost_USD]]</f>
        <v>1003917.5273999999</v>
      </c>
      <c r="C872" s="14">
        <f>95.19*Hospital_Operations_Data[[#This Row],[Medication_Cost_USD]]</f>
        <v>400207.31699999998</v>
      </c>
    </row>
    <row r="873" spans="1:3" x14ac:dyDescent="0.3">
      <c r="A873" s="11">
        <f>95.19*Hospital_Operations_Data[[#This Row],[Treatment_Cost_USD]]</f>
        <v>503200.04130000004</v>
      </c>
      <c r="C873" s="13">
        <f>95.19*Hospital_Operations_Data[[#This Row],[Medication_Cost_USD]]</f>
        <v>170600.4699</v>
      </c>
    </row>
    <row r="874" spans="1:3" x14ac:dyDescent="0.3">
      <c r="A874" s="12">
        <f>95.19*Hospital_Operations_Data[[#This Row],[Treatment_Cost_USD]]</f>
        <v>714338.12459999998</v>
      </c>
      <c r="C874" s="14">
        <f>95.19*Hospital_Operations_Data[[#This Row],[Medication_Cost_USD]]</f>
        <v>237300.10289999997</v>
      </c>
    </row>
    <row r="875" spans="1:3" x14ac:dyDescent="0.3">
      <c r="A875" s="11">
        <f>95.19*Hospital_Operations_Data[[#This Row],[Treatment_Cost_USD]]</f>
        <v>760536.68729999999</v>
      </c>
      <c r="C875" s="13">
        <f>95.19*Hospital_Operations_Data[[#This Row],[Medication_Cost_USD]]</f>
        <v>147065.6943</v>
      </c>
    </row>
    <row r="876" spans="1:3" x14ac:dyDescent="0.3">
      <c r="A876" s="12">
        <f>95.19*Hospital_Operations_Data[[#This Row],[Treatment_Cost_USD]]</f>
        <v>488162.87699999998</v>
      </c>
      <c r="C876" s="14">
        <f>95.19*Hospital_Operations_Data[[#This Row],[Medication_Cost_USD]]</f>
        <v>98291.290199999989</v>
      </c>
    </row>
    <row r="877" spans="1:3" x14ac:dyDescent="0.3">
      <c r="A877" s="11">
        <f>95.19*Hospital_Operations_Data[[#This Row],[Treatment_Cost_USD]]</f>
        <v>345758.63699999999</v>
      </c>
      <c r="C877" s="13">
        <f>95.19*Hospital_Operations_Data[[#This Row],[Medication_Cost_USD]]</f>
        <v>123979.26360000001</v>
      </c>
    </row>
    <row r="878" spans="1:3" x14ac:dyDescent="0.3">
      <c r="A878" s="12">
        <f>95.19*Hospital_Operations_Data[[#This Row],[Treatment_Cost_USD]]</f>
        <v>1330536.3111</v>
      </c>
      <c r="C878" s="14">
        <f>95.19*Hospital_Operations_Data[[#This Row],[Medication_Cost_USD]]</f>
        <v>272717.44620000001</v>
      </c>
    </row>
    <row r="879" spans="1:3" x14ac:dyDescent="0.3">
      <c r="A879" s="11">
        <f>95.19*Hospital_Operations_Data[[#This Row],[Treatment_Cost_USD]]</f>
        <v>1619412.2597999999</v>
      </c>
      <c r="C879" s="13">
        <f>95.19*Hospital_Operations_Data[[#This Row],[Medication_Cost_USD]]</f>
        <v>564465.27720000001</v>
      </c>
    </row>
    <row r="880" spans="1:3" x14ac:dyDescent="0.3">
      <c r="A880" s="12">
        <f>95.19*Hospital_Operations_Data[[#This Row],[Treatment_Cost_USD]]</f>
        <v>393417.4143</v>
      </c>
      <c r="C880" s="14">
        <f>95.19*Hospital_Operations_Data[[#This Row],[Medication_Cost_USD]]</f>
        <v>121325.3664</v>
      </c>
    </row>
    <row r="881" spans="1:3" x14ac:dyDescent="0.3">
      <c r="A881" s="11">
        <f>95.19*Hospital_Operations_Data[[#This Row],[Treatment_Cost_USD]]</f>
        <v>285629.96970000002</v>
      </c>
      <c r="C881" s="13">
        <f>95.19*Hospital_Operations_Data[[#This Row],[Medication_Cost_USD]]</f>
        <v>66977.587799999994</v>
      </c>
    </row>
    <row r="882" spans="1:3" x14ac:dyDescent="0.3">
      <c r="A882" s="12">
        <f>95.19*Hospital_Operations_Data[[#This Row],[Treatment_Cost_USD]]</f>
        <v>1220391.0101999999</v>
      </c>
      <c r="C882" s="14">
        <f>95.19*Hospital_Operations_Data[[#This Row],[Medication_Cost_USD]]</f>
        <v>425421.24420000002</v>
      </c>
    </row>
    <row r="883" spans="1:3" x14ac:dyDescent="0.3">
      <c r="A883" s="11">
        <f>95.19*Hospital_Operations_Data[[#This Row],[Treatment_Cost_USD]]</f>
        <v>895795.01399999997</v>
      </c>
      <c r="C883" s="13">
        <f>95.19*Hospital_Operations_Data[[#This Row],[Medication_Cost_USD]]</f>
        <v>271767.45</v>
      </c>
    </row>
    <row r="884" spans="1:3" x14ac:dyDescent="0.3">
      <c r="A884" s="12">
        <f>95.19*Hospital_Operations_Data[[#This Row],[Treatment_Cost_USD]]</f>
        <v>323163.38669999997</v>
      </c>
      <c r="C884" s="14">
        <f>95.19*Hospital_Operations_Data[[#This Row],[Medication_Cost_USD]]</f>
        <v>99906.664499999999</v>
      </c>
    </row>
    <row r="885" spans="1:3" x14ac:dyDescent="0.3">
      <c r="A885" s="11">
        <f>95.19*Hospital_Operations_Data[[#This Row],[Treatment_Cost_USD]]</f>
        <v>1214922.3446999998</v>
      </c>
      <c r="C885" s="13">
        <f>95.19*Hospital_Operations_Data[[#This Row],[Medication_Cost_USD]]</f>
        <v>370121.56559999997</v>
      </c>
    </row>
    <row r="886" spans="1:3" x14ac:dyDescent="0.3">
      <c r="A886" s="12">
        <f>95.19*Hospital_Operations_Data[[#This Row],[Treatment_Cost_USD]]</f>
        <v>729895.97820000001</v>
      </c>
      <c r="C886" s="14">
        <f>95.19*Hospital_Operations_Data[[#This Row],[Medication_Cost_USD]]</f>
        <v>131100.42749999999</v>
      </c>
    </row>
    <row r="887" spans="1:3" x14ac:dyDescent="0.3">
      <c r="A887" s="11">
        <f>95.19*Hospital_Operations_Data[[#This Row],[Treatment_Cost_USD]]</f>
        <v>535468.49939999997</v>
      </c>
      <c r="C887" s="13">
        <f>95.19*Hospital_Operations_Data[[#This Row],[Medication_Cost_USD]]</f>
        <v>194793.96029999998</v>
      </c>
    </row>
    <row r="888" spans="1:3" x14ac:dyDescent="0.3">
      <c r="A888" s="12">
        <f>95.19*Hospital_Operations_Data[[#This Row],[Treatment_Cost_USD]]</f>
        <v>402909.76109999995</v>
      </c>
      <c r="C888" s="14">
        <f>95.19*Hospital_Operations_Data[[#This Row],[Medication_Cost_USD]]</f>
        <v>60558.926100000004</v>
      </c>
    </row>
    <row r="889" spans="1:3" x14ac:dyDescent="0.3">
      <c r="A889" s="11">
        <f>95.19*Hospital_Operations_Data[[#This Row],[Treatment_Cost_USD]]</f>
        <v>1131982.3458</v>
      </c>
      <c r="C889" s="13">
        <f>95.19*Hospital_Operations_Data[[#This Row],[Medication_Cost_USD]]</f>
        <v>426501.65069999994</v>
      </c>
    </row>
    <row r="890" spans="1:3" x14ac:dyDescent="0.3">
      <c r="A890" s="12">
        <f>95.19*Hospital_Operations_Data[[#This Row],[Treatment_Cost_USD]]</f>
        <v>1160568.8546999998</v>
      </c>
      <c r="C890" s="14">
        <f>95.19*Hospital_Operations_Data[[#This Row],[Medication_Cost_USD]]</f>
        <v>251399.64570000002</v>
      </c>
    </row>
    <row r="891" spans="1:3" x14ac:dyDescent="0.3">
      <c r="A891" s="11">
        <f>95.19*Hospital_Operations_Data[[#This Row],[Treatment_Cost_USD]]</f>
        <v>860425.26569999999</v>
      </c>
      <c r="C891" s="13">
        <f>95.19*Hospital_Operations_Data[[#This Row],[Medication_Cost_USD]]</f>
        <v>145352.27429999999</v>
      </c>
    </row>
    <row r="892" spans="1:3" x14ac:dyDescent="0.3">
      <c r="A892" s="12">
        <f>95.19*Hospital_Operations_Data[[#This Row],[Treatment_Cost_USD]]</f>
        <v>757516.30859999999</v>
      </c>
      <c r="C892" s="14">
        <f>95.19*Hospital_Operations_Data[[#This Row],[Medication_Cost_USD]]</f>
        <v>116518.2714</v>
      </c>
    </row>
    <row r="893" spans="1:3" x14ac:dyDescent="0.3">
      <c r="A893" s="11">
        <f>95.19*Hospital_Operations_Data[[#This Row],[Treatment_Cost_USD]]</f>
        <v>522119.05380000005</v>
      </c>
      <c r="C893" s="13">
        <f>95.19*Hospital_Operations_Data[[#This Row],[Medication_Cost_USD]]</f>
        <v>160314.23850000001</v>
      </c>
    </row>
    <row r="894" spans="1:3" x14ac:dyDescent="0.3">
      <c r="A894" s="12">
        <f>95.19*Hospital_Operations_Data[[#This Row],[Treatment_Cost_USD]]</f>
        <v>406054.83869999996</v>
      </c>
      <c r="C894" s="14">
        <f>95.19*Hospital_Operations_Data[[#This Row],[Medication_Cost_USD]]</f>
        <v>111894.8931</v>
      </c>
    </row>
    <row r="895" spans="1:3" x14ac:dyDescent="0.3">
      <c r="A895" s="11">
        <f>95.19*Hospital_Operations_Data[[#This Row],[Treatment_Cost_USD]]</f>
        <v>668086.25549999997</v>
      </c>
      <c r="C895" s="13">
        <f>95.19*Hospital_Operations_Data[[#This Row],[Medication_Cost_USD]]</f>
        <v>125950.64850000001</v>
      </c>
    </row>
    <row r="896" spans="1:3" x14ac:dyDescent="0.3">
      <c r="A896" s="12">
        <f>95.19*Hospital_Operations_Data[[#This Row],[Treatment_Cost_USD]]</f>
        <v>348530.5698</v>
      </c>
      <c r="C896" s="14">
        <f>95.19*Hospital_Operations_Data[[#This Row],[Medication_Cost_USD]]</f>
        <v>91847.879099999991</v>
      </c>
    </row>
    <row r="897" spans="1:3" x14ac:dyDescent="0.3">
      <c r="A897" s="11">
        <f>95.19*Hospital_Operations_Data[[#This Row],[Treatment_Cost_USD]]</f>
        <v>784273.26569999999</v>
      </c>
      <c r="C897" s="13">
        <f>95.19*Hospital_Operations_Data[[#This Row],[Medication_Cost_USD]]</f>
        <v>261771.54809999999</v>
      </c>
    </row>
    <row r="898" spans="1:3" x14ac:dyDescent="0.3">
      <c r="A898" s="12">
        <f>95.19*Hospital_Operations_Data[[#This Row],[Treatment_Cost_USD]]</f>
        <v>325994.33730000001</v>
      </c>
      <c r="C898" s="14">
        <f>95.19*Hospital_Operations_Data[[#This Row],[Medication_Cost_USD]]</f>
        <v>88995.986699999994</v>
      </c>
    </row>
    <row r="899" spans="1:3" x14ac:dyDescent="0.3">
      <c r="A899" s="11">
        <f>95.19*Hospital_Operations_Data[[#This Row],[Treatment_Cost_USD]]</f>
        <v>189397.63920000001</v>
      </c>
      <c r="C899" s="13">
        <f>95.19*Hospital_Operations_Data[[#This Row],[Medication_Cost_USD]]</f>
        <v>68627.230500000005</v>
      </c>
    </row>
    <row r="900" spans="1:3" x14ac:dyDescent="0.3">
      <c r="A900" s="12">
        <f>95.19*Hospital_Operations_Data[[#This Row],[Treatment_Cost_USD]]</f>
        <v>660019.85490000003</v>
      </c>
      <c r="C900" s="14">
        <f>95.19*Hospital_Operations_Data[[#This Row],[Medication_Cost_USD]]</f>
        <v>110328.06569999999</v>
      </c>
    </row>
    <row r="901" spans="1:3" x14ac:dyDescent="0.3">
      <c r="A901" s="11">
        <f>95.19*Hospital_Operations_Data[[#This Row],[Treatment_Cost_USD]]</f>
        <v>984524.46869999997</v>
      </c>
      <c r="C901" s="13">
        <f>95.19*Hospital_Operations_Data[[#This Row],[Medication_Cost_USD]]</f>
        <v>244459.34279999998</v>
      </c>
    </row>
    <row r="902" spans="1:3" x14ac:dyDescent="0.3">
      <c r="A902" s="12">
        <f>95.19*Hospital_Operations_Data[[#This Row],[Treatment_Cost_USD]]</f>
        <v>900777.25860000006</v>
      </c>
      <c r="C902" s="14">
        <f>95.19*Hospital_Operations_Data[[#This Row],[Medication_Cost_USD]]</f>
        <v>235108.82909999997</v>
      </c>
    </row>
    <row r="903" spans="1:3" x14ac:dyDescent="0.3">
      <c r="A903" s="11">
        <f>95.19*Hospital_Operations_Data[[#This Row],[Treatment_Cost_USD]]</f>
        <v>375120.94440000004</v>
      </c>
      <c r="C903" s="13">
        <f>95.19*Hospital_Operations_Data[[#This Row],[Medication_Cost_USD]]</f>
        <v>102614.81999999999</v>
      </c>
    </row>
    <row r="904" spans="1:3" x14ac:dyDescent="0.3">
      <c r="A904" s="12">
        <f>95.19*Hospital_Operations_Data[[#This Row],[Treatment_Cost_USD]]</f>
        <v>696572.8149</v>
      </c>
      <c r="C904" s="14">
        <f>95.19*Hospital_Operations_Data[[#This Row],[Medication_Cost_USD]]</f>
        <v>130355.0898</v>
      </c>
    </row>
    <row r="905" spans="1:3" x14ac:dyDescent="0.3">
      <c r="A905" s="11">
        <f>95.19*Hospital_Operations_Data[[#This Row],[Treatment_Cost_USD]]</f>
        <v>466421.48099999997</v>
      </c>
      <c r="C905" s="13">
        <f>95.19*Hospital_Operations_Data[[#This Row],[Medication_Cost_USD]]</f>
        <v>151012.27170000001</v>
      </c>
    </row>
    <row r="906" spans="1:3" x14ac:dyDescent="0.3">
      <c r="A906" s="12">
        <f>95.19*Hospital_Operations_Data[[#This Row],[Treatment_Cost_USD]]</f>
        <v>799804.46610000008</v>
      </c>
      <c r="C906" s="14">
        <f>95.19*Hospital_Operations_Data[[#This Row],[Medication_Cost_USD]]</f>
        <v>239394.28289999999</v>
      </c>
    </row>
    <row r="907" spans="1:3" x14ac:dyDescent="0.3">
      <c r="A907" s="11">
        <f>95.19*Hospital_Operations_Data[[#This Row],[Treatment_Cost_USD]]</f>
        <v>180999.02549999999</v>
      </c>
      <c r="C907" s="13">
        <f>95.19*Hospital_Operations_Data[[#This Row],[Medication_Cost_USD]]</f>
        <v>68673.873600000006</v>
      </c>
    </row>
    <row r="908" spans="1:3" x14ac:dyDescent="0.3">
      <c r="A908" s="12">
        <f>95.19*Hospital_Operations_Data[[#This Row],[Treatment_Cost_USD]]</f>
        <v>884652.07260000007</v>
      </c>
      <c r="C908" s="14">
        <f>95.19*Hospital_Operations_Data[[#This Row],[Medication_Cost_USD]]</f>
        <v>192159.1011</v>
      </c>
    </row>
    <row r="909" spans="1:3" x14ac:dyDescent="0.3">
      <c r="A909" s="11">
        <f>95.19*Hospital_Operations_Data[[#This Row],[Treatment_Cost_USD]]</f>
        <v>233566.75109999999</v>
      </c>
      <c r="C909" s="13">
        <f>95.19*Hospital_Operations_Data[[#This Row],[Medication_Cost_USD]]</f>
        <v>69281.185800000007</v>
      </c>
    </row>
    <row r="910" spans="1:3" x14ac:dyDescent="0.3">
      <c r="A910" s="12">
        <f>95.19*Hospital_Operations_Data[[#This Row],[Treatment_Cost_USD]]</f>
        <v>185622.4038</v>
      </c>
      <c r="C910" s="14">
        <f>95.19*Hospital_Operations_Data[[#This Row],[Medication_Cost_USD]]</f>
        <v>34108.480799999998</v>
      </c>
    </row>
    <row r="911" spans="1:3" x14ac:dyDescent="0.3">
      <c r="A911" s="11">
        <f>95.19*Hospital_Operations_Data[[#This Row],[Treatment_Cost_USD]]</f>
        <v>373889.18580000004</v>
      </c>
      <c r="C911" s="13">
        <f>95.19*Hospital_Operations_Data[[#This Row],[Medication_Cost_USD]]</f>
        <v>62279.009399999995</v>
      </c>
    </row>
    <row r="912" spans="1:3" x14ac:dyDescent="0.3">
      <c r="A912" s="12">
        <f>95.19*Hospital_Operations_Data[[#This Row],[Treatment_Cost_USD]]</f>
        <v>1204223.9405999999</v>
      </c>
      <c r="C912" s="14">
        <f>95.19*Hospital_Operations_Data[[#This Row],[Medication_Cost_USD]]</f>
        <v>339661.71749999997</v>
      </c>
    </row>
    <row r="913" spans="1:3" x14ac:dyDescent="0.3">
      <c r="A913" s="11">
        <f>95.19*Hospital_Operations_Data[[#This Row],[Treatment_Cost_USD]]</f>
        <v>470674.57019999996</v>
      </c>
      <c r="C913" s="13">
        <f>95.19*Hospital_Operations_Data[[#This Row],[Medication_Cost_USD]]</f>
        <v>125183.41709999999</v>
      </c>
    </row>
    <row r="914" spans="1:3" x14ac:dyDescent="0.3">
      <c r="A914" s="12">
        <f>95.19*Hospital_Operations_Data[[#This Row],[Treatment_Cost_USD]]</f>
        <v>1164183.219</v>
      </c>
      <c r="C914" s="14">
        <f>95.19*Hospital_Operations_Data[[#This Row],[Medication_Cost_USD]]</f>
        <v>200670.03899999999</v>
      </c>
    </row>
    <row r="915" spans="1:3" x14ac:dyDescent="0.3">
      <c r="A915" s="11">
        <f>95.19*Hospital_Operations_Data[[#This Row],[Treatment_Cost_USD]]</f>
        <v>352029.75419999997</v>
      </c>
      <c r="C915" s="13">
        <f>95.19*Hospital_Operations_Data[[#This Row],[Medication_Cost_USD]]</f>
        <v>127238.5692</v>
      </c>
    </row>
    <row r="916" spans="1:3" x14ac:dyDescent="0.3">
      <c r="A916" s="12">
        <f>95.19*Hospital_Operations_Data[[#This Row],[Treatment_Cost_USD]]</f>
        <v>875449.10340000002</v>
      </c>
      <c r="C916" s="14">
        <f>95.19*Hospital_Operations_Data[[#This Row],[Medication_Cost_USD]]</f>
        <v>244335.59580000001</v>
      </c>
    </row>
    <row r="917" spans="1:3" x14ac:dyDescent="0.3">
      <c r="A917" s="11">
        <f>95.19*Hospital_Operations_Data[[#This Row],[Treatment_Cost_USD]]</f>
        <v>763223.90099999995</v>
      </c>
      <c r="C917" s="13">
        <f>95.19*Hospital_Operations_Data[[#This Row],[Medication_Cost_USD]]</f>
        <v>269396.2671</v>
      </c>
    </row>
    <row r="918" spans="1:3" x14ac:dyDescent="0.3">
      <c r="A918" s="12">
        <f>95.19*Hospital_Operations_Data[[#This Row],[Treatment_Cost_USD]]</f>
        <v>307564.60139999999</v>
      </c>
      <c r="C918" s="14">
        <f>95.19*Hospital_Operations_Data[[#This Row],[Medication_Cost_USD]]</f>
        <v>62676.903600000005</v>
      </c>
    </row>
    <row r="919" spans="1:3" x14ac:dyDescent="0.3">
      <c r="A919" s="11">
        <f>95.19*Hospital_Operations_Data[[#This Row],[Treatment_Cost_USD]]</f>
        <v>481236.85259999998</v>
      </c>
      <c r="C919" s="13">
        <f>95.19*Hospital_Operations_Data[[#This Row],[Medication_Cost_USD]]</f>
        <v>75072.545399999988</v>
      </c>
    </row>
    <row r="920" spans="1:3" x14ac:dyDescent="0.3">
      <c r="A920" s="12">
        <f>95.19*Hospital_Operations_Data[[#This Row],[Treatment_Cost_USD]]</f>
        <v>567663.66119999997</v>
      </c>
      <c r="C920" s="14">
        <f>95.19*Hospital_Operations_Data[[#This Row],[Medication_Cost_USD]]</f>
        <v>223671.75059999997</v>
      </c>
    </row>
    <row r="921" spans="1:3" x14ac:dyDescent="0.3">
      <c r="A921" s="11">
        <f>95.19*Hospital_Operations_Data[[#This Row],[Treatment_Cost_USD]]</f>
        <v>384025.96889999998</v>
      </c>
      <c r="C921" s="13">
        <f>95.19*Hospital_Operations_Data[[#This Row],[Medication_Cost_USD]]</f>
        <v>69424.922699999996</v>
      </c>
    </row>
    <row r="922" spans="1:3" x14ac:dyDescent="0.3">
      <c r="A922" s="12">
        <f>95.19*Hospital_Operations_Data[[#This Row],[Treatment_Cost_USD]]</f>
        <v>1881860.6088</v>
      </c>
      <c r="C922" s="14">
        <f>95.19*Hospital_Operations_Data[[#This Row],[Medication_Cost_USD]]</f>
        <v>715026.34829999995</v>
      </c>
    </row>
    <row r="923" spans="1:3" x14ac:dyDescent="0.3">
      <c r="A923" s="11">
        <f>95.19*Hospital_Operations_Data[[#This Row],[Treatment_Cost_USD]]</f>
        <v>786243.69869999995</v>
      </c>
      <c r="C923" s="13">
        <f>95.19*Hospital_Operations_Data[[#This Row],[Medication_Cost_USD]]</f>
        <v>139487.61839999998</v>
      </c>
    </row>
    <row r="924" spans="1:3" x14ac:dyDescent="0.3">
      <c r="A924" s="12">
        <f>95.19*Hospital_Operations_Data[[#This Row],[Treatment_Cost_USD]]</f>
        <v>1435566.1013999998</v>
      </c>
      <c r="C924" s="14">
        <f>95.19*Hospital_Operations_Data[[#This Row],[Medication_Cost_USD]]</f>
        <v>334075.96830000001</v>
      </c>
    </row>
    <row r="925" spans="1:3" x14ac:dyDescent="0.3">
      <c r="A925" s="11">
        <f>95.19*Hospital_Operations_Data[[#This Row],[Treatment_Cost_USD]]</f>
        <v>425749.64970000001</v>
      </c>
      <c r="C925" s="13">
        <f>95.19*Hospital_Operations_Data[[#This Row],[Medication_Cost_USD]]</f>
        <v>65960.958599999998</v>
      </c>
    </row>
    <row r="926" spans="1:3" x14ac:dyDescent="0.3">
      <c r="A926" s="12">
        <f>95.19*Hospital_Operations_Data[[#This Row],[Treatment_Cost_USD]]</f>
        <v>468714.60809999995</v>
      </c>
      <c r="C926" s="14">
        <f>95.19*Hospital_Operations_Data[[#This Row],[Medication_Cost_USD]]</f>
        <v>172012.13759999999</v>
      </c>
    </row>
    <row r="927" spans="1:3" x14ac:dyDescent="0.3">
      <c r="A927" s="11">
        <f>95.19*Hospital_Operations_Data[[#This Row],[Treatment_Cost_USD]]</f>
        <v>874645.69979999994</v>
      </c>
      <c r="C927" s="13">
        <f>95.19*Hospital_Operations_Data[[#This Row],[Medication_Cost_USD]]</f>
        <v>308312.79479999997</v>
      </c>
    </row>
    <row r="928" spans="1:3" x14ac:dyDescent="0.3">
      <c r="A928" s="12">
        <f>95.19*Hospital_Operations_Data[[#This Row],[Treatment_Cost_USD]]</f>
        <v>1383648.5234999999</v>
      </c>
      <c r="C928" s="14">
        <f>95.19*Hospital_Operations_Data[[#This Row],[Medication_Cost_USD]]</f>
        <v>257618.40840000001</v>
      </c>
    </row>
    <row r="929" spans="1:3" x14ac:dyDescent="0.3">
      <c r="A929" s="11">
        <f>95.19*Hospital_Operations_Data[[#This Row],[Treatment_Cost_USD]]</f>
        <v>373818.7452</v>
      </c>
      <c r="C929" s="13">
        <f>95.19*Hospital_Operations_Data[[#This Row],[Medication_Cost_USD]]</f>
        <v>121081.68</v>
      </c>
    </row>
    <row r="930" spans="1:3" x14ac:dyDescent="0.3">
      <c r="A930" s="12">
        <f>95.19*Hospital_Operations_Data[[#This Row],[Treatment_Cost_USD]]</f>
        <v>1301743.2398999999</v>
      </c>
      <c r="C930" s="14">
        <f>95.19*Hospital_Operations_Data[[#This Row],[Medication_Cost_USD]]</f>
        <v>423458.42640000005</v>
      </c>
    </row>
    <row r="931" spans="1:3" x14ac:dyDescent="0.3">
      <c r="A931" s="11">
        <f>95.19*Hospital_Operations_Data[[#This Row],[Treatment_Cost_USD]]</f>
        <v>2089016.8943999999</v>
      </c>
      <c r="C931" s="13">
        <f>95.19*Hospital_Operations_Data[[#This Row],[Medication_Cost_USD]]</f>
        <v>708086.04539999994</v>
      </c>
    </row>
    <row r="932" spans="1:3" x14ac:dyDescent="0.3">
      <c r="A932" s="12">
        <f>95.19*Hospital_Operations_Data[[#This Row],[Treatment_Cost_USD]]</f>
        <v>942022.13369999989</v>
      </c>
      <c r="C932" s="14">
        <f>95.19*Hospital_Operations_Data[[#This Row],[Medication_Cost_USD]]</f>
        <v>170016.9552</v>
      </c>
    </row>
    <row r="933" spans="1:3" x14ac:dyDescent="0.3">
      <c r="A933" s="11">
        <f>95.19*Hospital_Operations_Data[[#This Row],[Treatment_Cost_USD]]</f>
        <v>994799.27729999996</v>
      </c>
      <c r="C933" s="13">
        <f>95.19*Hospital_Operations_Data[[#This Row],[Medication_Cost_USD]]</f>
        <v>290348.538</v>
      </c>
    </row>
    <row r="934" spans="1:3" x14ac:dyDescent="0.3">
      <c r="A934" s="12">
        <f>95.19*Hospital_Operations_Data[[#This Row],[Treatment_Cost_USD]]</f>
        <v>547823.2095</v>
      </c>
      <c r="C934" s="14">
        <f>95.19*Hospital_Operations_Data[[#This Row],[Medication_Cost_USD]]</f>
        <v>111888.2298</v>
      </c>
    </row>
    <row r="935" spans="1:3" x14ac:dyDescent="0.3">
      <c r="A935" s="11">
        <f>95.19*Hospital_Operations_Data[[#This Row],[Treatment_Cost_USD]]</f>
        <v>372758.32860000001</v>
      </c>
      <c r="C935" s="13">
        <f>95.19*Hospital_Operations_Data[[#This Row],[Medication_Cost_USD]]</f>
        <v>69708.588899999988</v>
      </c>
    </row>
    <row r="936" spans="1:3" x14ac:dyDescent="0.3">
      <c r="A936" s="12">
        <f>95.19*Hospital_Operations_Data[[#This Row],[Treatment_Cost_USD]]</f>
        <v>853936.16340000008</v>
      </c>
      <c r="C936" s="14">
        <f>95.19*Hospital_Operations_Data[[#This Row],[Medication_Cost_USD]]</f>
        <v>150746.69160000002</v>
      </c>
    </row>
    <row r="937" spans="1:3" x14ac:dyDescent="0.3">
      <c r="A937" s="11">
        <f>95.19*Hospital_Operations_Data[[#This Row],[Treatment_Cost_USD]]</f>
        <v>283308.28559999994</v>
      </c>
      <c r="C937" s="13">
        <f>95.19*Hospital_Operations_Data[[#This Row],[Medication_Cost_USD]]</f>
        <v>45124.819499999998</v>
      </c>
    </row>
    <row r="938" spans="1:3" x14ac:dyDescent="0.3">
      <c r="A938" s="12">
        <f>95.19*Hospital_Operations_Data[[#This Row],[Treatment_Cost_USD]]</f>
        <v>824256.87329999998</v>
      </c>
      <c r="C938" s="14">
        <f>95.19*Hospital_Operations_Data[[#This Row],[Medication_Cost_USD]]</f>
        <v>215420.6814</v>
      </c>
    </row>
    <row r="939" spans="1:3" x14ac:dyDescent="0.3">
      <c r="A939" s="11">
        <f>95.19*Hospital_Operations_Data[[#This Row],[Treatment_Cost_USD]]</f>
        <v>959716.05090000003</v>
      </c>
      <c r="C939" s="13">
        <f>95.19*Hospital_Operations_Data[[#This Row],[Medication_Cost_USD]]</f>
        <v>270113.0478</v>
      </c>
    </row>
    <row r="940" spans="1:3" x14ac:dyDescent="0.3">
      <c r="A940" s="12">
        <f>95.19*Hospital_Operations_Data[[#This Row],[Treatment_Cost_USD]]</f>
        <v>1298470.6077000001</v>
      </c>
      <c r="C940" s="14">
        <f>95.19*Hospital_Operations_Data[[#This Row],[Medication_Cost_USD]]</f>
        <v>362243.64120000001</v>
      </c>
    </row>
    <row r="941" spans="1:3" x14ac:dyDescent="0.3">
      <c r="A941" s="11">
        <f>95.19*Hospital_Operations_Data[[#This Row],[Treatment_Cost_USD]]</f>
        <v>1204910.2605000001</v>
      </c>
      <c r="C941" s="13">
        <f>95.19*Hospital_Operations_Data[[#This Row],[Medication_Cost_USD]]</f>
        <v>434707.02869999997</v>
      </c>
    </row>
    <row r="942" spans="1:3" x14ac:dyDescent="0.3">
      <c r="A942" s="12">
        <f>95.19*Hospital_Operations_Data[[#This Row],[Treatment_Cost_USD]]</f>
        <v>1852388.8329</v>
      </c>
      <c r="C942" s="14">
        <f>95.19*Hospital_Operations_Data[[#This Row],[Medication_Cost_USD]]</f>
        <v>564005.50950000004</v>
      </c>
    </row>
    <row r="943" spans="1:3" x14ac:dyDescent="0.3">
      <c r="A943" s="11">
        <f>95.19*Hospital_Operations_Data[[#This Row],[Treatment_Cost_USD]]</f>
        <v>385091.14500000002</v>
      </c>
      <c r="C943" s="13">
        <f>95.19*Hospital_Operations_Data[[#This Row],[Medication_Cost_USD]]</f>
        <v>121133.08259999999</v>
      </c>
    </row>
    <row r="944" spans="1:3" x14ac:dyDescent="0.3">
      <c r="A944" s="12">
        <f>95.19*Hospital_Operations_Data[[#This Row],[Treatment_Cost_USD]]</f>
        <v>928480.40429999994</v>
      </c>
      <c r="C944" s="14">
        <f>95.19*Hospital_Operations_Data[[#This Row],[Medication_Cost_USD]]</f>
        <v>304885.95480000001</v>
      </c>
    </row>
    <row r="945" spans="1:3" x14ac:dyDescent="0.3">
      <c r="A945" s="11">
        <f>95.19*Hospital_Operations_Data[[#This Row],[Treatment_Cost_USD]]</f>
        <v>195513.59669999997</v>
      </c>
      <c r="C945" s="13">
        <f>95.19*Hospital_Operations_Data[[#This Row],[Medication_Cost_USD]]</f>
        <v>42125.382600000004</v>
      </c>
    </row>
    <row r="946" spans="1:3" x14ac:dyDescent="0.3">
      <c r="A946" s="12">
        <f>95.19*Hospital_Operations_Data[[#This Row],[Treatment_Cost_USD]]</f>
        <v>363959.91690000001</v>
      </c>
      <c r="C946" s="14">
        <f>95.19*Hospital_Operations_Data[[#This Row],[Medication_Cost_USD]]</f>
        <v>85710.027900000001</v>
      </c>
    </row>
    <row r="947" spans="1:3" x14ac:dyDescent="0.3">
      <c r="A947" s="11">
        <f>95.19*Hospital_Operations_Data[[#This Row],[Treatment_Cost_USD]]</f>
        <v>649351.91159999999</v>
      </c>
      <c r="C947" s="13">
        <f>95.19*Hospital_Operations_Data[[#This Row],[Medication_Cost_USD]]</f>
        <v>98770.095899999986</v>
      </c>
    </row>
    <row r="948" spans="1:3" x14ac:dyDescent="0.3">
      <c r="A948" s="12">
        <f>95.19*Hospital_Operations_Data[[#This Row],[Treatment_Cost_USD]]</f>
        <v>818659.70130000007</v>
      </c>
      <c r="C948" s="14">
        <f>95.19*Hospital_Operations_Data[[#This Row],[Medication_Cost_USD]]</f>
        <v>288024.95010000002</v>
      </c>
    </row>
    <row r="949" spans="1:3" x14ac:dyDescent="0.3">
      <c r="A949" s="11">
        <f>95.19*Hospital_Operations_Data[[#This Row],[Treatment_Cost_USD]]</f>
        <v>538796.34180000005</v>
      </c>
      <c r="C949" s="13">
        <f>95.19*Hospital_Operations_Data[[#This Row],[Medication_Cost_USD]]</f>
        <v>92747.424599999998</v>
      </c>
    </row>
    <row r="950" spans="1:3" x14ac:dyDescent="0.3">
      <c r="A950" s="12">
        <f>95.19*Hospital_Operations_Data[[#This Row],[Treatment_Cost_USD]]</f>
        <v>536796.39989999996</v>
      </c>
      <c r="C950" s="14">
        <f>95.19*Hospital_Operations_Data[[#This Row],[Medication_Cost_USD]]</f>
        <v>166161.76019999999</v>
      </c>
    </row>
    <row r="951" spans="1:3" x14ac:dyDescent="0.3">
      <c r="A951" s="11">
        <f>95.19*Hospital_Operations_Data[[#This Row],[Treatment_Cost_USD]]</f>
        <v>470746.91460000002</v>
      </c>
      <c r="C951" s="13">
        <f>95.19*Hospital_Operations_Data[[#This Row],[Medication_Cost_USD]]</f>
        <v>101633.4111</v>
      </c>
    </row>
    <row r="952" spans="1:3" x14ac:dyDescent="0.3">
      <c r="A952" s="12">
        <f>95.19*Hospital_Operations_Data[[#This Row],[Treatment_Cost_USD]]</f>
        <v>910477.11959999998</v>
      </c>
      <c r="C952" s="14">
        <f>95.19*Hospital_Operations_Data[[#This Row],[Medication_Cost_USD]]</f>
        <v>229167.06929999997</v>
      </c>
    </row>
    <row r="953" spans="1:3" x14ac:dyDescent="0.3">
      <c r="A953" s="11">
        <f>95.19*Hospital_Operations_Data[[#This Row],[Treatment_Cost_USD]]</f>
        <v>707075.12760000001</v>
      </c>
      <c r="C953" s="13">
        <f>95.19*Hospital_Operations_Data[[#This Row],[Medication_Cost_USD]]</f>
        <v>193632.64230000001</v>
      </c>
    </row>
    <row r="954" spans="1:3" x14ac:dyDescent="0.3">
      <c r="A954" s="12">
        <f>95.19*Hospital_Operations_Data[[#This Row],[Treatment_Cost_USD]]</f>
        <v>414086.97089999996</v>
      </c>
      <c r="C954" s="14">
        <f>95.19*Hospital_Operations_Data[[#This Row],[Medication_Cost_USD]]</f>
        <v>136285.42679999999</v>
      </c>
    </row>
    <row r="955" spans="1:3" x14ac:dyDescent="0.3">
      <c r="A955" s="11">
        <f>95.19*Hospital_Operations_Data[[#This Row],[Treatment_Cost_USD]]</f>
        <v>890605.25520000001</v>
      </c>
      <c r="C955" s="13">
        <f>95.19*Hospital_Operations_Data[[#This Row],[Medication_Cost_USD]]</f>
        <v>135275.46089999998</v>
      </c>
    </row>
    <row r="956" spans="1:3" x14ac:dyDescent="0.3">
      <c r="A956" s="12">
        <f>95.19*Hospital_Operations_Data[[#This Row],[Treatment_Cost_USD]]</f>
        <v>1033182.7409999999</v>
      </c>
      <c r="C956" s="14">
        <f>95.19*Hospital_Operations_Data[[#This Row],[Medication_Cost_USD]]</f>
        <v>258540.79950000002</v>
      </c>
    </row>
    <row r="957" spans="1:3" x14ac:dyDescent="0.3">
      <c r="A957" s="11">
        <f>95.19*Hospital_Operations_Data[[#This Row],[Treatment_Cost_USD]]</f>
        <v>1442138.9709000001</v>
      </c>
      <c r="C957" s="13">
        <f>95.19*Hospital_Operations_Data[[#This Row],[Medication_Cost_USD]]</f>
        <v>459137.54220000003</v>
      </c>
    </row>
    <row r="958" spans="1:3" x14ac:dyDescent="0.3">
      <c r="A958" s="12">
        <f>95.19*Hospital_Operations_Data[[#This Row],[Treatment_Cost_USD]]</f>
        <v>584763.59279999998</v>
      </c>
      <c r="C958" s="14">
        <f>95.19*Hospital_Operations_Data[[#This Row],[Medication_Cost_USD]]</f>
        <v>205404.78960000002</v>
      </c>
    </row>
    <row r="959" spans="1:3" x14ac:dyDescent="0.3">
      <c r="A959" s="11">
        <f>95.19*Hospital_Operations_Data[[#This Row],[Treatment_Cost_USD]]</f>
        <v>66866.215500000006</v>
      </c>
      <c r="C959" s="13">
        <f>95.19*Hospital_Operations_Data[[#This Row],[Medication_Cost_USD]]</f>
        <v>14914.369200000001</v>
      </c>
    </row>
    <row r="960" spans="1:3" x14ac:dyDescent="0.3">
      <c r="A960" s="12">
        <f>95.19*Hospital_Operations_Data[[#This Row],[Treatment_Cost_USD]]</f>
        <v>877108.26510000008</v>
      </c>
      <c r="C960" s="14">
        <f>95.19*Hospital_Operations_Data[[#This Row],[Medication_Cost_USD]]</f>
        <v>340523.18700000003</v>
      </c>
    </row>
    <row r="961" spans="1:3" x14ac:dyDescent="0.3">
      <c r="A961" s="11">
        <f>95.19*Hospital_Operations_Data[[#This Row],[Treatment_Cost_USD]]</f>
        <v>435430.47269999998</v>
      </c>
      <c r="C961" s="13">
        <f>95.19*Hospital_Operations_Data[[#This Row],[Medication_Cost_USD]]</f>
        <v>148292.69339999999</v>
      </c>
    </row>
    <row r="962" spans="1:3" x14ac:dyDescent="0.3">
      <c r="A962" s="12">
        <f>95.19*Hospital_Operations_Data[[#This Row],[Treatment_Cost_USD]]</f>
        <v>1541791.4780999999</v>
      </c>
      <c r="C962" s="14">
        <f>95.19*Hospital_Operations_Data[[#This Row],[Medication_Cost_USD]]</f>
        <v>578370.6324</v>
      </c>
    </row>
    <row r="963" spans="1:3" x14ac:dyDescent="0.3">
      <c r="A963" s="11">
        <f>95.19*Hospital_Operations_Data[[#This Row],[Treatment_Cost_USD]]</f>
        <v>1051923.7482</v>
      </c>
      <c r="C963" s="13">
        <f>95.19*Hospital_Operations_Data[[#This Row],[Medication_Cost_USD]]</f>
        <v>348768.54479999997</v>
      </c>
    </row>
    <row r="964" spans="1:3" x14ac:dyDescent="0.3">
      <c r="A964" s="12">
        <f>95.19*Hospital_Operations_Data[[#This Row],[Treatment_Cost_USD]]</f>
        <v>991336.26510000008</v>
      </c>
      <c r="C964" s="14">
        <f>95.19*Hospital_Operations_Data[[#This Row],[Medication_Cost_USD]]</f>
        <v>183425.4186</v>
      </c>
    </row>
    <row r="965" spans="1:3" x14ac:dyDescent="0.3">
      <c r="A965" s="11">
        <f>95.19*Hospital_Operations_Data[[#This Row],[Treatment_Cost_USD]]</f>
        <v>1146074.2734000001</v>
      </c>
      <c r="C965" s="13">
        <f>95.19*Hospital_Operations_Data[[#This Row],[Medication_Cost_USD]]</f>
        <v>206519.4645</v>
      </c>
    </row>
    <row r="966" spans="1:3" x14ac:dyDescent="0.3">
      <c r="A966" s="12">
        <f>95.19*Hospital_Operations_Data[[#This Row],[Treatment_Cost_USD]]</f>
        <v>654489.31589999993</v>
      </c>
      <c r="C966" s="14">
        <f>95.19*Hospital_Operations_Data[[#This Row],[Medication_Cost_USD]]</f>
        <v>185837.53320000001</v>
      </c>
    </row>
    <row r="967" spans="1:3" x14ac:dyDescent="0.3">
      <c r="A967" s="11">
        <f>95.19*Hospital_Operations_Data[[#This Row],[Treatment_Cost_USD]]</f>
        <v>872655.27690000006</v>
      </c>
      <c r="C967" s="13">
        <f>95.19*Hospital_Operations_Data[[#This Row],[Medication_Cost_USD]]</f>
        <v>320954.97869999998</v>
      </c>
    </row>
    <row r="968" spans="1:3" x14ac:dyDescent="0.3">
      <c r="A968" s="12">
        <f>95.19*Hospital_Operations_Data[[#This Row],[Treatment_Cost_USD]]</f>
        <v>938518.18979999993</v>
      </c>
      <c r="C968" s="14">
        <f>95.19*Hospital_Operations_Data[[#This Row],[Medication_Cost_USD]]</f>
        <v>303691.32029999996</v>
      </c>
    </row>
    <row r="969" spans="1:3" x14ac:dyDescent="0.3">
      <c r="A969" s="11">
        <f>95.19*Hospital_Operations_Data[[#This Row],[Treatment_Cost_USD]]</f>
        <v>406578.38369999995</v>
      </c>
      <c r="C969" s="13">
        <f>95.19*Hospital_Operations_Data[[#This Row],[Medication_Cost_USD]]</f>
        <v>129268.97189999999</v>
      </c>
    </row>
    <row r="970" spans="1:3" x14ac:dyDescent="0.3">
      <c r="A970" s="12">
        <f>95.19*Hospital_Operations_Data[[#This Row],[Treatment_Cost_USD]]</f>
        <v>1098865.7448</v>
      </c>
      <c r="C970" s="14">
        <f>95.19*Hospital_Operations_Data[[#This Row],[Medication_Cost_USD]]</f>
        <v>185631.92279999997</v>
      </c>
    </row>
    <row r="971" spans="1:3" x14ac:dyDescent="0.3">
      <c r="A971" s="11">
        <f>95.19*Hospital_Operations_Data[[#This Row],[Treatment_Cost_USD]]</f>
        <v>288794.08529999998</v>
      </c>
      <c r="C971" s="13">
        <f>95.19*Hospital_Operations_Data[[#This Row],[Medication_Cost_USD]]</f>
        <v>48794.394</v>
      </c>
    </row>
    <row r="972" spans="1:3" x14ac:dyDescent="0.3">
      <c r="A972" s="12">
        <f>95.19*Hospital_Operations_Data[[#This Row],[Treatment_Cost_USD]]</f>
        <v>251566.22820000001</v>
      </c>
      <c r="C972" s="14">
        <f>95.19*Hospital_Operations_Data[[#This Row],[Medication_Cost_USD]]</f>
        <v>82273.66889999999</v>
      </c>
    </row>
    <row r="973" spans="1:3" x14ac:dyDescent="0.3">
      <c r="A973" s="11">
        <f>95.19*Hospital_Operations_Data[[#This Row],[Treatment_Cost_USD]]</f>
        <v>1542844.2794999999</v>
      </c>
      <c r="C973" s="13">
        <f>95.19*Hospital_Operations_Data[[#This Row],[Medication_Cost_USD]]</f>
        <v>347628.16859999998</v>
      </c>
    </row>
    <row r="974" spans="1:3" x14ac:dyDescent="0.3">
      <c r="A974" s="12">
        <f>95.19*Hospital_Operations_Data[[#This Row],[Treatment_Cost_USD]]</f>
        <v>515312.96880000003</v>
      </c>
      <c r="C974" s="14">
        <f>95.19*Hospital_Operations_Data[[#This Row],[Medication_Cost_USD]]</f>
        <v>129372.72899999999</v>
      </c>
    </row>
    <row r="975" spans="1:3" x14ac:dyDescent="0.3">
      <c r="A975" s="11">
        <f>95.19*Hospital_Operations_Data[[#This Row],[Treatment_Cost_USD]]</f>
        <v>128266.62119999999</v>
      </c>
      <c r="C975" s="13">
        <f>95.19*Hospital_Operations_Data[[#This Row],[Medication_Cost_USD]]</f>
        <v>36655.765199999994</v>
      </c>
    </row>
    <row r="976" spans="1:3" x14ac:dyDescent="0.3">
      <c r="A976" s="12">
        <f>95.19*Hospital_Operations_Data[[#This Row],[Treatment_Cost_USD]]</f>
        <v>367854.1398</v>
      </c>
      <c r="C976" s="14">
        <f>95.19*Hospital_Operations_Data[[#This Row],[Medication_Cost_USD]]</f>
        <v>139689.42120000001</v>
      </c>
    </row>
    <row r="977" spans="1:3" x14ac:dyDescent="0.3">
      <c r="A977" s="11">
        <f>95.19*Hospital_Operations_Data[[#This Row],[Treatment_Cost_USD]]</f>
        <v>315225.4926</v>
      </c>
      <c r="C977" s="13">
        <f>95.19*Hospital_Operations_Data[[#This Row],[Medication_Cost_USD]]</f>
        <v>108416.6505</v>
      </c>
    </row>
    <row r="978" spans="1:3" x14ac:dyDescent="0.3">
      <c r="A978" s="12">
        <f>95.19*Hospital_Operations_Data[[#This Row],[Treatment_Cost_USD]]</f>
        <v>335312.48639999999</v>
      </c>
      <c r="C978" s="14">
        <f>95.19*Hospital_Operations_Data[[#This Row],[Medication_Cost_USD]]</f>
        <v>126468.48209999999</v>
      </c>
    </row>
    <row r="979" spans="1:3" x14ac:dyDescent="0.3">
      <c r="A979" s="11">
        <f>95.19*Hospital_Operations_Data[[#This Row],[Treatment_Cost_USD]]</f>
        <v>177947.2341</v>
      </c>
      <c r="C979" s="13">
        <f>95.19*Hospital_Operations_Data[[#This Row],[Medication_Cost_USD]]</f>
        <v>59328.119399999996</v>
      </c>
    </row>
    <row r="980" spans="1:3" x14ac:dyDescent="0.3">
      <c r="A980" s="12">
        <f>95.19*Hospital_Operations_Data[[#This Row],[Treatment_Cost_USD]]</f>
        <v>1533989.7057</v>
      </c>
      <c r="C980" s="14">
        <f>95.19*Hospital_Operations_Data[[#This Row],[Medication_Cost_USD]]</f>
        <v>304027.34100000001</v>
      </c>
    </row>
    <row r="981" spans="1:3" x14ac:dyDescent="0.3">
      <c r="A981" s="11">
        <f>95.19*Hospital_Operations_Data[[#This Row],[Treatment_Cost_USD]]</f>
        <v>667279.99619999994</v>
      </c>
      <c r="C981" s="13">
        <f>95.19*Hospital_Operations_Data[[#This Row],[Medication_Cost_USD]]</f>
        <v>144594.5619</v>
      </c>
    </row>
    <row r="982" spans="1:3" x14ac:dyDescent="0.3">
      <c r="A982" s="12">
        <f>95.19*Hospital_Operations_Data[[#This Row],[Treatment_Cost_USD]]</f>
        <v>602465.12520000001</v>
      </c>
      <c r="C982" s="14">
        <f>95.19*Hospital_Operations_Data[[#This Row],[Medication_Cost_USD]]</f>
        <v>170512.89509999999</v>
      </c>
    </row>
    <row r="983" spans="1:3" x14ac:dyDescent="0.3">
      <c r="A983" s="11">
        <f>95.19*Hospital_Operations_Data[[#This Row],[Treatment_Cost_USD]]</f>
        <v>308130.02999999997</v>
      </c>
      <c r="C983" s="13">
        <f>95.19*Hospital_Operations_Data[[#This Row],[Medication_Cost_USD]]</f>
        <v>83428.323600000003</v>
      </c>
    </row>
    <row r="984" spans="1:3" x14ac:dyDescent="0.3">
      <c r="A984" s="12">
        <f>95.19*Hospital_Operations_Data[[#This Row],[Treatment_Cost_USD]]</f>
        <v>1626197.4029999999</v>
      </c>
      <c r="C984" s="14">
        <f>95.19*Hospital_Operations_Data[[#This Row],[Medication_Cost_USD]]</f>
        <v>481183.54619999992</v>
      </c>
    </row>
    <row r="985" spans="1:3" x14ac:dyDescent="0.3">
      <c r="A985" s="11">
        <f>95.19*Hospital_Operations_Data[[#This Row],[Treatment_Cost_USD]]</f>
        <v>2456900.5430999999</v>
      </c>
      <c r="C985" s="13">
        <f>95.19*Hospital_Operations_Data[[#This Row],[Medication_Cost_USD]]</f>
        <v>752296.08900000004</v>
      </c>
    </row>
    <row r="986" spans="1:3" x14ac:dyDescent="0.3">
      <c r="A986" s="12">
        <f>95.19*Hospital_Operations_Data[[#This Row],[Treatment_Cost_USD]]</f>
        <v>896958.23579999991</v>
      </c>
      <c r="C986" s="14">
        <f>95.19*Hospital_Operations_Data[[#This Row],[Medication_Cost_USD]]</f>
        <v>237061.17600000001</v>
      </c>
    </row>
    <row r="987" spans="1:3" x14ac:dyDescent="0.3">
      <c r="A987" s="11">
        <f>95.19*Hospital_Operations_Data[[#This Row],[Treatment_Cost_USD]]</f>
        <v>826263.47849999997</v>
      </c>
      <c r="C987" s="13">
        <f>95.19*Hospital_Operations_Data[[#This Row],[Medication_Cost_USD]]</f>
        <v>192502.73699999999</v>
      </c>
    </row>
    <row r="988" spans="1:3" x14ac:dyDescent="0.3">
      <c r="A988" s="12">
        <f>95.19*Hospital_Operations_Data[[#This Row],[Treatment_Cost_USD]]</f>
        <v>1418994.4742999999</v>
      </c>
      <c r="C988" s="14">
        <f>95.19*Hospital_Operations_Data[[#This Row],[Medication_Cost_USD]]</f>
        <v>476503.0539</v>
      </c>
    </row>
    <row r="989" spans="1:3" x14ac:dyDescent="0.3">
      <c r="A989" s="11">
        <f>95.19*Hospital_Operations_Data[[#This Row],[Treatment_Cost_USD]]</f>
        <v>1594403.943</v>
      </c>
      <c r="C989" s="13">
        <f>95.19*Hospital_Operations_Data[[#This Row],[Medication_Cost_USD]]</f>
        <v>591427.84470000002</v>
      </c>
    </row>
    <row r="990" spans="1:3" x14ac:dyDescent="0.3">
      <c r="A990" s="12">
        <f>95.19*Hospital_Operations_Data[[#This Row],[Treatment_Cost_USD]]</f>
        <v>324945.34350000002</v>
      </c>
      <c r="C990" s="14">
        <f>95.19*Hospital_Operations_Data[[#This Row],[Medication_Cost_USD]]</f>
        <v>65545.930200000003</v>
      </c>
    </row>
    <row r="991" spans="1:3" x14ac:dyDescent="0.3">
      <c r="A991" s="11">
        <f>95.19*Hospital_Operations_Data[[#This Row],[Treatment_Cost_USD]]</f>
        <v>1183898.0199</v>
      </c>
      <c r="C991" s="13">
        <f>95.19*Hospital_Operations_Data[[#This Row],[Medication_Cost_USD]]</f>
        <v>287014.98420000001</v>
      </c>
    </row>
    <row r="992" spans="1:3" x14ac:dyDescent="0.3">
      <c r="A992" s="12">
        <f>95.19*Hospital_Operations_Data[[#This Row],[Treatment_Cost_USD]]</f>
        <v>194956.7352</v>
      </c>
      <c r="C992" s="14">
        <f>95.19*Hospital_Operations_Data[[#This Row],[Medication_Cost_USD]]</f>
        <v>38966.9784</v>
      </c>
    </row>
    <row r="993" spans="1:3" x14ac:dyDescent="0.3">
      <c r="A993" s="11">
        <f>95.19*Hospital_Operations_Data[[#This Row],[Treatment_Cost_USD]]</f>
        <v>719224.22730000003</v>
      </c>
      <c r="C993" s="13">
        <f>95.19*Hospital_Operations_Data[[#This Row],[Medication_Cost_USD]]</f>
        <v>150657.21299999999</v>
      </c>
    </row>
    <row r="994" spans="1:3" x14ac:dyDescent="0.3">
      <c r="A994" s="12">
        <f>95.19*Hospital_Operations_Data[[#This Row],[Treatment_Cost_USD]]</f>
        <v>590107.55940000003</v>
      </c>
      <c r="C994" s="14">
        <f>95.19*Hospital_Operations_Data[[#This Row],[Medication_Cost_USD]]</f>
        <v>199885.6734</v>
      </c>
    </row>
    <row r="995" spans="1:3" x14ac:dyDescent="0.3">
      <c r="A995" s="11">
        <f>95.19*Hospital_Operations_Data[[#This Row],[Treatment_Cost_USD]]</f>
        <v>1475409.7796999998</v>
      </c>
      <c r="C995" s="13">
        <f>95.19*Hospital_Operations_Data[[#This Row],[Medication_Cost_USD]]</f>
        <v>331815.2058</v>
      </c>
    </row>
    <row r="996" spans="1:3" x14ac:dyDescent="0.3">
      <c r="A996" s="12">
        <f>95.19*Hospital_Operations_Data[[#This Row],[Treatment_Cost_USD]]</f>
        <v>1337346.2037</v>
      </c>
      <c r="C996" s="14">
        <f>95.19*Hospital_Operations_Data[[#This Row],[Medication_Cost_USD]]</f>
        <v>289497.53940000001</v>
      </c>
    </row>
    <row r="997" spans="1:3" x14ac:dyDescent="0.3">
      <c r="A997" s="11">
        <f>95.19*Hospital_Operations_Data[[#This Row],[Treatment_Cost_USD]]</f>
        <v>1380115.0707</v>
      </c>
      <c r="C997" s="13">
        <f>95.19*Hospital_Operations_Data[[#This Row],[Medication_Cost_USD]]</f>
        <v>425949.54869999993</v>
      </c>
    </row>
    <row r="998" spans="1:3" x14ac:dyDescent="0.3">
      <c r="A998" s="12">
        <f>95.19*Hospital_Operations_Data[[#This Row],[Treatment_Cost_USD]]</f>
        <v>941891.72340000002</v>
      </c>
      <c r="C998" s="14">
        <f>95.19*Hospital_Operations_Data[[#This Row],[Medication_Cost_USD]]</f>
        <v>190710.30929999999</v>
      </c>
    </row>
    <row r="999" spans="1:3" x14ac:dyDescent="0.3">
      <c r="A999" s="11">
        <f>95.19*Hospital_Operations_Data[[#This Row],[Treatment_Cost_USD]]</f>
        <v>692000.83920000005</v>
      </c>
      <c r="C999" s="13">
        <f>95.19*Hospital_Operations_Data[[#This Row],[Medication_Cost_USD]]</f>
        <v>137433.41819999999</v>
      </c>
    </row>
    <row r="1000" spans="1:3" x14ac:dyDescent="0.3">
      <c r="A1000" s="12">
        <f>95.19*Hospital_Operations_Data[[#This Row],[Treatment_Cost_USD]]</f>
        <v>745209.19349999994</v>
      </c>
      <c r="C1000" s="14">
        <f>95.19*Hospital_Operations_Data[[#This Row],[Medication_Cost_USD]]</f>
        <v>156934.99350000001</v>
      </c>
    </row>
    <row r="1001" spans="1:3" x14ac:dyDescent="0.3">
      <c r="A1001" s="11">
        <f>95.19*Hospital_Operations_Data[[#This Row],[Treatment_Cost_USD]]</f>
        <v>1227973.8455999999</v>
      </c>
      <c r="C1001" s="13">
        <f>95.19*Hospital_Operations_Data[[#This Row],[Medication_Cost_USD]]</f>
        <v>287598.49890000001</v>
      </c>
    </row>
    <row r="1002" spans="1:3" x14ac:dyDescent="0.3">
      <c r="A1002" s="12">
        <f>95.19*Hospital_Operations_Data[[#This Row],[Treatment_Cost_USD]]</f>
        <v>990228.25349999999</v>
      </c>
      <c r="C1002" s="14">
        <f>95.19*Hospital_Operations_Data[[#This Row],[Medication_Cost_USD]]</f>
        <v>192344.72160000002</v>
      </c>
    </row>
    <row r="1003" spans="1:3" x14ac:dyDescent="0.3">
      <c r="A1003" s="11">
        <f>95.19*Hospital_Operations_Data[[#This Row],[Treatment_Cost_USD]]</f>
        <v>1829963.9727</v>
      </c>
      <c r="C1003" s="13">
        <f>95.19*Hospital_Operations_Data[[#This Row],[Medication_Cost_USD]]</f>
        <v>365045.08289999998</v>
      </c>
    </row>
    <row r="1004" spans="1:3" x14ac:dyDescent="0.3">
      <c r="A1004" s="12">
        <f>95.19*Hospital_Operations_Data[[#This Row],[Treatment_Cost_USD]]</f>
        <v>630622.32719999994</v>
      </c>
      <c r="C1004" s="14">
        <f>95.19*Hospital_Operations_Data[[#This Row],[Medication_Cost_USD]]</f>
        <v>234961.28460000001</v>
      </c>
    </row>
    <row r="1005" spans="1:3" x14ac:dyDescent="0.3">
      <c r="A1005" s="11">
        <f>95.19*Hospital_Operations_Data[[#This Row],[Treatment_Cost_USD]]</f>
        <v>1040924.5436999999</v>
      </c>
      <c r="C1005" s="13">
        <f>95.19*Hospital_Operations_Data[[#This Row],[Medication_Cost_USD]]</f>
        <v>203198.28539999999</v>
      </c>
    </row>
    <row r="1006" spans="1:3" x14ac:dyDescent="0.3">
      <c r="A1006" s="12">
        <f>95.19*Hospital_Operations_Data[[#This Row],[Treatment_Cost_USD]]</f>
        <v>777496.68960000004</v>
      </c>
      <c r="C1006" s="14">
        <f>95.19*Hospital_Operations_Data[[#This Row],[Medication_Cost_USD]]</f>
        <v>240864.0165</v>
      </c>
    </row>
    <row r="1007" spans="1:3" x14ac:dyDescent="0.3">
      <c r="A1007" s="11">
        <f>95.19*Hospital_Operations_Data[[#This Row],[Treatment_Cost_USD]]</f>
        <v>2028294.2414999998</v>
      </c>
      <c r="C1007" s="13">
        <f>95.19*Hospital_Operations_Data[[#This Row],[Medication_Cost_USD]]</f>
        <v>571138.09619999991</v>
      </c>
    </row>
    <row r="1008" spans="1:3" x14ac:dyDescent="0.3">
      <c r="A1008" s="12">
        <f>95.19*Hospital_Operations_Data[[#This Row],[Treatment_Cost_USD]]</f>
        <v>212682.06509999998</v>
      </c>
      <c r="C1008" s="14">
        <f>95.19*Hospital_Operations_Data[[#This Row],[Medication_Cost_USD]]</f>
        <v>56754.181799999998</v>
      </c>
    </row>
    <row r="1009" spans="1:3" x14ac:dyDescent="0.3">
      <c r="A1009" s="11">
        <f>95.19*Hospital_Operations_Data[[#This Row],[Treatment_Cost_USD]]</f>
        <v>303702.74309999996</v>
      </c>
      <c r="C1009" s="13">
        <f>95.19*Hospital_Operations_Data[[#This Row],[Medication_Cost_USD]]</f>
        <v>48655.416599999997</v>
      </c>
    </row>
    <row r="1010" spans="1:3" x14ac:dyDescent="0.3">
      <c r="A1010" s="12">
        <f>95.19*Hospital_Operations_Data[[#This Row],[Treatment_Cost_USD]]</f>
        <v>1020591.0078</v>
      </c>
      <c r="C1010" s="14">
        <f>95.19*Hospital_Operations_Data[[#This Row],[Medication_Cost_USD]]</f>
        <v>332080.78590000002</v>
      </c>
    </row>
    <row r="1011" spans="1:3" x14ac:dyDescent="0.3">
      <c r="A1011" s="11">
        <f>95.19*Hospital_Operations_Data[[#This Row],[Treatment_Cost_USD]]</f>
        <v>2227692.5420999997</v>
      </c>
      <c r="C1011" s="13">
        <f>95.19*Hospital_Operations_Data[[#This Row],[Medication_Cost_USD]]</f>
        <v>537846.3456</v>
      </c>
    </row>
    <row r="1012" spans="1:3" x14ac:dyDescent="0.3">
      <c r="A1012" s="12">
        <f>95.19*Hospital_Operations_Data[[#This Row],[Treatment_Cost_USD]]</f>
        <v>1027812.1211999999</v>
      </c>
      <c r="C1012" s="14">
        <f>95.19*Hospital_Operations_Data[[#This Row],[Medication_Cost_USD]]</f>
        <v>311463.58379999996</v>
      </c>
    </row>
    <row r="1013" spans="1:3" x14ac:dyDescent="0.3">
      <c r="A1013" s="11">
        <f>95.19*Hospital_Operations_Data[[#This Row],[Treatment_Cost_USD]]</f>
        <v>985319.30519999994</v>
      </c>
      <c r="C1013" s="13">
        <f>95.19*Hospital_Operations_Data[[#This Row],[Medication_Cost_USD]]</f>
        <v>216106.04940000002</v>
      </c>
    </row>
    <row r="1014" spans="1:3" x14ac:dyDescent="0.3">
      <c r="A1014" s="12">
        <f>95.19*Hospital_Operations_Data[[#This Row],[Treatment_Cost_USD]]</f>
        <v>200266.43340000001</v>
      </c>
      <c r="C1014" s="14">
        <f>95.19*Hospital_Operations_Data[[#This Row],[Medication_Cost_USD]]</f>
        <v>63288.023399999998</v>
      </c>
    </row>
    <row r="1015" spans="1:3" x14ac:dyDescent="0.3">
      <c r="A1015" s="11">
        <f>95.19*Hospital_Operations_Data[[#This Row],[Treatment_Cost_USD]]</f>
        <v>618845.42039999994</v>
      </c>
      <c r="C1015" s="13">
        <f>95.19*Hospital_Operations_Data[[#This Row],[Medication_Cost_USD]]</f>
        <v>130755.83970000001</v>
      </c>
    </row>
    <row r="1016" spans="1:3" x14ac:dyDescent="0.3">
      <c r="A1016" s="12">
        <f>95.19*Hospital_Operations_Data[[#This Row],[Treatment_Cost_USD]]</f>
        <v>747453.7736999999</v>
      </c>
      <c r="C1016" s="14">
        <f>95.19*Hospital_Operations_Data[[#This Row],[Medication_Cost_USD]]</f>
        <v>199091.78879999998</v>
      </c>
    </row>
    <row r="1017" spans="1:3" x14ac:dyDescent="0.3">
      <c r="A1017" s="11">
        <f>95.19*Hospital_Operations_Data[[#This Row],[Treatment_Cost_USD]]</f>
        <v>476287.92450000002</v>
      </c>
      <c r="C1017" s="13">
        <f>95.19*Hospital_Operations_Data[[#This Row],[Medication_Cost_USD]]</f>
        <v>102505.35149999999</v>
      </c>
    </row>
    <row r="1018" spans="1:3" x14ac:dyDescent="0.3">
      <c r="A1018" s="12">
        <f>95.19*Hospital_Operations_Data[[#This Row],[Treatment_Cost_USD]]</f>
        <v>947447.96369999996</v>
      </c>
      <c r="C1018" s="14">
        <f>95.19*Hospital_Operations_Data[[#This Row],[Medication_Cost_USD]]</f>
        <v>222420.00210000001</v>
      </c>
    </row>
    <row r="1019" spans="1:3" x14ac:dyDescent="0.3">
      <c r="A1019" s="11">
        <f>95.19*Hospital_Operations_Data[[#This Row],[Treatment_Cost_USD]]</f>
        <v>304243.42229999998</v>
      </c>
      <c r="C1019" s="13">
        <f>95.19*Hospital_Operations_Data[[#This Row],[Medication_Cost_USD]]</f>
        <v>76880.203500000003</v>
      </c>
    </row>
    <row r="1020" spans="1:3" x14ac:dyDescent="0.3">
      <c r="A1020" s="12">
        <f>95.19*Hospital_Operations_Data[[#This Row],[Treatment_Cost_USD]]</f>
        <v>453488.96759999997</v>
      </c>
      <c r="C1020" s="14">
        <f>95.19*Hospital_Operations_Data[[#This Row],[Medication_Cost_USD]]</f>
        <v>155490.96119999999</v>
      </c>
    </row>
    <row r="1021" spans="1:3" x14ac:dyDescent="0.3">
      <c r="A1021" s="11">
        <f>95.19*Hospital_Operations_Data[[#This Row],[Treatment_Cost_USD]]</f>
        <v>484456.17839999998</v>
      </c>
      <c r="C1021" s="13">
        <f>95.19*Hospital_Operations_Data[[#This Row],[Medication_Cost_USD]]</f>
        <v>172518.5484</v>
      </c>
    </row>
    <row r="1022" spans="1:3" x14ac:dyDescent="0.3">
      <c r="A1022" s="12">
        <f>95.19*Hospital_Operations_Data[[#This Row],[Treatment_Cost_USD]]</f>
        <v>650084.87459999998</v>
      </c>
      <c r="C1022" s="14">
        <f>95.19*Hospital_Operations_Data[[#This Row],[Medication_Cost_USD]]</f>
        <v>177641.67420000001</v>
      </c>
    </row>
    <row r="1023" spans="1:3" x14ac:dyDescent="0.3">
      <c r="A1023" s="11">
        <f>95.19*Hospital_Operations_Data[[#This Row],[Treatment_Cost_USD]]</f>
        <v>540994.27890000003</v>
      </c>
      <c r="C1023" s="13">
        <f>95.19*Hospital_Operations_Data[[#This Row],[Medication_Cost_USD]]</f>
        <v>215910.9099</v>
      </c>
    </row>
    <row r="1024" spans="1:3" x14ac:dyDescent="0.3">
      <c r="A1024" s="12">
        <f>95.19*Hospital_Operations_Data[[#This Row],[Treatment_Cost_USD]]</f>
        <v>1130738.2124999999</v>
      </c>
      <c r="C1024" s="14">
        <f>95.19*Hospital_Operations_Data[[#This Row],[Medication_Cost_USD]]</f>
        <v>229511.65710000001</v>
      </c>
    </row>
    <row r="1025" spans="1:3" x14ac:dyDescent="0.3">
      <c r="A1025" s="11">
        <f>95.19*Hospital_Operations_Data[[#This Row],[Treatment_Cost_USD]]</f>
        <v>484593.25199999998</v>
      </c>
      <c r="C1025" s="13">
        <f>95.19*Hospital_Operations_Data[[#This Row],[Medication_Cost_USD]]</f>
        <v>89421.48599999999</v>
      </c>
    </row>
    <row r="1026" spans="1:3" x14ac:dyDescent="0.3">
      <c r="A1026" s="12">
        <f>95.19*Hospital_Operations_Data[[#This Row],[Treatment_Cost_USD]]</f>
        <v>442287.96029999998</v>
      </c>
      <c r="C1026" s="14">
        <f>95.19*Hospital_Operations_Data[[#This Row],[Medication_Cost_USD]]</f>
        <v>172530.92309999999</v>
      </c>
    </row>
    <row r="1027" spans="1:3" x14ac:dyDescent="0.3">
      <c r="A1027" s="11">
        <f>95.19*Hospital_Operations_Data[[#This Row],[Treatment_Cost_USD]]</f>
        <v>644432.49239999999</v>
      </c>
      <c r="C1027" s="13">
        <f>95.19*Hospital_Operations_Data[[#This Row],[Medication_Cost_USD]]</f>
        <v>152599.08899999998</v>
      </c>
    </row>
    <row r="1028" spans="1:3" x14ac:dyDescent="0.3">
      <c r="A1028" s="12">
        <f>95.19*Hospital_Operations_Data[[#This Row],[Treatment_Cost_USD]]</f>
        <v>281439.7059</v>
      </c>
      <c r="C1028" s="14">
        <f>95.19*Hospital_Operations_Data[[#This Row],[Medication_Cost_USD]]</f>
        <v>88778.001600000003</v>
      </c>
    </row>
    <row r="1029" spans="1:3" x14ac:dyDescent="0.3">
      <c r="A1029" s="11">
        <f>95.19*Hospital_Operations_Data[[#This Row],[Treatment_Cost_USD]]</f>
        <v>683085.34380000003</v>
      </c>
      <c r="C1029" s="13">
        <f>95.19*Hospital_Operations_Data[[#This Row],[Medication_Cost_USD]]</f>
        <v>126733.11029999999</v>
      </c>
    </row>
    <row r="1030" spans="1:3" x14ac:dyDescent="0.3">
      <c r="A1030" s="12">
        <f>95.19*Hospital_Operations_Data[[#This Row],[Treatment_Cost_USD]]</f>
        <v>1158958.2398999999</v>
      </c>
      <c r="C1030" s="14">
        <f>95.19*Hospital_Operations_Data[[#This Row],[Medication_Cost_USD]]</f>
        <v>432287.29890000005</v>
      </c>
    </row>
    <row r="1031" spans="1:3" x14ac:dyDescent="0.3">
      <c r="A1031" s="11">
        <f>95.19*Hospital_Operations_Data[[#This Row],[Treatment_Cost_USD]]</f>
        <v>303665.61900000001</v>
      </c>
      <c r="C1031" s="13">
        <f>95.19*Hospital_Operations_Data[[#This Row],[Medication_Cost_USD]]</f>
        <v>112464.1293</v>
      </c>
    </row>
    <row r="1032" spans="1:3" x14ac:dyDescent="0.3">
      <c r="A1032" s="12">
        <f>95.19*Hospital_Operations_Data[[#This Row],[Treatment_Cost_USD]]</f>
        <v>618932.0432999999</v>
      </c>
      <c r="C1032" s="14">
        <f>95.19*Hospital_Operations_Data[[#This Row],[Medication_Cost_USD]]</f>
        <v>182511.59459999998</v>
      </c>
    </row>
    <row r="1033" spans="1:3" x14ac:dyDescent="0.3">
      <c r="A1033" s="11">
        <f>95.19*Hospital_Operations_Data[[#This Row],[Treatment_Cost_USD]]</f>
        <v>298779.51630000002</v>
      </c>
      <c r="C1033" s="13">
        <f>95.19*Hospital_Operations_Data[[#This Row],[Medication_Cost_USD]]</f>
        <v>90143.026199999993</v>
      </c>
    </row>
    <row r="1034" spans="1:3" x14ac:dyDescent="0.3">
      <c r="A1034" s="12">
        <f>95.19*Hospital_Operations_Data[[#This Row],[Treatment_Cost_USD]]</f>
        <v>235342.04459999999</v>
      </c>
      <c r="C1034" s="14">
        <f>95.19*Hospital_Operations_Data[[#This Row],[Medication_Cost_USD]]</f>
        <v>80677.332599999994</v>
      </c>
    </row>
    <row r="1035" spans="1:3" x14ac:dyDescent="0.3">
      <c r="A1035" s="11">
        <f>95.19*Hospital_Operations_Data[[#This Row],[Treatment_Cost_USD]]</f>
        <v>487761.1752</v>
      </c>
      <c r="C1035" s="13">
        <f>95.19*Hospital_Operations_Data[[#This Row],[Medication_Cost_USD]]</f>
        <v>149062.78049999999</v>
      </c>
    </row>
    <row r="1036" spans="1:3" x14ac:dyDescent="0.3">
      <c r="A1036" s="12">
        <f>95.19*Hospital_Operations_Data[[#This Row],[Treatment_Cost_USD]]</f>
        <v>731615.10959999997</v>
      </c>
      <c r="C1036" s="14">
        <f>95.19*Hospital_Operations_Data[[#This Row],[Medication_Cost_USD]]</f>
        <v>246585.88740000001</v>
      </c>
    </row>
    <row r="1037" spans="1:3" x14ac:dyDescent="0.3">
      <c r="A1037" s="11">
        <f>95.19*Hospital_Operations_Data[[#This Row],[Treatment_Cost_USD]]</f>
        <v>377071.38750000001</v>
      </c>
      <c r="C1037" s="13">
        <f>95.19*Hospital_Operations_Data[[#This Row],[Medication_Cost_USD]]</f>
        <v>78182.402700000006</v>
      </c>
    </row>
    <row r="1038" spans="1:3" x14ac:dyDescent="0.3">
      <c r="A1038" s="12">
        <f>95.19*Hospital_Operations_Data[[#This Row],[Treatment_Cost_USD]]</f>
        <v>1086522.4575</v>
      </c>
      <c r="C1038" s="14">
        <f>95.19*Hospital_Operations_Data[[#This Row],[Medication_Cost_USD]]</f>
        <v>378899.0355</v>
      </c>
    </row>
    <row r="1039" spans="1:3" x14ac:dyDescent="0.3">
      <c r="A1039" s="11">
        <f>95.19*Hospital_Operations_Data[[#This Row],[Treatment_Cost_USD]]</f>
        <v>874333.47659999994</v>
      </c>
      <c r="C1039" s="13">
        <f>95.19*Hospital_Operations_Data[[#This Row],[Medication_Cost_USD]]</f>
        <v>333445.81049999996</v>
      </c>
    </row>
    <row r="1040" spans="1:3" x14ac:dyDescent="0.3">
      <c r="A1040" s="12">
        <f>95.19*Hospital_Operations_Data[[#This Row],[Treatment_Cost_USD]]</f>
        <v>1318079.7476999999</v>
      </c>
      <c r="C1040" s="14">
        <f>95.19*Hospital_Operations_Data[[#This Row],[Medication_Cost_USD]]</f>
        <v>211883.421</v>
      </c>
    </row>
    <row r="1041" spans="1:3" x14ac:dyDescent="0.3">
      <c r="A1041" s="11">
        <f>95.19*Hospital_Operations_Data[[#This Row],[Treatment_Cost_USD]]</f>
        <v>640661.06460000004</v>
      </c>
      <c r="C1041" s="13">
        <f>95.19*Hospital_Operations_Data[[#This Row],[Medication_Cost_USD]]</f>
        <v>159726.91620000001</v>
      </c>
    </row>
    <row r="1042" spans="1:3" x14ac:dyDescent="0.3">
      <c r="A1042" s="12">
        <f>95.19*Hospital_Operations_Data[[#This Row],[Treatment_Cost_USD]]</f>
        <v>633132.48749999993</v>
      </c>
      <c r="C1042" s="14">
        <f>95.19*Hospital_Operations_Data[[#This Row],[Medication_Cost_USD]]</f>
        <v>250283.06700000001</v>
      </c>
    </row>
    <row r="1043" spans="1:3" x14ac:dyDescent="0.3">
      <c r="A1043" s="11">
        <f>95.19*Hospital_Operations_Data[[#This Row],[Treatment_Cost_USD]]</f>
        <v>156479.03339999999</v>
      </c>
      <c r="C1043" s="13">
        <f>95.19*Hospital_Operations_Data[[#This Row],[Medication_Cost_USD]]</f>
        <v>33345.057000000001</v>
      </c>
    </row>
    <row r="1044" spans="1:3" x14ac:dyDescent="0.3">
      <c r="A1044" s="12">
        <f>95.19*Hospital_Operations_Data[[#This Row],[Treatment_Cost_USD]]</f>
        <v>671828.17440000002</v>
      </c>
      <c r="C1044" s="14">
        <f>95.19*Hospital_Operations_Data[[#This Row],[Medication_Cost_USD]]</f>
        <v>125858.31420000001</v>
      </c>
    </row>
    <row r="1045" spans="1:3" x14ac:dyDescent="0.3">
      <c r="A1045" s="11">
        <f>95.19*Hospital_Operations_Data[[#This Row],[Treatment_Cost_USD]]</f>
        <v>844641.81179999991</v>
      </c>
      <c r="C1045" s="13">
        <f>95.19*Hospital_Operations_Data[[#This Row],[Medication_Cost_USD]]</f>
        <v>273135.33029999997</v>
      </c>
    </row>
    <row r="1046" spans="1:3" x14ac:dyDescent="0.3">
      <c r="A1046" s="12">
        <f>95.19*Hospital_Operations_Data[[#This Row],[Treatment_Cost_USD]]</f>
        <v>494754.78450000001</v>
      </c>
      <c r="C1046" s="14">
        <f>95.19*Hospital_Operations_Data[[#This Row],[Medication_Cost_USD]]</f>
        <v>82031.886299999998</v>
      </c>
    </row>
    <row r="1047" spans="1:3" x14ac:dyDescent="0.3">
      <c r="A1047" s="11">
        <f>95.19*Hospital_Operations_Data[[#This Row],[Treatment_Cost_USD]]</f>
        <v>1931839.1664</v>
      </c>
      <c r="C1047" s="13">
        <f>95.19*Hospital_Operations_Data[[#This Row],[Medication_Cost_USD]]</f>
        <v>721104.22979999997</v>
      </c>
    </row>
    <row r="1048" spans="1:3" x14ac:dyDescent="0.3">
      <c r="A1048" s="12">
        <f>95.19*Hospital_Operations_Data[[#This Row],[Treatment_Cost_USD]]</f>
        <v>621318.45660000003</v>
      </c>
      <c r="C1048" s="14">
        <f>95.19*Hospital_Operations_Data[[#This Row],[Medication_Cost_USD]]</f>
        <v>203952.19019999998</v>
      </c>
    </row>
    <row r="1049" spans="1:3" x14ac:dyDescent="0.3">
      <c r="A1049" s="11">
        <f>95.19*Hospital_Operations_Data[[#This Row],[Treatment_Cost_USD]]</f>
        <v>561463.93650000007</v>
      </c>
      <c r="C1049" s="13">
        <f>95.19*Hospital_Operations_Data[[#This Row],[Medication_Cost_USD]]</f>
        <v>89153.050199999998</v>
      </c>
    </row>
    <row r="1050" spans="1:3" x14ac:dyDescent="0.3">
      <c r="A1050" s="12">
        <f>95.19*Hospital_Operations_Data[[#This Row],[Treatment_Cost_USD]]</f>
        <v>486169.59839999996</v>
      </c>
      <c r="C1050" s="14">
        <f>95.19*Hospital_Operations_Data[[#This Row],[Medication_Cost_USD]]</f>
        <v>75124.899900000004</v>
      </c>
    </row>
    <row r="1051" spans="1:3" x14ac:dyDescent="0.3">
      <c r="A1051" s="11">
        <f>95.19*Hospital_Operations_Data[[#This Row],[Treatment_Cost_USD]]</f>
        <v>2328533.0205000001</v>
      </c>
      <c r="C1051" s="13">
        <f>95.19*Hospital_Operations_Data[[#This Row],[Medication_Cost_USD]]</f>
        <v>751404.15869999991</v>
      </c>
    </row>
    <row r="1052" spans="1:3" x14ac:dyDescent="0.3">
      <c r="A1052" s="12">
        <f>95.19*Hospital_Operations_Data[[#This Row],[Treatment_Cost_USD]]</f>
        <v>581117.81579999998</v>
      </c>
      <c r="C1052" s="14">
        <f>95.19*Hospital_Operations_Data[[#This Row],[Medication_Cost_USD]]</f>
        <v>102976.54199999999</v>
      </c>
    </row>
    <row r="1053" spans="1:3" x14ac:dyDescent="0.3">
      <c r="A1053" s="11">
        <f>95.19*Hospital_Operations_Data[[#This Row],[Treatment_Cost_USD]]</f>
        <v>630482.39789999998</v>
      </c>
      <c r="C1053" s="13">
        <f>95.19*Hospital_Operations_Data[[#This Row],[Medication_Cost_USD]]</f>
        <v>129643.0686</v>
      </c>
    </row>
    <row r="1054" spans="1:3" x14ac:dyDescent="0.3">
      <c r="A1054" s="12">
        <f>95.19*Hospital_Operations_Data[[#This Row],[Treatment_Cost_USD]]</f>
        <v>701376.10230000003</v>
      </c>
      <c r="C1054" s="14">
        <f>95.19*Hospital_Operations_Data[[#This Row],[Medication_Cost_USD]]</f>
        <v>259394.6538</v>
      </c>
    </row>
    <row r="1055" spans="1:3" x14ac:dyDescent="0.3">
      <c r="A1055" s="11">
        <f>95.19*Hospital_Operations_Data[[#This Row],[Treatment_Cost_USD]]</f>
        <v>1119515.3115000001</v>
      </c>
      <c r="C1055" s="13">
        <f>95.19*Hospital_Operations_Data[[#This Row],[Medication_Cost_USD]]</f>
        <v>398370.14999999997</v>
      </c>
    </row>
    <row r="1056" spans="1:3" x14ac:dyDescent="0.3">
      <c r="A1056" s="12">
        <f>95.19*Hospital_Operations_Data[[#This Row],[Treatment_Cost_USD]]</f>
        <v>427528.75079999998</v>
      </c>
      <c r="C1056" s="14">
        <f>95.19*Hospital_Operations_Data[[#This Row],[Medication_Cost_USD]]</f>
        <v>115072.33529999999</v>
      </c>
    </row>
    <row r="1057" spans="1:3" x14ac:dyDescent="0.3">
      <c r="A1057" s="11">
        <f>95.19*Hospital_Operations_Data[[#This Row],[Treatment_Cost_USD]]</f>
        <v>687764.88419999997</v>
      </c>
      <c r="C1057" s="13">
        <f>95.19*Hospital_Operations_Data[[#This Row],[Medication_Cost_USD]]</f>
        <v>148570.6482</v>
      </c>
    </row>
    <row r="1058" spans="1:3" x14ac:dyDescent="0.3">
      <c r="A1058" s="12">
        <f>95.19*Hospital_Operations_Data[[#This Row],[Treatment_Cost_USD]]</f>
        <v>572241.34829999995</v>
      </c>
      <c r="C1058" s="14">
        <f>95.19*Hospital_Operations_Data[[#This Row],[Medication_Cost_USD]]</f>
        <v>125565.12899999999</v>
      </c>
    </row>
    <row r="1059" spans="1:3" x14ac:dyDescent="0.3">
      <c r="A1059" s="11">
        <f>95.19*Hospital_Operations_Data[[#This Row],[Treatment_Cost_USD]]</f>
        <v>938307.81989999989</v>
      </c>
      <c r="C1059" s="13">
        <f>95.19*Hospital_Operations_Data[[#This Row],[Medication_Cost_USD]]</f>
        <v>147580.6722</v>
      </c>
    </row>
    <row r="1060" spans="1:3" x14ac:dyDescent="0.3">
      <c r="A1060" s="12">
        <f>95.19*Hospital_Operations_Data[[#This Row],[Treatment_Cost_USD]]</f>
        <v>725200.25549999997</v>
      </c>
      <c r="C1060" s="14">
        <f>95.19*Hospital_Operations_Data[[#This Row],[Medication_Cost_USD]]</f>
        <v>150635.3193</v>
      </c>
    </row>
    <row r="1061" spans="1:3" x14ac:dyDescent="0.3">
      <c r="A1061" s="11">
        <f>95.19*Hospital_Operations_Data[[#This Row],[Treatment_Cost_USD]]</f>
        <v>654713.96429999999</v>
      </c>
      <c r="C1061" s="13">
        <f>95.19*Hospital_Operations_Data[[#This Row],[Medication_Cost_USD]]</f>
        <v>257822.11499999999</v>
      </c>
    </row>
    <row r="1062" spans="1:3" x14ac:dyDescent="0.3">
      <c r="A1062" s="12">
        <f>95.19*Hospital_Operations_Data[[#This Row],[Treatment_Cost_USD]]</f>
        <v>948610.23360000004</v>
      </c>
      <c r="C1062" s="14">
        <f>95.19*Hospital_Operations_Data[[#This Row],[Medication_Cost_USD]]</f>
        <v>217054.14179999998</v>
      </c>
    </row>
    <row r="1063" spans="1:3" x14ac:dyDescent="0.3">
      <c r="A1063" s="11">
        <f>95.19*Hospital_Operations_Data[[#This Row],[Treatment_Cost_USD]]</f>
        <v>1108557.0386999999</v>
      </c>
      <c r="C1063" s="13">
        <f>95.19*Hospital_Operations_Data[[#This Row],[Medication_Cost_USD]]</f>
        <v>394970.91509999998</v>
      </c>
    </row>
    <row r="1064" spans="1:3" x14ac:dyDescent="0.3">
      <c r="A1064" s="12">
        <f>95.19*Hospital_Operations_Data[[#This Row],[Treatment_Cost_USD]]</f>
        <v>798952.51559999993</v>
      </c>
      <c r="C1064" s="14">
        <f>95.19*Hospital_Operations_Data[[#This Row],[Medication_Cost_USD]]</f>
        <v>162119.99279999998</v>
      </c>
    </row>
    <row r="1065" spans="1:3" x14ac:dyDescent="0.3">
      <c r="A1065" s="11">
        <f>95.19*Hospital_Operations_Data[[#This Row],[Treatment_Cost_USD]]</f>
        <v>288914.97659999999</v>
      </c>
      <c r="C1065" s="13">
        <f>95.19*Hospital_Operations_Data[[#This Row],[Medication_Cost_USD]]</f>
        <v>92605.591499999995</v>
      </c>
    </row>
    <row r="1066" spans="1:3" x14ac:dyDescent="0.3">
      <c r="A1066" s="12">
        <f>95.19*Hospital_Operations_Data[[#This Row],[Treatment_Cost_USD]]</f>
        <v>242818.2672</v>
      </c>
      <c r="C1066" s="14">
        <f>95.19*Hospital_Operations_Data[[#This Row],[Medication_Cost_USD]]</f>
        <v>47119.049999999996</v>
      </c>
    </row>
    <row r="1067" spans="1:3" x14ac:dyDescent="0.3">
      <c r="A1067" s="11">
        <f>95.19*Hospital_Operations_Data[[#This Row],[Treatment_Cost_USD]]</f>
        <v>718453.18829999992</v>
      </c>
      <c r="C1067" s="13">
        <f>95.19*Hospital_Operations_Data[[#This Row],[Medication_Cost_USD]]</f>
        <v>264359.76419999998</v>
      </c>
    </row>
    <row r="1068" spans="1:3" x14ac:dyDescent="0.3">
      <c r="A1068" s="12">
        <f>95.19*Hospital_Operations_Data[[#This Row],[Treatment_Cost_USD]]</f>
        <v>1415401.0518</v>
      </c>
      <c r="C1068" s="14">
        <f>95.19*Hospital_Operations_Data[[#This Row],[Medication_Cost_USD]]</f>
        <v>417815.56319999998</v>
      </c>
    </row>
    <row r="1069" spans="1:3" x14ac:dyDescent="0.3">
      <c r="A1069" s="11">
        <f>95.19*Hospital_Operations_Data[[#This Row],[Treatment_Cost_USD]]</f>
        <v>504647.88119999995</v>
      </c>
      <c r="C1069" s="13">
        <f>95.19*Hospital_Operations_Data[[#This Row],[Medication_Cost_USD]]</f>
        <v>123171.1005</v>
      </c>
    </row>
    <row r="1070" spans="1:3" x14ac:dyDescent="0.3">
      <c r="A1070" s="12">
        <f>95.19*Hospital_Operations_Data[[#This Row],[Treatment_Cost_USD]]</f>
        <v>385154.92229999998</v>
      </c>
      <c r="C1070" s="14">
        <f>95.19*Hospital_Operations_Data[[#This Row],[Medication_Cost_USD]]</f>
        <v>98043.796199999997</v>
      </c>
    </row>
    <row r="1071" spans="1:3" x14ac:dyDescent="0.3">
      <c r="A1071" s="11">
        <f>95.19*Hospital_Operations_Data[[#This Row],[Treatment_Cost_USD]]</f>
        <v>230536.85339999999</v>
      </c>
      <c r="C1071" s="13">
        <f>95.19*Hospital_Operations_Data[[#This Row],[Medication_Cost_USD]]</f>
        <v>78332.802899999995</v>
      </c>
    </row>
    <row r="1072" spans="1:3" x14ac:dyDescent="0.3">
      <c r="A1072" s="12">
        <f>95.19*Hospital_Operations_Data[[#This Row],[Treatment_Cost_USD]]</f>
        <v>524110.42859999993</v>
      </c>
      <c r="C1072" s="14">
        <f>95.19*Hospital_Operations_Data[[#This Row],[Medication_Cost_USD]]</f>
        <v>136654.764</v>
      </c>
    </row>
    <row r="1073" spans="1:3" x14ac:dyDescent="0.3">
      <c r="A1073" s="11">
        <f>95.19*Hospital_Operations_Data[[#This Row],[Treatment_Cost_USD]]</f>
        <v>448738.03470000002</v>
      </c>
      <c r="C1073" s="13">
        <f>95.19*Hospital_Operations_Data[[#This Row],[Medication_Cost_USD]]</f>
        <v>158857.8315</v>
      </c>
    </row>
    <row r="1074" spans="1:3" x14ac:dyDescent="0.3">
      <c r="A1074" s="12">
        <f>95.19*Hospital_Operations_Data[[#This Row],[Treatment_Cost_USD]]</f>
        <v>803877.64619999996</v>
      </c>
      <c r="C1074" s="14">
        <f>95.19*Hospital_Operations_Data[[#This Row],[Medication_Cost_USD]]</f>
        <v>212003.36039999998</v>
      </c>
    </row>
    <row r="1075" spans="1:3" x14ac:dyDescent="0.3">
      <c r="A1075" s="11">
        <f>95.19*Hospital_Operations_Data[[#This Row],[Treatment_Cost_USD]]</f>
        <v>924804.16650000005</v>
      </c>
      <c r="C1075" s="13">
        <f>95.19*Hospital_Operations_Data[[#This Row],[Medication_Cost_USD]]</f>
        <v>160062.9369</v>
      </c>
    </row>
    <row r="1076" spans="1:3" x14ac:dyDescent="0.3">
      <c r="A1076" s="12">
        <f>95.19*Hospital_Operations_Data[[#This Row],[Treatment_Cost_USD]]</f>
        <v>1015884.8142</v>
      </c>
      <c r="C1076" s="14">
        <f>95.19*Hospital_Operations_Data[[#This Row],[Medication_Cost_USD]]</f>
        <v>158764.5453</v>
      </c>
    </row>
    <row r="1077" spans="1:3" x14ac:dyDescent="0.3">
      <c r="A1077" s="11">
        <f>95.19*Hospital_Operations_Data[[#This Row],[Treatment_Cost_USD]]</f>
        <v>871334.99159999995</v>
      </c>
      <c r="C1077" s="13">
        <f>95.19*Hospital_Operations_Data[[#This Row],[Medication_Cost_USD]]</f>
        <v>345177.02610000002</v>
      </c>
    </row>
    <row r="1078" spans="1:3" x14ac:dyDescent="0.3">
      <c r="A1078" s="12">
        <f>95.19*Hospital_Operations_Data[[#This Row],[Treatment_Cost_USD]]</f>
        <v>189731.7561</v>
      </c>
      <c r="C1078" s="14">
        <f>95.19*Hospital_Operations_Data[[#This Row],[Medication_Cost_USD]]</f>
        <v>60786.430200000003</v>
      </c>
    </row>
    <row r="1079" spans="1:3" x14ac:dyDescent="0.3">
      <c r="A1079" s="11">
        <f>95.19*Hospital_Operations_Data[[#This Row],[Treatment_Cost_USD]]</f>
        <v>447041.74890000001</v>
      </c>
      <c r="C1079" s="13">
        <f>95.19*Hospital_Operations_Data[[#This Row],[Medication_Cost_USD]]</f>
        <v>171129.72629999998</v>
      </c>
    </row>
    <row r="1080" spans="1:3" x14ac:dyDescent="0.3">
      <c r="A1080" s="12">
        <f>95.19*Hospital_Operations_Data[[#This Row],[Treatment_Cost_USD]]</f>
        <v>464187.37170000002</v>
      </c>
      <c r="C1080" s="14">
        <f>95.19*Hospital_Operations_Data[[#This Row],[Medication_Cost_USD]]</f>
        <v>116803.84139999999</v>
      </c>
    </row>
    <row r="1081" spans="1:3" x14ac:dyDescent="0.3">
      <c r="A1081" s="11">
        <f>95.19*Hospital_Operations_Data[[#This Row],[Treatment_Cost_USD]]</f>
        <v>843484.30139999988</v>
      </c>
      <c r="C1081" s="13">
        <f>95.19*Hospital_Operations_Data[[#This Row],[Medication_Cost_USD]]</f>
        <v>170084.54009999998</v>
      </c>
    </row>
    <row r="1082" spans="1:3" x14ac:dyDescent="0.3">
      <c r="A1082" s="12">
        <f>95.19*Hospital_Operations_Data[[#This Row],[Treatment_Cost_USD]]</f>
        <v>279573.02999999997</v>
      </c>
      <c r="C1082" s="14">
        <f>95.19*Hospital_Operations_Data[[#This Row],[Medication_Cost_USD]]</f>
        <v>109239.09209999999</v>
      </c>
    </row>
    <row r="1083" spans="1:3" x14ac:dyDescent="0.3">
      <c r="A1083" s="11">
        <f>95.19*Hospital_Operations_Data[[#This Row],[Treatment_Cost_USD]]</f>
        <v>1603971.4898999999</v>
      </c>
      <c r="C1083" s="13">
        <f>95.19*Hospital_Operations_Data[[#This Row],[Medication_Cost_USD]]</f>
        <v>448067.8971</v>
      </c>
    </row>
    <row r="1084" spans="1:3" x14ac:dyDescent="0.3">
      <c r="A1084" s="12">
        <f>95.19*Hospital_Operations_Data[[#This Row],[Treatment_Cost_USD]]</f>
        <v>1124525.1612</v>
      </c>
      <c r="C1084" s="14">
        <f>95.19*Hospital_Operations_Data[[#This Row],[Medication_Cost_USD]]</f>
        <v>304541.36700000003</v>
      </c>
    </row>
    <row r="1085" spans="1:3" x14ac:dyDescent="0.3">
      <c r="A1085" s="11">
        <f>95.19*Hospital_Operations_Data[[#This Row],[Treatment_Cost_USD]]</f>
        <v>892691.82</v>
      </c>
      <c r="C1085" s="13">
        <f>95.19*Hospital_Operations_Data[[#This Row],[Medication_Cost_USD]]</f>
        <v>329614.413</v>
      </c>
    </row>
    <row r="1086" spans="1:3" x14ac:dyDescent="0.3">
      <c r="A1086" s="12">
        <f>95.19*Hospital_Operations_Data[[#This Row],[Treatment_Cost_USD]]</f>
        <v>779218.67669999995</v>
      </c>
      <c r="C1086" s="14">
        <f>95.19*Hospital_Operations_Data[[#This Row],[Medication_Cost_USD]]</f>
        <v>227775.3915</v>
      </c>
    </row>
    <row r="1087" spans="1:3" x14ac:dyDescent="0.3">
      <c r="A1087" s="11">
        <f>95.19*Hospital_Operations_Data[[#This Row],[Treatment_Cost_USD]]</f>
        <v>602985.81449999998</v>
      </c>
      <c r="C1087" s="13">
        <f>95.19*Hospital_Operations_Data[[#This Row],[Medication_Cost_USD]]</f>
        <v>179616.86670000001</v>
      </c>
    </row>
    <row r="1088" spans="1:3" x14ac:dyDescent="0.3">
      <c r="A1088" s="12">
        <f>95.19*Hospital_Operations_Data[[#This Row],[Treatment_Cost_USD]]</f>
        <v>766250.94299999997</v>
      </c>
      <c r="C1088" s="14">
        <f>95.19*Hospital_Operations_Data[[#This Row],[Medication_Cost_USD]]</f>
        <v>190894.02600000001</v>
      </c>
    </row>
    <row r="1089" spans="1:3" x14ac:dyDescent="0.3">
      <c r="A1089" s="11">
        <f>95.19*Hospital_Operations_Data[[#This Row],[Treatment_Cost_USD]]</f>
        <v>390613.11690000002</v>
      </c>
      <c r="C1089" s="13">
        <f>95.19*Hospital_Operations_Data[[#This Row],[Medication_Cost_USD]]</f>
        <v>115113.26699999999</v>
      </c>
    </row>
    <row r="1090" spans="1:3" x14ac:dyDescent="0.3">
      <c r="A1090" s="12">
        <f>95.19*Hospital_Operations_Data[[#This Row],[Treatment_Cost_USD]]</f>
        <v>354300.03570000001</v>
      </c>
      <c r="C1090" s="14">
        <f>95.19*Hospital_Operations_Data[[#This Row],[Medication_Cost_USD]]</f>
        <v>114083.3112</v>
      </c>
    </row>
    <row r="1091" spans="1:3" x14ac:dyDescent="0.3">
      <c r="A1091" s="11">
        <f>95.19*Hospital_Operations_Data[[#This Row],[Treatment_Cost_USD]]</f>
        <v>769158.04559999995</v>
      </c>
      <c r="C1091" s="13">
        <f>95.19*Hospital_Operations_Data[[#This Row],[Medication_Cost_USD]]</f>
        <v>152082.20730000001</v>
      </c>
    </row>
    <row r="1092" spans="1:3" x14ac:dyDescent="0.3">
      <c r="A1092" s="12">
        <f>95.19*Hospital_Operations_Data[[#This Row],[Treatment_Cost_USD]]</f>
        <v>219297.77009999999</v>
      </c>
      <c r="C1092" s="14">
        <f>95.19*Hospital_Operations_Data[[#This Row],[Medication_Cost_USD]]</f>
        <v>64835.8128</v>
      </c>
    </row>
    <row r="1093" spans="1:3" x14ac:dyDescent="0.3">
      <c r="A1093" s="11">
        <f>95.19*Hospital_Operations_Data[[#This Row],[Treatment_Cost_USD]]</f>
        <v>404471.82900000003</v>
      </c>
      <c r="C1093" s="13">
        <f>95.19*Hospital_Operations_Data[[#This Row],[Medication_Cost_USD]]</f>
        <v>101796.186</v>
      </c>
    </row>
    <row r="1094" spans="1:3" x14ac:dyDescent="0.3">
      <c r="A1094" s="12">
        <f>95.19*Hospital_Operations_Data[[#This Row],[Treatment_Cost_USD]]</f>
        <v>331291.66080000001</v>
      </c>
      <c r="C1094" s="14">
        <f>95.19*Hospital_Operations_Data[[#This Row],[Medication_Cost_USD]]</f>
        <v>100587.273</v>
      </c>
    </row>
    <row r="1095" spans="1:3" x14ac:dyDescent="0.3">
      <c r="A1095" s="11">
        <f>95.19*Hospital_Operations_Data[[#This Row],[Treatment_Cost_USD]]</f>
        <v>1039155.9134999999</v>
      </c>
      <c r="C1095" s="13">
        <f>95.19*Hospital_Operations_Data[[#This Row],[Medication_Cost_USD]]</f>
        <v>281722.42019999999</v>
      </c>
    </row>
    <row r="1096" spans="1:3" x14ac:dyDescent="0.3">
      <c r="A1096" s="12">
        <f>95.19*Hospital_Operations_Data[[#This Row],[Treatment_Cost_USD]]</f>
        <v>1047932.4315000001</v>
      </c>
      <c r="C1096" s="14">
        <f>95.19*Hospital_Operations_Data[[#This Row],[Medication_Cost_USD]]</f>
        <v>187994.5386</v>
      </c>
    </row>
    <row r="1097" spans="1:3" x14ac:dyDescent="0.3">
      <c r="A1097" s="11">
        <f>95.19*Hospital_Operations_Data[[#This Row],[Treatment_Cost_USD]]</f>
        <v>1151195.4953999999</v>
      </c>
      <c r="C1097" s="13">
        <f>95.19*Hospital_Operations_Data[[#This Row],[Medication_Cost_USD]]</f>
        <v>452457.10799999995</v>
      </c>
    </row>
    <row r="1098" spans="1:3" x14ac:dyDescent="0.3">
      <c r="A1098" s="12">
        <f>95.19*Hospital_Operations_Data[[#This Row],[Treatment_Cost_USD]]</f>
        <v>1039233.9692999999</v>
      </c>
      <c r="C1098" s="14">
        <f>95.19*Hospital_Operations_Data[[#This Row],[Medication_Cost_USD]]</f>
        <v>172765.09049999999</v>
      </c>
    </row>
    <row r="1099" spans="1:3" x14ac:dyDescent="0.3">
      <c r="A1099" s="11">
        <f>95.19*Hospital_Operations_Data[[#This Row],[Treatment_Cost_USD]]</f>
        <v>1075703.1621000001</v>
      </c>
      <c r="C1099" s="13">
        <f>95.19*Hospital_Operations_Data[[#This Row],[Medication_Cost_USD]]</f>
        <v>313102.75559999997</v>
      </c>
    </row>
    <row r="1100" spans="1:3" x14ac:dyDescent="0.3">
      <c r="A1100" s="12">
        <f>95.19*Hospital_Operations_Data[[#This Row],[Treatment_Cost_USD]]</f>
        <v>896763.09629999998</v>
      </c>
      <c r="C1100" s="14">
        <f>95.19*Hospital_Operations_Data[[#This Row],[Medication_Cost_USD]]</f>
        <v>225597.44429999997</v>
      </c>
    </row>
    <row r="1101" spans="1:3" x14ac:dyDescent="0.3">
      <c r="A1101" s="11">
        <f>95.19*Hospital_Operations_Data[[#This Row],[Treatment_Cost_USD]]</f>
        <v>469200.07709999999</v>
      </c>
      <c r="C1101" s="13">
        <f>95.19*Hospital_Operations_Data[[#This Row],[Medication_Cost_USD]]</f>
        <v>180588.75659999999</v>
      </c>
    </row>
    <row r="1102" spans="1:3" x14ac:dyDescent="0.3">
      <c r="A1102" s="12">
        <f>95.19*Hospital_Operations_Data[[#This Row],[Treatment_Cost_USD]]</f>
        <v>624448.30379999999</v>
      </c>
      <c r="C1102" s="14">
        <f>95.19*Hospital_Operations_Data[[#This Row],[Medication_Cost_USD]]</f>
        <v>117461.60430000001</v>
      </c>
    </row>
    <row r="1103" spans="1:3" x14ac:dyDescent="0.3">
      <c r="A1103" s="11">
        <f>95.19*Hospital_Operations_Data[[#This Row],[Treatment_Cost_USD]]</f>
        <v>760808.93069999991</v>
      </c>
      <c r="C1103" s="13">
        <f>95.19*Hospital_Operations_Data[[#This Row],[Medication_Cost_USD]]</f>
        <v>164953.7991</v>
      </c>
    </row>
    <row r="1104" spans="1:3" x14ac:dyDescent="0.3">
      <c r="A1104" s="12">
        <f>95.19*Hospital_Operations_Data[[#This Row],[Treatment_Cost_USD]]</f>
        <v>728737.5159</v>
      </c>
      <c r="C1104" s="14">
        <f>95.19*Hospital_Operations_Data[[#This Row],[Medication_Cost_USD]]</f>
        <v>269004.08429999999</v>
      </c>
    </row>
    <row r="1105" spans="1:3" x14ac:dyDescent="0.3">
      <c r="A1105" s="11">
        <f>95.19*Hospital_Operations_Data[[#This Row],[Treatment_Cost_USD]]</f>
        <v>894155.84219999996</v>
      </c>
      <c r="C1105" s="13">
        <f>95.19*Hospital_Operations_Data[[#This Row],[Medication_Cost_USD]]</f>
        <v>249982.26659999997</v>
      </c>
    </row>
    <row r="1106" spans="1:3" x14ac:dyDescent="0.3">
      <c r="A1106" s="12">
        <f>95.19*Hospital_Operations_Data[[#This Row],[Treatment_Cost_USD]]</f>
        <v>550770.29189999995</v>
      </c>
      <c r="C1106" s="14">
        <f>95.19*Hospital_Operations_Data[[#This Row],[Medication_Cost_USD]]</f>
        <v>198968.04179999998</v>
      </c>
    </row>
    <row r="1107" spans="1:3" x14ac:dyDescent="0.3">
      <c r="A1107" s="11">
        <f>95.19*Hospital_Operations_Data[[#This Row],[Treatment_Cost_USD]]</f>
        <v>974101.16369999992</v>
      </c>
      <c r="C1107" s="13">
        <f>95.19*Hospital_Operations_Data[[#This Row],[Medication_Cost_USD]]</f>
        <v>330925.17929999996</v>
      </c>
    </row>
    <row r="1108" spans="1:3" x14ac:dyDescent="0.3">
      <c r="A1108" s="12">
        <f>95.19*Hospital_Operations_Data[[#This Row],[Treatment_Cost_USD]]</f>
        <v>376219.43700000003</v>
      </c>
      <c r="C1108" s="14">
        <f>95.19*Hospital_Operations_Data[[#This Row],[Medication_Cost_USD]]</f>
        <v>98469.295500000007</v>
      </c>
    </row>
    <row r="1109" spans="1:3" x14ac:dyDescent="0.3">
      <c r="A1109" s="11">
        <f>95.19*Hospital_Operations_Data[[#This Row],[Treatment_Cost_USD]]</f>
        <v>282352.57799999998</v>
      </c>
      <c r="C1109" s="13">
        <f>95.19*Hospital_Operations_Data[[#This Row],[Medication_Cost_USD]]</f>
        <v>111369.4443</v>
      </c>
    </row>
    <row r="1110" spans="1:3" x14ac:dyDescent="0.3">
      <c r="A1110" s="12">
        <f>95.19*Hospital_Operations_Data[[#This Row],[Treatment_Cost_USD]]</f>
        <v>992687.01119999995</v>
      </c>
      <c r="C1110" s="14">
        <f>95.19*Hospital_Operations_Data[[#This Row],[Medication_Cost_USD]]</f>
        <v>190107.75659999999</v>
      </c>
    </row>
    <row r="1111" spans="1:3" x14ac:dyDescent="0.3">
      <c r="A1111" s="11">
        <f>95.19*Hospital_Operations_Data[[#This Row],[Treatment_Cost_USD]]</f>
        <v>845247.22019999998</v>
      </c>
      <c r="C1111" s="13">
        <f>95.19*Hospital_Operations_Data[[#This Row],[Medication_Cost_USD]]</f>
        <v>226405.60740000001</v>
      </c>
    </row>
    <row r="1112" spans="1:3" x14ac:dyDescent="0.3">
      <c r="A1112" s="12">
        <f>95.19*Hospital_Operations_Data[[#This Row],[Treatment_Cost_USD]]</f>
        <v>619918.21169999999</v>
      </c>
      <c r="C1112" s="14">
        <f>95.19*Hospital_Operations_Data[[#This Row],[Medication_Cost_USD]]</f>
        <v>164533.05929999999</v>
      </c>
    </row>
    <row r="1113" spans="1:3" x14ac:dyDescent="0.3">
      <c r="A1113" s="11">
        <f>95.19*Hospital_Operations_Data[[#This Row],[Treatment_Cost_USD]]</f>
        <v>931539.81090000004</v>
      </c>
      <c r="C1113" s="13">
        <f>95.19*Hospital_Operations_Data[[#This Row],[Medication_Cost_USD]]</f>
        <v>346041.35129999998</v>
      </c>
    </row>
    <row r="1114" spans="1:3" x14ac:dyDescent="0.3">
      <c r="A1114" s="12">
        <f>95.19*Hospital_Operations_Data[[#This Row],[Treatment_Cost_USD]]</f>
        <v>928562.26769999997</v>
      </c>
      <c r="C1114" s="14">
        <f>95.19*Hospital_Operations_Data[[#This Row],[Medication_Cost_USD]]</f>
        <v>282265.95509999996</v>
      </c>
    </row>
    <row r="1115" spans="1:3" x14ac:dyDescent="0.3">
      <c r="A1115" s="11">
        <f>95.19*Hospital_Operations_Data[[#This Row],[Treatment_Cost_USD]]</f>
        <v>1009526.1221999999</v>
      </c>
      <c r="C1115" s="13">
        <f>95.19*Hospital_Operations_Data[[#This Row],[Medication_Cost_USD]]</f>
        <v>183493.00349999999</v>
      </c>
    </row>
    <row r="1116" spans="1:3" x14ac:dyDescent="0.3">
      <c r="A1116" s="12">
        <f>95.19*Hospital_Operations_Data[[#This Row],[Treatment_Cost_USD]]</f>
        <v>404943.01949999999</v>
      </c>
      <c r="C1116" s="14">
        <f>95.19*Hospital_Operations_Data[[#This Row],[Medication_Cost_USD]]</f>
        <v>88991.227199999994</v>
      </c>
    </row>
    <row r="1117" spans="1:3" x14ac:dyDescent="0.3">
      <c r="A1117" s="11">
        <f>95.19*Hospital_Operations_Data[[#This Row],[Treatment_Cost_USD]]</f>
        <v>504067.22220000002</v>
      </c>
      <c r="C1117" s="13">
        <f>95.19*Hospital_Operations_Data[[#This Row],[Medication_Cost_USD]]</f>
        <v>138586.1691</v>
      </c>
    </row>
    <row r="1118" spans="1:3" x14ac:dyDescent="0.3">
      <c r="A1118" s="12">
        <f>95.19*Hospital_Operations_Data[[#This Row],[Treatment_Cost_USD]]</f>
        <v>708894.20849999995</v>
      </c>
      <c r="C1118" s="14">
        <f>95.19*Hospital_Operations_Data[[#This Row],[Medication_Cost_USD]]</f>
        <v>275813.02499999997</v>
      </c>
    </row>
    <row r="1119" spans="1:3" x14ac:dyDescent="0.3">
      <c r="A1119" s="11">
        <f>95.19*Hospital_Operations_Data[[#This Row],[Treatment_Cost_USD]]</f>
        <v>1304842.6263000001</v>
      </c>
      <c r="C1119" s="13">
        <f>95.19*Hospital_Operations_Data[[#This Row],[Medication_Cost_USD]]</f>
        <v>498346.30319999997</v>
      </c>
    </row>
    <row r="1120" spans="1:3" x14ac:dyDescent="0.3">
      <c r="A1120" s="12">
        <f>95.19*Hospital_Operations_Data[[#This Row],[Treatment_Cost_USD]]</f>
        <v>604060.50959999999</v>
      </c>
      <c r="C1120" s="14">
        <f>95.19*Hospital_Operations_Data[[#This Row],[Medication_Cost_USD]]</f>
        <v>224369.4933</v>
      </c>
    </row>
    <row r="1121" spans="1:3" x14ac:dyDescent="0.3">
      <c r="A1121" s="11">
        <f>95.19*Hospital_Operations_Data[[#This Row],[Treatment_Cost_USD]]</f>
        <v>2458125.6384000001</v>
      </c>
      <c r="C1121" s="13">
        <f>95.19*Hospital_Operations_Data[[#This Row],[Medication_Cost_USD]]</f>
        <v>655926.68489999999</v>
      </c>
    </row>
    <row r="1122" spans="1:3" x14ac:dyDescent="0.3">
      <c r="A1122" s="12">
        <f>95.19*Hospital_Operations_Data[[#This Row],[Treatment_Cost_USD]]</f>
        <v>226536.96960000001</v>
      </c>
      <c r="C1122" s="14">
        <f>95.19*Hospital_Operations_Data[[#This Row],[Medication_Cost_USD]]</f>
        <v>57636.593099999998</v>
      </c>
    </row>
    <row r="1123" spans="1:3" x14ac:dyDescent="0.3">
      <c r="A1123" s="11">
        <f>95.19*Hospital_Operations_Data[[#This Row],[Treatment_Cost_USD]]</f>
        <v>447531.97739999997</v>
      </c>
      <c r="C1123" s="13">
        <f>95.19*Hospital_Operations_Data[[#This Row],[Medication_Cost_USD]]</f>
        <v>94418.960999999996</v>
      </c>
    </row>
    <row r="1124" spans="1:3" x14ac:dyDescent="0.3">
      <c r="A1124" s="12">
        <f>95.19*Hospital_Operations_Data[[#This Row],[Treatment_Cost_USD]]</f>
        <v>469398.0723</v>
      </c>
      <c r="C1124" s="14">
        <f>95.19*Hospital_Operations_Data[[#This Row],[Medication_Cost_USD]]</f>
        <v>103371.5805</v>
      </c>
    </row>
    <row r="1125" spans="1:3" x14ac:dyDescent="0.3">
      <c r="A1125" s="11">
        <f>95.19*Hospital_Operations_Data[[#This Row],[Treatment_Cost_USD]]</f>
        <v>363761.92169999995</v>
      </c>
      <c r="C1125" s="13">
        <f>95.19*Hospital_Operations_Data[[#This Row],[Medication_Cost_USD]]</f>
        <v>90930.247499999998</v>
      </c>
    </row>
    <row r="1126" spans="1:3" x14ac:dyDescent="0.3">
      <c r="A1126" s="12">
        <f>95.19*Hospital_Operations_Data[[#This Row],[Treatment_Cost_USD]]</f>
        <v>985215.5480999999</v>
      </c>
      <c r="C1126" s="14">
        <f>95.19*Hospital_Operations_Data[[#This Row],[Medication_Cost_USD]]</f>
        <v>376195.63949999999</v>
      </c>
    </row>
    <row r="1127" spans="1:3" x14ac:dyDescent="0.3">
      <c r="A1127" s="11">
        <f>95.19*Hospital_Operations_Data[[#This Row],[Treatment_Cost_USD]]</f>
        <v>488557.91549999994</v>
      </c>
      <c r="C1127" s="13">
        <f>95.19*Hospital_Operations_Data[[#This Row],[Medication_Cost_USD]]</f>
        <v>115533.0549</v>
      </c>
    </row>
    <row r="1128" spans="1:3" x14ac:dyDescent="0.3">
      <c r="A1128" s="12">
        <f>95.19*Hospital_Operations_Data[[#This Row],[Treatment_Cost_USD]]</f>
        <v>1114417.8869999999</v>
      </c>
      <c r="C1128" s="14">
        <f>95.19*Hospital_Operations_Data[[#This Row],[Medication_Cost_USD]]</f>
        <v>301803.70259999996</v>
      </c>
    </row>
    <row r="1129" spans="1:3" x14ac:dyDescent="0.3">
      <c r="A1129" s="11">
        <f>95.19*Hospital_Operations_Data[[#This Row],[Treatment_Cost_USD]]</f>
        <v>993017.32050000003</v>
      </c>
      <c r="C1129" s="13">
        <f>95.19*Hospital_Operations_Data[[#This Row],[Medication_Cost_USD]]</f>
        <v>195884.83769999997</v>
      </c>
    </row>
    <row r="1130" spans="1:3" x14ac:dyDescent="0.3">
      <c r="A1130" s="12">
        <f>95.19*Hospital_Operations_Data[[#This Row],[Treatment_Cost_USD]]</f>
        <v>134808.07800000001</v>
      </c>
      <c r="C1130" s="14">
        <f>95.19*Hospital_Operations_Data[[#This Row],[Medication_Cost_USD]]</f>
        <v>38615.727299999999</v>
      </c>
    </row>
    <row r="1131" spans="1:3" x14ac:dyDescent="0.3">
      <c r="A1131" s="11">
        <f>95.19*Hospital_Operations_Data[[#This Row],[Treatment_Cost_USD]]</f>
        <v>1806670.9797</v>
      </c>
      <c r="C1131" s="13">
        <f>95.19*Hospital_Operations_Data[[#This Row],[Medication_Cost_USD]]</f>
        <v>448048.8591</v>
      </c>
    </row>
    <row r="1132" spans="1:3" x14ac:dyDescent="0.3">
      <c r="A1132" s="12">
        <f>95.19*Hospital_Operations_Data[[#This Row],[Treatment_Cost_USD]]</f>
        <v>600088.23089999997</v>
      </c>
      <c r="C1132" s="14">
        <f>95.19*Hospital_Operations_Data[[#This Row],[Medication_Cost_USD]]</f>
        <v>137816.08199999999</v>
      </c>
    </row>
    <row r="1133" spans="1:3" x14ac:dyDescent="0.3">
      <c r="A1133" s="11">
        <f>95.19*Hospital_Operations_Data[[#This Row],[Treatment_Cost_USD]]</f>
        <v>613894.58849999995</v>
      </c>
      <c r="C1133" s="13">
        <f>95.19*Hospital_Operations_Data[[#This Row],[Medication_Cost_USD]]</f>
        <v>177678.79829999999</v>
      </c>
    </row>
    <row r="1134" spans="1:3" x14ac:dyDescent="0.3">
      <c r="A1134" s="12">
        <f>95.19*Hospital_Operations_Data[[#This Row],[Treatment_Cost_USD]]</f>
        <v>780723.63059999992</v>
      </c>
      <c r="C1134" s="14">
        <f>95.19*Hospital_Operations_Data[[#This Row],[Medication_Cost_USD]]</f>
        <v>188292.48329999999</v>
      </c>
    </row>
    <row r="1135" spans="1:3" x14ac:dyDescent="0.3">
      <c r="A1135" s="11">
        <f>95.19*Hospital_Operations_Data[[#This Row],[Treatment_Cost_USD]]</f>
        <v>743603.3382</v>
      </c>
      <c r="C1135" s="13">
        <f>95.19*Hospital_Operations_Data[[#This Row],[Medication_Cost_USD]]</f>
        <v>161236.62959999999</v>
      </c>
    </row>
    <row r="1136" spans="1:3" x14ac:dyDescent="0.3">
      <c r="A1136" s="12">
        <f>95.19*Hospital_Operations_Data[[#This Row],[Treatment_Cost_USD]]</f>
        <v>548791.29180000001</v>
      </c>
      <c r="C1136" s="14">
        <f>95.19*Hospital_Operations_Data[[#This Row],[Medication_Cost_USD]]</f>
        <v>155938.3542</v>
      </c>
    </row>
    <row r="1137" spans="1:3" x14ac:dyDescent="0.3">
      <c r="A1137" s="11">
        <f>95.19*Hospital_Operations_Data[[#This Row],[Treatment_Cost_USD]]</f>
        <v>787376.45969999989</v>
      </c>
      <c r="C1137" s="13">
        <f>95.19*Hospital_Operations_Data[[#This Row],[Medication_Cost_USD]]</f>
        <v>174818.3388</v>
      </c>
    </row>
    <row r="1138" spans="1:3" x14ac:dyDescent="0.3">
      <c r="A1138" s="12">
        <f>95.19*Hospital_Operations_Data[[#This Row],[Treatment_Cost_USD]]</f>
        <v>1471509.8454</v>
      </c>
      <c r="C1138" s="14">
        <f>95.19*Hospital_Operations_Data[[#This Row],[Medication_Cost_USD]]</f>
        <v>547786.08539999998</v>
      </c>
    </row>
    <row r="1139" spans="1:3" x14ac:dyDescent="0.3">
      <c r="A1139" s="11">
        <f>95.19*Hospital_Operations_Data[[#This Row],[Treatment_Cost_USD]]</f>
        <v>515200.6446</v>
      </c>
      <c r="C1139" s="13">
        <f>95.19*Hospital_Operations_Data[[#This Row],[Medication_Cost_USD]]</f>
        <v>89922.185399999988</v>
      </c>
    </row>
    <row r="1140" spans="1:3" x14ac:dyDescent="0.3">
      <c r="A1140" s="12">
        <f>95.19*Hospital_Operations_Data[[#This Row],[Treatment_Cost_USD]]</f>
        <v>510405.92430000001</v>
      </c>
      <c r="C1140" s="14">
        <f>95.19*Hospital_Operations_Data[[#This Row],[Medication_Cost_USD]]</f>
        <v>179061.90899999999</v>
      </c>
    </row>
    <row r="1141" spans="1:3" x14ac:dyDescent="0.3">
      <c r="A1141" s="11">
        <f>95.19*Hospital_Operations_Data[[#This Row],[Treatment_Cost_USD]]</f>
        <v>614028.8064</v>
      </c>
      <c r="C1141" s="13">
        <f>95.19*Hospital_Operations_Data[[#This Row],[Medication_Cost_USD]]</f>
        <v>169399.1721</v>
      </c>
    </row>
    <row r="1142" spans="1:3" x14ac:dyDescent="0.3">
      <c r="A1142" s="12">
        <f>95.19*Hospital_Operations_Data[[#This Row],[Treatment_Cost_USD]]</f>
        <v>1030579.2945</v>
      </c>
      <c r="C1142" s="14">
        <f>95.19*Hospital_Operations_Data[[#This Row],[Medication_Cost_USD]]</f>
        <v>369823.62089999998</v>
      </c>
    </row>
    <row r="1143" spans="1:3" x14ac:dyDescent="0.3">
      <c r="A1143" s="11">
        <f>95.19*Hospital_Operations_Data[[#This Row],[Treatment_Cost_USD]]</f>
        <v>894641.31119999988</v>
      </c>
      <c r="C1143" s="13">
        <f>95.19*Hospital_Operations_Data[[#This Row],[Medication_Cost_USD]]</f>
        <v>316406.80049999995</v>
      </c>
    </row>
    <row r="1144" spans="1:3" x14ac:dyDescent="0.3">
      <c r="A1144" s="12">
        <f>95.19*Hospital_Operations_Data[[#This Row],[Treatment_Cost_USD]]</f>
        <v>1035112.2422999999</v>
      </c>
      <c r="C1144" s="14">
        <f>95.19*Hospital_Operations_Data[[#This Row],[Medication_Cost_USD]]</f>
        <v>389717.37899999996</v>
      </c>
    </row>
    <row r="1145" spans="1:3" x14ac:dyDescent="0.3">
      <c r="A1145" s="11">
        <f>95.19*Hospital_Operations_Data[[#This Row],[Treatment_Cost_USD]]</f>
        <v>510072.75930000003</v>
      </c>
      <c r="C1145" s="13">
        <f>95.19*Hospital_Operations_Data[[#This Row],[Medication_Cost_USD]]</f>
        <v>195436.49279999998</v>
      </c>
    </row>
    <row r="1146" spans="1:3" x14ac:dyDescent="0.3">
      <c r="A1146" s="12">
        <f>95.19*Hospital_Operations_Data[[#This Row],[Treatment_Cost_USD]]</f>
        <v>301023.1446</v>
      </c>
      <c r="C1146" s="14">
        <f>95.19*Hospital_Operations_Data[[#This Row],[Medication_Cost_USD]]</f>
        <v>56268.712800000001</v>
      </c>
    </row>
    <row r="1147" spans="1:3" x14ac:dyDescent="0.3">
      <c r="A1147" s="11">
        <f>95.19*Hospital_Operations_Data[[#This Row],[Treatment_Cost_USD]]</f>
        <v>982458.84570000006</v>
      </c>
      <c r="C1147" s="13">
        <f>95.19*Hospital_Operations_Data[[#This Row],[Medication_Cost_USD]]</f>
        <v>377516.87669999996</v>
      </c>
    </row>
    <row r="1148" spans="1:3" x14ac:dyDescent="0.3">
      <c r="A1148" s="12">
        <f>95.19*Hospital_Operations_Data[[#This Row],[Treatment_Cost_USD]]</f>
        <v>346300.26809999999</v>
      </c>
      <c r="C1148" s="14">
        <f>95.19*Hospital_Operations_Data[[#This Row],[Medication_Cost_USD]]</f>
        <v>82328.879099999991</v>
      </c>
    </row>
    <row r="1149" spans="1:3" x14ac:dyDescent="0.3">
      <c r="A1149" s="11">
        <f>95.19*Hospital_Operations_Data[[#This Row],[Treatment_Cost_USD]]</f>
        <v>122994.99899999998</v>
      </c>
      <c r="C1149" s="13">
        <f>95.19*Hospital_Operations_Data[[#This Row],[Medication_Cost_USD]]</f>
        <v>38200.698899999996</v>
      </c>
    </row>
    <row r="1150" spans="1:3" x14ac:dyDescent="0.3">
      <c r="A1150" s="12">
        <f>95.19*Hospital_Operations_Data[[#This Row],[Treatment_Cost_USD]]</f>
        <v>1035554.8757999999</v>
      </c>
      <c r="C1150" s="14">
        <f>95.19*Hospital_Operations_Data[[#This Row],[Medication_Cost_USD]]</f>
        <v>287759.37</v>
      </c>
    </row>
    <row r="1151" spans="1:3" x14ac:dyDescent="0.3">
      <c r="A1151" s="11">
        <f>95.19*Hospital_Operations_Data[[#This Row],[Treatment_Cost_USD]]</f>
        <v>700924.90170000005</v>
      </c>
      <c r="C1151" s="13">
        <f>95.19*Hospital_Operations_Data[[#This Row],[Medication_Cost_USD]]</f>
        <v>214931.40479999999</v>
      </c>
    </row>
    <row r="1152" spans="1:3" x14ac:dyDescent="0.3">
      <c r="A1152" s="12">
        <f>95.19*Hospital_Operations_Data[[#This Row],[Treatment_Cost_USD]]</f>
        <v>581711.8014</v>
      </c>
      <c r="C1152" s="14">
        <f>95.19*Hospital_Operations_Data[[#This Row],[Medication_Cost_USD]]</f>
        <v>165022.33589999998</v>
      </c>
    </row>
    <row r="1153" spans="1:3" x14ac:dyDescent="0.3">
      <c r="A1153" s="11">
        <f>95.19*Hospital_Operations_Data[[#This Row],[Treatment_Cost_USD]]</f>
        <v>746392.40519999992</v>
      </c>
      <c r="C1153" s="13">
        <f>95.19*Hospital_Operations_Data[[#This Row],[Medication_Cost_USD]]</f>
        <v>155257.7457</v>
      </c>
    </row>
    <row r="1154" spans="1:3" x14ac:dyDescent="0.3">
      <c r="A1154" s="12">
        <f>95.19*Hospital_Operations_Data[[#This Row],[Treatment_Cost_USD]]</f>
        <v>1115578.2530999999</v>
      </c>
      <c r="C1154" s="14">
        <f>95.19*Hospital_Operations_Data[[#This Row],[Medication_Cost_USD]]</f>
        <v>281048.47499999998</v>
      </c>
    </row>
    <row r="1155" spans="1:3" x14ac:dyDescent="0.3">
      <c r="A1155" s="11">
        <f>95.19*Hospital_Operations_Data[[#This Row],[Treatment_Cost_USD]]</f>
        <v>672281.27879999997</v>
      </c>
      <c r="C1155" s="13">
        <f>95.19*Hospital_Operations_Data[[#This Row],[Medication_Cost_USD]]</f>
        <v>110666.94209999999</v>
      </c>
    </row>
    <row r="1156" spans="1:3" x14ac:dyDescent="0.3">
      <c r="A1156" s="12">
        <f>95.19*Hospital_Operations_Data[[#This Row],[Treatment_Cost_USD]]</f>
        <v>1105962.1592999999</v>
      </c>
      <c r="C1156" s="14">
        <f>95.19*Hospital_Operations_Data[[#This Row],[Medication_Cost_USD]]</f>
        <v>373839.68700000003</v>
      </c>
    </row>
    <row r="1157" spans="1:3" x14ac:dyDescent="0.3">
      <c r="A1157" s="11">
        <f>95.19*Hospital_Operations_Data[[#This Row],[Treatment_Cost_USD]]</f>
        <v>633548.46779999998</v>
      </c>
      <c r="C1157" s="13">
        <f>95.19*Hospital_Operations_Data[[#This Row],[Medication_Cost_USD]]</f>
        <v>218526.7311</v>
      </c>
    </row>
    <row r="1158" spans="1:3" x14ac:dyDescent="0.3">
      <c r="A1158" s="12">
        <f>95.19*Hospital_Operations_Data[[#This Row],[Treatment_Cost_USD]]</f>
        <v>780545.62530000007</v>
      </c>
      <c r="C1158" s="14">
        <f>95.19*Hospital_Operations_Data[[#This Row],[Medication_Cost_USD]]</f>
        <v>262586.37450000003</v>
      </c>
    </row>
    <row r="1159" spans="1:3" x14ac:dyDescent="0.3">
      <c r="A1159" s="11">
        <f>95.19*Hospital_Operations_Data[[#This Row],[Treatment_Cost_USD]]</f>
        <v>1538214.2379000001</v>
      </c>
      <c r="C1159" s="13">
        <f>95.19*Hospital_Operations_Data[[#This Row],[Medication_Cost_USD]]</f>
        <v>345993.75630000001</v>
      </c>
    </row>
    <row r="1160" spans="1:3" x14ac:dyDescent="0.3">
      <c r="A1160" s="12">
        <f>95.19*Hospital_Operations_Data[[#This Row],[Treatment_Cost_USD]]</f>
        <v>93273.825299999997</v>
      </c>
      <c r="C1160" s="14">
        <f>95.19*Hospital_Operations_Data[[#This Row],[Medication_Cost_USD]]</f>
        <v>34206.5265</v>
      </c>
    </row>
    <row r="1161" spans="1:3" x14ac:dyDescent="0.3">
      <c r="A1161" s="11">
        <f>95.19*Hospital_Operations_Data[[#This Row],[Treatment_Cost_USD]]</f>
        <v>507468.36089999997</v>
      </c>
      <c r="C1161" s="13">
        <f>95.19*Hospital_Operations_Data[[#This Row],[Medication_Cost_USD]]</f>
        <v>197122.30769999998</v>
      </c>
    </row>
    <row r="1162" spans="1:3" x14ac:dyDescent="0.3">
      <c r="A1162" s="12">
        <f>95.19*Hospital_Operations_Data[[#This Row],[Treatment_Cost_USD]]</f>
        <v>815298.54239999992</v>
      </c>
      <c r="C1162" s="14">
        <f>95.19*Hospital_Operations_Data[[#This Row],[Medication_Cost_USD]]</f>
        <v>267600.0318</v>
      </c>
    </row>
    <row r="1163" spans="1:3" x14ac:dyDescent="0.3">
      <c r="A1163" s="11">
        <f>95.19*Hospital_Operations_Data[[#This Row],[Treatment_Cost_USD]]</f>
        <v>458031.43440000003</v>
      </c>
      <c r="C1163" s="13">
        <f>95.19*Hospital_Operations_Data[[#This Row],[Medication_Cost_USD]]</f>
        <v>168496.77089999997</v>
      </c>
    </row>
    <row r="1164" spans="1:3" x14ac:dyDescent="0.3">
      <c r="A1164" s="12">
        <f>95.19*Hospital_Operations_Data[[#This Row],[Treatment_Cost_USD]]</f>
        <v>825988.37939999998</v>
      </c>
      <c r="C1164" s="14">
        <f>95.19*Hospital_Operations_Data[[#This Row],[Medication_Cost_USD]]</f>
        <v>299667.63899999997</v>
      </c>
    </row>
    <row r="1165" spans="1:3" x14ac:dyDescent="0.3">
      <c r="A1165" s="11">
        <f>95.19*Hospital_Operations_Data[[#This Row],[Treatment_Cost_USD]]</f>
        <v>669200.93039999995</v>
      </c>
      <c r="C1165" s="13">
        <f>95.19*Hospital_Operations_Data[[#This Row],[Medication_Cost_USD]]</f>
        <v>213297.94440000001</v>
      </c>
    </row>
    <row r="1166" spans="1:3" x14ac:dyDescent="0.3">
      <c r="A1166" s="12">
        <f>95.19*Hospital_Operations_Data[[#This Row],[Treatment_Cost_USD]]</f>
        <v>340988.66609999997</v>
      </c>
      <c r="C1166" s="14">
        <f>95.19*Hospital_Operations_Data[[#This Row],[Medication_Cost_USD]]</f>
        <v>73589.485199999996</v>
      </c>
    </row>
    <row r="1167" spans="1:3" x14ac:dyDescent="0.3">
      <c r="A1167" s="11">
        <f>95.19*Hospital_Operations_Data[[#This Row],[Treatment_Cost_USD]]</f>
        <v>281380.68809999997</v>
      </c>
      <c r="C1167" s="13">
        <f>95.19*Hospital_Operations_Data[[#This Row],[Medication_Cost_USD]]</f>
        <v>67656.292499999996</v>
      </c>
    </row>
    <row r="1168" spans="1:3" x14ac:dyDescent="0.3">
      <c r="A1168" s="12">
        <f>95.19*Hospital_Operations_Data[[#This Row],[Treatment_Cost_USD]]</f>
        <v>757493.46299999999</v>
      </c>
      <c r="C1168" s="14">
        <f>95.19*Hospital_Operations_Data[[#This Row],[Medication_Cost_USD]]</f>
        <v>270370.06080000004</v>
      </c>
    </row>
    <row r="1169" spans="1:3" x14ac:dyDescent="0.3">
      <c r="A1169" s="11">
        <f>95.19*Hospital_Operations_Data[[#This Row],[Treatment_Cost_USD]]</f>
        <v>511265.49</v>
      </c>
      <c r="C1169" s="13">
        <f>95.19*Hospital_Operations_Data[[#This Row],[Medication_Cost_USD]]</f>
        <v>145956.73079999999</v>
      </c>
    </row>
    <row r="1170" spans="1:3" x14ac:dyDescent="0.3">
      <c r="A1170" s="12">
        <f>95.19*Hospital_Operations_Data[[#This Row],[Treatment_Cost_USD]]</f>
        <v>848184.78360000008</v>
      </c>
      <c r="C1170" s="14">
        <f>95.19*Hospital_Operations_Data[[#This Row],[Medication_Cost_USD]]</f>
        <v>209690.24340000001</v>
      </c>
    </row>
    <row r="1171" spans="1:3" x14ac:dyDescent="0.3">
      <c r="A1171" s="11">
        <f>95.19*Hospital_Operations_Data[[#This Row],[Treatment_Cost_USD]]</f>
        <v>385098.76019999996</v>
      </c>
      <c r="C1171" s="13">
        <f>95.19*Hospital_Operations_Data[[#This Row],[Medication_Cost_USD]]</f>
        <v>99857.165699999998</v>
      </c>
    </row>
    <row r="1172" spans="1:3" x14ac:dyDescent="0.3">
      <c r="A1172" s="12">
        <f>95.19*Hospital_Operations_Data[[#This Row],[Treatment_Cost_USD]]</f>
        <v>260815.84049999996</v>
      </c>
      <c r="C1172" s="14">
        <f>95.19*Hospital_Operations_Data[[#This Row],[Medication_Cost_USD]]</f>
        <v>73491.439499999993</v>
      </c>
    </row>
    <row r="1173" spans="1:3" x14ac:dyDescent="0.3">
      <c r="A1173" s="11">
        <f>95.19*Hospital_Operations_Data[[#This Row],[Treatment_Cost_USD]]</f>
        <v>464769.93450000003</v>
      </c>
      <c r="C1173" s="13">
        <f>95.19*Hospital_Operations_Data[[#This Row],[Medication_Cost_USD]]</f>
        <v>84938.036999999997</v>
      </c>
    </row>
    <row r="1174" spans="1:3" x14ac:dyDescent="0.3">
      <c r="A1174" s="12">
        <f>95.19*Hospital_Operations_Data[[#This Row],[Treatment_Cost_USD]]</f>
        <v>389392.78110000002</v>
      </c>
      <c r="C1174" s="14">
        <f>95.19*Hospital_Operations_Data[[#This Row],[Medication_Cost_USD]]</f>
        <v>83351.219700000001</v>
      </c>
    </row>
    <row r="1175" spans="1:3" x14ac:dyDescent="0.3">
      <c r="A1175" s="11">
        <f>95.19*Hospital_Operations_Data[[#This Row],[Treatment_Cost_USD]]</f>
        <v>580433.39969999995</v>
      </c>
      <c r="C1175" s="13">
        <f>95.19*Hospital_Operations_Data[[#This Row],[Medication_Cost_USD]]</f>
        <v>110293.79730000001</v>
      </c>
    </row>
    <row r="1176" spans="1:3" x14ac:dyDescent="0.3">
      <c r="A1176" s="12">
        <f>95.19*Hospital_Operations_Data[[#This Row],[Treatment_Cost_USD]]</f>
        <v>354585.60570000001</v>
      </c>
      <c r="C1176" s="14">
        <f>95.19*Hospital_Operations_Data[[#This Row],[Medication_Cost_USD]]</f>
        <v>72820.349999999991</v>
      </c>
    </row>
    <row r="1177" spans="1:3" x14ac:dyDescent="0.3">
      <c r="A1177" s="11">
        <f>95.19*Hospital_Operations_Data[[#This Row],[Treatment_Cost_USD]]</f>
        <v>950498.80320000008</v>
      </c>
      <c r="C1177" s="13">
        <f>95.19*Hospital_Operations_Data[[#This Row],[Medication_Cost_USD]]</f>
        <v>178431.7512</v>
      </c>
    </row>
    <row r="1178" spans="1:3" x14ac:dyDescent="0.3">
      <c r="A1178" s="12">
        <f>95.19*Hospital_Operations_Data[[#This Row],[Treatment_Cost_USD]]</f>
        <v>517586.10599999997</v>
      </c>
      <c r="C1178" s="14">
        <f>95.19*Hospital_Operations_Data[[#This Row],[Medication_Cost_USD]]</f>
        <v>84404.972999999998</v>
      </c>
    </row>
    <row r="1179" spans="1:3" x14ac:dyDescent="0.3">
      <c r="A1179" s="11">
        <f>95.19*Hospital_Operations_Data[[#This Row],[Treatment_Cost_USD]]</f>
        <v>366150.23879999999</v>
      </c>
      <c r="C1179" s="13">
        <f>95.19*Hospital_Operations_Data[[#This Row],[Medication_Cost_USD]]</f>
        <v>136907.9694</v>
      </c>
    </row>
    <row r="1180" spans="1:3" x14ac:dyDescent="0.3">
      <c r="A1180" s="12">
        <f>95.19*Hospital_Operations_Data[[#This Row],[Treatment_Cost_USD]]</f>
        <v>957311.55150000006</v>
      </c>
      <c r="C1180" s="14">
        <f>95.19*Hospital_Operations_Data[[#This Row],[Medication_Cost_USD]]</f>
        <v>287523.29879999999</v>
      </c>
    </row>
    <row r="1181" spans="1:3" x14ac:dyDescent="0.3">
      <c r="A1181" s="11">
        <f>95.19*Hospital_Operations_Data[[#This Row],[Treatment_Cost_USD]]</f>
        <v>468260.55180000002</v>
      </c>
      <c r="C1181" s="13">
        <f>95.19*Hospital_Operations_Data[[#This Row],[Medication_Cost_USD]]</f>
        <v>97867.694700000007</v>
      </c>
    </row>
    <row r="1182" spans="1:3" x14ac:dyDescent="0.3">
      <c r="A1182" s="12">
        <f>95.19*Hospital_Operations_Data[[#This Row],[Treatment_Cost_USD]]</f>
        <v>1629603.3011999999</v>
      </c>
      <c r="C1182" s="14">
        <f>95.19*Hospital_Operations_Data[[#This Row],[Medication_Cost_USD]]</f>
        <v>259883.93039999998</v>
      </c>
    </row>
    <row r="1183" spans="1:3" x14ac:dyDescent="0.3">
      <c r="A1183" s="11">
        <f>95.19*Hospital_Operations_Data[[#This Row],[Treatment_Cost_USD]]</f>
        <v>785735.38409999991</v>
      </c>
      <c r="C1183" s="13">
        <f>95.19*Hospital_Operations_Data[[#This Row],[Medication_Cost_USD]]</f>
        <v>284312.54009999998</v>
      </c>
    </row>
    <row r="1184" spans="1:3" x14ac:dyDescent="0.3">
      <c r="A1184" s="12">
        <f>95.19*Hospital_Operations_Data[[#This Row],[Treatment_Cost_USD]]</f>
        <v>1071531.9362999999</v>
      </c>
      <c r="C1184" s="14">
        <f>95.19*Hospital_Operations_Data[[#This Row],[Medication_Cost_USD]]</f>
        <v>177998.6367</v>
      </c>
    </row>
    <row r="1185" spans="1:3" x14ac:dyDescent="0.3">
      <c r="A1185" s="11">
        <f>95.19*Hospital_Operations_Data[[#This Row],[Treatment_Cost_USD]]</f>
        <v>428043.72869999992</v>
      </c>
      <c r="C1185" s="13">
        <f>95.19*Hospital_Operations_Data[[#This Row],[Medication_Cost_USD]]</f>
        <v>99364.081499999986</v>
      </c>
    </row>
    <row r="1186" spans="1:3" x14ac:dyDescent="0.3">
      <c r="A1186" s="12">
        <f>95.19*Hospital_Operations_Data[[#This Row],[Treatment_Cost_USD]]</f>
        <v>511136.98349999997</v>
      </c>
      <c r="C1186" s="14">
        <f>95.19*Hospital_Operations_Data[[#This Row],[Medication_Cost_USD]]</f>
        <v>166424.4846</v>
      </c>
    </row>
    <row r="1187" spans="1:3" x14ac:dyDescent="0.3">
      <c r="A1187" s="11">
        <f>95.19*Hospital_Operations_Data[[#This Row],[Treatment_Cost_USD]]</f>
        <v>1437313.7897999999</v>
      </c>
      <c r="C1187" s="13">
        <f>95.19*Hospital_Operations_Data[[#This Row],[Medication_Cost_USD]]</f>
        <v>568839.25769999996</v>
      </c>
    </row>
    <row r="1188" spans="1:3" x14ac:dyDescent="0.3">
      <c r="A1188" s="12">
        <f>95.19*Hospital_Operations_Data[[#This Row],[Treatment_Cost_USD]]</f>
        <v>202818.4773</v>
      </c>
      <c r="C1188" s="14">
        <f>95.19*Hospital_Operations_Data[[#This Row],[Medication_Cost_USD]]</f>
        <v>72473.858399999997</v>
      </c>
    </row>
    <row r="1189" spans="1:3" x14ac:dyDescent="0.3">
      <c r="A1189" s="11">
        <f>95.19*Hospital_Operations_Data[[#This Row],[Treatment_Cost_USD]]</f>
        <v>932367.01199999987</v>
      </c>
      <c r="C1189" s="13">
        <f>95.19*Hospital_Operations_Data[[#This Row],[Medication_Cost_USD]]</f>
        <v>267597.17609999998</v>
      </c>
    </row>
    <row r="1190" spans="1:3" x14ac:dyDescent="0.3">
      <c r="A1190" s="12">
        <f>95.19*Hospital_Operations_Data[[#This Row],[Treatment_Cost_USD]]</f>
        <v>720019.0638</v>
      </c>
      <c r="C1190" s="14">
        <f>95.19*Hospital_Operations_Data[[#This Row],[Medication_Cost_USD]]</f>
        <v>279776.7366</v>
      </c>
    </row>
    <row r="1191" spans="1:3" x14ac:dyDescent="0.3">
      <c r="A1191" s="11">
        <f>95.19*Hospital_Operations_Data[[#This Row],[Treatment_Cost_USD]]</f>
        <v>1098686.7876000002</v>
      </c>
      <c r="C1191" s="13">
        <f>95.19*Hospital_Operations_Data[[#This Row],[Medication_Cost_USD]]</f>
        <v>270110.19209999999</v>
      </c>
    </row>
    <row r="1192" spans="1:3" x14ac:dyDescent="0.3">
      <c r="A1192" s="12">
        <f>95.19*Hospital_Operations_Data[[#This Row],[Treatment_Cost_USD]]</f>
        <v>1257073.4286</v>
      </c>
      <c r="C1192" s="14">
        <f>95.19*Hospital_Operations_Data[[#This Row],[Medication_Cost_USD]]</f>
        <v>308162.3946</v>
      </c>
    </row>
    <row r="1193" spans="1:3" x14ac:dyDescent="0.3">
      <c r="A1193" s="11">
        <f>95.19*Hospital_Operations_Data[[#This Row],[Treatment_Cost_USD]]</f>
        <v>489724.9449</v>
      </c>
      <c r="C1193" s="13">
        <f>95.19*Hospital_Operations_Data[[#This Row],[Medication_Cost_USD]]</f>
        <v>121166.39910000001</v>
      </c>
    </row>
    <row r="1194" spans="1:3" x14ac:dyDescent="0.3">
      <c r="A1194" s="12">
        <f>95.19*Hospital_Operations_Data[[#This Row],[Treatment_Cost_USD]]</f>
        <v>483874.5675</v>
      </c>
      <c r="C1194" s="14">
        <f>95.19*Hospital_Operations_Data[[#This Row],[Medication_Cost_USD]]</f>
        <v>133432.58249999999</v>
      </c>
    </row>
    <row r="1195" spans="1:3" x14ac:dyDescent="0.3">
      <c r="A1195" s="11">
        <f>95.19*Hospital_Operations_Data[[#This Row],[Treatment_Cost_USD]]</f>
        <v>707477.78130000003</v>
      </c>
      <c r="C1195" s="13">
        <f>95.19*Hospital_Operations_Data[[#This Row],[Medication_Cost_USD]]</f>
        <v>213902.40090000001</v>
      </c>
    </row>
    <row r="1196" spans="1:3" x14ac:dyDescent="0.3">
      <c r="A1196" s="12">
        <f>95.19*Hospital_Operations_Data[[#This Row],[Treatment_Cost_USD]]</f>
        <v>987147.90510000009</v>
      </c>
      <c r="C1196" s="14">
        <f>95.19*Hospital_Operations_Data[[#This Row],[Medication_Cost_USD]]</f>
        <v>152434.41029999999</v>
      </c>
    </row>
    <row r="1197" spans="1:3" x14ac:dyDescent="0.3">
      <c r="A1197" s="11">
        <f>95.19*Hospital_Operations_Data[[#This Row],[Treatment_Cost_USD]]</f>
        <v>815337.57030000002</v>
      </c>
      <c r="C1197" s="13">
        <f>95.19*Hospital_Operations_Data[[#This Row],[Medication_Cost_USD]]</f>
        <v>130367.46449999999</v>
      </c>
    </row>
    <row r="1198" spans="1:3" x14ac:dyDescent="0.3">
      <c r="A1198" s="12">
        <f>95.19*Hospital_Operations_Data[[#This Row],[Treatment_Cost_USD]]</f>
        <v>2005383.9122999997</v>
      </c>
      <c r="C1198" s="14">
        <f>95.19*Hospital_Operations_Data[[#This Row],[Medication_Cost_USD]]</f>
        <v>684998.66279999993</v>
      </c>
    </row>
    <row r="1199" spans="1:3" x14ac:dyDescent="0.3">
      <c r="A1199" s="11">
        <f>95.19*Hospital_Operations_Data[[#This Row],[Treatment_Cost_USD]]</f>
        <v>974899.80780000007</v>
      </c>
      <c r="C1199" s="13">
        <f>95.19*Hospital_Operations_Data[[#This Row],[Medication_Cost_USD]]</f>
        <v>235353.46739999999</v>
      </c>
    </row>
    <row r="1200" spans="1:3" x14ac:dyDescent="0.3">
      <c r="A1200" s="12">
        <f>95.19*Hospital_Operations_Data[[#This Row],[Treatment_Cost_USD]]</f>
        <v>1380418.7267999998</v>
      </c>
      <c r="C1200" s="14">
        <f>95.19*Hospital_Operations_Data[[#This Row],[Medication_Cost_USD]]</f>
        <v>289059.6654</v>
      </c>
    </row>
    <row r="1201" spans="1:3" x14ac:dyDescent="0.3">
      <c r="A1201" s="11">
        <f>95.19*Hospital_Operations_Data[[#This Row],[Treatment_Cost_USD]]</f>
        <v>734803.02269999997</v>
      </c>
      <c r="C1201" s="13">
        <f>95.19*Hospital_Operations_Data[[#This Row],[Medication_Cost_USD]]</f>
        <v>119598.6198</v>
      </c>
    </row>
    <row r="1202" spans="1:3" x14ac:dyDescent="0.3">
      <c r="A1202" s="12">
        <f>95.19*Hospital_Operations_Data[[#This Row],[Treatment_Cost_USD]]</f>
        <v>185544.348</v>
      </c>
      <c r="C1202" s="14">
        <f>95.19*Hospital_Operations_Data[[#This Row],[Medication_Cost_USD]]</f>
        <v>71273.512499999997</v>
      </c>
    </row>
    <row r="1203" spans="1:3" x14ac:dyDescent="0.3">
      <c r="A1203" s="11">
        <f>95.19*Hospital_Operations_Data[[#This Row],[Treatment_Cost_USD]]</f>
        <v>813125.35469999991</v>
      </c>
      <c r="C1203" s="13">
        <f>95.19*Hospital_Operations_Data[[#This Row],[Medication_Cost_USD]]</f>
        <v>246413.59350000002</v>
      </c>
    </row>
    <row r="1204" spans="1:3" x14ac:dyDescent="0.3">
      <c r="A1204" s="12">
        <f>95.19*Hospital_Operations_Data[[#This Row],[Treatment_Cost_USD]]</f>
        <v>654801.53910000005</v>
      </c>
      <c r="C1204" s="14">
        <f>95.19*Hospital_Operations_Data[[#This Row],[Medication_Cost_USD]]</f>
        <v>116981.84670000001</v>
      </c>
    </row>
    <row r="1205" spans="1:3" x14ac:dyDescent="0.3">
      <c r="A1205" s="11">
        <f>95.19*Hospital_Operations_Data[[#This Row],[Treatment_Cost_USD]]</f>
        <v>515425.29299999995</v>
      </c>
      <c r="C1205" s="13">
        <f>95.19*Hospital_Operations_Data[[#This Row],[Medication_Cost_USD]]</f>
        <v>142214.8119</v>
      </c>
    </row>
    <row r="1206" spans="1:3" x14ac:dyDescent="0.3">
      <c r="A1206" s="12">
        <f>95.19*Hospital_Operations_Data[[#This Row],[Treatment_Cost_USD]]</f>
        <v>319475.72609999997</v>
      </c>
      <c r="C1206" s="14">
        <f>95.19*Hospital_Operations_Data[[#This Row],[Medication_Cost_USD]]</f>
        <v>118640.05649999999</v>
      </c>
    </row>
    <row r="1207" spans="1:3" x14ac:dyDescent="0.3">
      <c r="A1207" s="11">
        <f>95.19*Hospital_Operations_Data[[#This Row],[Treatment_Cost_USD]]</f>
        <v>1044518.9181</v>
      </c>
      <c r="C1207" s="13">
        <f>95.19*Hospital_Operations_Data[[#This Row],[Medication_Cost_USD]]</f>
        <v>280843.81649999996</v>
      </c>
    </row>
    <row r="1208" spans="1:3" x14ac:dyDescent="0.3">
      <c r="A1208" s="12">
        <f>95.19*Hospital_Operations_Data[[#This Row],[Treatment_Cost_USD]]</f>
        <v>399537.17940000002</v>
      </c>
      <c r="C1208" s="14">
        <f>95.19*Hospital_Operations_Data[[#This Row],[Medication_Cost_USD]]</f>
        <v>100075.15079999999</v>
      </c>
    </row>
    <row r="1209" spans="1:3" x14ac:dyDescent="0.3">
      <c r="A1209" s="11">
        <f>95.19*Hospital_Operations_Data[[#This Row],[Treatment_Cost_USD]]</f>
        <v>772899.9645</v>
      </c>
      <c r="C1209" s="13">
        <f>95.19*Hospital_Operations_Data[[#This Row],[Medication_Cost_USD]]</f>
        <v>178121.43179999999</v>
      </c>
    </row>
    <row r="1210" spans="1:3" x14ac:dyDescent="0.3">
      <c r="A1210" s="12">
        <f>95.19*Hospital_Operations_Data[[#This Row],[Treatment_Cost_USD]]</f>
        <v>1942012.1217</v>
      </c>
      <c r="C1210" s="14">
        <f>95.19*Hospital_Operations_Data[[#This Row],[Medication_Cost_USD]]</f>
        <v>510460.1826</v>
      </c>
    </row>
    <row r="1211" spans="1:3" x14ac:dyDescent="0.3">
      <c r="A1211" s="11">
        <f>95.19*Hospital_Operations_Data[[#This Row],[Treatment_Cost_USD]]</f>
        <v>231068.96549999999</v>
      </c>
      <c r="C1211" s="13">
        <f>95.19*Hospital_Operations_Data[[#This Row],[Medication_Cost_USD]]</f>
        <v>39968.377199999995</v>
      </c>
    </row>
    <row r="1212" spans="1:3" x14ac:dyDescent="0.3">
      <c r="A1212" s="12">
        <f>95.19*Hospital_Operations_Data[[#This Row],[Treatment_Cost_USD]]</f>
        <v>1058309.0934000001</v>
      </c>
      <c r="C1212" s="14">
        <f>95.19*Hospital_Operations_Data[[#This Row],[Medication_Cost_USD]]</f>
        <v>297986.58360000001</v>
      </c>
    </row>
    <row r="1213" spans="1:3" x14ac:dyDescent="0.3">
      <c r="A1213" s="11">
        <f>95.19*Hospital_Operations_Data[[#This Row],[Treatment_Cost_USD]]</f>
        <v>274606.01579999999</v>
      </c>
      <c r="C1213" s="13">
        <f>95.19*Hospital_Operations_Data[[#This Row],[Medication_Cost_USD]]</f>
        <v>95106.232799999998</v>
      </c>
    </row>
    <row r="1214" spans="1:3" x14ac:dyDescent="0.3">
      <c r="A1214" s="12">
        <f>95.19*Hospital_Operations_Data[[#This Row],[Treatment_Cost_USD]]</f>
        <v>182398.31849999999</v>
      </c>
      <c r="C1214" s="14">
        <f>95.19*Hospital_Operations_Data[[#This Row],[Medication_Cost_USD]]</f>
        <v>42926.882399999995</v>
      </c>
    </row>
    <row r="1215" spans="1:3" x14ac:dyDescent="0.3">
      <c r="A1215" s="11">
        <f>95.19*Hospital_Operations_Data[[#This Row],[Treatment_Cost_USD]]</f>
        <v>330232.1961</v>
      </c>
      <c r="C1215" s="13">
        <f>95.19*Hospital_Operations_Data[[#This Row],[Medication_Cost_USD]]</f>
        <v>120219.2586</v>
      </c>
    </row>
    <row r="1216" spans="1:3" x14ac:dyDescent="0.3">
      <c r="A1216" s="12">
        <f>95.19*Hospital_Operations_Data[[#This Row],[Treatment_Cost_USD]]</f>
        <v>1397925.1196999999</v>
      </c>
      <c r="C1216" s="14">
        <f>95.19*Hospital_Operations_Data[[#This Row],[Medication_Cost_USD]]</f>
        <v>514805.60609999998</v>
      </c>
    </row>
    <row r="1217" spans="1:3" x14ac:dyDescent="0.3">
      <c r="A1217" s="11">
        <f>95.19*Hospital_Operations_Data[[#This Row],[Treatment_Cost_USD]]</f>
        <v>428861.41079999995</v>
      </c>
      <c r="C1217" s="13">
        <f>95.19*Hospital_Operations_Data[[#This Row],[Medication_Cost_USD]]</f>
        <v>118651.47930000001</v>
      </c>
    </row>
    <row r="1218" spans="1:3" x14ac:dyDescent="0.3">
      <c r="A1218" s="12">
        <f>95.19*Hospital_Operations_Data[[#This Row],[Treatment_Cost_USD]]</f>
        <v>151343.53289999999</v>
      </c>
      <c r="C1218" s="14">
        <f>95.19*Hospital_Operations_Data[[#This Row],[Medication_Cost_USD]]</f>
        <v>42932.593799999995</v>
      </c>
    </row>
    <row r="1219" spans="1:3" x14ac:dyDescent="0.3">
      <c r="A1219" s="11">
        <f>95.19*Hospital_Operations_Data[[#This Row],[Treatment_Cost_USD]]</f>
        <v>407131.4376</v>
      </c>
      <c r="C1219" s="13">
        <f>95.19*Hospital_Operations_Data[[#This Row],[Medication_Cost_USD]]</f>
        <v>64326.546299999995</v>
      </c>
    </row>
    <row r="1220" spans="1:3" x14ac:dyDescent="0.3">
      <c r="A1220" s="12">
        <f>95.19*Hospital_Operations_Data[[#This Row],[Treatment_Cost_USD]]</f>
        <v>723392.59739999997</v>
      </c>
      <c r="C1220" s="14">
        <f>95.19*Hospital_Operations_Data[[#This Row],[Medication_Cost_USD]]</f>
        <v>141958.75079999998</v>
      </c>
    </row>
    <row r="1221" spans="1:3" x14ac:dyDescent="0.3">
      <c r="A1221" s="11">
        <f>95.19*Hospital_Operations_Data[[#This Row],[Treatment_Cost_USD]]</f>
        <v>1739532.5207999998</v>
      </c>
      <c r="C1221" s="13">
        <f>95.19*Hospital_Operations_Data[[#This Row],[Medication_Cost_USD]]</f>
        <v>672871.45680000004</v>
      </c>
    </row>
    <row r="1222" spans="1:3" x14ac:dyDescent="0.3">
      <c r="A1222" s="12">
        <f>95.19*Hospital_Operations_Data[[#This Row],[Treatment_Cost_USD]]</f>
        <v>1060169.1059999999</v>
      </c>
      <c r="C1222" s="14">
        <f>95.19*Hospital_Operations_Data[[#This Row],[Medication_Cost_USD]]</f>
        <v>282800.92290000001</v>
      </c>
    </row>
    <row r="1223" spans="1:3" x14ac:dyDescent="0.3">
      <c r="A1223" s="11">
        <f>95.19*Hospital_Operations_Data[[#This Row],[Treatment_Cost_USD]]</f>
        <v>287234.87309999997</v>
      </c>
      <c r="C1223" s="13">
        <f>95.19*Hospital_Operations_Data[[#This Row],[Medication_Cost_USD]]</f>
        <v>109588.4394</v>
      </c>
    </row>
    <row r="1224" spans="1:3" x14ac:dyDescent="0.3">
      <c r="A1224" s="12">
        <f>95.19*Hospital_Operations_Data[[#This Row],[Treatment_Cost_USD]]</f>
        <v>265549.63919999998</v>
      </c>
      <c r="C1224" s="14">
        <f>95.19*Hospital_Operations_Data[[#This Row],[Medication_Cost_USD]]</f>
        <v>56844.612299999993</v>
      </c>
    </row>
    <row r="1225" spans="1:3" x14ac:dyDescent="0.3">
      <c r="A1225" s="11">
        <f>95.19*Hospital_Operations_Data[[#This Row],[Treatment_Cost_USD]]</f>
        <v>470545.11180000001</v>
      </c>
      <c r="C1225" s="13">
        <f>95.19*Hospital_Operations_Data[[#This Row],[Medication_Cost_USD]]</f>
        <v>154834.1502</v>
      </c>
    </row>
    <row r="1226" spans="1:3" x14ac:dyDescent="0.3">
      <c r="A1226" s="12">
        <f>95.19*Hospital_Operations_Data[[#This Row],[Treatment_Cost_USD]]</f>
        <v>688039.03139999998</v>
      </c>
      <c r="C1226" s="14">
        <f>95.19*Hospital_Operations_Data[[#This Row],[Medication_Cost_USD]]</f>
        <v>227141.42610000001</v>
      </c>
    </row>
    <row r="1227" spans="1:3" x14ac:dyDescent="0.3">
      <c r="A1227" s="11">
        <f>95.19*Hospital_Operations_Data[[#This Row],[Treatment_Cost_USD]]</f>
        <v>797607.48090000008</v>
      </c>
      <c r="C1227" s="13">
        <f>95.19*Hospital_Operations_Data[[#This Row],[Medication_Cost_USD]]</f>
        <v>301361.06909999996</v>
      </c>
    </row>
    <row r="1228" spans="1:3" x14ac:dyDescent="0.3">
      <c r="A1228" s="12">
        <f>95.19*Hospital_Operations_Data[[#This Row],[Treatment_Cost_USD]]</f>
        <v>185167.39559999999</v>
      </c>
      <c r="C1228" s="14">
        <f>95.19*Hospital_Operations_Data[[#This Row],[Medication_Cost_USD]]</f>
        <v>65640.168300000005</v>
      </c>
    </row>
    <row r="1229" spans="1:3" x14ac:dyDescent="0.3">
      <c r="A1229" s="11">
        <f>95.19*Hospital_Operations_Data[[#This Row],[Treatment_Cost_USD]]</f>
        <v>305001.1347</v>
      </c>
      <c r="C1229" s="13">
        <f>95.19*Hospital_Operations_Data[[#This Row],[Medication_Cost_USD]]</f>
        <v>119825.17199999999</v>
      </c>
    </row>
    <row r="1230" spans="1:3" x14ac:dyDescent="0.3">
      <c r="A1230" s="12">
        <f>95.19*Hospital_Operations_Data[[#This Row],[Treatment_Cost_USD]]</f>
        <v>124711.27470000001</v>
      </c>
      <c r="C1230" s="14">
        <f>95.19*Hospital_Operations_Data[[#This Row],[Medication_Cost_USD]]</f>
        <v>38849.894699999997</v>
      </c>
    </row>
    <row r="1231" spans="1:3" x14ac:dyDescent="0.3">
      <c r="A1231" s="11">
        <f>95.19*Hospital_Operations_Data[[#This Row],[Treatment_Cost_USD]]</f>
        <v>493936.15049999999</v>
      </c>
      <c r="C1231" s="13">
        <f>95.19*Hospital_Operations_Data[[#This Row],[Medication_Cost_USD]]</f>
        <v>166737.65970000002</v>
      </c>
    </row>
    <row r="1232" spans="1:3" x14ac:dyDescent="0.3">
      <c r="A1232" s="12">
        <f>95.19*Hospital_Operations_Data[[#This Row],[Treatment_Cost_USD]]</f>
        <v>1461187.4417999999</v>
      </c>
      <c r="C1232" s="14">
        <f>95.19*Hospital_Operations_Data[[#This Row],[Medication_Cost_USD]]</f>
        <v>496596.71099999995</v>
      </c>
    </row>
    <row r="1233" spans="1:3" x14ac:dyDescent="0.3">
      <c r="A1233" s="11">
        <f>95.19*Hospital_Operations_Data[[#This Row],[Treatment_Cost_USD]]</f>
        <v>721595.41019999993</v>
      </c>
      <c r="C1233" s="13">
        <f>95.19*Hospital_Operations_Data[[#This Row],[Medication_Cost_USD]]</f>
        <v>118139.35709999999</v>
      </c>
    </row>
    <row r="1234" spans="1:3" x14ac:dyDescent="0.3">
      <c r="A1234" s="12">
        <f>95.19*Hospital_Operations_Data[[#This Row],[Treatment_Cost_USD]]</f>
        <v>1289249.5523999999</v>
      </c>
      <c r="C1234" s="14">
        <f>95.19*Hospital_Operations_Data[[#This Row],[Medication_Cost_USD]]</f>
        <v>224181.0171</v>
      </c>
    </row>
    <row r="1235" spans="1:3" x14ac:dyDescent="0.3">
      <c r="A1235" s="11">
        <f>95.19*Hospital_Operations_Data[[#This Row],[Treatment_Cost_USD]]</f>
        <v>594105.53940000001</v>
      </c>
      <c r="C1235" s="13">
        <f>95.19*Hospital_Operations_Data[[#This Row],[Medication_Cost_USD]]</f>
        <v>196119.95700000002</v>
      </c>
    </row>
    <row r="1236" spans="1:3" x14ac:dyDescent="0.3">
      <c r="A1236" s="12">
        <f>95.19*Hospital_Operations_Data[[#This Row],[Treatment_Cost_USD]]</f>
        <v>637699.70369999995</v>
      </c>
      <c r="C1236" s="14">
        <f>95.19*Hospital_Operations_Data[[#This Row],[Medication_Cost_USD]]</f>
        <v>155418.61679999999</v>
      </c>
    </row>
    <row r="1237" spans="1:3" x14ac:dyDescent="0.3">
      <c r="A1237" s="11">
        <f>95.19*Hospital_Operations_Data[[#This Row],[Treatment_Cost_USD]]</f>
        <v>1540023.7997999999</v>
      </c>
      <c r="C1237" s="13">
        <f>95.19*Hospital_Operations_Data[[#This Row],[Medication_Cost_USD]]</f>
        <v>250329.7101</v>
      </c>
    </row>
    <row r="1238" spans="1:3" x14ac:dyDescent="0.3">
      <c r="A1238" s="12">
        <f>95.19*Hospital_Operations_Data[[#This Row],[Treatment_Cost_USD]]</f>
        <v>1666121.0408999999</v>
      </c>
      <c r="C1238" s="14">
        <f>95.19*Hospital_Operations_Data[[#This Row],[Medication_Cost_USD]]</f>
        <v>648217.24679999996</v>
      </c>
    </row>
    <row r="1239" spans="1:3" x14ac:dyDescent="0.3">
      <c r="A1239" s="11">
        <f>95.19*Hospital_Operations_Data[[#This Row],[Treatment_Cost_USD]]</f>
        <v>897663.59369999997</v>
      </c>
      <c r="C1239" s="13">
        <f>95.19*Hospital_Operations_Data[[#This Row],[Medication_Cost_USD]]</f>
        <v>307768.30799999996</v>
      </c>
    </row>
    <row r="1240" spans="1:3" x14ac:dyDescent="0.3">
      <c r="A1240" s="12">
        <f>95.19*Hospital_Operations_Data[[#This Row],[Treatment_Cost_USD]]</f>
        <v>1217924.6373000001</v>
      </c>
      <c r="C1240" s="14">
        <f>95.19*Hospital_Operations_Data[[#This Row],[Medication_Cost_USD]]</f>
        <v>399945.54450000002</v>
      </c>
    </row>
    <row r="1241" spans="1:3" x14ac:dyDescent="0.3">
      <c r="A1241" s="11">
        <f>95.19*Hospital_Operations_Data[[#This Row],[Treatment_Cost_USD]]</f>
        <v>457329.88410000002</v>
      </c>
      <c r="C1241" s="13">
        <f>95.19*Hospital_Operations_Data[[#This Row],[Medication_Cost_USD]]</f>
        <v>72980.269199999995</v>
      </c>
    </row>
    <row r="1242" spans="1:3" x14ac:dyDescent="0.3">
      <c r="A1242" s="12">
        <f>95.19*Hospital_Operations_Data[[#This Row],[Treatment_Cost_USD]]</f>
        <v>225063.4284</v>
      </c>
      <c r="C1242" s="14">
        <f>95.19*Hospital_Operations_Data[[#This Row],[Medication_Cost_USD]]</f>
        <v>88484.816399999996</v>
      </c>
    </row>
    <row r="1243" spans="1:3" x14ac:dyDescent="0.3">
      <c r="A1243" s="11">
        <f>95.19*Hospital_Operations_Data[[#This Row],[Treatment_Cost_USD]]</f>
        <v>2374960.0392</v>
      </c>
      <c r="C1243" s="13">
        <f>95.19*Hospital_Operations_Data[[#This Row],[Medication_Cost_USD]]</f>
        <v>385799.35859999998</v>
      </c>
    </row>
    <row r="1244" spans="1:3" x14ac:dyDescent="0.3">
      <c r="A1244" s="12">
        <f>95.19*Hospital_Operations_Data[[#This Row],[Treatment_Cost_USD]]</f>
        <v>767395.12679999997</v>
      </c>
      <c r="C1244" s="14">
        <f>95.19*Hospital_Operations_Data[[#This Row],[Medication_Cost_USD]]</f>
        <v>156001.17959999997</v>
      </c>
    </row>
    <row r="1245" spans="1:3" x14ac:dyDescent="0.3">
      <c r="A1245" s="11">
        <f>95.19*Hospital_Operations_Data[[#This Row],[Treatment_Cost_USD]]</f>
        <v>1089729.4086</v>
      </c>
      <c r="C1245" s="13">
        <f>95.19*Hospital_Operations_Data[[#This Row],[Medication_Cost_USD]]</f>
        <v>340957.25339999999</v>
      </c>
    </row>
    <row r="1246" spans="1:3" x14ac:dyDescent="0.3">
      <c r="A1246" s="12">
        <f>95.19*Hospital_Operations_Data[[#This Row],[Treatment_Cost_USD]]</f>
        <v>1226661.1755000001</v>
      </c>
      <c r="C1246" s="14">
        <f>95.19*Hospital_Operations_Data[[#This Row],[Medication_Cost_USD]]</f>
        <v>480971.27249999996</v>
      </c>
    </row>
    <row r="1247" spans="1:3" x14ac:dyDescent="0.3">
      <c r="A1247" s="11">
        <f>95.19*Hospital_Operations_Data[[#This Row],[Treatment_Cost_USD]]</f>
        <v>211499.80529999998</v>
      </c>
      <c r="C1247" s="13">
        <f>95.19*Hospital_Operations_Data[[#This Row],[Medication_Cost_USD]]</f>
        <v>37555.310699999995</v>
      </c>
    </row>
    <row r="1248" spans="1:3" x14ac:dyDescent="0.3">
      <c r="A1248" s="12">
        <f>95.19*Hospital_Operations_Data[[#This Row],[Treatment_Cost_USD]]</f>
        <v>418064.96099999995</v>
      </c>
      <c r="C1248" s="14">
        <f>95.19*Hospital_Operations_Data[[#This Row],[Medication_Cost_USD]]</f>
        <v>91113.964199999988</v>
      </c>
    </row>
    <row r="1249" spans="1:3" x14ac:dyDescent="0.3">
      <c r="A1249" s="11">
        <f>95.19*Hospital_Operations_Data[[#This Row],[Treatment_Cost_USD]]</f>
        <v>2056161.1139999998</v>
      </c>
      <c r="C1249" s="13">
        <f>95.19*Hospital_Operations_Data[[#This Row],[Medication_Cost_USD]]</f>
        <v>562644.29249999998</v>
      </c>
    </row>
    <row r="1250" spans="1:3" x14ac:dyDescent="0.3">
      <c r="A1250" s="12">
        <f>95.19*Hospital_Operations_Data[[#This Row],[Treatment_Cost_USD]]</f>
        <v>574036.63170000003</v>
      </c>
      <c r="C1250" s="14">
        <f>95.19*Hospital_Operations_Data[[#This Row],[Medication_Cost_USD]]</f>
        <v>192610.30170000001</v>
      </c>
    </row>
    <row r="1251" spans="1:3" x14ac:dyDescent="0.3">
      <c r="A1251" s="11">
        <f>95.19*Hospital_Operations_Data[[#This Row],[Treatment_Cost_USD]]</f>
        <v>504450.83789999998</v>
      </c>
      <c r="C1251" s="13">
        <f>95.19*Hospital_Operations_Data[[#This Row],[Medication_Cost_USD]]</f>
        <v>184872.30660000001</v>
      </c>
    </row>
    <row r="1252" spans="1:3" x14ac:dyDescent="0.3">
      <c r="A1252" s="12">
        <f>95.19*Hospital_Operations_Data[[#This Row],[Treatment_Cost_USD]]</f>
        <v>410464.99140000006</v>
      </c>
      <c r="C1252" s="14">
        <f>95.19*Hospital_Operations_Data[[#This Row],[Medication_Cost_USD]]</f>
        <v>102337.81709999999</v>
      </c>
    </row>
    <row r="1253" spans="1:3" x14ac:dyDescent="0.3">
      <c r="A1253" s="11">
        <f>95.19*Hospital_Operations_Data[[#This Row],[Treatment_Cost_USD]]</f>
        <v>1594852.2878999999</v>
      </c>
      <c r="C1253" s="13">
        <f>95.19*Hospital_Operations_Data[[#This Row],[Medication_Cost_USD]]</f>
        <v>452177.24940000003</v>
      </c>
    </row>
    <row r="1254" spans="1:3" x14ac:dyDescent="0.3">
      <c r="A1254" s="12">
        <f>95.19*Hospital_Operations_Data[[#This Row],[Treatment_Cost_USD]]</f>
        <v>1314131.2664999999</v>
      </c>
      <c r="C1254" s="14">
        <f>95.19*Hospital_Operations_Data[[#This Row],[Medication_Cost_USD]]</f>
        <v>435295.30289999995</v>
      </c>
    </row>
    <row r="1255" spans="1:3" x14ac:dyDescent="0.3">
      <c r="A1255" s="11">
        <f>95.19*Hospital_Operations_Data[[#This Row],[Treatment_Cost_USD]]</f>
        <v>1455474.138</v>
      </c>
      <c r="C1255" s="13">
        <f>95.19*Hospital_Operations_Data[[#This Row],[Medication_Cost_USD]]</f>
        <v>536081.52299999993</v>
      </c>
    </row>
    <row r="1256" spans="1:3" x14ac:dyDescent="0.3">
      <c r="A1256" s="12">
        <f>95.19*Hospital_Operations_Data[[#This Row],[Treatment_Cost_USD]]</f>
        <v>1207316.6636999999</v>
      </c>
      <c r="C1256" s="14">
        <f>95.19*Hospital_Operations_Data[[#This Row],[Medication_Cost_USD]]</f>
        <v>323899.20539999998</v>
      </c>
    </row>
    <row r="1257" spans="1:3" x14ac:dyDescent="0.3">
      <c r="A1257" s="11">
        <f>95.19*Hospital_Operations_Data[[#This Row],[Treatment_Cost_USD]]</f>
        <v>204460.5048</v>
      </c>
      <c r="C1257" s="13">
        <f>95.19*Hospital_Operations_Data[[#This Row],[Medication_Cost_USD]]</f>
        <v>58301.0193</v>
      </c>
    </row>
    <row r="1258" spans="1:3" x14ac:dyDescent="0.3">
      <c r="A1258" s="12">
        <f>95.19*Hospital_Operations_Data[[#This Row],[Treatment_Cost_USD]]</f>
        <v>89653.749599999996</v>
      </c>
      <c r="C1258" s="14">
        <f>95.19*Hospital_Operations_Data[[#This Row],[Medication_Cost_USD]]</f>
        <v>26011.6194</v>
      </c>
    </row>
    <row r="1259" spans="1:3" x14ac:dyDescent="0.3">
      <c r="A1259" s="11">
        <f>95.19*Hospital_Operations_Data[[#This Row],[Treatment_Cost_USD]]</f>
        <v>326795.8371</v>
      </c>
      <c r="C1259" s="13">
        <f>95.19*Hospital_Operations_Data[[#This Row],[Medication_Cost_USD]]</f>
        <v>97180.42289999999</v>
      </c>
    </row>
    <row r="1260" spans="1:3" x14ac:dyDescent="0.3">
      <c r="A1260" s="12">
        <f>95.19*Hospital_Operations_Data[[#This Row],[Treatment_Cost_USD]]</f>
        <v>1014832.0128</v>
      </c>
      <c r="C1260" s="14">
        <f>95.19*Hospital_Operations_Data[[#This Row],[Medication_Cost_USD]]</f>
        <v>265242.17549999995</v>
      </c>
    </row>
    <row r="1261" spans="1:3" x14ac:dyDescent="0.3">
      <c r="A1261" s="11">
        <f>95.19*Hospital_Operations_Data[[#This Row],[Treatment_Cost_USD]]</f>
        <v>885555.42570000002</v>
      </c>
      <c r="C1261" s="13">
        <f>95.19*Hospital_Operations_Data[[#This Row],[Medication_Cost_USD]]</f>
        <v>134412.0876</v>
      </c>
    </row>
    <row r="1262" spans="1:3" x14ac:dyDescent="0.3">
      <c r="A1262" s="12">
        <f>95.19*Hospital_Operations_Data[[#This Row],[Treatment_Cost_USD]]</f>
        <v>475299.85229999997</v>
      </c>
      <c r="C1262" s="14">
        <f>95.19*Hospital_Operations_Data[[#This Row],[Medication_Cost_USD]]</f>
        <v>86151.709499999997</v>
      </c>
    </row>
    <row r="1263" spans="1:3" x14ac:dyDescent="0.3">
      <c r="A1263" s="11">
        <f>95.19*Hospital_Operations_Data[[#This Row],[Treatment_Cost_USD]]</f>
        <v>237179.21159999998</v>
      </c>
      <c r="C1263" s="13">
        <f>95.19*Hospital_Operations_Data[[#This Row],[Medication_Cost_USD]]</f>
        <v>61369.944900000002</v>
      </c>
    </row>
    <row r="1264" spans="1:3" x14ac:dyDescent="0.3">
      <c r="A1264" s="12">
        <f>95.19*Hospital_Operations_Data[[#This Row],[Treatment_Cost_USD]]</f>
        <v>936104.17139999988</v>
      </c>
      <c r="C1264" s="14">
        <f>95.19*Hospital_Operations_Data[[#This Row],[Medication_Cost_USD]]</f>
        <v>312425.9547</v>
      </c>
    </row>
    <row r="1265" spans="1:3" x14ac:dyDescent="0.3">
      <c r="A1265" s="11">
        <f>95.19*Hospital_Operations_Data[[#This Row],[Treatment_Cost_USD]]</f>
        <v>543419.72010000004</v>
      </c>
      <c r="C1265" s="13">
        <f>95.19*Hospital_Operations_Data[[#This Row],[Medication_Cost_USD]]</f>
        <v>186365.83769999997</v>
      </c>
    </row>
    <row r="1266" spans="1:3" x14ac:dyDescent="0.3">
      <c r="A1266" s="12">
        <f>95.19*Hospital_Operations_Data[[#This Row],[Treatment_Cost_USD]]</f>
        <v>466478.59499999997</v>
      </c>
      <c r="C1266" s="14">
        <f>95.19*Hospital_Operations_Data[[#This Row],[Medication_Cost_USD]]</f>
        <v>148333.6251</v>
      </c>
    </row>
    <row r="1267" spans="1:3" x14ac:dyDescent="0.3">
      <c r="A1267" s="11">
        <f>95.19*Hospital_Operations_Data[[#This Row],[Treatment_Cost_USD]]</f>
        <v>301172.59289999999</v>
      </c>
      <c r="C1267" s="13">
        <f>95.19*Hospital_Operations_Data[[#This Row],[Medication_Cost_USD]]</f>
        <v>56310.596399999995</v>
      </c>
    </row>
    <row r="1268" spans="1:3" x14ac:dyDescent="0.3">
      <c r="A1268" s="12">
        <f>95.19*Hospital_Operations_Data[[#This Row],[Treatment_Cost_USD]]</f>
        <v>1150056.0711000001</v>
      </c>
      <c r="C1268" s="14">
        <f>95.19*Hospital_Operations_Data[[#This Row],[Medication_Cost_USD]]</f>
        <v>307689.3003</v>
      </c>
    </row>
    <row r="1269" spans="1:3" x14ac:dyDescent="0.3">
      <c r="A1269" s="11">
        <f>95.19*Hospital_Operations_Data[[#This Row],[Treatment_Cost_USD]]</f>
        <v>716208.60809999995</v>
      </c>
      <c r="C1269" s="13">
        <f>95.19*Hospital_Operations_Data[[#This Row],[Medication_Cost_USD]]</f>
        <v>282407.78820000001</v>
      </c>
    </row>
    <row r="1270" spans="1:3" x14ac:dyDescent="0.3">
      <c r="A1270" s="12">
        <f>95.19*Hospital_Operations_Data[[#This Row],[Treatment_Cost_USD]]</f>
        <v>460718.64809999999</v>
      </c>
      <c r="C1270" s="14">
        <f>95.19*Hospital_Operations_Data[[#This Row],[Medication_Cost_USD]]</f>
        <v>119931.78480000001</v>
      </c>
    </row>
    <row r="1271" spans="1:3" x14ac:dyDescent="0.3">
      <c r="A1271" s="11">
        <f>95.19*Hospital_Operations_Data[[#This Row],[Treatment_Cost_USD]]</f>
        <v>536176.71299999999</v>
      </c>
      <c r="C1271" s="13">
        <f>95.19*Hospital_Operations_Data[[#This Row],[Medication_Cost_USD]]</f>
        <v>176227.1508</v>
      </c>
    </row>
    <row r="1272" spans="1:3" x14ac:dyDescent="0.3">
      <c r="A1272" s="12">
        <f>95.19*Hospital_Operations_Data[[#This Row],[Treatment_Cost_USD]]</f>
        <v>281527.2807</v>
      </c>
      <c r="C1272" s="14">
        <f>95.19*Hospital_Operations_Data[[#This Row],[Medication_Cost_USD]]</f>
        <v>56072.621399999996</v>
      </c>
    </row>
    <row r="1273" spans="1:3" x14ac:dyDescent="0.3">
      <c r="A1273" s="11">
        <f>95.19*Hospital_Operations_Data[[#This Row],[Treatment_Cost_USD]]</f>
        <v>756454.94010000001</v>
      </c>
      <c r="C1273" s="13">
        <f>95.19*Hospital_Operations_Data[[#This Row],[Medication_Cost_USD]]</f>
        <v>124092.53970000001</v>
      </c>
    </row>
    <row r="1274" spans="1:3" x14ac:dyDescent="0.3">
      <c r="A1274" s="12">
        <f>95.19*Hospital_Operations_Data[[#This Row],[Treatment_Cost_USD]]</f>
        <v>1042245.7809</v>
      </c>
      <c r="C1274" s="14">
        <f>95.19*Hospital_Operations_Data[[#This Row],[Medication_Cost_USD]]</f>
        <v>299382.06899999996</v>
      </c>
    </row>
    <row r="1275" spans="1:3" x14ac:dyDescent="0.3">
      <c r="A1275" s="11">
        <f>95.19*Hospital_Operations_Data[[#This Row],[Treatment_Cost_USD]]</f>
        <v>330297.87719999999</v>
      </c>
      <c r="C1275" s="13">
        <f>95.19*Hospital_Operations_Data[[#This Row],[Medication_Cost_USD]]</f>
        <v>55439.607899999995</v>
      </c>
    </row>
    <row r="1276" spans="1:3" x14ac:dyDescent="0.3">
      <c r="A1276" s="12">
        <f>95.19*Hospital_Operations_Data[[#This Row],[Treatment_Cost_USD]]</f>
        <v>414719.03249999997</v>
      </c>
      <c r="C1276" s="14">
        <f>95.19*Hospital_Operations_Data[[#This Row],[Medication_Cost_USD]]</f>
        <v>99818.137799999982</v>
      </c>
    </row>
    <row r="1277" spans="1:3" x14ac:dyDescent="0.3">
      <c r="A1277" s="11">
        <f>95.19*Hospital_Operations_Data[[#This Row],[Treatment_Cost_USD]]</f>
        <v>1362288.8393999999</v>
      </c>
      <c r="C1277" s="13">
        <f>95.19*Hospital_Operations_Data[[#This Row],[Medication_Cost_USD]]</f>
        <v>326611.16850000003</v>
      </c>
    </row>
    <row r="1278" spans="1:3" x14ac:dyDescent="0.3">
      <c r="A1278" s="12">
        <f>95.19*Hospital_Operations_Data[[#This Row],[Treatment_Cost_USD]]</f>
        <v>814851.14939999999</v>
      </c>
      <c r="C1278" s="14">
        <f>95.19*Hospital_Operations_Data[[#This Row],[Medication_Cost_USD]]</f>
        <v>142424.22990000001</v>
      </c>
    </row>
    <row r="1279" spans="1:3" x14ac:dyDescent="0.3">
      <c r="A1279" s="11">
        <f>95.19*Hospital_Operations_Data[[#This Row],[Treatment_Cost_USD]]</f>
        <v>1004646.6828000001</v>
      </c>
      <c r="C1279" s="13">
        <f>95.19*Hospital_Operations_Data[[#This Row],[Medication_Cost_USD]]</f>
        <v>234191.19749999998</v>
      </c>
    </row>
    <row r="1280" spans="1:3" x14ac:dyDescent="0.3">
      <c r="A1280" s="12">
        <f>95.19*Hospital_Operations_Data[[#This Row],[Treatment_Cost_USD]]</f>
        <v>569280.93929999997</v>
      </c>
      <c r="C1280" s="14">
        <f>95.19*Hospital_Operations_Data[[#This Row],[Medication_Cost_USD]]</f>
        <v>90151.593300000008</v>
      </c>
    </row>
    <row r="1281" spans="1:3" x14ac:dyDescent="0.3">
      <c r="A1281" s="11">
        <f>95.19*Hospital_Operations_Data[[#This Row],[Treatment_Cost_USD]]</f>
        <v>680652.28740000003</v>
      </c>
      <c r="C1281" s="13">
        <f>95.19*Hospital_Operations_Data[[#This Row],[Medication_Cost_USD]]</f>
        <v>155142.56579999998</v>
      </c>
    </row>
    <row r="1282" spans="1:3" x14ac:dyDescent="0.3">
      <c r="A1282" s="12">
        <f>95.19*Hospital_Operations_Data[[#This Row],[Treatment_Cost_USD]]</f>
        <v>1718130.0011999998</v>
      </c>
      <c r="C1282" s="14">
        <f>95.19*Hospital_Operations_Data[[#This Row],[Medication_Cost_USD]]</f>
        <v>516371.4816</v>
      </c>
    </row>
    <row r="1283" spans="1:3" x14ac:dyDescent="0.3">
      <c r="A1283" s="11">
        <f>95.19*Hospital_Operations_Data[[#This Row],[Treatment_Cost_USD]]</f>
        <v>462246.44760000001</v>
      </c>
      <c r="C1283" s="13">
        <f>95.19*Hospital_Operations_Data[[#This Row],[Medication_Cost_USD]]</f>
        <v>150412.5747</v>
      </c>
    </row>
    <row r="1284" spans="1:3" x14ac:dyDescent="0.3">
      <c r="A1284" s="12">
        <f>95.19*Hospital_Operations_Data[[#This Row],[Treatment_Cost_USD]]</f>
        <v>1823584.3389000001</v>
      </c>
      <c r="C1284" s="14">
        <f>95.19*Hospital_Operations_Data[[#This Row],[Medication_Cost_USD]]</f>
        <v>703978.5969</v>
      </c>
    </row>
    <row r="1285" spans="1:3" x14ac:dyDescent="0.3">
      <c r="A1285" s="11">
        <f>95.19*Hospital_Operations_Data[[#This Row],[Treatment_Cost_USD]]</f>
        <v>520525.57319999998</v>
      </c>
      <c r="C1285" s="13">
        <f>95.19*Hospital_Operations_Data[[#This Row],[Medication_Cost_USD]]</f>
        <v>147869.09789999999</v>
      </c>
    </row>
    <row r="1286" spans="1:3" x14ac:dyDescent="0.3">
      <c r="A1286" s="12">
        <f>95.19*Hospital_Operations_Data[[#This Row],[Treatment_Cost_USD]]</f>
        <v>293210.90129999997</v>
      </c>
      <c r="C1286" s="14">
        <f>95.19*Hospital_Operations_Data[[#This Row],[Medication_Cost_USD]]</f>
        <v>116250.78749999999</v>
      </c>
    </row>
    <row r="1287" spans="1:3" x14ac:dyDescent="0.3">
      <c r="A1287" s="11">
        <f>95.19*Hospital_Operations_Data[[#This Row],[Treatment_Cost_USD]]</f>
        <v>360856.72289999999</v>
      </c>
      <c r="C1287" s="13">
        <f>95.19*Hospital_Operations_Data[[#This Row],[Medication_Cost_USD]]</f>
        <v>85893.744600000005</v>
      </c>
    </row>
    <row r="1288" spans="1:3" x14ac:dyDescent="0.3">
      <c r="A1288" s="12">
        <f>95.19*Hospital_Operations_Data[[#This Row],[Treatment_Cost_USD]]</f>
        <v>1665346.1943000001</v>
      </c>
      <c r="C1288" s="14">
        <f>95.19*Hospital_Operations_Data[[#This Row],[Medication_Cost_USD]]</f>
        <v>529177.39229999995</v>
      </c>
    </row>
    <row r="1289" spans="1:3" x14ac:dyDescent="0.3">
      <c r="A1289" s="11">
        <f>95.19*Hospital_Operations_Data[[#This Row],[Treatment_Cost_USD]]</f>
        <v>547626.16619999998</v>
      </c>
      <c r="C1289" s="13">
        <f>95.19*Hospital_Operations_Data[[#This Row],[Medication_Cost_USD]]</f>
        <v>178302.2928</v>
      </c>
    </row>
    <row r="1290" spans="1:3" x14ac:dyDescent="0.3">
      <c r="A1290" s="12">
        <f>95.19*Hospital_Operations_Data[[#This Row],[Treatment_Cost_USD]]</f>
        <v>1366540.0248</v>
      </c>
      <c r="C1290" s="14">
        <f>95.19*Hospital_Operations_Data[[#This Row],[Medication_Cost_USD]]</f>
        <v>543764.30790000001</v>
      </c>
    </row>
    <row r="1291" spans="1:3" x14ac:dyDescent="0.3">
      <c r="A1291" s="11">
        <f>95.19*Hospital_Operations_Data[[#This Row],[Treatment_Cost_USD]]</f>
        <v>491589.717</v>
      </c>
      <c r="C1291" s="13">
        <f>95.19*Hospital_Operations_Data[[#This Row],[Medication_Cost_USD]]</f>
        <v>106418.6124</v>
      </c>
    </row>
    <row r="1292" spans="1:3" x14ac:dyDescent="0.3">
      <c r="A1292" s="12">
        <f>95.19*Hospital_Operations_Data[[#This Row],[Treatment_Cost_USD]]</f>
        <v>414673.34130000003</v>
      </c>
      <c r="C1292" s="14">
        <f>95.19*Hospital_Operations_Data[[#This Row],[Medication_Cost_USD]]</f>
        <v>134072.25930000001</v>
      </c>
    </row>
    <row r="1293" spans="1:3" x14ac:dyDescent="0.3">
      <c r="A1293" s="11">
        <f>95.19*Hospital_Operations_Data[[#This Row],[Treatment_Cost_USD]]</f>
        <v>616899.73679999996</v>
      </c>
      <c r="C1293" s="13">
        <f>95.19*Hospital_Operations_Data[[#This Row],[Medication_Cost_USD]]</f>
        <v>239276.24729999999</v>
      </c>
    </row>
    <row r="1294" spans="1:3" x14ac:dyDescent="0.3">
      <c r="A1294" s="12">
        <f>95.19*Hospital_Operations_Data[[#This Row],[Treatment_Cost_USD]]</f>
        <v>300405.3615</v>
      </c>
      <c r="C1294" s="14">
        <f>95.19*Hospital_Operations_Data[[#This Row],[Medication_Cost_USD]]</f>
        <v>58725.566699999996</v>
      </c>
    </row>
    <row r="1295" spans="1:3" x14ac:dyDescent="0.3">
      <c r="A1295" s="11">
        <f>95.19*Hospital_Operations_Data[[#This Row],[Treatment_Cost_USD]]</f>
        <v>782143.86540000001</v>
      </c>
      <c r="C1295" s="13">
        <f>95.19*Hospital_Operations_Data[[#This Row],[Medication_Cost_USD]]</f>
        <v>167743.818</v>
      </c>
    </row>
    <row r="1296" spans="1:3" x14ac:dyDescent="0.3">
      <c r="A1296" s="12">
        <f>95.19*Hospital_Operations_Data[[#This Row],[Treatment_Cost_USD]]</f>
        <v>1200643.8446999998</v>
      </c>
      <c r="C1296" s="14">
        <f>95.19*Hospital_Operations_Data[[#This Row],[Medication_Cost_USD]]</f>
        <v>402181.5576</v>
      </c>
    </row>
    <row r="1297" spans="1:3" x14ac:dyDescent="0.3">
      <c r="A1297" s="11">
        <f>95.19*Hospital_Operations_Data[[#This Row],[Treatment_Cost_USD]]</f>
        <v>1174366.6451999999</v>
      </c>
      <c r="C1297" s="13">
        <f>95.19*Hospital_Operations_Data[[#This Row],[Medication_Cost_USD]]</f>
        <v>266430.14669999998</v>
      </c>
    </row>
    <row r="1298" spans="1:3" x14ac:dyDescent="0.3">
      <c r="A1298" s="12">
        <f>95.19*Hospital_Operations_Data[[#This Row],[Treatment_Cost_USD]]</f>
        <v>1529388.2211</v>
      </c>
      <c r="C1298" s="14">
        <f>95.19*Hospital_Operations_Data[[#This Row],[Medication_Cost_USD]]</f>
        <v>438989.62680000003</v>
      </c>
    </row>
    <row r="1299" spans="1:3" x14ac:dyDescent="0.3">
      <c r="A1299" s="11">
        <f>95.19*Hospital_Operations_Data[[#This Row],[Treatment_Cost_USD]]</f>
        <v>1348858.4823</v>
      </c>
      <c r="C1299" s="13">
        <f>95.19*Hospital_Operations_Data[[#This Row],[Medication_Cost_USD]]</f>
        <v>223037.78519999998</v>
      </c>
    </row>
    <row r="1300" spans="1:3" x14ac:dyDescent="0.3">
      <c r="A1300" s="12">
        <f>95.19*Hospital_Operations_Data[[#This Row],[Treatment_Cost_USD]]</f>
        <v>485536.58490000002</v>
      </c>
      <c r="C1300" s="14">
        <f>95.19*Hospital_Operations_Data[[#This Row],[Medication_Cost_USD]]</f>
        <v>156304.8357</v>
      </c>
    </row>
    <row r="1301" spans="1:3" x14ac:dyDescent="0.3">
      <c r="A1301" s="11">
        <f>95.19*Hospital_Operations_Data[[#This Row],[Treatment_Cost_USD]]</f>
        <v>315117.92789999995</v>
      </c>
      <c r="C1301" s="13">
        <f>95.19*Hospital_Operations_Data[[#This Row],[Medication_Cost_USD]]</f>
        <v>63862.019099999998</v>
      </c>
    </row>
    <row r="1302" spans="1:3" x14ac:dyDescent="0.3">
      <c r="A1302" s="12">
        <f>95.19*Hospital_Operations_Data[[#This Row],[Treatment_Cost_USD]]</f>
        <v>1177767.7838999999</v>
      </c>
      <c r="C1302" s="14">
        <f>95.19*Hospital_Operations_Data[[#This Row],[Medication_Cost_USD]]</f>
        <v>215461.61309999999</v>
      </c>
    </row>
    <row r="1303" spans="1:3" x14ac:dyDescent="0.3">
      <c r="A1303" s="11">
        <f>95.19*Hospital_Operations_Data[[#This Row],[Treatment_Cost_USD]]</f>
        <v>113840.57670000001</v>
      </c>
      <c r="C1303" s="13">
        <f>95.19*Hospital_Operations_Data[[#This Row],[Medication_Cost_USD]]</f>
        <v>43160.097900000001</v>
      </c>
    </row>
    <row r="1304" spans="1:3" x14ac:dyDescent="0.3">
      <c r="A1304" s="12">
        <f>95.19*Hospital_Operations_Data[[#This Row],[Treatment_Cost_USD]]</f>
        <v>978744.53189999994</v>
      </c>
      <c r="C1304" s="14">
        <f>95.19*Hospital_Operations_Data[[#This Row],[Medication_Cost_USD]]</f>
        <v>382490.55419999996</v>
      </c>
    </row>
    <row r="1305" spans="1:3" x14ac:dyDescent="0.3">
      <c r="A1305" s="11">
        <f>95.19*Hospital_Operations_Data[[#This Row],[Treatment_Cost_USD]]</f>
        <v>891169.73190000001</v>
      </c>
      <c r="C1305" s="13">
        <f>95.19*Hospital_Operations_Data[[#This Row],[Medication_Cost_USD]]</f>
        <v>150322.14420000001</v>
      </c>
    </row>
    <row r="1306" spans="1:3" x14ac:dyDescent="0.3">
      <c r="A1306" s="12">
        <f>95.19*Hospital_Operations_Data[[#This Row],[Treatment_Cost_USD]]</f>
        <v>757021.32059999998</v>
      </c>
      <c r="C1306" s="14">
        <f>95.19*Hospital_Operations_Data[[#This Row],[Medication_Cost_USD]]</f>
        <v>129305.1441</v>
      </c>
    </row>
    <row r="1307" spans="1:3" x14ac:dyDescent="0.3">
      <c r="A1307" s="11">
        <f>95.19*Hospital_Operations_Data[[#This Row],[Treatment_Cost_USD]]</f>
        <v>1168498.1817000001</v>
      </c>
      <c r="C1307" s="13">
        <f>95.19*Hospital_Operations_Data[[#This Row],[Medication_Cost_USD]]</f>
        <v>212245.14299999998</v>
      </c>
    </row>
    <row r="1308" spans="1:3" x14ac:dyDescent="0.3">
      <c r="A1308" s="12">
        <f>95.19*Hospital_Operations_Data[[#This Row],[Treatment_Cost_USD]]</f>
        <v>644638.10279999999</v>
      </c>
      <c r="C1308" s="14">
        <f>95.19*Hospital_Operations_Data[[#This Row],[Medication_Cost_USD]]</f>
        <v>181088.50409999999</v>
      </c>
    </row>
    <row r="1309" spans="1:3" x14ac:dyDescent="0.3">
      <c r="A1309" s="11">
        <f>95.19*Hospital_Operations_Data[[#This Row],[Treatment_Cost_USD]]</f>
        <v>869759.59710000001</v>
      </c>
      <c r="C1309" s="13">
        <f>95.19*Hospital_Operations_Data[[#This Row],[Medication_Cost_USD]]</f>
        <v>291510.80789999996</v>
      </c>
    </row>
    <row r="1310" spans="1:3" x14ac:dyDescent="0.3">
      <c r="A1310" s="12">
        <f>95.19*Hospital_Operations_Data[[#This Row],[Treatment_Cost_USD]]</f>
        <v>271735.08539999998</v>
      </c>
      <c r="C1310" s="14">
        <f>95.19*Hospital_Operations_Data[[#This Row],[Medication_Cost_USD]]</f>
        <v>52644.829499999993</v>
      </c>
    </row>
    <row r="1311" spans="1:3" x14ac:dyDescent="0.3">
      <c r="A1311" s="11">
        <f>95.19*Hospital_Operations_Data[[#This Row],[Treatment_Cost_USD]]</f>
        <v>354974.93280000001</v>
      </c>
      <c r="C1311" s="13">
        <f>95.19*Hospital_Operations_Data[[#This Row],[Medication_Cost_USD]]</f>
        <v>64783.458300000006</v>
      </c>
    </row>
    <row r="1312" spans="1:3" x14ac:dyDescent="0.3">
      <c r="A1312" s="12">
        <f>95.19*Hospital_Operations_Data[[#This Row],[Treatment_Cost_USD]]</f>
        <v>162217.08660000001</v>
      </c>
      <c r="C1312" s="14">
        <f>95.19*Hospital_Operations_Data[[#This Row],[Medication_Cost_USD]]</f>
        <v>31595.464800000002</v>
      </c>
    </row>
    <row r="1313" spans="1:3" x14ac:dyDescent="0.3">
      <c r="A1313" s="11">
        <f>95.19*Hospital_Operations_Data[[#This Row],[Treatment_Cost_USD]]</f>
        <v>426394.08599999995</v>
      </c>
      <c r="C1313" s="13">
        <f>95.19*Hospital_Operations_Data[[#This Row],[Medication_Cost_USD]]</f>
        <v>161117.6421</v>
      </c>
    </row>
    <row r="1314" spans="1:3" x14ac:dyDescent="0.3">
      <c r="A1314" s="12">
        <f>95.19*Hospital_Operations_Data[[#This Row],[Treatment_Cost_USD]]</f>
        <v>986029.42260000005</v>
      </c>
      <c r="C1314" s="14">
        <f>95.19*Hospital_Operations_Data[[#This Row],[Medication_Cost_USD]]</f>
        <v>318723.72509999998</v>
      </c>
    </row>
    <row r="1315" spans="1:3" x14ac:dyDescent="0.3">
      <c r="A1315" s="11">
        <f>95.19*Hospital_Operations_Data[[#This Row],[Treatment_Cost_USD]]</f>
        <v>658728.12659999996</v>
      </c>
      <c r="C1315" s="13">
        <f>95.19*Hospital_Operations_Data[[#This Row],[Medication_Cost_USD]]</f>
        <v>156388.6029</v>
      </c>
    </row>
    <row r="1316" spans="1:3" x14ac:dyDescent="0.3">
      <c r="A1316" s="12">
        <f>95.19*Hospital_Operations_Data[[#This Row],[Treatment_Cost_USD]]</f>
        <v>631316.26229999994</v>
      </c>
      <c r="C1316" s="14">
        <f>95.19*Hospital_Operations_Data[[#This Row],[Medication_Cost_USD]]</f>
        <v>150740.98019999999</v>
      </c>
    </row>
    <row r="1317" spans="1:3" x14ac:dyDescent="0.3">
      <c r="A1317" s="11">
        <f>95.19*Hospital_Operations_Data[[#This Row],[Treatment_Cost_USD]]</f>
        <v>1021349.6721</v>
      </c>
      <c r="C1317" s="13">
        <f>95.19*Hospital_Operations_Data[[#This Row],[Medication_Cost_USD]]</f>
        <v>369002.1312</v>
      </c>
    </row>
    <row r="1318" spans="1:3" x14ac:dyDescent="0.3">
      <c r="A1318" s="12">
        <f>95.19*Hospital_Operations_Data[[#This Row],[Treatment_Cost_USD]]</f>
        <v>354691.26659999997</v>
      </c>
      <c r="C1318" s="14">
        <f>95.19*Hospital_Operations_Data[[#This Row],[Medication_Cost_USD]]</f>
        <v>130768.2144</v>
      </c>
    </row>
    <row r="1319" spans="1:3" x14ac:dyDescent="0.3">
      <c r="A1319" s="11">
        <f>95.19*Hospital_Operations_Data[[#This Row],[Treatment_Cost_USD]]</f>
        <v>198627.26159999997</v>
      </c>
      <c r="C1319" s="13">
        <f>95.19*Hospital_Operations_Data[[#This Row],[Medication_Cost_USD]]</f>
        <v>77485.611900000004</v>
      </c>
    </row>
    <row r="1320" spans="1:3" x14ac:dyDescent="0.3">
      <c r="A1320" s="12">
        <f>95.19*Hospital_Operations_Data[[#This Row],[Treatment_Cost_USD]]</f>
        <v>719850.57750000001</v>
      </c>
      <c r="C1320" s="14">
        <f>95.19*Hospital_Operations_Data[[#This Row],[Medication_Cost_USD]]</f>
        <v>245372.21489999999</v>
      </c>
    </row>
    <row r="1321" spans="1:3" x14ac:dyDescent="0.3">
      <c r="A1321" s="11">
        <f>95.19*Hospital_Operations_Data[[#This Row],[Treatment_Cost_USD]]</f>
        <v>192612.20550000001</v>
      </c>
      <c r="C1321" s="13">
        <f>95.19*Hospital_Operations_Data[[#This Row],[Medication_Cost_USD]]</f>
        <v>60037.284899999999</v>
      </c>
    </row>
    <row r="1322" spans="1:3" x14ac:dyDescent="0.3">
      <c r="A1322" s="12">
        <f>95.19*Hospital_Operations_Data[[#This Row],[Treatment_Cost_USD]]</f>
        <v>940064.07539999997</v>
      </c>
      <c r="C1322" s="14">
        <f>95.19*Hospital_Operations_Data[[#This Row],[Medication_Cost_USD]]</f>
        <v>278100.44070000004</v>
      </c>
    </row>
    <row r="1323" spans="1:3" x14ac:dyDescent="0.3">
      <c r="A1323" s="11">
        <f>95.19*Hospital_Operations_Data[[#This Row],[Treatment_Cost_USD]]</f>
        <v>1864609.3251</v>
      </c>
      <c r="C1323" s="13">
        <f>95.19*Hospital_Operations_Data[[#This Row],[Medication_Cost_USD]]</f>
        <v>340271.88539999997</v>
      </c>
    </row>
    <row r="1324" spans="1:3" x14ac:dyDescent="0.3">
      <c r="A1324" s="12">
        <f>95.19*Hospital_Operations_Data[[#This Row],[Treatment_Cost_USD]]</f>
        <v>445579.63049999997</v>
      </c>
      <c r="C1324" s="14">
        <f>95.19*Hospital_Operations_Data[[#This Row],[Medication_Cost_USD]]</f>
        <v>73746.548699999999</v>
      </c>
    </row>
    <row r="1325" spans="1:3" x14ac:dyDescent="0.3">
      <c r="A1325" s="11">
        <f>95.19*Hospital_Operations_Data[[#This Row],[Treatment_Cost_USD]]</f>
        <v>603383.70869999996</v>
      </c>
      <c r="C1325" s="13">
        <f>95.19*Hospital_Operations_Data[[#This Row],[Medication_Cost_USD]]</f>
        <v>96090.497400000007</v>
      </c>
    </row>
    <row r="1326" spans="1:3" x14ac:dyDescent="0.3">
      <c r="A1326" s="12">
        <f>95.19*Hospital_Operations_Data[[#This Row],[Treatment_Cost_USD]]</f>
        <v>632523.27150000003</v>
      </c>
      <c r="C1326" s="14">
        <f>95.19*Hospital_Operations_Data[[#This Row],[Medication_Cost_USD]]</f>
        <v>200566.2819</v>
      </c>
    </row>
    <row r="1327" spans="1:3" x14ac:dyDescent="0.3">
      <c r="A1327" s="11">
        <f>95.19*Hospital_Operations_Data[[#This Row],[Treatment_Cost_USD]]</f>
        <v>194313.25079999998</v>
      </c>
      <c r="C1327" s="13">
        <f>95.19*Hospital_Operations_Data[[#This Row],[Medication_Cost_USD]]</f>
        <v>54882.746399999996</v>
      </c>
    </row>
    <row r="1328" spans="1:3" x14ac:dyDescent="0.3">
      <c r="A1328" s="12">
        <f>95.19*Hospital_Operations_Data[[#This Row],[Treatment_Cost_USD]]</f>
        <v>265137.46649999998</v>
      </c>
      <c r="C1328" s="14">
        <f>95.19*Hospital_Operations_Data[[#This Row],[Medication_Cost_USD]]</f>
        <v>61513.681799999998</v>
      </c>
    </row>
    <row r="1329" spans="1:3" x14ac:dyDescent="0.3">
      <c r="A1329" s="11">
        <f>95.19*Hospital_Operations_Data[[#This Row],[Treatment_Cost_USD]]</f>
        <v>1124371.9053</v>
      </c>
      <c r="C1329" s="13">
        <f>95.19*Hospital_Operations_Data[[#This Row],[Medication_Cost_USD]]</f>
        <v>269888.39939999999</v>
      </c>
    </row>
    <row r="1330" spans="1:3" x14ac:dyDescent="0.3">
      <c r="A1330" s="12">
        <f>95.19*Hospital_Operations_Data[[#This Row],[Treatment_Cost_USD]]</f>
        <v>1273261.44</v>
      </c>
      <c r="C1330" s="14">
        <f>95.19*Hospital_Operations_Data[[#This Row],[Medication_Cost_USD]]</f>
        <v>363064.179</v>
      </c>
    </row>
    <row r="1331" spans="1:3" x14ac:dyDescent="0.3">
      <c r="A1331" s="11">
        <f>95.19*Hospital_Operations_Data[[#This Row],[Treatment_Cost_USD]]</f>
        <v>246050.91959999999</v>
      </c>
      <c r="C1331" s="13">
        <f>95.19*Hospital_Operations_Data[[#This Row],[Medication_Cost_USD]]</f>
        <v>90430.5</v>
      </c>
    </row>
    <row r="1332" spans="1:3" x14ac:dyDescent="0.3">
      <c r="A1332" s="12">
        <f>95.19*Hospital_Operations_Data[[#This Row],[Treatment_Cost_USD]]</f>
        <v>1218881.2967999999</v>
      </c>
      <c r="C1332" s="14">
        <f>95.19*Hospital_Operations_Data[[#This Row],[Medication_Cost_USD]]</f>
        <v>414850.3947</v>
      </c>
    </row>
    <row r="1333" spans="1:3" x14ac:dyDescent="0.3">
      <c r="A1333" s="11">
        <f>95.19*Hospital_Operations_Data[[#This Row],[Treatment_Cost_USD]]</f>
        <v>1231185.5562</v>
      </c>
      <c r="C1333" s="13">
        <f>95.19*Hospital_Operations_Data[[#This Row],[Medication_Cost_USD]]</f>
        <v>331181.24039999995</v>
      </c>
    </row>
    <row r="1334" spans="1:3" x14ac:dyDescent="0.3">
      <c r="A1334" s="12">
        <f>95.19*Hospital_Operations_Data[[#This Row],[Treatment_Cost_USD]]</f>
        <v>551098.69739999995</v>
      </c>
      <c r="C1334" s="14">
        <f>95.19*Hospital_Operations_Data[[#This Row],[Medication_Cost_USD]]</f>
        <v>104526.2352</v>
      </c>
    </row>
    <row r="1335" spans="1:3" x14ac:dyDescent="0.3">
      <c r="A1335" s="11">
        <f>95.19*Hospital_Operations_Data[[#This Row],[Treatment_Cost_USD]]</f>
        <v>1437002.5185</v>
      </c>
      <c r="C1335" s="13">
        <f>95.19*Hospital_Operations_Data[[#This Row],[Medication_Cost_USD]]</f>
        <v>358060.9926</v>
      </c>
    </row>
    <row r="1336" spans="1:3" x14ac:dyDescent="0.3">
      <c r="A1336" s="12">
        <f>95.19*Hospital_Operations_Data[[#This Row],[Treatment_Cost_USD]]</f>
        <v>369549.47369999997</v>
      </c>
      <c r="C1336" s="14">
        <f>95.19*Hospital_Operations_Data[[#This Row],[Medication_Cost_USD]]</f>
        <v>95190.9519</v>
      </c>
    </row>
    <row r="1337" spans="1:3" x14ac:dyDescent="0.3">
      <c r="A1337" s="11">
        <f>95.19*Hospital_Operations_Data[[#This Row],[Treatment_Cost_USD]]</f>
        <v>575459.72219999996</v>
      </c>
      <c r="C1337" s="13">
        <f>95.19*Hospital_Operations_Data[[#This Row],[Medication_Cost_USD]]</f>
        <v>202046.48639999999</v>
      </c>
    </row>
    <row r="1338" spans="1:3" x14ac:dyDescent="0.3">
      <c r="A1338" s="12">
        <f>95.19*Hospital_Operations_Data[[#This Row],[Treatment_Cost_USD]]</f>
        <v>256134.39629999999</v>
      </c>
      <c r="C1338" s="14">
        <f>95.19*Hospital_Operations_Data[[#This Row],[Medication_Cost_USD]]</f>
        <v>92555.140800000008</v>
      </c>
    </row>
    <row r="1339" spans="1:3" x14ac:dyDescent="0.3">
      <c r="A1339" s="11">
        <f>95.19*Hospital_Operations_Data[[#This Row],[Treatment_Cost_USD]]</f>
        <v>690962.31630000006</v>
      </c>
      <c r="C1339" s="13">
        <f>95.19*Hospital_Operations_Data[[#This Row],[Medication_Cost_USD]]</f>
        <v>105196.37279999998</v>
      </c>
    </row>
    <row r="1340" spans="1:3" x14ac:dyDescent="0.3">
      <c r="A1340" s="12">
        <f>95.19*Hospital_Operations_Data[[#This Row],[Treatment_Cost_USD]]</f>
        <v>686004.82109999994</v>
      </c>
      <c r="C1340" s="14">
        <f>95.19*Hospital_Operations_Data[[#This Row],[Medication_Cost_USD]]</f>
        <v>136966.03529999999</v>
      </c>
    </row>
    <row r="1341" spans="1:3" x14ac:dyDescent="0.3">
      <c r="A1341" s="11">
        <f>95.19*Hospital_Operations_Data[[#This Row],[Treatment_Cost_USD]]</f>
        <v>151637.66999999998</v>
      </c>
      <c r="C1341" s="13">
        <f>95.19*Hospital_Operations_Data[[#This Row],[Medication_Cost_USD]]</f>
        <v>46209.985499999995</v>
      </c>
    </row>
    <row r="1342" spans="1:3" x14ac:dyDescent="0.3">
      <c r="A1342" s="12">
        <f>95.19*Hospital_Operations_Data[[#This Row],[Treatment_Cost_USD]]</f>
        <v>428869.9779</v>
      </c>
      <c r="C1342" s="14">
        <f>95.19*Hospital_Operations_Data[[#This Row],[Medication_Cost_USD]]</f>
        <v>71371.558199999999</v>
      </c>
    </row>
    <row r="1343" spans="1:3" x14ac:dyDescent="0.3">
      <c r="A1343" s="11">
        <f>95.19*Hospital_Operations_Data[[#This Row],[Treatment_Cost_USD]]</f>
        <v>407363.70119999995</v>
      </c>
      <c r="C1343" s="13">
        <f>95.19*Hospital_Operations_Data[[#This Row],[Medication_Cost_USD]]</f>
        <v>72982.17300000001</v>
      </c>
    </row>
    <row r="1344" spans="1:3" x14ac:dyDescent="0.3">
      <c r="A1344" s="12">
        <f>95.19*Hospital_Operations_Data[[#This Row],[Treatment_Cost_USD]]</f>
        <v>514425.79799999995</v>
      </c>
      <c r="C1344" s="14">
        <f>95.19*Hospital_Operations_Data[[#This Row],[Medication_Cost_USD]]</f>
        <v>112178.55929999999</v>
      </c>
    </row>
    <row r="1345" spans="1:3" x14ac:dyDescent="0.3">
      <c r="A1345" s="11">
        <f>95.19*Hospital_Operations_Data[[#This Row],[Treatment_Cost_USD]]</f>
        <v>507786.29549999995</v>
      </c>
      <c r="C1345" s="13">
        <f>95.19*Hospital_Operations_Data[[#This Row],[Medication_Cost_USD]]</f>
        <v>76965.874499999991</v>
      </c>
    </row>
    <row r="1346" spans="1:3" x14ac:dyDescent="0.3">
      <c r="A1346" s="12">
        <f>95.19*Hospital_Operations_Data[[#This Row],[Treatment_Cost_USD]]</f>
        <v>508062.34650000004</v>
      </c>
      <c r="C1346" s="14">
        <f>95.19*Hospital_Operations_Data[[#This Row],[Medication_Cost_USD]]</f>
        <v>118808.54279999998</v>
      </c>
    </row>
    <row r="1347" spans="1:3" x14ac:dyDescent="0.3">
      <c r="A1347" s="11">
        <f>95.19*Hospital_Operations_Data[[#This Row],[Treatment_Cost_USD]]</f>
        <v>1846510.8503999999</v>
      </c>
      <c r="C1347" s="13">
        <f>95.19*Hospital_Operations_Data[[#This Row],[Medication_Cost_USD]]</f>
        <v>684061.99319999991</v>
      </c>
    </row>
    <row r="1348" spans="1:3" x14ac:dyDescent="0.3">
      <c r="A1348" s="12">
        <f>95.19*Hospital_Operations_Data[[#This Row],[Treatment_Cost_USD]]</f>
        <v>968567.76899999997</v>
      </c>
      <c r="C1348" s="14">
        <f>95.19*Hospital_Operations_Data[[#This Row],[Medication_Cost_USD]]</f>
        <v>354812.15789999999</v>
      </c>
    </row>
    <row r="1349" spans="1:3" x14ac:dyDescent="0.3">
      <c r="A1349" s="11">
        <f>95.19*Hospital_Operations_Data[[#This Row],[Treatment_Cost_USD]]</f>
        <v>1169854.6392000001</v>
      </c>
      <c r="C1349" s="13">
        <f>95.19*Hospital_Operations_Data[[#This Row],[Medication_Cost_USD]]</f>
        <v>193171.9227</v>
      </c>
    </row>
    <row r="1350" spans="1:3" x14ac:dyDescent="0.3">
      <c r="A1350" s="12">
        <f>95.19*Hospital_Operations_Data[[#This Row],[Treatment_Cost_USD]]</f>
        <v>608896.16159999999</v>
      </c>
      <c r="C1350" s="14">
        <f>95.19*Hospital_Operations_Data[[#This Row],[Medication_Cost_USD]]</f>
        <v>143943.46230000001</v>
      </c>
    </row>
    <row r="1351" spans="1:3" x14ac:dyDescent="0.3">
      <c r="A1351" s="11">
        <f>95.19*Hospital_Operations_Data[[#This Row],[Treatment_Cost_USD]]</f>
        <v>98558.77410000001</v>
      </c>
      <c r="C1351" s="13">
        <f>95.19*Hospital_Operations_Data[[#This Row],[Medication_Cost_USD]]</f>
        <v>33839.093099999998</v>
      </c>
    </row>
    <row r="1352" spans="1:3" x14ac:dyDescent="0.3">
      <c r="A1352" s="12">
        <f>95.19*Hospital_Operations_Data[[#This Row],[Treatment_Cost_USD]]</f>
        <v>1226156.6684999999</v>
      </c>
      <c r="C1352" s="14">
        <f>95.19*Hospital_Operations_Data[[#This Row],[Medication_Cost_USD]]</f>
        <v>266967.0183</v>
      </c>
    </row>
    <row r="1353" spans="1:3" x14ac:dyDescent="0.3">
      <c r="A1353" s="11">
        <f>95.19*Hospital_Operations_Data[[#This Row],[Treatment_Cost_USD]]</f>
        <v>473575.00949999999</v>
      </c>
      <c r="C1353" s="13">
        <f>95.19*Hospital_Operations_Data[[#This Row],[Medication_Cost_USD]]</f>
        <v>106068.31319999999</v>
      </c>
    </row>
    <row r="1354" spans="1:3" x14ac:dyDescent="0.3">
      <c r="A1354" s="12">
        <f>95.19*Hospital_Operations_Data[[#This Row],[Treatment_Cost_USD]]</f>
        <v>1027361.8724999999</v>
      </c>
      <c r="C1354" s="14">
        <f>95.19*Hospital_Operations_Data[[#This Row],[Medication_Cost_USD]]</f>
        <v>308749.7169</v>
      </c>
    </row>
    <row r="1355" spans="1:3" x14ac:dyDescent="0.3">
      <c r="A1355" s="11">
        <f>95.19*Hospital_Operations_Data[[#This Row],[Treatment_Cost_USD]]</f>
        <v>549906.91859999998</v>
      </c>
      <c r="C1355" s="13">
        <f>95.19*Hospital_Operations_Data[[#This Row],[Medication_Cost_USD]]</f>
        <v>175316.1825</v>
      </c>
    </row>
    <row r="1356" spans="1:3" x14ac:dyDescent="0.3">
      <c r="A1356" s="12">
        <f>95.19*Hospital_Operations_Data[[#This Row],[Treatment_Cost_USD]]</f>
        <v>674182.22309999994</v>
      </c>
      <c r="C1356" s="14">
        <f>95.19*Hospital_Operations_Data[[#This Row],[Medication_Cost_USD]]</f>
        <v>180665.86050000001</v>
      </c>
    </row>
    <row r="1357" spans="1:3" x14ac:dyDescent="0.3">
      <c r="A1357" s="11">
        <f>95.19*Hospital_Operations_Data[[#This Row],[Treatment_Cost_USD]]</f>
        <v>1334322.9693</v>
      </c>
      <c r="C1357" s="13">
        <f>95.19*Hospital_Operations_Data[[#This Row],[Medication_Cost_USD]]</f>
        <v>466353.89609999995</v>
      </c>
    </row>
    <row r="1358" spans="1:3" x14ac:dyDescent="0.3">
      <c r="A1358" s="12">
        <f>95.19*Hospital_Operations_Data[[#This Row],[Treatment_Cost_USD]]</f>
        <v>285200.66279999999</v>
      </c>
      <c r="C1358" s="14">
        <f>95.19*Hospital_Operations_Data[[#This Row],[Medication_Cost_USD]]</f>
        <v>62153.358600000007</v>
      </c>
    </row>
    <row r="1359" spans="1:3" x14ac:dyDescent="0.3">
      <c r="A1359" s="11">
        <f>95.19*Hospital_Operations_Data[[#This Row],[Treatment_Cost_USD]]</f>
        <v>925962.62880000006</v>
      </c>
      <c r="C1359" s="13">
        <f>95.19*Hospital_Operations_Data[[#This Row],[Medication_Cost_USD]]</f>
        <v>159228.12059999999</v>
      </c>
    </row>
    <row r="1360" spans="1:3" x14ac:dyDescent="0.3">
      <c r="A1360" s="12">
        <f>95.19*Hospital_Operations_Data[[#This Row],[Treatment_Cost_USD]]</f>
        <v>495953.22659999999</v>
      </c>
      <c r="C1360" s="14">
        <f>95.19*Hospital_Operations_Data[[#This Row],[Medication_Cost_USD]]</f>
        <v>122187.78779999999</v>
      </c>
    </row>
    <row r="1361" spans="1:3" x14ac:dyDescent="0.3">
      <c r="A1361" s="11">
        <f>95.19*Hospital_Operations_Data[[#This Row],[Treatment_Cost_USD]]</f>
        <v>283374.91859999998</v>
      </c>
      <c r="C1361" s="13">
        <f>95.19*Hospital_Operations_Data[[#This Row],[Medication_Cost_USD]]</f>
        <v>60896.850599999998</v>
      </c>
    </row>
    <row r="1362" spans="1:3" x14ac:dyDescent="0.3">
      <c r="A1362" s="12">
        <f>95.19*Hospital_Operations_Data[[#This Row],[Treatment_Cost_USD]]</f>
        <v>326809.16369999998</v>
      </c>
      <c r="C1362" s="14">
        <f>95.19*Hospital_Operations_Data[[#This Row],[Medication_Cost_USD]]</f>
        <v>109732.17629999999</v>
      </c>
    </row>
    <row r="1363" spans="1:3" x14ac:dyDescent="0.3">
      <c r="A1363" s="11">
        <f>95.19*Hospital_Operations_Data[[#This Row],[Treatment_Cost_USD]]</f>
        <v>463091.73479999998</v>
      </c>
      <c r="C1363" s="13">
        <f>95.19*Hospital_Operations_Data[[#This Row],[Medication_Cost_USD]]</f>
        <v>107717.00399999999</v>
      </c>
    </row>
    <row r="1364" spans="1:3" x14ac:dyDescent="0.3">
      <c r="A1364" s="12">
        <f>95.19*Hospital_Operations_Data[[#This Row],[Treatment_Cost_USD]]</f>
        <v>1023683.7309000001</v>
      </c>
      <c r="C1364" s="14">
        <f>95.19*Hospital_Operations_Data[[#This Row],[Medication_Cost_USD]]</f>
        <v>381500.57819999999</v>
      </c>
    </row>
    <row r="1365" spans="1:3" x14ac:dyDescent="0.3">
      <c r="A1365" s="11">
        <f>95.19*Hospital_Operations_Data[[#This Row],[Treatment_Cost_USD]]</f>
        <v>1012094.3484</v>
      </c>
      <c r="C1365" s="13">
        <f>95.19*Hospital_Operations_Data[[#This Row],[Medication_Cost_USD]]</f>
        <v>285822.25349999999</v>
      </c>
    </row>
    <row r="1366" spans="1:3" x14ac:dyDescent="0.3">
      <c r="A1366" s="12">
        <f>95.19*Hospital_Operations_Data[[#This Row],[Treatment_Cost_USD]]</f>
        <v>556760.59859999991</v>
      </c>
      <c r="C1366" s="14">
        <f>95.19*Hospital_Operations_Data[[#This Row],[Medication_Cost_USD]]</f>
        <v>121224.465</v>
      </c>
    </row>
    <row r="1367" spans="1:3" x14ac:dyDescent="0.3">
      <c r="A1367" s="11">
        <f>95.19*Hospital_Operations_Data[[#This Row],[Treatment_Cost_USD]]</f>
        <v>114877.19579999999</v>
      </c>
      <c r="C1367" s="13">
        <f>95.19*Hospital_Operations_Data[[#This Row],[Medication_Cost_USD]]</f>
        <v>23256.820799999998</v>
      </c>
    </row>
    <row r="1368" spans="1:3" x14ac:dyDescent="0.3">
      <c r="A1368" s="12">
        <f>95.19*Hospital_Operations_Data[[#This Row],[Treatment_Cost_USD]]</f>
        <v>474433.62329999998</v>
      </c>
      <c r="C1368" s="14">
        <f>95.19*Hospital_Operations_Data[[#This Row],[Medication_Cost_USD]]</f>
        <v>165176.54370000001</v>
      </c>
    </row>
    <row r="1369" spans="1:3" x14ac:dyDescent="0.3">
      <c r="A1369" s="11">
        <f>95.19*Hospital_Operations_Data[[#This Row],[Treatment_Cost_USD]]</f>
        <v>945674.57400000002</v>
      </c>
      <c r="C1369" s="13">
        <f>95.19*Hospital_Operations_Data[[#This Row],[Medication_Cost_USD]]</f>
        <v>366039.81839999999</v>
      </c>
    </row>
    <row r="1370" spans="1:3" x14ac:dyDescent="0.3">
      <c r="A1370" s="12">
        <f>95.19*Hospital_Operations_Data[[#This Row],[Treatment_Cost_USD]]</f>
        <v>795773.16960000002</v>
      </c>
      <c r="C1370" s="14">
        <f>95.19*Hospital_Operations_Data[[#This Row],[Medication_Cost_USD]]</f>
        <v>267536.25450000004</v>
      </c>
    </row>
    <row r="1371" spans="1:3" x14ac:dyDescent="0.3">
      <c r="A1371" s="11">
        <f>95.19*Hospital_Operations_Data[[#This Row],[Treatment_Cost_USD]]</f>
        <v>800142.39059999993</v>
      </c>
      <c r="C1371" s="13">
        <f>95.19*Hospital_Operations_Data[[#This Row],[Medication_Cost_USD]]</f>
        <v>263899.99650000001</v>
      </c>
    </row>
    <row r="1372" spans="1:3" x14ac:dyDescent="0.3">
      <c r="A1372" s="12">
        <f>95.19*Hospital_Operations_Data[[#This Row],[Treatment_Cost_USD]]</f>
        <v>904940.86919999996</v>
      </c>
      <c r="C1372" s="14">
        <f>95.19*Hospital_Operations_Data[[#This Row],[Medication_Cost_USD]]</f>
        <v>247618.69889999999</v>
      </c>
    </row>
    <row r="1373" spans="1:3" x14ac:dyDescent="0.3">
      <c r="A1373" s="11">
        <f>95.19*Hospital_Operations_Data[[#This Row],[Treatment_Cost_USD]]</f>
        <v>358770.15809999994</v>
      </c>
      <c r="C1373" s="13">
        <f>95.19*Hospital_Operations_Data[[#This Row],[Medication_Cost_USD]]</f>
        <v>104410.10339999999</v>
      </c>
    </row>
    <row r="1374" spans="1:3" x14ac:dyDescent="0.3">
      <c r="A1374" s="12">
        <f>95.19*Hospital_Operations_Data[[#This Row],[Treatment_Cost_USD]]</f>
        <v>1115998.9929</v>
      </c>
      <c r="C1374" s="14">
        <f>95.19*Hospital_Operations_Data[[#This Row],[Medication_Cost_USD]]</f>
        <v>244327.98059999998</v>
      </c>
    </row>
    <row r="1375" spans="1:3" x14ac:dyDescent="0.3">
      <c r="A1375" s="11">
        <f>95.19*Hospital_Operations_Data[[#This Row],[Treatment_Cost_USD]]</f>
        <v>517024.48499999999</v>
      </c>
      <c r="C1375" s="13">
        <f>95.19*Hospital_Operations_Data[[#This Row],[Medication_Cost_USD]]</f>
        <v>182542.05540000001</v>
      </c>
    </row>
    <row r="1376" spans="1:3" x14ac:dyDescent="0.3">
      <c r="A1376" s="12">
        <f>95.19*Hospital_Operations_Data[[#This Row],[Treatment_Cost_USD]]</f>
        <v>2328404.514</v>
      </c>
      <c r="C1376" s="14">
        <f>95.19*Hospital_Operations_Data[[#This Row],[Medication_Cost_USD]]</f>
        <v>750431.31689999998</v>
      </c>
    </row>
    <row r="1377" spans="1:3" x14ac:dyDescent="0.3">
      <c r="A1377" s="11">
        <f>95.19*Hospital_Operations_Data[[#This Row],[Treatment_Cost_USD]]</f>
        <v>1084219.8114</v>
      </c>
      <c r="C1377" s="13">
        <f>95.19*Hospital_Operations_Data[[#This Row],[Medication_Cost_USD]]</f>
        <v>302009.31299999997</v>
      </c>
    </row>
    <row r="1378" spans="1:3" x14ac:dyDescent="0.3">
      <c r="A1378" s="12">
        <f>95.19*Hospital_Operations_Data[[#This Row],[Treatment_Cost_USD]]</f>
        <v>826838.42610000004</v>
      </c>
      <c r="C1378" s="14">
        <f>95.19*Hospital_Operations_Data[[#This Row],[Medication_Cost_USD]]</f>
        <v>131285.0961</v>
      </c>
    </row>
    <row r="1379" spans="1:3" x14ac:dyDescent="0.3">
      <c r="A1379" s="11">
        <f>95.19*Hospital_Operations_Data[[#This Row],[Treatment_Cost_USD]]</f>
        <v>310366.04309999995</v>
      </c>
      <c r="C1379" s="13">
        <f>95.19*Hospital_Operations_Data[[#This Row],[Medication_Cost_USD]]</f>
        <v>112462.2255</v>
      </c>
    </row>
    <row r="1380" spans="1:3" x14ac:dyDescent="0.3">
      <c r="A1380" s="12">
        <f>95.19*Hospital_Operations_Data[[#This Row],[Treatment_Cost_USD]]</f>
        <v>605675.88390000002</v>
      </c>
      <c r="C1380" s="14">
        <f>95.19*Hospital_Operations_Data[[#This Row],[Medication_Cost_USD]]</f>
        <v>166443.5226</v>
      </c>
    </row>
    <row r="1381" spans="1:3" x14ac:dyDescent="0.3">
      <c r="A1381" s="11">
        <f>95.19*Hospital_Operations_Data[[#This Row],[Treatment_Cost_USD]]</f>
        <v>291024.38699999999</v>
      </c>
      <c r="C1381" s="13">
        <f>95.19*Hospital_Operations_Data[[#This Row],[Medication_Cost_USD]]</f>
        <v>53162.663099999998</v>
      </c>
    </row>
    <row r="1382" spans="1:3" x14ac:dyDescent="0.3">
      <c r="A1382" s="12">
        <f>95.19*Hospital_Operations_Data[[#This Row],[Treatment_Cost_USD]]</f>
        <v>391459.35599999997</v>
      </c>
      <c r="C1382" s="14">
        <f>95.19*Hospital_Operations_Data[[#This Row],[Medication_Cost_USD]]</f>
        <v>139711.3149</v>
      </c>
    </row>
    <row r="1383" spans="1:3" x14ac:dyDescent="0.3">
      <c r="A1383" s="11">
        <f>95.19*Hospital_Operations_Data[[#This Row],[Treatment_Cost_USD]]</f>
        <v>156952.12769999998</v>
      </c>
      <c r="C1383" s="13">
        <f>95.19*Hospital_Operations_Data[[#This Row],[Medication_Cost_USD]]</f>
        <v>61350.906899999994</v>
      </c>
    </row>
    <row r="1384" spans="1:3" x14ac:dyDescent="0.3">
      <c r="A1384" s="12">
        <f>95.19*Hospital_Operations_Data[[#This Row],[Treatment_Cost_USD]]</f>
        <v>226078.1538</v>
      </c>
      <c r="C1384" s="14">
        <f>95.19*Hospital_Operations_Data[[#This Row],[Medication_Cost_USD]]</f>
        <v>55867.962899999999</v>
      </c>
    </row>
    <row r="1385" spans="1:3" x14ac:dyDescent="0.3">
      <c r="A1385" s="11">
        <f>95.19*Hospital_Operations_Data[[#This Row],[Treatment_Cost_USD]]</f>
        <v>371375.21789999999</v>
      </c>
      <c r="C1385" s="13">
        <f>95.19*Hospital_Operations_Data[[#This Row],[Medication_Cost_USD]]</f>
        <v>73700.857499999998</v>
      </c>
    </row>
    <row r="1386" spans="1:3" x14ac:dyDescent="0.3">
      <c r="A1386" s="12">
        <f>95.19*Hospital_Operations_Data[[#This Row],[Treatment_Cost_USD]]</f>
        <v>894459.49829999998</v>
      </c>
      <c r="C1386" s="14">
        <f>95.19*Hospital_Operations_Data[[#This Row],[Medication_Cost_USD]]</f>
        <v>249482.51909999998</v>
      </c>
    </row>
    <row r="1387" spans="1:3" x14ac:dyDescent="0.3">
      <c r="A1387" s="11">
        <f>95.19*Hospital_Operations_Data[[#This Row],[Treatment_Cost_USD]]</f>
        <v>142241.4651</v>
      </c>
      <c r="C1387" s="13">
        <f>95.19*Hospital_Operations_Data[[#This Row],[Medication_Cost_USD]]</f>
        <v>29388.960599999999</v>
      </c>
    </row>
    <row r="1388" spans="1:3" x14ac:dyDescent="0.3">
      <c r="A1388" s="12">
        <f>95.19*Hospital_Operations_Data[[#This Row],[Treatment_Cost_USD]]</f>
        <v>195334.63950000002</v>
      </c>
      <c r="C1388" s="14">
        <f>95.19*Hospital_Operations_Data[[#This Row],[Medication_Cost_USD]]</f>
        <v>41779.842900000003</v>
      </c>
    </row>
    <row r="1389" spans="1:3" x14ac:dyDescent="0.3">
      <c r="A1389" s="11">
        <f>95.19*Hospital_Operations_Data[[#This Row],[Treatment_Cost_USD]]</f>
        <v>855778.0898999999</v>
      </c>
      <c r="C1389" s="13">
        <f>95.19*Hospital_Operations_Data[[#This Row],[Medication_Cost_USD]]</f>
        <v>328977.5919</v>
      </c>
    </row>
    <row r="1390" spans="1:3" x14ac:dyDescent="0.3">
      <c r="A1390" s="12">
        <f>95.19*Hospital_Operations_Data[[#This Row],[Treatment_Cost_USD]]</f>
        <v>293019.56940000004</v>
      </c>
      <c r="C1390" s="14">
        <f>95.19*Hospital_Operations_Data[[#This Row],[Medication_Cost_USD]]</f>
        <v>102775.6911</v>
      </c>
    </row>
    <row r="1391" spans="1:3" x14ac:dyDescent="0.3">
      <c r="A1391" s="11">
        <f>95.19*Hospital_Operations_Data[[#This Row],[Treatment_Cost_USD]]</f>
        <v>1012110.5307</v>
      </c>
      <c r="C1391" s="13">
        <f>95.19*Hospital_Operations_Data[[#This Row],[Medication_Cost_USD]]</f>
        <v>377051.39759999997</v>
      </c>
    </row>
    <row r="1392" spans="1:3" x14ac:dyDescent="0.3">
      <c r="A1392" s="12">
        <f>95.19*Hospital_Operations_Data[[#This Row],[Treatment_Cost_USD]]</f>
        <v>388925.3982</v>
      </c>
      <c r="C1392" s="14">
        <f>95.19*Hospital_Operations_Data[[#This Row],[Medication_Cost_USD]]</f>
        <v>144041.508</v>
      </c>
    </row>
    <row r="1393" spans="1:3" x14ac:dyDescent="0.3">
      <c r="A1393" s="11">
        <f>95.19*Hospital_Operations_Data[[#This Row],[Treatment_Cost_USD]]</f>
        <v>185639.538</v>
      </c>
      <c r="C1393" s="13">
        <f>95.19*Hospital_Operations_Data[[#This Row],[Medication_Cost_USD]]</f>
        <v>73643.743499999997</v>
      </c>
    </row>
    <row r="1394" spans="1:3" x14ac:dyDescent="0.3">
      <c r="A1394" s="12">
        <f>95.19*Hospital_Operations_Data[[#This Row],[Treatment_Cost_USD]]</f>
        <v>1021742.8067999999</v>
      </c>
      <c r="C1394" s="14">
        <f>95.19*Hospital_Operations_Data[[#This Row],[Medication_Cost_USD]]</f>
        <v>238007.3646</v>
      </c>
    </row>
    <row r="1395" spans="1:3" x14ac:dyDescent="0.3">
      <c r="A1395" s="11">
        <f>95.19*Hospital_Operations_Data[[#This Row],[Treatment_Cost_USD]]</f>
        <v>781305.2415</v>
      </c>
      <c r="C1395" s="13">
        <f>95.19*Hospital_Operations_Data[[#This Row],[Medication_Cost_USD]]</f>
        <v>227811.5637</v>
      </c>
    </row>
    <row r="1396" spans="1:3" x14ac:dyDescent="0.3">
      <c r="A1396" s="12">
        <f>95.19*Hospital_Operations_Data[[#This Row],[Treatment_Cost_USD]]</f>
        <v>1661421.5106000002</v>
      </c>
      <c r="C1396" s="14">
        <f>95.19*Hospital_Operations_Data[[#This Row],[Medication_Cost_USD]]</f>
        <v>306507.99239999999</v>
      </c>
    </row>
    <row r="1397" spans="1:3" x14ac:dyDescent="0.3">
      <c r="A1397" s="11">
        <f>95.19*Hospital_Operations_Data[[#This Row],[Treatment_Cost_USD]]</f>
        <v>1637243.2506000001</v>
      </c>
      <c r="C1397" s="13">
        <f>95.19*Hospital_Operations_Data[[#This Row],[Medication_Cost_USD]]</f>
        <v>334436.73840000003</v>
      </c>
    </row>
    <row r="1398" spans="1:3" x14ac:dyDescent="0.3">
      <c r="A1398" s="12">
        <f>95.19*Hospital_Operations_Data[[#This Row],[Treatment_Cost_USD]]</f>
        <v>194954.8314</v>
      </c>
      <c r="C1398" s="14">
        <f>95.19*Hospital_Operations_Data[[#This Row],[Medication_Cost_USD]]</f>
        <v>51648.190200000005</v>
      </c>
    </row>
    <row r="1399" spans="1:3" x14ac:dyDescent="0.3">
      <c r="A1399" s="11">
        <f>95.19*Hospital_Operations_Data[[#This Row],[Treatment_Cost_USD]]</f>
        <v>116160.35699999999</v>
      </c>
      <c r="C1399" s="13">
        <f>95.19*Hospital_Operations_Data[[#This Row],[Medication_Cost_USD]]</f>
        <v>32474.068499999998</v>
      </c>
    </row>
    <row r="1400" spans="1:3" x14ac:dyDescent="0.3">
      <c r="A1400" s="12">
        <f>95.19*Hospital_Operations_Data[[#This Row],[Treatment_Cost_USD]]</f>
        <v>814755.00749999995</v>
      </c>
      <c r="C1400" s="14">
        <f>95.19*Hospital_Operations_Data[[#This Row],[Medication_Cost_USD]]</f>
        <v>129656.39519999998</v>
      </c>
    </row>
    <row r="1401" spans="1:3" x14ac:dyDescent="0.3">
      <c r="A1401" s="11">
        <f>95.19*Hospital_Operations_Data[[#This Row],[Treatment_Cost_USD]]</f>
        <v>374029.1151</v>
      </c>
      <c r="C1401" s="13">
        <f>95.19*Hospital_Operations_Data[[#This Row],[Medication_Cost_USD]]</f>
        <v>110462.28360000001</v>
      </c>
    </row>
    <row r="1402" spans="1:3" x14ac:dyDescent="0.3">
      <c r="A1402" s="12">
        <f>95.19*Hospital_Operations_Data[[#This Row],[Treatment_Cost_USD]]</f>
        <v>934969.50659999996</v>
      </c>
      <c r="C1402" s="14">
        <f>95.19*Hospital_Operations_Data[[#This Row],[Medication_Cost_USD]]</f>
        <v>317910.80249999999</v>
      </c>
    </row>
    <row r="1403" spans="1:3" x14ac:dyDescent="0.3">
      <c r="A1403" s="11">
        <f>95.19*Hospital_Operations_Data[[#This Row],[Treatment_Cost_USD]]</f>
        <v>1104154.5011999998</v>
      </c>
      <c r="C1403" s="13">
        <f>95.19*Hospital_Operations_Data[[#This Row],[Medication_Cost_USD]]</f>
        <v>261454.56539999999</v>
      </c>
    </row>
    <row r="1404" spans="1:3" x14ac:dyDescent="0.3">
      <c r="A1404" s="12">
        <f>95.19*Hospital_Operations_Data[[#This Row],[Treatment_Cost_USD]]</f>
        <v>270131.13390000002</v>
      </c>
      <c r="C1404" s="14">
        <f>95.19*Hospital_Operations_Data[[#This Row],[Medication_Cost_USD]]</f>
        <v>43603.683299999997</v>
      </c>
    </row>
    <row r="1405" spans="1:3" x14ac:dyDescent="0.3">
      <c r="A1405" s="11">
        <f>95.19*Hospital_Operations_Data[[#This Row],[Treatment_Cost_USD]]</f>
        <v>309201.86940000003</v>
      </c>
      <c r="C1405" s="13">
        <f>95.19*Hospital_Operations_Data[[#This Row],[Medication_Cost_USD]]</f>
        <v>95523.164999999994</v>
      </c>
    </row>
    <row r="1406" spans="1:3" x14ac:dyDescent="0.3">
      <c r="A1406" s="12">
        <f>95.19*Hospital_Operations_Data[[#This Row],[Treatment_Cost_USD]]</f>
        <v>715586.06549999991</v>
      </c>
      <c r="C1406" s="14">
        <f>95.19*Hospital_Operations_Data[[#This Row],[Medication_Cost_USD]]</f>
        <v>275195.24190000002</v>
      </c>
    </row>
    <row r="1407" spans="1:3" x14ac:dyDescent="0.3">
      <c r="A1407" s="11">
        <f>95.19*Hospital_Operations_Data[[#This Row],[Treatment_Cost_USD]]</f>
        <v>338193.88769999996</v>
      </c>
      <c r="C1407" s="13">
        <f>95.19*Hospital_Operations_Data[[#This Row],[Medication_Cost_USD]]</f>
        <v>94636.946100000001</v>
      </c>
    </row>
    <row r="1408" spans="1:3" x14ac:dyDescent="0.3">
      <c r="A1408" s="12">
        <f>95.19*Hospital_Operations_Data[[#This Row],[Treatment_Cost_USD]]</f>
        <v>393051.8847</v>
      </c>
      <c r="C1408" s="14">
        <f>95.19*Hospital_Operations_Data[[#This Row],[Medication_Cost_USD]]</f>
        <v>69306.887100000007</v>
      </c>
    </row>
    <row r="1409" spans="1:3" x14ac:dyDescent="0.3">
      <c r="A1409" s="11">
        <f>95.19*Hospital_Operations_Data[[#This Row],[Treatment_Cost_USD]]</f>
        <v>789099.3986999999</v>
      </c>
      <c r="C1409" s="13">
        <f>95.19*Hospital_Operations_Data[[#This Row],[Medication_Cost_USD]]</f>
        <v>175229.55959999998</v>
      </c>
    </row>
    <row r="1410" spans="1:3" x14ac:dyDescent="0.3">
      <c r="A1410" s="12">
        <f>95.19*Hospital_Operations_Data[[#This Row],[Treatment_Cost_USD]]</f>
        <v>761313.43770000001</v>
      </c>
      <c r="C1410" s="14">
        <f>95.19*Hospital_Operations_Data[[#This Row],[Medication_Cost_USD]]</f>
        <v>190636.06109999999</v>
      </c>
    </row>
    <row r="1411" spans="1:3" x14ac:dyDescent="0.3">
      <c r="A1411" s="11">
        <f>95.19*Hospital_Operations_Data[[#This Row],[Treatment_Cost_USD]]</f>
        <v>906635.25119999994</v>
      </c>
      <c r="C1411" s="13">
        <f>95.19*Hospital_Operations_Data[[#This Row],[Medication_Cost_USD]]</f>
        <v>145844.40660000002</v>
      </c>
    </row>
    <row r="1412" spans="1:3" x14ac:dyDescent="0.3">
      <c r="A1412" s="12">
        <f>95.19*Hospital_Operations_Data[[#This Row],[Treatment_Cost_USD]]</f>
        <v>712146.8507999999</v>
      </c>
      <c r="C1412" s="14">
        <f>95.19*Hospital_Operations_Data[[#This Row],[Medication_Cost_USD]]</f>
        <v>211415.08619999999</v>
      </c>
    </row>
    <row r="1413" spans="1:3" x14ac:dyDescent="0.3">
      <c r="A1413" s="11">
        <f>95.19*Hospital_Operations_Data[[#This Row],[Treatment_Cost_USD]]</f>
        <v>793658.99969999993</v>
      </c>
      <c r="C1413" s="13">
        <f>95.19*Hospital_Operations_Data[[#This Row],[Medication_Cost_USD]]</f>
        <v>208798.31309999997</v>
      </c>
    </row>
    <row r="1414" spans="1:3" x14ac:dyDescent="0.3">
      <c r="A1414" s="12">
        <f>95.19*Hospital_Operations_Data[[#This Row],[Treatment_Cost_USD]]</f>
        <v>500232.0171</v>
      </c>
      <c r="C1414" s="14">
        <f>95.19*Hospital_Operations_Data[[#This Row],[Medication_Cost_USD]]</f>
        <v>112516.4838</v>
      </c>
    </row>
    <row r="1415" spans="1:3" x14ac:dyDescent="0.3">
      <c r="A1415" s="11">
        <f>95.19*Hospital_Operations_Data[[#This Row],[Treatment_Cost_USD]]</f>
        <v>638665.88219999999</v>
      </c>
      <c r="C1415" s="13">
        <f>95.19*Hospital_Operations_Data[[#This Row],[Medication_Cost_USD]]</f>
        <v>226438.92389999999</v>
      </c>
    </row>
    <row r="1416" spans="1:3" x14ac:dyDescent="0.3">
      <c r="A1416" s="12">
        <f>95.19*Hospital_Operations_Data[[#This Row],[Treatment_Cost_USD]]</f>
        <v>345801.47249999997</v>
      </c>
      <c r="C1416" s="14">
        <f>95.19*Hospital_Operations_Data[[#This Row],[Medication_Cost_USD]]</f>
        <v>105139.2588</v>
      </c>
    </row>
    <row r="1417" spans="1:3" x14ac:dyDescent="0.3">
      <c r="A1417" s="11">
        <f>95.19*Hospital_Operations_Data[[#This Row],[Treatment_Cost_USD]]</f>
        <v>413976.55049999995</v>
      </c>
      <c r="C1417" s="13">
        <f>95.19*Hospital_Operations_Data[[#This Row],[Medication_Cost_USD]]</f>
        <v>106332.9414</v>
      </c>
    </row>
    <row r="1418" spans="1:3" x14ac:dyDescent="0.3">
      <c r="A1418" s="12">
        <f>95.19*Hospital_Operations_Data[[#This Row],[Treatment_Cost_USD]]</f>
        <v>373601.712</v>
      </c>
      <c r="C1418" s="14">
        <f>95.19*Hospital_Operations_Data[[#This Row],[Medication_Cost_USD]]</f>
        <v>139780.80360000001</v>
      </c>
    </row>
    <row r="1419" spans="1:3" x14ac:dyDescent="0.3">
      <c r="A1419" s="11">
        <f>95.19*Hospital_Operations_Data[[#This Row],[Treatment_Cost_USD]]</f>
        <v>362492.0871</v>
      </c>
      <c r="C1419" s="13">
        <f>95.19*Hospital_Operations_Data[[#This Row],[Medication_Cost_USD]]</f>
        <v>113877.70079999999</v>
      </c>
    </row>
    <row r="1420" spans="1:3" x14ac:dyDescent="0.3">
      <c r="A1420" s="12">
        <f>95.19*Hospital_Operations_Data[[#This Row],[Treatment_Cost_USD]]</f>
        <v>338978.25329999998</v>
      </c>
      <c r="C1420" s="14">
        <f>95.19*Hospital_Operations_Data[[#This Row],[Medication_Cost_USD]]</f>
        <v>119318.76119999999</v>
      </c>
    </row>
    <row r="1421" spans="1:3" x14ac:dyDescent="0.3">
      <c r="A1421" s="11">
        <f>95.19*Hospital_Operations_Data[[#This Row],[Treatment_Cost_USD]]</f>
        <v>240275.74230000001</v>
      </c>
      <c r="C1421" s="13">
        <f>95.19*Hospital_Operations_Data[[#This Row],[Medication_Cost_USD]]</f>
        <v>92223.8796</v>
      </c>
    </row>
    <row r="1422" spans="1:3" x14ac:dyDescent="0.3">
      <c r="A1422" s="12">
        <f>95.19*Hospital_Operations_Data[[#This Row],[Treatment_Cost_USD]]</f>
        <v>942895.97789999994</v>
      </c>
      <c r="C1422" s="14">
        <f>95.19*Hospital_Operations_Data[[#This Row],[Medication_Cost_USD]]</f>
        <v>220053.57869999998</v>
      </c>
    </row>
    <row r="1423" spans="1:3" x14ac:dyDescent="0.3">
      <c r="A1423" s="11">
        <f>95.19*Hospital_Operations_Data[[#This Row],[Treatment_Cost_USD]]</f>
        <v>257943.95820000002</v>
      </c>
      <c r="C1423" s="13">
        <f>95.19*Hospital_Operations_Data[[#This Row],[Medication_Cost_USD]]</f>
        <v>95548.866299999994</v>
      </c>
    </row>
    <row r="1424" spans="1:3" x14ac:dyDescent="0.3">
      <c r="A1424" s="12">
        <f>95.19*Hospital_Operations_Data[[#This Row],[Treatment_Cost_USD]]</f>
        <v>931818.71760000009</v>
      </c>
      <c r="C1424" s="14">
        <f>95.19*Hospital_Operations_Data[[#This Row],[Medication_Cost_USD]]</f>
        <v>278958.10259999998</v>
      </c>
    </row>
    <row r="1425" spans="1:3" x14ac:dyDescent="0.3">
      <c r="A1425" s="11">
        <f>95.19*Hospital_Operations_Data[[#This Row],[Treatment_Cost_USD]]</f>
        <v>690841.42499999993</v>
      </c>
      <c r="C1425" s="13">
        <f>95.19*Hospital_Operations_Data[[#This Row],[Medication_Cost_USD]]</f>
        <v>197336.4852</v>
      </c>
    </row>
    <row r="1426" spans="1:3" x14ac:dyDescent="0.3">
      <c r="A1426" s="12">
        <f>95.19*Hospital_Operations_Data[[#This Row],[Treatment_Cost_USD]]</f>
        <v>1103011.2692999998</v>
      </c>
      <c r="C1426" s="14">
        <f>95.19*Hospital_Operations_Data[[#This Row],[Medication_Cost_USD]]</f>
        <v>270972.61349999998</v>
      </c>
    </row>
    <row r="1427" spans="1:3" x14ac:dyDescent="0.3">
      <c r="A1427" s="11">
        <f>95.19*Hospital_Operations_Data[[#This Row],[Treatment_Cost_USD]]</f>
        <v>473704.46789999999</v>
      </c>
      <c r="C1427" s="13">
        <f>95.19*Hospital_Operations_Data[[#This Row],[Medication_Cost_USD]]</f>
        <v>149810.022</v>
      </c>
    </row>
    <row r="1428" spans="1:3" x14ac:dyDescent="0.3">
      <c r="A1428" s="12">
        <f>95.19*Hospital_Operations_Data[[#This Row],[Treatment_Cost_USD]]</f>
        <v>222745.55190000002</v>
      </c>
      <c r="C1428" s="14">
        <f>95.19*Hospital_Operations_Data[[#This Row],[Medication_Cost_USD]]</f>
        <v>41228.692799999997</v>
      </c>
    </row>
    <row r="1429" spans="1:3" x14ac:dyDescent="0.3">
      <c r="A1429" s="11">
        <f>95.19*Hospital_Operations_Data[[#This Row],[Treatment_Cost_USD]]</f>
        <v>1001545.3926</v>
      </c>
      <c r="C1429" s="13">
        <f>95.19*Hospital_Operations_Data[[#This Row],[Medication_Cost_USD]]</f>
        <v>285760.38</v>
      </c>
    </row>
    <row r="1430" spans="1:3" x14ac:dyDescent="0.3">
      <c r="A1430" s="12">
        <f>95.19*Hospital_Operations_Data[[#This Row],[Treatment_Cost_USD]]</f>
        <v>652088.62410000002</v>
      </c>
      <c r="C1430" s="14">
        <f>95.19*Hospital_Operations_Data[[#This Row],[Medication_Cost_USD]]</f>
        <v>120317.3043</v>
      </c>
    </row>
    <row r="1431" spans="1:3" x14ac:dyDescent="0.3">
      <c r="A1431" s="11">
        <f>95.19*Hospital_Operations_Data[[#This Row],[Treatment_Cost_USD]]</f>
        <v>583036.84619999991</v>
      </c>
      <c r="C1431" s="13">
        <f>95.19*Hospital_Operations_Data[[#This Row],[Medication_Cost_USD]]</f>
        <v>160753.0644</v>
      </c>
    </row>
    <row r="1432" spans="1:3" x14ac:dyDescent="0.3">
      <c r="A1432" s="12">
        <f>95.19*Hospital_Operations_Data[[#This Row],[Treatment_Cost_USD]]</f>
        <v>2446357.2986999997</v>
      </c>
      <c r="C1432" s="14">
        <f>95.19*Hospital_Operations_Data[[#This Row],[Medication_Cost_USD]]</f>
        <v>508041.40470000001</v>
      </c>
    </row>
    <row r="1433" spans="1:3" x14ac:dyDescent="0.3">
      <c r="A1433" s="11">
        <f>95.19*Hospital_Operations_Data[[#This Row],[Treatment_Cost_USD]]</f>
        <v>257625.07169999997</v>
      </c>
      <c r="C1433" s="13">
        <f>95.19*Hospital_Operations_Data[[#This Row],[Medication_Cost_USD]]</f>
        <v>51756.7068</v>
      </c>
    </row>
    <row r="1434" spans="1:3" x14ac:dyDescent="0.3">
      <c r="A1434" s="12">
        <f>95.19*Hospital_Operations_Data[[#This Row],[Treatment_Cost_USD]]</f>
        <v>400865.07990000001</v>
      </c>
      <c r="C1434" s="14">
        <f>95.19*Hospital_Operations_Data[[#This Row],[Medication_Cost_USD]]</f>
        <v>95743.053899999999</v>
      </c>
    </row>
    <row r="1435" spans="1:3" x14ac:dyDescent="0.3">
      <c r="A1435" s="11">
        <f>95.19*Hospital_Operations_Data[[#This Row],[Treatment_Cost_USD]]</f>
        <v>608149.87199999997</v>
      </c>
      <c r="C1435" s="13">
        <f>95.19*Hospital_Operations_Data[[#This Row],[Medication_Cost_USD]]</f>
        <v>208398.51509999999</v>
      </c>
    </row>
    <row r="1436" spans="1:3" x14ac:dyDescent="0.3">
      <c r="A1436" s="12">
        <f>95.19*Hospital_Operations_Data[[#This Row],[Treatment_Cost_USD]]</f>
        <v>524237.98319999996</v>
      </c>
      <c r="C1436" s="14">
        <f>95.19*Hospital_Operations_Data[[#This Row],[Medication_Cost_USD]]</f>
        <v>128697.83189999999</v>
      </c>
    </row>
    <row r="1437" spans="1:3" x14ac:dyDescent="0.3">
      <c r="A1437" s="11">
        <f>95.19*Hospital_Operations_Data[[#This Row],[Treatment_Cost_USD]]</f>
        <v>1251878.9103000001</v>
      </c>
      <c r="C1437" s="13">
        <f>95.19*Hospital_Operations_Data[[#This Row],[Medication_Cost_USD]]</f>
        <v>332042.70990000002</v>
      </c>
    </row>
    <row r="1438" spans="1:3" x14ac:dyDescent="0.3">
      <c r="A1438" s="12">
        <f>95.19*Hospital_Operations_Data[[#This Row],[Treatment_Cost_USD]]</f>
        <v>203270.6298</v>
      </c>
      <c r="C1438" s="14">
        <f>95.19*Hospital_Operations_Data[[#This Row],[Medication_Cost_USD]]</f>
        <v>37898.946599999996</v>
      </c>
    </row>
    <row r="1439" spans="1:3" x14ac:dyDescent="0.3">
      <c r="A1439" s="11">
        <f>95.19*Hospital_Operations_Data[[#This Row],[Treatment_Cost_USD]]</f>
        <v>273113.43659999996</v>
      </c>
      <c r="C1439" s="13">
        <f>95.19*Hospital_Operations_Data[[#This Row],[Medication_Cost_USD]]</f>
        <v>79431.295500000007</v>
      </c>
    </row>
    <row r="1440" spans="1:3" x14ac:dyDescent="0.3">
      <c r="A1440" s="12">
        <f>95.19*Hospital_Operations_Data[[#This Row],[Treatment_Cost_USD]]</f>
        <v>536187.18390000006</v>
      </c>
      <c r="C1440" s="14">
        <f>95.19*Hospital_Operations_Data[[#This Row],[Medication_Cost_USD]]</f>
        <v>118504.8867</v>
      </c>
    </row>
    <row r="1441" spans="1:3" x14ac:dyDescent="0.3">
      <c r="A1441" s="11">
        <f>95.19*Hospital_Operations_Data[[#This Row],[Treatment_Cost_USD]]</f>
        <v>637166.63969999994</v>
      </c>
      <c r="C1441" s="13">
        <f>95.19*Hospital_Operations_Data[[#This Row],[Medication_Cost_USD]]</f>
        <v>122344.85129999999</v>
      </c>
    </row>
    <row r="1442" spans="1:3" x14ac:dyDescent="0.3">
      <c r="A1442" s="12">
        <f>95.19*Hospital_Operations_Data[[#This Row],[Treatment_Cost_USD]]</f>
        <v>1359913.8488999999</v>
      </c>
      <c r="C1442" s="14">
        <f>95.19*Hospital_Operations_Data[[#This Row],[Medication_Cost_USD]]</f>
        <v>358955.77860000002</v>
      </c>
    </row>
    <row r="1443" spans="1:3" x14ac:dyDescent="0.3">
      <c r="A1443" s="11">
        <f>95.19*Hospital_Operations_Data[[#This Row],[Treatment_Cost_USD]]</f>
        <v>1417717.9763999998</v>
      </c>
      <c r="C1443" s="13">
        <f>95.19*Hospital_Operations_Data[[#This Row],[Medication_Cost_USD]]</f>
        <v>293203.28610000003</v>
      </c>
    </row>
    <row r="1444" spans="1:3" x14ac:dyDescent="0.3">
      <c r="A1444" s="12">
        <f>95.19*Hospital_Operations_Data[[#This Row],[Treatment_Cost_USD]]</f>
        <v>377487.36780000001</v>
      </c>
      <c r="C1444" s="14">
        <f>95.19*Hospital_Operations_Data[[#This Row],[Medication_Cost_USD]]</f>
        <v>91825.03349999999</v>
      </c>
    </row>
    <row r="1445" spans="1:3" x14ac:dyDescent="0.3">
      <c r="A1445" s="11">
        <f>95.19*Hospital_Operations_Data[[#This Row],[Treatment_Cost_USD]]</f>
        <v>1212217.9967999998</v>
      </c>
      <c r="C1445" s="13">
        <f>95.19*Hospital_Operations_Data[[#This Row],[Medication_Cost_USD]]</f>
        <v>375776.80349999998</v>
      </c>
    </row>
    <row r="1446" spans="1:3" x14ac:dyDescent="0.3">
      <c r="A1446" s="12">
        <f>95.19*Hospital_Operations_Data[[#This Row],[Treatment_Cost_USD]]</f>
        <v>769230.39</v>
      </c>
      <c r="C1446" s="14">
        <f>95.19*Hospital_Operations_Data[[#This Row],[Medication_Cost_USD]]</f>
        <v>207679.83059999999</v>
      </c>
    </row>
    <row r="1447" spans="1:3" x14ac:dyDescent="0.3">
      <c r="A1447" s="11">
        <f>95.19*Hospital_Operations_Data[[#This Row],[Treatment_Cost_USD]]</f>
        <v>621553.57589999994</v>
      </c>
      <c r="C1447" s="13">
        <f>95.19*Hospital_Operations_Data[[#This Row],[Medication_Cost_USD]]</f>
        <v>173419.04579999999</v>
      </c>
    </row>
    <row r="1448" spans="1:3" x14ac:dyDescent="0.3">
      <c r="A1448" s="12">
        <f>95.19*Hospital_Operations_Data[[#This Row],[Treatment_Cost_USD]]</f>
        <v>876316.28429999994</v>
      </c>
      <c r="C1448" s="14">
        <f>95.19*Hospital_Operations_Data[[#This Row],[Medication_Cost_USD]]</f>
        <v>271321.9608</v>
      </c>
    </row>
    <row r="1449" spans="1:3" x14ac:dyDescent="0.3">
      <c r="A1449" s="11">
        <f>95.19*Hospital_Operations_Data[[#This Row],[Treatment_Cost_USD]]</f>
        <v>459148.96499999997</v>
      </c>
      <c r="C1449" s="13">
        <f>95.19*Hospital_Operations_Data[[#This Row],[Medication_Cost_USD]]</f>
        <v>177419.88149999999</v>
      </c>
    </row>
    <row r="1450" spans="1:3" x14ac:dyDescent="0.3">
      <c r="A1450" s="12">
        <f>95.19*Hospital_Operations_Data[[#This Row],[Treatment_Cost_USD]]</f>
        <v>1069280.6928000001</v>
      </c>
      <c r="C1450" s="14">
        <f>95.19*Hospital_Operations_Data[[#This Row],[Medication_Cost_USD]]</f>
        <v>340844.92919999996</v>
      </c>
    </row>
    <row r="1451" spans="1:3" x14ac:dyDescent="0.3">
      <c r="A1451" s="11">
        <f>95.19*Hospital_Operations_Data[[#This Row],[Treatment_Cost_USD]]</f>
        <v>1632155.3451</v>
      </c>
      <c r="C1451" s="13">
        <f>95.19*Hospital_Operations_Data[[#This Row],[Medication_Cost_USD]]</f>
        <v>263729.60639999999</v>
      </c>
    </row>
    <row r="1452" spans="1:3" x14ac:dyDescent="0.3">
      <c r="A1452" s="12">
        <f>95.19*Hospital_Operations_Data[[#This Row],[Treatment_Cost_USD]]</f>
        <v>1337547.0545999999</v>
      </c>
      <c r="C1452" s="14">
        <f>95.19*Hospital_Operations_Data[[#This Row],[Medication_Cost_USD]]</f>
        <v>380678.13659999997</v>
      </c>
    </row>
    <row r="1453" spans="1:3" x14ac:dyDescent="0.3">
      <c r="A1453" s="11">
        <f>95.19*Hospital_Operations_Data[[#This Row],[Treatment_Cost_USD]]</f>
        <v>2189449.9596000002</v>
      </c>
      <c r="C1453" s="13">
        <f>95.19*Hospital_Operations_Data[[#This Row],[Medication_Cost_USD]]</f>
        <v>379890.91529999999</v>
      </c>
    </row>
    <row r="1454" spans="1:3" x14ac:dyDescent="0.3">
      <c r="A1454" s="12">
        <f>95.19*Hospital_Operations_Data[[#This Row],[Treatment_Cost_USD]]</f>
        <v>95342.304000000004</v>
      </c>
      <c r="C1454" s="14">
        <f>95.19*Hospital_Operations_Data[[#This Row],[Medication_Cost_USD]]</f>
        <v>28377.090899999999</v>
      </c>
    </row>
    <row r="1455" spans="1:3" x14ac:dyDescent="0.3">
      <c r="A1455" s="11">
        <f>95.19*Hospital_Operations_Data[[#This Row],[Treatment_Cost_USD]]</f>
        <v>954064.62059999991</v>
      </c>
      <c r="C1455" s="13">
        <f>95.19*Hospital_Operations_Data[[#This Row],[Medication_Cost_USD]]</f>
        <v>208230.98070000001</v>
      </c>
    </row>
    <row r="1456" spans="1:3" x14ac:dyDescent="0.3">
      <c r="A1456" s="12">
        <f>95.19*Hospital_Operations_Data[[#This Row],[Treatment_Cost_USD]]</f>
        <v>345039.95250000001</v>
      </c>
      <c r="C1456" s="14">
        <f>95.19*Hospital_Operations_Data[[#This Row],[Medication_Cost_USD]]</f>
        <v>110485.12920000001</v>
      </c>
    </row>
    <row r="1457" spans="1:3" x14ac:dyDescent="0.3">
      <c r="A1457" s="11">
        <f>95.19*Hospital_Operations_Data[[#This Row],[Treatment_Cost_USD]]</f>
        <v>523048.10819999996</v>
      </c>
      <c r="C1457" s="13">
        <f>95.19*Hospital_Operations_Data[[#This Row],[Medication_Cost_USD]]</f>
        <v>123291.9918</v>
      </c>
    </row>
    <row r="1458" spans="1:3" x14ac:dyDescent="0.3">
      <c r="A1458" s="12">
        <f>95.19*Hospital_Operations_Data[[#This Row],[Treatment_Cost_USD]]</f>
        <v>829209.60900000005</v>
      </c>
      <c r="C1458" s="14">
        <f>95.19*Hospital_Operations_Data[[#This Row],[Medication_Cost_USD]]</f>
        <v>196419.80549999999</v>
      </c>
    </row>
    <row r="1459" spans="1:3" x14ac:dyDescent="0.3">
      <c r="A1459" s="11">
        <f>95.19*Hospital_Operations_Data[[#This Row],[Treatment_Cost_USD]]</f>
        <v>272997.30479999998</v>
      </c>
      <c r="C1459" s="13">
        <f>95.19*Hospital_Operations_Data[[#This Row],[Medication_Cost_USD]]</f>
        <v>50167.033799999997</v>
      </c>
    </row>
    <row r="1460" spans="1:3" x14ac:dyDescent="0.3">
      <c r="A1460" s="12">
        <f>95.19*Hospital_Operations_Data[[#This Row],[Treatment_Cost_USD]]</f>
        <v>315017.97840000002</v>
      </c>
      <c r="C1460" s="14">
        <f>95.19*Hospital_Operations_Data[[#This Row],[Medication_Cost_USD]]</f>
        <v>62375.151299999998</v>
      </c>
    </row>
    <row r="1461" spans="1:3" x14ac:dyDescent="0.3">
      <c r="A1461" s="11">
        <f>95.19*Hospital_Operations_Data[[#This Row],[Treatment_Cost_USD]]</f>
        <v>481314.90839999996</v>
      </c>
      <c r="C1461" s="13">
        <f>95.19*Hospital_Operations_Data[[#This Row],[Medication_Cost_USD]]</f>
        <v>145140.95249999998</v>
      </c>
    </row>
    <row r="1462" spans="1:3" x14ac:dyDescent="0.3">
      <c r="A1462" s="12">
        <f>95.19*Hospital_Operations_Data[[#This Row],[Treatment_Cost_USD]]</f>
        <v>1030882.9506</v>
      </c>
      <c r="C1462" s="14">
        <f>95.19*Hospital_Operations_Data[[#This Row],[Medication_Cost_USD]]</f>
        <v>237361.0245</v>
      </c>
    </row>
    <row r="1463" spans="1:3" x14ac:dyDescent="0.3">
      <c r="A1463" s="11">
        <f>95.19*Hospital_Operations_Data[[#This Row],[Treatment_Cost_USD]]</f>
        <v>171531.42809999999</v>
      </c>
      <c r="C1463" s="13">
        <f>95.19*Hospital_Operations_Data[[#This Row],[Medication_Cost_USD]]</f>
        <v>43563.703499999996</v>
      </c>
    </row>
    <row r="1464" spans="1:3" x14ac:dyDescent="0.3">
      <c r="A1464" s="12">
        <f>95.19*Hospital_Operations_Data[[#This Row],[Treatment_Cost_USD]]</f>
        <v>1358216.6111999999</v>
      </c>
      <c r="C1464" s="14">
        <f>95.19*Hospital_Operations_Data[[#This Row],[Medication_Cost_USD]]</f>
        <v>209368.5012</v>
      </c>
    </row>
    <row r="1465" spans="1:3" x14ac:dyDescent="0.3">
      <c r="A1465" s="11">
        <f>95.19*Hospital_Operations_Data[[#This Row],[Treatment_Cost_USD]]</f>
        <v>417500.48430000001</v>
      </c>
      <c r="C1465" s="13">
        <f>95.19*Hospital_Operations_Data[[#This Row],[Medication_Cost_USD]]</f>
        <v>65005.250999999997</v>
      </c>
    </row>
    <row r="1466" spans="1:3" x14ac:dyDescent="0.3">
      <c r="A1466" s="12">
        <f>95.19*Hospital_Operations_Data[[#This Row],[Treatment_Cost_USD]]</f>
        <v>957308.69579999999</v>
      </c>
      <c r="C1466" s="14">
        <f>95.19*Hospital_Operations_Data[[#This Row],[Medication_Cost_USD]]</f>
        <v>342262.30830000003</v>
      </c>
    </row>
    <row r="1467" spans="1:3" x14ac:dyDescent="0.3">
      <c r="A1467" s="11">
        <f>95.19*Hospital_Operations_Data[[#This Row],[Treatment_Cost_USD]]</f>
        <v>791352.54599999997</v>
      </c>
      <c r="C1467" s="13">
        <f>95.19*Hospital_Operations_Data[[#This Row],[Medication_Cost_USD]]</f>
        <v>144638.3493</v>
      </c>
    </row>
    <row r="1468" spans="1:3" x14ac:dyDescent="0.3">
      <c r="A1468" s="12">
        <f>95.19*Hospital_Operations_Data[[#This Row],[Treatment_Cost_USD]]</f>
        <v>718230.44369999995</v>
      </c>
      <c r="C1468" s="14">
        <f>95.19*Hospital_Operations_Data[[#This Row],[Medication_Cost_USD]]</f>
        <v>202850.84190000003</v>
      </c>
    </row>
    <row r="1469" spans="1:3" x14ac:dyDescent="0.3">
      <c r="A1469" s="11">
        <f>95.19*Hospital_Operations_Data[[#This Row],[Treatment_Cost_USD]]</f>
        <v>625827.60690000001</v>
      </c>
      <c r="C1469" s="13">
        <f>95.19*Hospital_Operations_Data[[#This Row],[Medication_Cost_USD]]</f>
        <v>97198.509000000005</v>
      </c>
    </row>
    <row r="1470" spans="1:3" x14ac:dyDescent="0.3">
      <c r="A1470" s="12">
        <f>95.19*Hospital_Operations_Data[[#This Row],[Treatment_Cost_USD]]</f>
        <v>459707.7303</v>
      </c>
      <c r="C1470" s="14">
        <f>95.19*Hospital_Operations_Data[[#This Row],[Medication_Cost_USD]]</f>
        <v>108840.246</v>
      </c>
    </row>
    <row r="1471" spans="1:3" x14ac:dyDescent="0.3">
      <c r="A1471" s="11">
        <f>95.19*Hospital_Operations_Data[[#This Row],[Treatment_Cost_USD]]</f>
        <v>1280027.5452000001</v>
      </c>
      <c r="C1471" s="13">
        <f>95.19*Hospital_Operations_Data[[#This Row],[Medication_Cost_USD]]</f>
        <v>468355.74180000002</v>
      </c>
    </row>
    <row r="1472" spans="1:3" x14ac:dyDescent="0.3">
      <c r="A1472" s="12">
        <f>95.19*Hospital_Operations_Data[[#This Row],[Treatment_Cost_USD]]</f>
        <v>838408.77059999993</v>
      </c>
      <c r="C1472" s="14">
        <f>95.19*Hospital_Operations_Data[[#This Row],[Medication_Cost_USD]]</f>
        <v>168416.8113</v>
      </c>
    </row>
    <row r="1473" spans="1:3" x14ac:dyDescent="0.3">
      <c r="A1473" s="11">
        <f>95.19*Hospital_Operations_Data[[#This Row],[Treatment_Cost_USD]]</f>
        <v>506860.0968</v>
      </c>
      <c r="C1473" s="13">
        <f>95.19*Hospital_Operations_Data[[#This Row],[Medication_Cost_USD]]</f>
        <v>172817.44500000001</v>
      </c>
    </row>
    <row r="1474" spans="1:3" x14ac:dyDescent="0.3">
      <c r="A1474" s="12">
        <f>95.19*Hospital_Operations_Data[[#This Row],[Treatment_Cost_USD]]</f>
        <v>434604.22349999996</v>
      </c>
      <c r="C1474" s="14">
        <f>95.19*Hospital_Operations_Data[[#This Row],[Medication_Cost_USD]]</f>
        <v>93408.9951</v>
      </c>
    </row>
    <row r="1475" spans="1:3" x14ac:dyDescent="0.3">
      <c r="A1475" s="11">
        <f>95.19*Hospital_Operations_Data[[#This Row],[Treatment_Cost_USD]]</f>
        <v>966069.03150000004</v>
      </c>
      <c r="C1475" s="13">
        <f>95.19*Hospital_Operations_Data[[#This Row],[Medication_Cost_USD]]</f>
        <v>340100.54340000002</v>
      </c>
    </row>
    <row r="1476" spans="1:3" x14ac:dyDescent="0.3">
      <c r="A1476" s="12">
        <f>95.19*Hospital_Operations_Data[[#This Row],[Treatment_Cost_USD]]</f>
        <v>1134904.6788000001</v>
      </c>
      <c r="C1476" s="14">
        <f>95.19*Hospital_Operations_Data[[#This Row],[Medication_Cost_USD]]</f>
        <v>185434.87949999998</v>
      </c>
    </row>
    <row r="1477" spans="1:3" x14ac:dyDescent="0.3">
      <c r="A1477" s="11">
        <f>95.19*Hospital_Operations_Data[[#This Row],[Treatment_Cost_USD]]</f>
        <v>745518.56099999999</v>
      </c>
      <c r="C1477" s="13">
        <f>95.19*Hospital_Operations_Data[[#This Row],[Medication_Cost_USD]]</f>
        <v>245492.15429999997</v>
      </c>
    </row>
    <row r="1478" spans="1:3" x14ac:dyDescent="0.3">
      <c r="A1478" s="12">
        <f>95.19*Hospital_Operations_Data[[#This Row],[Treatment_Cost_USD]]</f>
        <v>436790.7378</v>
      </c>
      <c r="C1478" s="14">
        <f>95.19*Hospital_Operations_Data[[#This Row],[Medication_Cost_USD]]</f>
        <v>167598.17730000001</v>
      </c>
    </row>
    <row r="1479" spans="1:3" x14ac:dyDescent="0.3">
      <c r="A1479" s="11">
        <f>95.19*Hospital_Operations_Data[[#This Row],[Treatment_Cost_USD]]</f>
        <v>1082545.4193</v>
      </c>
      <c r="C1479" s="13">
        <f>95.19*Hospital_Operations_Data[[#This Row],[Medication_Cost_USD]]</f>
        <v>318995.96850000002</v>
      </c>
    </row>
    <row r="1480" spans="1:3" x14ac:dyDescent="0.3">
      <c r="A1480" s="12">
        <f>95.19*Hospital_Operations_Data[[#This Row],[Treatment_Cost_USD]]</f>
        <v>988907.01630000002</v>
      </c>
      <c r="C1480" s="14">
        <f>95.19*Hospital_Operations_Data[[#This Row],[Medication_Cost_USD]]</f>
        <v>362393.0895</v>
      </c>
    </row>
    <row r="1481" spans="1:3" x14ac:dyDescent="0.3">
      <c r="A1481" s="11">
        <f>95.19*Hospital_Operations_Data[[#This Row],[Treatment_Cost_USD]]</f>
        <v>1125117.243</v>
      </c>
      <c r="C1481" s="13">
        <f>95.19*Hospital_Operations_Data[[#This Row],[Medication_Cost_USD]]</f>
        <v>210425.1102</v>
      </c>
    </row>
    <row r="1482" spans="1:3" x14ac:dyDescent="0.3">
      <c r="A1482" s="12">
        <f>95.19*Hospital_Operations_Data[[#This Row],[Treatment_Cost_USD]]</f>
        <v>1490897.1927</v>
      </c>
      <c r="C1482" s="14">
        <f>95.19*Hospital_Operations_Data[[#This Row],[Medication_Cost_USD]]</f>
        <v>453629.84880000004</v>
      </c>
    </row>
    <row r="1483" spans="1:3" x14ac:dyDescent="0.3">
      <c r="A1483" s="11">
        <f>95.19*Hospital_Operations_Data[[#This Row],[Treatment_Cost_USD]]</f>
        <v>1211344.1526000001</v>
      </c>
      <c r="C1483" s="13">
        <f>95.19*Hospital_Operations_Data[[#This Row],[Medication_Cost_USD]]</f>
        <v>374703.06029999995</v>
      </c>
    </row>
    <row r="1484" spans="1:3" x14ac:dyDescent="0.3">
      <c r="A1484" s="12">
        <f>95.19*Hospital_Operations_Data[[#This Row],[Treatment_Cost_USD]]</f>
        <v>664756.50930000003</v>
      </c>
      <c r="C1484" s="14">
        <f>95.19*Hospital_Operations_Data[[#This Row],[Medication_Cost_USD]]</f>
        <v>182992.30410000001</v>
      </c>
    </row>
    <row r="1485" spans="1:3" x14ac:dyDescent="0.3">
      <c r="A1485" s="11">
        <f>95.19*Hospital_Operations_Data[[#This Row],[Treatment_Cost_USD]]</f>
        <v>533059.24049999996</v>
      </c>
      <c r="C1485" s="13">
        <f>95.19*Hospital_Operations_Data[[#This Row],[Medication_Cost_USD]]</f>
        <v>115122.78600000001</v>
      </c>
    </row>
    <row r="1486" spans="1:3" x14ac:dyDescent="0.3">
      <c r="A1486" s="12">
        <f>95.19*Hospital_Operations_Data[[#This Row],[Treatment_Cost_USD]]</f>
        <v>393179.43930000003</v>
      </c>
      <c r="C1486" s="14">
        <f>95.19*Hospital_Operations_Data[[#This Row],[Medication_Cost_USD]]</f>
        <v>79724.4807</v>
      </c>
    </row>
    <row r="1487" spans="1:3" x14ac:dyDescent="0.3">
      <c r="A1487" s="11">
        <f>95.19*Hospital_Operations_Data[[#This Row],[Treatment_Cost_USD]]</f>
        <v>852432.16139999998</v>
      </c>
      <c r="C1487" s="13">
        <f>95.19*Hospital_Operations_Data[[#This Row],[Medication_Cost_USD]]</f>
        <v>340221.43469999998</v>
      </c>
    </row>
    <row r="1488" spans="1:3" x14ac:dyDescent="0.3">
      <c r="A1488" s="12">
        <f>95.19*Hospital_Operations_Data[[#This Row],[Treatment_Cost_USD]]</f>
        <v>214312.6698</v>
      </c>
      <c r="C1488" s="14">
        <f>95.19*Hospital_Operations_Data[[#This Row],[Medication_Cost_USD]]</f>
        <v>78635.507100000003</v>
      </c>
    </row>
    <row r="1489" spans="1:3" x14ac:dyDescent="0.3">
      <c r="A1489" s="11">
        <f>95.19*Hospital_Operations_Data[[#This Row],[Treatment_Cost_USD]]</f>
        <v>887284.07610000006</v>
      </c>
      <c r="C1489" s="13">
        <f>95.19*Hospital_Operations_Data[[#This Row],[Medication_Cost_USD]]</f>
        <v>245552.12399999998</v>
      </c>
    </row>
    <row r="1490" spans="1:3" x14ac:dyDescent="0.3">
      <c r="A1490" s="12">
        <f>95.19*Hospital_Operations_Data[[#This Row],[Treatment_Cost_USD]]</f>
        <v>509789.09309999994</v>
      </c>
      <c r="C1490" s="14">
        <f>95.19*Hospital_Operations_Data[[#This Row],[Medication_Cost_USD]]</f>
        <v>166924.23209999999</v>
      </c>
    </row>
    <row r="1491" spans="1:3" x14ac:dyDescent="0.3">
      <c r="A1491" s="11">
        <f>95.19*Hospital_Operations_Data[[#This Row],[Treatment_Cost_USD]]</f>
        <v>1054905.0989999999</v>
      </c>
      <c r="C1491" s="13">
        <f>95.19*Hospital_Operations_Data[[#This Row],[Medication_Cost_USD]]</f>
        <v>389685.01439999999</v>
      </c>
    </row>
    <row r="1492" spans="1:3" x14ac:dyDescent="0.3">
      <c r="A1492" s="12">
        <f>95.19*Hospital_Operations_Data[[#This Row],[Treatment_Cost_USD]]</f>
        <v>360150.41309999995</v>
      </c>
      <c r="C1492" s="14">
        <f>95.19*Hospital_Operations_Data[[#This Row],[Medication_Cost_USD]]</f>
        <v>88362.973199999993</v>
      </c>
    </row>
    <row r="1493" spans="1:3" x14ac:dyDescent="0.3">
      <c r="A1493" s="11">
        <f>95.19*Hospital_Operations_Data[[#This Row],[Treatment_Cost_USD]]</f>
        <v>263264.12729999999</v>
      </c>
      <c r="C1493" s="13">
        <f>95.19*Hospital_Operations_Data[[#This Row],[Medication_Cost_USD]]</f>
        <v>62116.234499999991</v>
      </c>
    </row>
    <row r="1494" spans="1:3" x14ac:dyDescent="0.3">
      <c r="A1494" s="12">
        <f>95.19*Hospital_Operations_Data[[#This Row],[Treatment_Cost_USD]]</f>
        <v>1216803.2990999999</v>
      </c>
      <c r="C1494" s="14">
        <f>95.19*Hospital_Operations_Data[[#This Row],[Medication_Cost_USD]]</f>
        <v>447210.2352</v>
      </c>
    </row>
    <row r="1495" spans="1:3" x14ac:dyDescent="0.3">
      <c r="A1495" s="11">
        <f>95.19*Hospital_Operations_Data[[#This Row],[Treatment_Cost_USD]]</f>
        <v>784742.55239999993</v>
      </c>
      <c r="C1495" s="13">
        <f>95.19*Hospital_Operations_Data[[#This Row],[Medication_Cost_USD]]</f>
        <v>146322.2604</v>
      </c>
    </row>
    <row r="1496" spans="1:3" x14ac:dyDescent="0.3">
      <c r="A1496" s="12">
        <f>95.19*Hospital_Operations_Data[[#This Row],[Treatment_Cost_USD]]</f>
        <v>335524.76010000001</v>
      </c>
      <c r="C1496" s="14">
        <f>95.19*Hospital_Operations_Data[[#This Row],[Medication_Cost_USD]]</f>
        <v>81151.378799999991</v>
      </c>
    </row>
    <row r="1497" spans="1:3" x14ac:dyDescent="0.3">
      <c r="A1497" s="11">
        <f>95.19*Hospital_Operations_Data[[#This Row],[Treatment_Cost_USD]]</f>
        <v>424432.22009999998</v>
      </c>
      <c r="C1497" s="13">
        <f>95.19*Hospital_Operations_Data[[#This Row],[Medication_Cost_USD]]</f>
        <v>111620.74589999999</v>
      </c>
    </row>
    <row r="1498" spans="1:3" x14ac:dyDescent="0.3">
      <c r="A1498" s="12">
        <f>95.19*Hospital_Operations_Data[[#This Row],[Treatment_Cost_USD]]</f>
        <v>980115.26789999998</v>
      </c>
      <c r="C1498" s="14">
        <f>95.19*Hospital_Operations_Data[[#This Row],[Medication_Cost_USD]]</f>
        <v>173265.7899</v>
      </c>
    </row>
    <row r="1499" spans="1:3" x14ac:dyDescent="0.3">
      <c r="A1499" s="11">
        <f>95.19*Hospital_Operations_Data[[#This Row],[Treatment_Cost_USD]]</f>
        <v>220804.62779999999</v>
      </c>
      <c r="C1499" s="13">
        <f>95.19*Hospital_Operations_Data[[#This Row],[Medication_Cost_USD]]</f>
        <v>77931.1011</v>
      </c>
    </row>
    <row r="1500" spans="1:3" x14ac:dyDescent="0.3">
      <c r="A1500" s="12">
        <f>95.19*Hospital_Operations_Data[[#This Row],[Treatment_Cost_USD]]</f>
        <v>1345648.6755000001</v>
      </c>
      <c r="C1500" s="14">
        <f>95.19*Hospital_Operations_Data[[#This Row],[Medication_Cost_USD]]</f>
        <v>471316.15079999994</v>
      </c>
    </row>
    <row r="1501" spans="1:3" x14ac:dyDescent="0.3">
      <c r="A1501" s="11">
        <f>95.19*Hospital_Operations_Data[[#This Row],[Treatment_Cost_USD]]</f>
        <v>1139264.3807999999</v>
      </c>
      <c r="C1501" s="13">
        <f>95.19*Hospital_Operations_Data[[#This Row],[Medication_Cost_USD]]</f>
        <v>200602.45409999997</v>
      </c>
    </row>
    <row r="1502" spans="1:3" x14ac:dyDescent="0.3">
      <c r="A1502" s="12">
        <f>95.19*Hospital_Operations_Data[[#This Row],[Treatment_Cost_USD]]</f>
        <v>512294.4939</v>
      </c>
      <c r="C1502" s="14">
        <f>95.19*Hospital_Operations_Data[[#This Row],[Medication_Cost_USD]]</f>
        <v>79630.242599999998</v>
      </c>
    </row>
    <row r="1503" spans="1:3" x14ac:dyDescent="0.3">
      <c r="A1503" s="11">
        <f>95.19*Hospital_Operations_Data[[#This Row],[Treatment_Cost_USD]]</f>
        <v>674590.5882</v>
      </c>
      <c r="C1503" s="13">
        <f>95.19*Hospital_Operations_Data[[#This Row],[Medication_Cost_USD]]</f>
        <v>250500.10019999999</v>
      </c>
    </row>
    <row r="1504" spans="1:3" x14ac:dyDescent="0.3">
      <c r="A1504" s="12">
        <f>95.19*Hospital_Operations_Data[[#This Row],[Treatment_Cost_USD]]</f>
        <v>801687.32429999986</v>
      </c>
      <c r="C1504" s="14">
        <f>95.19*Hospital_Operations_Data[[#This Row],[Medication_Cost_USD]]</f>
        <v>161913.43049999999</v>
      </c>
    </row>
    <row r="1505" spans="1:3" x14ac:dyDescent="0.3">
      <c r="A1505" s="11">
        <f>95.19*Hospital_Operations_Data[[#This Row],[Treatment_Cost_USD]]</f>
        <v>944295.2709</v>
      </c>
      <c r="C1505" s="13">
        <f>95.19*Hospital_Operations_Data[[#This Row],[Medication_Cost_USD]]</f>
        <v>241319.97659999999</v>
      </c>
    </row>
    <row r="1506" spans="1:3" x14ac:dyDescent="0.3">
      <c r="A1506" s="12">
        <f>95.19*Hospital_Operations_Data[[#This Row],[Treatment_Cost_USD]]</f>
        <v>622150.41720000003</v>
      </c>
      <c r="C1506" s="14">
        <f>95.19*Hospital_Operations_Data[[#This Row],[Medication_Cost_USD]]</f>
        <v>215589.16769999999</v>
      </c>
    </row>
    <row r="1507" spans="1:3" x14ac:dyDescent="0.3">
      <c r="A1507" s="11">
        <f>95.19*Hospital_Operations_Data[[#This Row],[Treatment_Cost_USD]]</f>
        <v>946497.96750000003</v>
      </c>
      <c r="C1507" s="13">
        <f>95.19*Hospital_Operations_Data[[#This Row],[Medication_Cost_USD]]</f>
        <v>180580.18949999998</v>
      </c>
    </row>
    <row r="1508" spans="1:3" x14ac:dyDescent="0.3">
      <c r="A1508" s="12">
        <f>95.19*Hospital_Operations_Data[[#This Row],[Treatment_Cost_USD]]</f>
        <v>888444.44219999993</v>
      </c>
      <c r="C1508" s="14">
        <f>95.19*Hospital_Operations_Data[[#This Row],[Medication_Cost_USD]]</f>
        <v>250018.4388</v>
      </c>
    </row>
    <row r="1509" spans="1:3" x14ac:dyDescent="0.3">
      <c r="A1509" s="11">
        <f>95.19*Hospital_Operations_Data[[#This Row],[Treatment_Cost_USD]]</f>
        <v>1161792.9981</v>
      </c>
      <c r="C1509" s="13">
        <f>95.19*Hospital_Operations_Data[[#This Row],[Medication_Cost_USD]]</f>
        <v>433508.58660000004</v>
      </c>
    </row>
    <row r="1510" spans="1:3" x14ac:dyDescent="0.3">
      <c r="A1510" s="12">
        <f>95.19*Hospital_Operations_Data[[#This Row],[Treatment_Cost_USD]]</f>
        <v>1048884.3315000001</v>
      </c>
      <c r="C1510" s="14">
        <f>95.19*Hospital_Operations_Data[[#This Row],[Medication_Cost_USD]]</f>
        <v>268690.90919999999</v>
      </c>
    </row>
    <row r="1511" spans="1:3" x14ac:dyDescent="0.3">
      <c r="A1511" s="11">
        <f>95.19*Hospital_Operations_Data[[#This Row],[Treatment_Cost_USD]]</f>
        <v>473698.75650000002</v>
      </c>
      <c r="C1511" s="13">
        <f>95.19*Hospital_Operations_Data[[#This Row],[Medication_Cost_USD]]</f>
        <v>162841.533</v>
      </c>
    </row>
    <row r="1512" spans="1:3" x14ac:dyDescent="0.3">
      <c r="A1512" s="12">
        <f>95.19*Hospital_Operations_Data[[#This Row],[Treatment_Cost_USD]]</f>
        <v>425802.00420000002</v>
      </c>
      <c r="C1512" s="14">
        <f>95.19*Hospital_Operations_Data[[#This Row],[Medication_Cost_USD]]</f>
        <v>154381.99769999998</v>
      </c>
    </row>
    <row r="1513" spans="1:3" x14ac:dyDescent="0.3">
      <c r="A1513" s="11">
        <f>95.19*Hospital_Operations_Data[[#This Row],[Treatment_Cost_USD]]</f>
        <v>1528944.6357</v>
      </c>
      <c r="C1513" s="13">
        <f>95.19*Hospital_Operations_Data[[#This Row],[Medication_Cost_USD]]</f>
        <v>589900.99710000004</v>
      </c>
    </row>
    <row r="1514" spans="1:3" x14ac:dyDescent="0.3">
      <c r="A1514" s="12">
        <f>95.19*Hospital_Operations_Data[[#This Row],[Treatment_Cost_USD]]</f>
        <v>773552.96789999993</v>
      </c>
      <c r="C1514" s="14">
        <f>95.19*Hospital_Operations_Data[[#This Row],[Medication_Cost_USD]]</f>
        <v>260261.83470000001</v>
      </c>
    </row>
    <row r="1515" spans="1:3" x14ac:dyDescent="0.3">
      <c r="A1515" s="11">
        <f>95.19*Hospital_Operations_Data[[#This Row],[Treatment_Cost_USD]]</f>
        <v>1089095.4432000001</v>
      </c>
      <c r="C1515" s="13">
        <f>95.19*Hospital_Operations_Data[[#This Row],[Medication_Cost_USD]]</f>
        <v>319730.83529999998</v>
      </c>
    </row>
    <row r="1516" spans="1:3" x14ac:dyDescent="0.3">
      <c r="A1516" s="12">
        <f>95.19*Hospital_Operations_Data[[#This Row],[Treatment_Cost_USD]]</f>
        <v>709534.83719999995</v>
      </c>
      <c r="C1516" s="14">
        <f>95.19*Hospital_Operations_Data[[#This Row],[Medication_Cost_USD]]</f>
        <v>261246.09929999997</v>
      </c>
    </row>
    <row r="1517" spans="1:3" x14ac:dyDescent="0.3">
      <c r="A1517" s="11">
        <f>95.19*Hospital_Operations_Data[[#This Row],[Treatment_Cost_USD]]</f>
        <v>461806.66979999997</v>
      </c>
      <c r="C1517" s="13">
        <f>95.19*Hospital_Operations_Data[[#This Row],[Medication_Cost_USD]]</f>
        <v>134033.23139999999</v>
      </c>
    </row>
    <row r="1518" spans="1:3" x14ac:dyDescent="0.3">
      <c r="A1518" s="12">
        <f>95.19*Hospital_Operations_Data[[#This Row],[Treatment_Cost_USD]]</f>
        <v>581522.37329999998</v>
      </c>
      <c r="C1518" s="14">
        <f>95.19*Hospital_Operations_Data[[#This Row],[Medication_Cost_USD]]</f>
        <v>181600.6263</v>
      </c>
    </row>
    <row r="1519" spans="1:3" x14ac:dyDescent="0.3">
      <c r="A1519" s="11">
        <f>95.19*Hospital_Operations_Data[[#This Row],[Treatment_Cost_USD]]</f>
        <v>706858.09440000006</v>
      </c>
      <c r="C1519" s="13">
        <f>95.19*Hospital_Operations_Data[[#This Row],[Medication_Cost_USD]]</f>
        <v>107494.2594</v>
      </c>
    </row>
    <row r="1520" spans="1:3" x14ac:dyDescent="0.3">
      <c r="A1520" s="12">
        <f>95.19*Hospital_Operations_Data[[#This Row],[Treatment_Cost_USD]]</f>
        <v>891094.53179999988</v>
      </c>
      <c r="C1520" s="14">
        <f>95.19*Hospital_Operations_Data[[#This Row],[Medication_Cost_USD]]</f>
        <v>170956.48050000001</v>
      </c>
    </row>
    <row r="1521" spans="1:3" x14ac:dyDescent="0.3">
      <c r="A1521" s="11">
        <f>95.19*Hospital_Operations_Data[[#This Row],[Treatment_Cost_USD]]</f>
        <v>653958.1557</v>
      </c>
      <c r="C1521" s="13">
        <f>95.19*Hospital_Operations_Data[[#This Row],[Medication_Cost_USD]]</f>
        <v>117457.79670000001</v>
      </c>
    </row>
    <row r="1522" spans="1:3" x14ac:dyDescent="0.3">
      <c r="A1522" s="12">
        <f>95.19*Hospital_Operations_Data[[#This Row],[Treatment_Cost_USD]]</f>
        <v>293752.53240000003</v>
      </c>
      <c r="C1522" s="14">
        <f>95.19*Hospital_Operations_Data[[#This Row],[Medication_Cost_USD]]</f>
        <v>98903.361900000004</v>
      </c>
    </row>
    <row r="1523" spans="1:3" x14ac:dyDescent="0.3">
      <c r="A1523" s="11">
        <f>95.19*Hospital_Operations_Data[[#This Row],[Treatment_Cost_USD]]</f>
        <v>1155552.3417</v>
      </c>
      <c r="C1523" s="13">
        <f>95.19*Hospital_Operations_Data[[#This Row],[Medication_Cost_USD]]</f>
        <v>202498.63889999999</v>
      </c>
    </row>
    <row r="1524" spans="1:3" x14ac:dyDescent="0.3">
      <c r="A1524" s="12">
        <f>95.19*Hospital_Operations_Data[[#This Row],[Treatment_Cost_USD]]</f>
        <v>1269558.5490000001</v>
      </c>
      <c r="C1524" s="14">
        <f>95.19*Hospital_Operations_Data[[#This Row],[Medication_Cost_USD]]</f>
        <v>325151.90580000001</v>
      </c>
    </row>
    <row r="1525" spans="1:3" x14ac:dyDescent="0.3">
      <c r="A1525" s="11">
        <f>95.19*Hospital_Operations_Data[[#This Row],[Treatment_Cost_USD]]</f>
        <v>277058.1102</v>
      </c>
      <c r="C1525" s="13">
        <f>95.19*Hospital_Operations_Data[[#This Row],[Medication_Cost_USD]]</f>
        <v>46274.714699999997</v>
      </c>
    </row>
    <row r="1526" spans="1:3" x14ac:dyDescent="0.3">
      <c r="A1526" s="12">
        <f>95.19*Hospital_Operations_Data[[#This Row],[Treatment_Cost_USD]]</f>
        <v>1203595.6865999999</v>
      </c>
      <c r="C1526" s="14">
        <f>95.19*Hospital_Operations_Data[[#This Row],[Medication_Cost_USD]]</f>
        <v>422513.18969999999</v>
      </c>
    </row>
    <row r="1527" spans="1:3" x14ac:dyDescent="0.3">
      <c r="A1527" s="11">
        <f>95.19*Hospital_Operations_Data[[#This Row],[Treatment_Cost_USD]]</f>
        <v>692373.98400000005</v>
      </c>
      <c r="C1527" s="13">
        <f>95.19*Hospital_Operations_Data[[#This Row],[Medication_Cost_USD]]</f>
        <v>176004.4062</v>
      </c>
    </row>
    <row r="1528" spans="1:3" x14ac:dyDescent="0.3">
      <c r="A1528" s="12">
        <f>95.19*Hospital_Operations_Data[[#This Row],[Treatment_Cost_USD]]</f>
        <v>434919.30239999999</v>
      </c>
      <c r="C1528" s="14">
        <f>95.19*Hospital_Operations_Data[[#This Row],[Medication_Cost_USD]]</f>
        <v>72744.198000000004</v>
      </c>
    </row>
    <row r="1529" spans="1:3" x14ac:dyDescent="0.3">
      <c r="A1529" s="11">
        <f>95.19*Hospital_Operations_Data[[#This Row],[Treatment_Cost_USD]]</f>
        <v>1125454.2156</v>
      </c>
      <c r="C1529" s="13">
        <f>95.19*Hospital_Operations_Data[[#This Row],[Medication_Cost_USD]]</f>
        <v>412987.52640000003</v>
      </c>
    </row>
    <row r="1530" spans="1:3" x14ac:dyDescent="0.3">
      <c r="A1530" s="12">
        <f>95.19*Hospital_Operations_Data[[#This Row],[Treatment_Cost_USD]]</f>
        <v>1090337.6727</v>
      </c>
      <c r="C1530" s="14">
        <f>95.19*Hospital_Operations_Data[[#This Row],[Medication_Cost_USD]]</f>
        <v>332318.76089999999</v>
      </c>
    </row>
    <row r="1531" spans="1:3" x14ac:dyDescent="0.3">
      <c r="A1531" s="11">
        <f>95.19*Hospital_Operations_Data[[#This Row],[Treatment_Cost_USD]]</f>
        <v>315759.5085</v>
      </c>
      <c r="C1531" s="13">
        <f>95.19*Hospital_Operations_Data[[#This Row],[Medication_Cost_USD]]</f>
        <v>49877.656199999998</v>
      </c>
    </row>
    <row r="1532" spans="1:3" x14ac:dyDescent="0.3">
      <c r="A1532" s="12">
        <f>95.19*Hospital_Operations_Data[[#This Row],[Treatment_Cost_USD]]</f>
        <v>2048537.3468999998</v>
      </c>
      <c r="C1532" s="14">
        <f>95.19*Hospital_Operations_Data[[#This Row],[Medication_Cost_USD]]</f>
        <v>558993.75599999994</v>
      </c>
    </row>
    <row r="1533" spans="1:3" x14ac:dyDescent="0.3">
      <c r="A1533" s="11">
        <f>95.19*Hospital_Operations_Data[[#This Row],[Treatment_Cost_USD]]</f>
        <v>1231376.8880999999</v>
      </c>
      <c r="C1533" s="13">
        <f>95.19*Hospital_Operations_Data[[#This Row],[Medication_Cost_USD]]</f>
        <v>278380.29929999996</v>
      </c>
    </row>
    <row r="1534" spans="1:3" x14ac:dyDescent="0.3">
      <c r="A1534" s="12">
        <f>95.19*Hospital_Operations_Data[[#This Row],[Treatment_Cost_USD]]</f>
        <v>1339417.5381</v>
      </c>
      <c r="C1534" s="14">
        <f>95.19*Hospital_Operations_Data[[#This Row],[Medication_Cost_USD]]</f>
        <v>477153.20160000003</v>
      </c>
    </row>
    <row r="1535" spans="1:3" x14ac:dyDescent="0.3">
      <c r="A1535" s="11">
        <f>95.19*Hospital_Operations_Data[[#This Row],[Treatment_Cost_USD]]</f>
        <v>516708.45420000004</v>
      </c>
      <c r="C1535" s="13">
        <f>95.19*Hospital_Operations_Data[[#This Row],[Medication_Cost_USD]]</f>
        <v>164489.27189999999</v>
      </c>
    </row>
    <row r="1536" spans="1:3" x14ac:dyDescent="0.3">
      <c r="A1536" s="12">
        <f>95.19*Hospital_Operations_Data[[#This Row],[Treatment_Cost_USD]]</f>
        <v>1807388.7122999998</v>
      </c>
      <c r="C1536" s="14">
        <f>95.19*Hospital_Operations_Data[[#This Row],[Medication_Cost_USD]]</f>
        <v>664431.91139999998</v>
      </c>
    </row>
    <row r="1537" spans="1:3" x14ac:dyDescent="0.3">
      <c r="A1537" s="11">
        <f>95.19*Hospital_Operations_Data[[#This Row],[Treatment_Cost_USD]]</f>
        <v>469109.64660000004</v>
      </c>
      <c r="C1537" s="13">
        <f>95.19*Hospital_Operations_Data[[#This Row],[Medication_Cost_USD]]</f>
        <v>160327.56510000001</v>
      </c>
    </row>
    <row r="1538" spans="1:3" x14ac:dyDescent="0.3">
      <c r="A1538" s="12">
        <f>95.19*Hospital_Operations_Data[[#This Row],[Treatment_Cost_USD]]</f>
        <v>222793.14690000002</v>
      </c>
      <c r="C1538" s="14">
        <f>95.19*Hospital_Operations_Data[[#This Row],[Medication_Cost_USD]]</f>
        <v>75042.084600000002</v>
      </c>
    </row>
    <row r="1539" spans="1:3" x14ac:dyDescent="0.3">
      <c r="A1539" s="11">
        <f>95.19*Hospital_Operations_Data[[#This Row],[Treatment_Cost_USD]]</f>
        <v>347491.09499999997</v>
      </c>
      <c r="C1539" s="13">
        <f>95.19*Hospital_Operations_Data[[#This Row],[Medication_Cost_USD]]</f>
        <v>116094.67589999999</v>
      </c>
    </row>
    <row r="1540" spans="1:3" x14ac:dyDescent="0.3">
      <c r="A1540" s="12">
        <f>95.19*Hospital_Operations_Data[[#This Row],[Treatment_Cost_USD]]</f>
        <v>229527.83940000003</v>
      </c>
      <c r="C1540" s="14">
        <f>95.19*Hospital_Operations_Data[[#This Row],[Medication_Cost_USD]]</f>
        <v>49328.409899999999</v>
      </c>
    </row>
    <row r="1541" spans="1:3" x14ac:dyDescent="0.3">
      <c r="A1541" s="11">
        <f>95.19*Hospital_Operations_Data[[#This Row],[Treatment_Cost_USD]]</f>
        <v>866220.43290000001</v>
      </c>
      <c r="C1541" s="13">
        <f>95.19*Hospital_Operations_Data[[#This Row],[Medication_Cost_USD]]</f>
        <v>289645.08389999997</v>
      </c>
    </row>
    <row r="1542" spans="1:3" x14ac:dyDescent="0.3">
      <c r="A1542" s="12">
        <f>95.19*Hospital_Operations_Data[[#This Row],[Treatment_Cost_USD]]</f>
        <v>692535.80700000003</v>
      </c>
      <c r="C1542" s="14">
        <f>95.19*Hospital_Operations_Data[[#This Row],[Medication_Cost_USD]]</f>
        <v>185666.1912</v>
      </c>
    </row>
    <row r="1543" spans="1:3" x14ac:dyDescent="0.3">
      <c r="A1543" s="11">
        <f>95.19*Hospital_Operations_Data[[#This Row],[Treatment_Cost_USD]]</f>
        <v>751894.3872</v>
      </c>
      <c r="C1543" s="13">
        <f>95.19*Hospital_Operations_Data[[#This Row],[Medication_Cost_USD]]</f>
        <v>161750.6556</v>
      </c>
    </row>
    <row r="1544" spans="1:3" x14ac:dyDescent="0.3">
      <c r="A1544" s="12">
        <f>95.19*Hospital_Operations_Data[[#This Row],[Treatment_Cost_USD]]</f>
        <v>1257851.1309</v>
      </c>
      <c r="C1544" s="14">
        <f>95.19*Hospital_Operations_Data[[#This Row],[Medication_Cost_USD]]</f>
        <v>347334.03149999998</v>
      </c>
    </row>
    <row r="1545" spans="1:3" x14ac:dyDescent="0.3">
      <c r="A1545" s="11">
        <f>95.19*Hospital_Operations_Data[[#This Row],[Treatment_Cost_USD]]</f>
        <v>850449.35369999998</v>
      </c>
      <c r="C1545" s="13">
        <f>95.19*Hospital_Operations_Data[[#This Row],[Medication_Cost_USD]]</f>
        <v>338452.80450000003</v>
      </c>
    </row>
    <row r="1546" spans="1:3" x14ac:dyDescent="0.3">
      <c r="A1546" s="12">
        <f>95.19*Hospital_Operations_Data[[#This Row],[Treatment_Cost_USD]]</f>
        <v>807076.03019999992</v>
      </c>
      <c r="C1546" s="14">
        <f>95.19*Hospital_Operations_Data[[#This Row],[Medication_Cost_USD]]</f>
        <v>201479.15399999998</v>
      </c>
    </row>
    <row r="1547" spans="1:3" x14ac:dyDescent="0.3">
      <c r="A1547" s="11">
        <f>95.19*Hospital_Operations_Data[[#This Row],[Treatment_Cost_USD]]</f>
        <v>463273.5477</v>
      </c>
      <c r="C1547" s="13">
        <f>95.19*Hospital_Operations_Data[[#This Row],[Medication_Cost_USD]]</f>
        <v>133102.2732</v>
      </c>
    </row>
    <row r="1548" spans="1:3" x14ac:dyDescent="0.3">
      <c r="A1548" s="12">
        <f>95.19*Hospital_Operations_Data[[#This Row],[Treatment_Cost_USD]]</f>
        <v>919645.82039999997</v>
      </c>
      <c r="C1548" s="14">
        <f>95.19*Hospital_Operations_Data[[#This Row],[Medication_Cost_USD]]</f>
        <v>176231.91029999999</v>
      </c>
    </row>
    <row r="1549" spans="1:3" x14ac:dyDescent="0.3">
      <c r="A1549" s="11">
        <f>95.19*Hospital_Operations_Data[[#This Row],[Treatment_Cost_USD]]</f>
        <v>376592.58179999999</v>
      </c>
      <c r="C1549" s="13">
        <f>95.19*Hospital_Operations_Data[[#This Row],[Medication_Cost_USD]]</f>
        <v>120284.9397</v>
      </c>
    </row>
    <row r="1550" spans="1:3" x14ac:dyDescent="0.3">
      <c r="A1550" s="12">
        <f>95.19*Hospital_Operations_Data[[#This Row],[Treatment_Cost_USD]]</f>
        <v>1112025.7623000001</v>
      </c>
      <c r="C1550" s="14">
        <f>95.19*Hospital_Operations_Data[[#This Row],[Medication_Cost_USD]]</f>
        <v>427200.34529999999</v>
      </c>
    </row>
    <row r="1551" spans="1:3" x14ac:dyDescent="0.3">
      <c r="A1551" s="11">
        <f>95.19*Hospital_Operations_Data[[#This Row],[Treatment_Cost_USD]]</f>
        <v>861587.53559999994</v>
      </c>
      <c r="C1551" s="13">
        <f>95.19*Hospital_Operations_Data[[#This Row],[Medication_Cost_USD]]</f>
        <v>257685.04139999999</v>
      </c>
    </row>
    <row r="1552" spans="1:3" x14ac:dyDescent="0.3">
      <c r="A1552" s="12">
        <f>95.19*Hospital_Operations_Data[[#This Row],[Treatment_Cost_USD]]</f>
        <v>1694793.2208</v>
      </c>
      <c r="C1552" s="14">
        <f>95.19*Hospital_Operations_Data[[#This Row],[Medication_Cost_USD]]</f>
        <v>658185.54359999998</v>
      </c>
    </row>
    <row r="1553" spans="1:3" x14ac:dyDescent="0.3">
      <c r="A1553" s="11">
        <f>95.19*Hospital_Operations_Data[[#This Row],[Treatment_Cost_USD]]</f>
        <v>695398.1703</v>
      </c>
      <c r="C1553" s="13">
        <f>95.19*Hospital_Operations_Data[[#This Row],[Medication_Cost_USD]]</f>
        <v>176009.16569999998</v>
      </c>
    </row>
    <row r="1554" spans="1:3" x14ac:dyDescent="0.3">
      <c r="A1554" s="12">
        <f>95.19*Hospital_Operations_Data[[#This Row],[Treatment_Cost_USD]]</f>
        <v>536303.31569999992</v>
      </c>
      <c r="C1554" s="14">
        <f>95.19*Hospital_Operations_Data[[#This Row],[Medication_Cost_USD]]</f>
        <v>212625.90299999999</v>
      </c>
    </row>
    <row r="1555" spans="1:3" x14ac:dyDescent="0.3">
      <c r="A1555" s="11">
        <f>95.19*Hospital_Operations_Data[[#This Row],[Treatment_Cost_USD]]</f>
        <v>250808.51580000002</v>
      </c>
      <c r="C1555" s="13">
        <f>95.19*Hospital_Operations_Data[[#This Row],[Medication_Cost_USD]]</f>
        <v>91656.547200000001</v>
      </c>
    </row>
    <row r="1556" spans="1:3" x14ac:dyDescent="0.3">
      <c r="A1556" s="12">
        <f>95.19*Hospital_Operations_Data[[#This Row],[Treatment_Cost_USD]]</f>
        <v>1438324.7076000001</v>
      </c>
      <c r="C1556" s="14">
        <f>95.19*Hospital_Operations_Data[[#This Row],[Medication_Cost_USD]]</f>
        <v>364807.1079</v>
      </c>
    </row>
    <row r="1557" spans="1:3" x14ac:dyDescent="0.3">
      <c r="A1557" s="11">
        <f>95.19*Hospital_Operations_Data[[#This Row],[Treatment_Cost_USD]]</f>
        <v>1111035.7863</v>
      </c>
      <c r="C1557" s="13">
        <f>95.19*Hospital_Operations_Data[[#This Row],[Medication_Cost_USD]]</f>
        <v>304786.9572</v>
      </c>
    </row>
    <row r="1558" spans="1:3" x14ac:dyDescent="0.3">
      <c r="A1558" s="12">
        <f>95.19*Hospital_Operations_Data[[#This Row],[Treatment_Cost_USD]]</f>
        <v>1075099.6575</v>
      </c>
      <c r="C1558" s="14">
        <f>95.19*Hospital_Operations_Data[[#This Row],[Medication_Cost_USD]]</f>
        <v>389416.57860000001</v>
      </c>
    </row>
    <row r="1559" spans="1:3" x14ac:dyDescent="0.3">
      <c r="A1559" s="11">
        <f>95.19*Hospital_Operations_Data[[#This Row],[Treatment_Cost_USD]]</f>
        <v>453761.21099999995</v>
      </c>
      <c r="C1559" s="13">
        <f>95.19*Hospital_Operations_Data[[#This Row],[Medication_Cost_USD]]</f>
        <v>103874.18369999999</v>
      </c>
    </row>
    <row r="1560" spans="1:3" x14ac:dyDescent="0.3">
      <c r="A1560" s="12">
        <f>95.19*Hospital_Operations_Data[[#This Row],[Treatment_Cost_USD]]</f>
        <v>879803.09400000004</v>
      </c>
      <c r="C1560" s="14">
        <f>95.19*Hospital_Operations_Data[[#This Row],[Medication_Cost_USD]]</f>
        <v>313332.16350000002</v>
      </c>
    </row>
    <row r="1561" spans="1:3" x14ac:dyDescent="0.3">
      <c r="A1561" s="11">
        <f>95.19*Hospital_Operations_Data[[#This Row],[Treatment_Cost_USD]]</f>
        <v>1155127.7943</v>
      </c>
      <c r="C1561" s="13">
        <f>95.19*Hospital_Operations_Data[[#This Row],[Medication_Cost_USD]]</f>
        <v>346246.96169999999</v>
      </c>
    </row>
    <row r="1562" spans="1:3" x14ac:dyDescent="0.3">
      <c r="A1562" s="12">
        <f>95.19*Hospital_Operations_Data[[#This Row],[Treatment_Cost_USD]]</f>
        <v>379796.67719999998</v>
      </c>
      <c r="C1562" s="14">
        <f>95.19*Hospital_Operations_Data[[#This Row],[Medication_Cost_USD]]</f>
        <v>61256.668799999999</v>
      </c>
    </row>
    <row r="1563" spans="1:3" x14ac:dyDescent="0.3">
      <c r="A1563" s="11">
        <f>95.19*Hospital_Operations_Data[[#This Row],[Treatment_Cost_USD]]</f>
        <v>717681.19739999995</v>
      </c>
      <c r="C1563" s="13">
        <f>95.19*Hospital_Operations_Data[[#This Row],[Medication_Cost_USD]]</f>
        <v>245523.56700000001</v>
      </c>
    </row>
    <row r="1564" spans="1:3" x14ac:dyDescent="0.3">
      <c r="A1564" s="12">
        <f>95.19*Hospital_Operations_Data[[#This Row],[Treatment_Cost_USD]]</f>
        <v>1792446.7380000001</v>
      </c>
      <c r="C1564" s="14">
        <f>95.19*Hospital_Operations_Data[[#This Row],[Medication_Cost_USD]]</f>
        <v>496194.05729999999</v>
      </c>
    </row>
    <row r="1565" spans="1:3" x14ac:dyDescent="0.3">
      <c r="A1565" s="11">
        <f>95.19*Hospital_Operations_Data[[#This Row],[Treatment_Cost_USD]]</f>
        <v>595752.32640000002</v>
      </c>
      <c r="C1565" s="13">
        <f>95.19*Hospital_Operations_Data[[#This Row],[Medication_Cost_USD]]</f>
        <v>160000.1115</v>
      </c>
    </row>
    <row r="1566" spans="1:3" x14ac:dyDescent="0.3">
      <c r="A1566" s="12">
        <f>95.19*Hospital_Operations_Data[[#This Row],[Treatment_Cost_USD]]</f>
        <v>926560.4219999999</v>
      </c>
      <c r="C1566" s="14">
        <f>95.19*Hospital_Operations_Data[[#This Row],[Medication_Cost_USD]]</f>
        <v>367686.6054</v>
      </c>
    </row>
    <row r="1567" spans="1:3" x14ac:dyDescent="0.3">
      <c r="A1567" s="11">
        <f>95.19*Hospital_Operations_Data[[#This Row],[Treatment_Cost_USD]]</f>
        <v>1580057.8581000001</v>
      </c>
      <c r="C1567" s="13">
        <f>95.19*Hospital_Operations_Data[[#This Row],[Medication_Cost_USD]]</f>
        <v>526397.8443</v>
      </c>
    </row>
    <row r="1568" spans="1:3" x14ac:dyDescent="0.3">
      <c r="A1568" s="12">
        <f>95.19*Hospital_Operations_Data[[#This Row],[Treatment_Cost_USD]]</f>
        <v>370802.1741</v>
      </c>
      <c r="C1568" s="14">
        <f>95.19*Hospital_Operations_Data[[#This Row],[Medication_Cost_USD]]</f>
        <v>99285.073799999998</v>
      </c>
    </row>
    <row r="1569" spans="1:3" x14ac:dyDescent="0.3">
      <c r="A1569" s="11">
        <f>95.19*Hospital_Operations_Data[[#This Row],[Treatment_Cost_USD]]</f>
        <v>1053699.0416999999</v>
      </c>
      <c r="C1569" s="13">
        <f>95.19*Hospital_Operations_Data[[#This Row],[Medication_Cost_USD]]</f>
        <v>329668.67129999999</v>
      </c>
    </row>
    <row r="1570" spans="1:3" x14ac:dyDescent="0.3">
      <c r="A1570" s="12">
        <f>95.19*Hospital_Operations_Data[[#This Row],[Treatment_Cost_USD]]</f>
        <v>686603.56619999988</v>
      </c>
      <c r="C1570" s="14">
        <f>95.19*Hospital_Operations_Data[[#This Row],[Medication_Cost_USD]]</f>
        <v>175330.46100000001</v>
      </c>
    </row>
    <row r="1571" spans="1:3" x14ac:dyDescent="0.3">
      <c r="A1571" s="11">
        <f>95.19*Hospital_Operations_Data[[#This Row],[Treatment_Cost_USD]]</f>
        <v>910738.89209999994</v>
      </c>
      <c r="C1571" s="13">
        <f>95.19*Hospital_Operations_Data[[#This Row],[Medication_Cost_USD]]</f>
        <v>147360.78329999998</v>
      </c>
    </row>
    <row r="1572" spans="1:3" x14ac:dyDescent="0.3">
      <c r="A1572" s="12">
        <f>95.19*Hospital_Operations_Data[[#This Row],[Treatment_Cost_USD]]</f>
        <v>813694.59090000007</v>
      </c>
      <c r="C1572" s="14">
        <f>95.19*Hospital_Operations_Data[[#This Row],[Medication_Cost_USD]]</f>
        <v>183804.27480000001</v>
      </c>
    </row>
    <row r="1573" spans="1:3" x14ac:dyDescent="0.3">
      <c r="A1573" s="11">
        <f>95.19*Hospital_Operations_Data[[#This Row],[Treatment_Cost_USD]]</f>
        <v>284587.63919999998</v>
      </c>
      <c r="C1573" s="13">
        <f>95.19*Hospital_Operations_Data[[#This Row],[Medication_Cost_USD]]</f>
        <v>60220.049699999996</v>
      </c>
    </row>
    <row r="1574" spans="1:3" x14ac:dyDescent="0.3">
      <c r="A1574" s="12">
        <f>95.19*Hospital_Operations_Data[[#This Row],[Treatment_Cost_USD]]</f>
        <v>746212.49609999999</v>
      </c>
      <c r="C1574" s="14">
        <f>95.19*Hospital_Operations_Data[[#This Row],[Medication_Cost_USD]]</f>
        <v>194535.99540000001</v>
      </c>
    </row>
    <row r="1575" spans="1:3" x14ac:dyDescent="0.3">
      <c r="A1575" s="11">
        <f>95.19*Hospital_Operations_Data[[#This Row],[Treatment_Cost_USD]]</f>
        <v>1324708.7792999998</v>
      </c>
      <c r="C1575" s="13">
        <f>95.19*Hospital_Operations_Data[[#This Row],[Medication_Cost_USD]]</f>
        <v>529028.8959</v>
      </c>
    </row>
    <row r="1576" spans="1:3" x14ac:dyDescent="0.3">
      <c r="A1576" s="12">
        <f>95.19*Hospital_Operations_Data[[#This Row],[Treatment_Cost_USD]]</f>
        <v>652441.77899999998</v>
      </c>
      <c r="C1576" s="14">
        <f>95.19*Hospital_Operations_Data[[#This Row],[Medication_Cost_USD]]</f>
        <v>248828.5638</v>
      </c>
    </row>
    <row r="1577" spans="1:3" x14ac:dyDescent="0.3">
      <c r="A1577" s="11">
        <f>95.19*Hospital_Operations_Data[[#This Row],[Treatment_Cost_USD]]</f>
        <v>901490.2317</v>
      </c>
      <c r="C1577" s="13">
        <f>95.19*Hospital_Operations_Data[[#This Row],[Medication_Cost_USD]]</f>
        <v>142748.8278</v>
      </c>
    </row>
    <row r="1578" spans="1:3" x14ac:dyDescent="0.3">
      <c r="A1578" s="12">
        <f>95.19*Hospital_Operations_Data[[#This Row],[Treatment_Cost_USD]]</f>
        <v>557247.01950000005</v>
      </c>
      <c r="C1578" s="14">
        <f>95.19*Hospital_Operations_Data[[#This Row],[Medication_Cost_USD]]</f>
        <v>187323.4491</v>
      </c>
    </row>
    <row r="1579" spans="1:3" x14ac:dyDescent="0.3">
      <c r="A1579" s="11">
        <f>95.19*Hospital_Operations_Data[[#This Row],[Treatment_Cost_USD]]</f>
        <v>284573.36070000002</v>
      </c>
      <c r="C1579" s="13">
        <f>95.19*Hospital_Operations_Data[[#This Row],[Medication_Cost_USD]]</f>
        <v>79482.698099999994</v>
      </c>
    </row>
    <row r="1580" spans="1:3" x14ac:dyDescent="0.3">
      <c r="A1580" s="12">
        <f>95.19*Hospital_Operations_Data[[#This Row],[Treatment_Cost_USD]]</f>
        <v>690023.74289999995</v>
      </c>
      <c r="C1580" s="14">
        <f>95.19*Hospital_Operations_Data[[#This Row],[Medication_Cost_USD]]</f>
        <v>148907.6208</v>
      </c>
    </row>
    <row r="1581" spans="1:3" x14ac:dyDescent="0.3">
      <c r="A1581" s="11">
        <f>95.19*Hospital_Operations_Data[[#This Row],[Treatment_Cost_USD]]</f>
        <v>601216.23239999998</v>
      </c>
      <c r="C1581" s="13">
        <f>95.19*Hospital_Operations_Data[[#This Row],[Medication_Cost_USD]]</f>
        <v>159169.10279999999</v>
      </c>
    </row>
    <row r="1582" spans="1:3" x14ac:dyDescent="0.3">
      <c r="A1582" s="12">
        <f>95.19*Hospital_Operations_Data[[#This Row],[Treatment_Cost_USD]]</f>
        <v>736881.02039999992</v>
      </c>
      <c r="C1582" s="14">
        <f>95.19*Hospital_Operations_Data[[#This Row],[Medication_Cost_USD]]</f>
        <v>239489.47289999999</v>
      </c>
    </row>
    <row r="1583" spans="1:3" x14ac:dyDescent="0.3">
      <c r="A1583" s="11">
        <f>95.19*Hospital_Operations_Data[[#This Row],[Treatment_Cost_USD]]</f>
        <v>371625.56760000001</v>
      </c>
      <c r="C1583" s="13">
        <f>95.19*Hospital_Operations_Data[[#This Row],[Medication_Cost_USD]]</f>
        <v>66492.118799999997</v>
      </c>
    </row>
    <row r="1584" spans="1:3" x14ac:dyDescent="0.3">
      <c r="A1584" s="12">
        <f>95.19*Hospital_Operations_Data[[#This Row],[Treatment_Cost_USD]]</f>
        <v>461932.32059999998</v>
      </c>
      <c r="C1584" s="14">
        <f>95.19*Hospital_Operations_Data[[#This Row],[Medication_Cost_USD]]</f>
        <v>108958.2816</v>
      </c>
    </row>
    <row r="1585" spans="1:3" x14ac:dyDescent="0.3">
      <c r="A1585" s="11">
        <f>95.19*Hospital_Operations_Data[[#This Row],[Treatment_Cost_USD]]</f>
        <v>1335746.0597999999</v>
      </c>
      <c r="C1585" s="13">
        <f>95.19*Hospital_Operations_Data[[#This Row],[Medication_Cost_USD]]</f>
        <v>204219.67409999997</v>
      </c>
    </row>
    <row r="1586" spans="1:3" x14ac:dyDescent="0.3">
      <c r="A1586" s="12">
        <f>95.19*Hospital_Operations_Data[[#This Row],[Treatment_Cost_USD]]</f>
        <v>372898.25789999997</v>
      </c>
      <c r="C1586" s="14">
        <f>95.19*Hospital_Operations_Data[[#This Row],[Medication_Cost_USD]]</f>
        <v>117493.96889999999</v>
      </c>
    </row>
    <row r="1587" spans="1:3" x14ac:dyDescent="0.3">
      <c r="A1587" s="11">
        <f>95.19*Hospital_Operations_Data[[#This Row],[Treatment_Cost_USD]]</f>
        <v>452711.26529999997</v>
      </c>
      <c r="C1587" s="13">
        <f>95.19*Hospital_Operations_Data[[#This Row],[Medication_Cost_USD]]</f>
        <v>78664.064100000003</v>
      </c>
    </row>
    <row r="1588" spans="1:3" x14ac:dyDescent="0.3">
      <c r="A1588" s="12">
        <f>95.19*Hospital_Operations_Data[[#This Row],[Treatment_Cost_USD]]</f>
        <v>522549.3126</v>
      </c>
      <c r="C1588" s="14">
        <f>95.19*Hospital_Operations_Data[[#This Row],[Medication_Cost_USD]]</f>
        <v>79408.449900000007</v>
      </c>
    </row>
    <row r="1589" spans="1:3" x14ac:dyDescent="0.3">
      <c r="A1589" s="11">
        <f>95.19*Hospital_Operations_Data[[#This Row],[Treatment_Cost_USD]]</f>
        <v>1381531.4978999998</v>
      </c>
      <c r="C1589" s="13">
        <f>95.19*Hospital_Operations_Data[[#This Row],[Medication_Cost_USD]]</f>
        <v>387949.70069999999</v>
      </c>
    </row>
    <row r="1590" spans="1:3" x14ac:dyDescent="0.3">
      <c r="A1590" s="12">
        <f>95.19*Hospital_Operations_Data[[#This Row],[Treatment_Cost_USD]]</f>
        <v>483767.9547</v>
      </c>
      <c r="C1590" s="14">
        <f>95.19*Hospital_Operations_Data[[#This Row],[Medication_Cost_USD]]</f>
        <v>141637.96049999999</v>
      </c>
    </row>
    <row r="1591" spans="1:3" x14ac:dyDescent="0.3">
      <c r="A1591" s="11">
        <f>95.19*Hospital_Operations_Data[[#This Row],[Treatment_Cost_USD]]</f>
        <v>1260310.8404999999</v>
      </c>
      <c r="C1591" s="13">
        <f>95.19*Hospital_Operations_Data[[#This Row],[Medication_Cost_USD]]</f>
        <v>484272.46170000004</v>
      </c>
    </row>
    <row r="1592" spans="1:3" x14ac:dyDescent="0.3">
      <c r="A1592" s="12">
        <f>95.19*Hospital_Operations_Data[[#This Row],[Treatment_Cost_USD]]</f>
        <v>923043.15150000004</v>
      </c>
      <c r="C1592" s="14">
        <f>95.19*Hospital_Operations_Data[[#This Row],[Medication_Cost_USD]]</f>
        <v>302391.97679999995</v>
      </c>
    </row>
    <row r="1593" spans="1:3" x14ac:dyDescent="0.3">
      <c r="A1593" s="11">
        <f>95.19*Hospital_Operations_Data[[#This Row],[Treatment_Cost_USD]]</f>
        <v>492913.80989999999</v>
      </c>
      <c r="C1593" s="13">
        <f>95.19*Hospital_Operations_Data[[#This Row],[Medication_Cost_USD]]</f>
        <v>96083.834099999993</v>
      </c>
    </row>
    <row r="1594" spans="1:3" x14ac:dyDescent="0.3">
      <c r="A1594" s="12">
        <f>95.19*Hospital_Operations_Data[[#This Row],[Treatment_Cost_USD]]</f>
        <v>1497615.7028999999</v>
      </c>
      <c r="C1594" s="14">
        <f>95.19*Hospital_Operations_Data[[#This Row],[Medication_Cost_USD]]</f>
        <v>455199.5319</v>
      </c>
    </row>
    <row r="1595" spans="1:3" x14ac:dyDescent="0.3">
      <c r="A1595" s="11">
        <f>95.19*Hospital_Operations_Data[[#This Row],[Treatment_Cost_USD]]</f>
        <v>675482.51850000001</v>
      </c>
      <c r="C1595" s="13">
        <f>95.19*Hospital_Operations_Data[[#This Row],[Medication_Cost_USD]]</f>
        <v>222356.2248</v>
      </c>
    </row>
    <row r="1596" spans="1:3" x14ac:dyDescent="0.3">
      <c r="A1596" s="12">
        <f>95.19*Hospital_Operations_Data[[#This Row],[Treatment_Cost_USD]]</f>
        <v>921751.42320000008</v>
      </c>
      <c r="C1596" s="14">
        <f>95.19*Hospital_Operations_Data[[#This Row],[Medication_Cost_USD]]</f>
        <v>302120.68529999995</v>
      </c>
    </row>
    <row r="1597" spans="1:3" x14ac:dyDescent="0.3">
      <c r="A1597" s="11">
        <f>95.19*Hospital_Operations_Data[[#This Row],[Treatment_Cost_USD]]</f>
        <v>321236.74109999998</v>
      </c>
      <c r="C1597" s="13">
        <f>95.19*Hospital_Operations_Data[[#This Row],[Medication_Cost_USD]]</f>
        <v>71493.401399999988</v>
      </c>
    </row>
    <row r="1598" spans="1:3" x14ac:dyDescent="0.3">
      <c r="A1598" s="12">
        <f>95.19*Hospital_Operations_Data[[#This Row],[Treatment_Cost_USD]]</f>
        <v>832755.43650000007</v>
      </c>
      <c r="C1598" s="14">
        <f>95.19*Hospital_Operations_Data[[#This Row],[Medication_Cost_USD]]</f>
        <v>319762.24799999996</v>
      </c>
    </row>
    <row r="1599" spans="1:3" x14ac:dyDescent="0.3">
      <c r="A1599" s="11">
        <f>95.19*Hospital_Operations_Data[[#This Row],[Treatment_Cost_USD]]</f>
        <v>969284.54969999986</v>
      </c>
      <c r="C1599" s="13">
        <f>95.19*Hospital_Operations_Data[[#This Row],[Medication_Cost_USD]]</f>
        <v>385398.60869999998</v>
      </c>
    </row>
    <row r="1600" spans="1:3" x14ac:dyDescent="0.3">
      <c r="A1600" s="12">
        <f>95.19*Hospital_Operations_Data[[#This Row],[Treatment_Cost_USD]]</f>
        <v>803097.0882</v>
      </c>
      <c r="C1600" s="14">
        <f>95.19*Hospital_Operations_Data[[#This Row],[Medication_Cost_USD]]</f>
        <v>259810.6341</v>
      </c>
    </row>
    <row r="1601" spans="1:3" x14ac:dyDescent="0.3">
      <c r="A1601" s="11">
        <f>95.19*Hospital_Operations_Data[[#This Row],[Treatment_Cost_USD]]</f>
        <v>391861.05779999995</v>
      </c>
      <c r="C1601" s="13">
        <f>95.19*Hospital_Operations_Data[[#This Row],[Medication_Cost_USD]]</f>
        <v>81827.227799999993</v>
      </c>
    </row>
    <row r="1602" spans="1:3" x14ac:dyDescent="0.3">
      <c r="A1602" s="12">
        <f>95.19*Hospital_Operations_Data[[#This Row],[Treatment_Cost_USD]]</f>
        <v>1054784.2076999999</v>
      </c>
      <c r="C1602" s="14">
        <f>95.19*Hospital_Operations_Data[[#This Row],[Medication_Cost_USD]]</f>
        <v>339537.01860000001</v>
      </c>
    </row>
    <row r="1603" spans="1:3" x14ac:dyDescent="0.3">
      <c r="A1603" s="11">
        <f>95.19*Hospital_Operations_Data[[#This Row],[Treatment_Cost_USD]]</f>
        <v>862622.25089999998</v>
      </c>
      <c r="C1603" s="13">
        <f>95.19*Hospital_Operations_Data[[#This Row],[Medication_Cost_USD]]</f>
        <v>265348.78830000001</v>
      </c>
    </row>
    <row r="1604" spans="1:3" x14ac:dyDescent="0.3">
      <c r="A1604" s="12">
        <f>95.19*Hospital_Operations_Data[[#This Row],[Treatment_Cost_USD]]</f>
        <v>629104.99859999993</v>
      </c>
      <c r="C1604" s="14">
        <f>95.19*Hospital_Operations_Data[[#This Row],[Medication_Cost_USD]]</f>
        <v>192423.72930000001</v>
      </c>
    </row>
    <row r="1605" spans="1:3" x14ac:dyDescent="0.3">
      <c r="A1605" s="11">
        <f>95.19*Hospital_Operations_Data[[#This Row],[Treatment_Cost_USD]]</f>
        <v>1342159.9619999998</v>
      </c>
      <c r="C1605" s="13">
        <f>95.19*Hospital_Operations_Data[[#This Row],[Medication_Cost_USD]]</f>
        <v>480421.07430000004</v>
      </c>
    </row>
    <row r="1606" spans="1:3" x14ac:dyDescent="0.3">
      <c r="A1606" s="12">
        <f>95.19*Hospital_Operations_Data[[#This Row],[Treatment_Cost_USD]]</f>
        <v>1104377.2457999999</v>
      </c>
      <c r="C1606" s="14">
        <f>95.19*Hospital_Operations_Data[[#This Row],[Medication_Cost_USD]]</f>
        <v>273972.05040000001</v>
      </c>
    </row>
    <row r="1607" spans="1:3" x14ac:dyDescent="0.3">
      <c r="A1607" s="11">
        <f>95.19*Hospital_Operations_Data[[#This Row],[Treatment_Cost_USD]]</f>
        <v>131952.378</v>
      </c>
      <c r="C1607" s="13">
        <f>95.19*Hospital_Operations_Data[[#This Row],[Medication_Cost_USD]]</f>
        <v>23042.6433</v>
      </c>
    </row>
    <row r="1608" spans="1:3" x14ac:dyDescent="0.3">
      <c r="A1608" s="12">
        <f>95.19*Hospital_Operations_Data[[#This Row],[Treatment_Cost_USD]]</f>
        <v>1253812.2191999999</v>
      </c>
      <c r="C1608" s="14">
        <f>95.19*Hospital_Operations_Data[[#This Row],[Medication_Cost_USD]]</f>
        <v>327535.46340000001</v>
      </c>
    </row>
    <row r="1609" spans="1:3" x14ac:dyDescent="0.3">
      <c r="A1609" s="11">
        <f>95.19*Hospital_Operations_Data[[#This Row],[Treatment_Cost_USD]]</f>
        <v>1053642.8796000001</v>
      </c>
      <c r="C1609" s="13">
        <f>95.19*Hospital_Operations_Data[[#This Row],[Medication_Cost_USD]]</f>
        <v>273688.38419999997</v>
      </c>
    </row>
    <row r="1610" spans="1:3" x14ac:dyDescent="0.3">
      <c r="A1610" s="12">
        <f>95.19*Hospital_Operations_Data[[#This Row],[Treatment_Cost_USD]]</f>
        <v>475010.47470000002</v>
      </c>
      <c r="C1610" s="14">
        <f>95.19*Hospital_Operations_Data[[#This Row],[Medication_Cost_USD]]</f>
        <v>160598.8566</v>
      </c>
    </row>
    <row r="1611" spans="1:3" x14ac:dyDescent="0.3">
      <c r="A1611" s="11">
        <f>95.19*Hospital_Operations_Data[[#This Row],[Treatment_Cost_USD]]</f>
        <v>674709.57569999993</v>
      </c>
      <c r="C1611" s="13">
        <f>95.19*Hospital_Operations_Data[[#This Row],[Medication_Cost_USD]]</f>
        <v>130927.1817</v>
      </c>
    </row>
    <row r="1612" spans="1:3" x14ac:dyDescent="0.3">
      <c r="A1612" s="12">
        <f>95.19*Hospital_Operations_Data[[#This Row],[Treatment_Cost_USD]]</f>
        <v>253455.74970000001</v>
      </c>
      <c r="C1612" s="14">
        <f>95.19*Hospital_Operations_Data[[#This Row],[Medication_Cost_USD]]</f>
        <v>41647.5288</v>
      </c>
    </row>
    <row r="1613" spans="1:3" x14ac:dyDescent="0.3">
      <c r="A1613" s="11">
        <f>95.19*Hospital_Operations_Data[[#This Row],[Treatment_Cost_USD]]</f>
        <v>2252183.0252999999</v>
      </c>
      <c r="C1613" s="13">
        <f>95.19*Hospital_Operations_Data[[#This Row],[Medication_Cost_USD]]</f>
        <v>511696.70069999999</v>
      </c>
    </row>
    <row r="1614" spans="1:3" x14ac:dyDescent="0.3">
      <c r="A1614" s="12">
        <f>95.19*Hospital_Operations_Data[[#This Row],[Treatment_Cost_USD]]</f>
        <v>250861.8222</v>
      </c>
      <c r="C1614" s="14">
        <f>95.19*Hospital_Operations_Data[[#This Row],[Medication_Cost_USD]]</f>
        <v>94513.199099999998</v>
      </c>
    </row>
    <row r="1615" spans="1:3" x14ac:dyDescent="0.3">
      <c r="A1615" s="11">
        <f>95.19*Hospital_Operations_Data[[#This Row],[Treatment_Cost_USD]]</f>
        <v>527415.42539999995</v>
      </c>
      <c r="C1615" s="13">
        <f>95.19*Hospital_Operations_Data[[#This Row],[Medication_Cost_USD]]</f>
        <v>178796.32889999999</v>
      </c>
    </row>
    <row r="1616" spans="1:3" x14ac:dyDescent="0.3">
      <c r="A1616" s="12">
        <f>95.19*Hospital_Operations_Data[[#This Row],[Treatment_Cost_USD]]</f>
        <v>726595.74089999998</v>
      </c>
      <c r="C1616" s="14">
        <f>95.19*Hospital_Operations_Data[[#This Row],[Medication_Cost_USD]]</f>
        <v>135995.09729999999</v>
      </c>
    </row>
    <row r="1617" spans="1:3" x14ac:dyDescent="0.3">
      <c r="A1617" s="11">
        <f>95.19*Hospital_Operations_Data[[#This Row],[Treatment_Cost_USD]]</f>
        <v>103583.8542</v>
      </c>
      <c r="C1617" s="13">
        <f>95.19*Hospital_Operations_Data[[#This Row],[Medication_Cost_USD]]</f>
        <v>18746.7186</v>
      </c>
    </row>
    <row r="1618" spans="1:3" x14ac:dyDescent="0.3">
      <c r="A1618" s="12">
        <f>95.19*Hospital_Operations_Data[[#This Row],[Treatment_Cost_USD]]</f>
        <v>1010727.4199999999</v>
      </c>
      <c r="C1618" s="14">
        <f>95.19*Hospital_Operations_Data[[#This Row],[Medication_Cost_USD]]</f>
        <v>328871.93099999998</v>
      </c>
    </row>
    <row r="1619" spans="1:3" x14ac:dyDescent="0.3">
      <c r="A1619" s="11">
        <f>95.19*Hospital_Operations_Data[[#This Row],[Treatment_Cost_USD]]</f>
        <v>918075.18539999996</v>
      </c>
      <c r="C1619" s="13">
        <f>95.19*Hospital_Operations_Data[[#This Row],[Medication_Cost_USD]]</f>
        <v>341603.59350000002</v>
      </c>
    </row>
    <row r="1620" spans="1:3" x14ac:dyDescent="0.3">
      <c r="A1620" s="12">
        <f>95.19*Hospital_Operations_Data[[#This Row],[Treatment_Cost_USD]]</f>
        <v>373778.76539999997</v>
      </c>
      <c r="C1620" s="14">
        <f>95.19*Hospital_Operations_Data[[#This Row],[Medication_Cost_USD]]</f>
        <v>97154.72159999999</v>
      </c>
    </row>
    <row r="1621" spans="1:3" x14ac:dyDescent="0.3">
      <c r="A1621" s="11">
        <f>95.19*Hospital_Operations_Data[[#This Row],[Treatment_Cost_USD]]</f>
        <v>326346.54029999999</v>
      </c>
      <c r="C1621" s="13">
        <f>95.19*Hospital_Operations_Data[[#This Row],[Medication_Cost_USD]]</f>
        <v>99563.028600000005</v>
      </c>
    </row>
    <row r="1622" spans="1:3" x14ac:dyDescent="0.3">
      <c r="A1622" s="12">
        <f>95.19*Hospital_Operations_Data[[#This Row],[Treatment_Cost_USD]]</f>
        <v>1004659.0575</v>
      </c>
      <c r="C1622" s="14">
        <f>95.19*Hospital_Operations_Data[[#This Row],[Medication_Cost_USD]]</f>
        <v>361535.4276</v>
      </c>
    </row>
    <row r="1623" spans="1:3" x14ac:dyDescent="0.3">
      <c r="A1623" s="11">
        <f>95.19*Hospital_Operations_Data[[#This Row],[Treatment_Cost_USD]]</f>
        <v>669264.70770000003</v>
      </c>
      <c r="C1623" s="13">
        <f>95.19*Hospital_Operations_Data[[#This Row],[Medication_Cost_USD]]</f>
        <v>135594.3474</v>
      </c>
    </row>
    <row r="1624" spans="1:3" x14ac:dyDescent="0.3">
      <c r="A1624" s="12">
        <f>95.19*Hospital_Operations_Data[[#This Row],[Treatment_Cost_USD]]</f>
        <v>500385.27299999999</v>
      </c>
      <c r="C1624" s="14">
        <f>95.19*Hospital_Operations_Data[[#This Row],[Medication_Cost_USD]]</f>
        <v>182206.9866</v>
      </c>
    </row>
    <row r="1625" spans="1:3" x14ac:dyDescent="0.3">
      <c r="A1625" s="11">
        <f>95.19*Hospital_Operations_Data[[#This Row],[Treatment_Cost_USD]]</f>
        <v>1018810.9547999999</v>
      </c>
      <c r="C1625" s="13">
        <f>95.19*Hospital_Operations_Data[[#This Row],[Medication_Cost_USD]]</f>
        <v>339430.40580000001</v>
      </c>
    </row>
    <row r="1626" spans="1:3" x14ac:dyDescent="0.3">
      <c r="A1626" s="12">
        <f>95.19*Hospital_Operations_Data[[#This Row],[Treatment_Cost_USD]]</f>
        <v>583630.83180000004</v>
      </c>
      <c r="C1626" s="14">
        <f>95.19*Hospital_Operations_Data[[#This Row],[Medication_Cost_USD]]</f>
        <v>109658.88</v>
      </c>
    </row>
    <row r="1627" spans="1:3" x14ac:dyDescent="0.3">
      <c r="A1627" s="11">
        <f>95.19*Hospital_Operations_Data[[#This Row],[Treatment_Cost_USD]]</f>
        <v>664192.03260000004</v>
      </c>
      <c r="C1627" s="13">
        <f>95.19*Hospital_Operations_Data[[#This Row],[Medication_Cost_USD]]</f>
        <v>245574.0177</v>
      </c>
    </row>
    <row r="1628" spans="1:3" x14ac:dyDescent="0.3">
      <c r="A1628" s="12">
        <f>95.19*Hospital_Operations_Data[[#This Row],[Treatment_Cost_USD]]</f>
        <v>436647.95279999997</v>
      </c>
      <c r="C1628" s="14">
        <f>95.19*Hospital_Operations_Data[[#This Row],[Medication_Cost_USD]]</f>
        <v>120033.6381</v>
      </c>
    </row>
    <row r="1629" spans="1:3" x14ac:dyDescent="0.3">
      <c r="A1629" s="11">
        <f>95.19*Hospital_Operations_Data[[#This Row],[Treatment_Cost_USD]]</f>
        <v>556327.4841</v>
      </c>
      <c r="C1629" s="13">
        <f>95.19*Hospital_Operations_Data[[#This Row],[Medication_Cost_USD]]</f>
        <v>206253.88440000001</v>
      </c>
    </row>
    <row r="1630" spans="1:3" x14ac:dyDescent="0.3">
      <c r="A1630" s="12">
        <f>95.19*Hospital_Operations_Data[[#This Row],[Treatment_Cost_USD]]</f>
        <v>325182.36660000001</v>
      </c>
      <c r="C1630" s="14">
        <f>95.19*Hospital_Operations_Data[[#This Row],[Medication_Cost_USD]]</f>
        <v>51546.336899999995</v>
      </c>
    </row>
    <row r="1631" spans="1:3" x14ac:dyDescent="0.3">
      <c r="A1631" s="11">
        <f>95.19*Hospital_Operations_Data[[#This Row],[Treatment_Cost_USD]]</f>
        <v>160893.94560000001</v>
      </c>
      <c r="C1631" s="13">
        <f>95.19*Hospital_Operations_Data[[#This Row],[Medication_Cost_USD]]</f>
        <v>58900.7163</v>
      </c>
    </row>
    <row r="1632" spans="1:3" x14ac:dyDescent="0.3">
      <c r="A1632" s="12">
        <f>95.19*Hospital_Operations_Data[[#This Row],[Treatment_Cost_USD]]</f>
        <v>347445.40379999997</v>
      </c>
      <c r="C1632" s="14">
        <f>95.19*Hospital_Operations_Data[[#This Row],[Medication_Cost_USD]]</f>
        <v>77803.546499999997</v>
      </c>
    </row>
    <row r="1633" spans="1:3" x14ac:dyDescent="0.3">
      <c r="A1633" s="11">
        <f>95.19*Hospital_Operations_Data[[#This Row],[Treatment_Cost_USD]]</f>
        <v>908573.31960000005</v>
      </c>
      <c r="C1633" s="13">
        <f>95.19*Hospital_Operations_Data[[#This Row],[Medication_Cost_USD]]</f>
        <v>284429.6238</v>
      </c>
    </row>
    <row r="1634" spans="1:3" x14ac:dyDescent="0.3">
      <c r="A1634" s="12">
        <f>95.19*Hospital_Operations_Data[[#This Row],[Treatment_Cost_USD]]</f>
        <v>500416.68569999997</v>
      </c>
      <c r="C1634" s="14">
        <f>95.19*Hospital_Operations_Data[[#This Row],[Medication_Cost_USD]]</f>
        <v>142845.9216</v>
      </c>
    </row>
    <row r="1635" spans="1:3" x14ac:dyDescent="0.3">
      <c r="A1635" s="11">
        <f>95.19*Hospital_Operations_Data[[#This Row],[Treatment_Cost_USD]]</f>
        <v>513281.61420000001</v>
      </c>
      <c r="C1635" s="13">
        <f>95.19*Hospital_Operations_Data[[#This Row],[Medication_Cost_USD]]</f>
        <v>130858.6449</v>
      </c>
    </row>
    <row r="1636" spans="1:3" x14ac:dyDescent="0.3">
      <c r="A1636" s="12">
        <f>95.19*Hospital_Operations_Data[[#This Row],[Treatment_Cost_USD]]</f>
        <v>632847.86939999997</v>
      </c>
      <c r="C1636" s="14">
        <f>95.19*Hospital_Operations_Data[[#This Row],[Medication_Cost_USD]]</f>
        <v>238241.53200000001</v>
      </c>
    </row>
    <row r="1637" spans="1:3" x14ac:dyDescent="0.3">
      <c r="A1637" s="11">
        <f>95.19*Hospital_Operations_Data[[#This Row],[Treatment_Cost_USD]]</f>
        <v>841089.321</v>
      </c>
      <c r="C1637" s="13">
        <f>95.19*Hospital_Operations_Data[[#This Row],[Medication_Cost_USD]]</f>
        <v>290715.97139999998</v>
      </c>
    </row>
    <row r="1638" spans="1:3" x14ac:dyDescent="0.3">
      <c r="A1638" s="12">
        <f>95.19*Hospital_Operations_Data[[#This Row],[Treatment_Cost_USD]]</f>
        <v>552359.96490000002</v>
      </c>
      <c r="C1638" s="14">
        <f>95.19*Hospital_Operations_Data[[#This Row],[Medication_Cost_USD]]</f>
        <v>114406.9572</v>
      </c>
    </row>
    <row r="1639" spans="1:3" x14ac:dyDescent="0.3">
      <c r="A1639" s="11">
        <f>95.19*Hospital_Operations_Data[[#This Row],[Treatment_Cost_USD]]</f>
        <v>1532406.696</v>
      </c>
      <c r="C1639" s="13">
        <f>95.19*Hospital_Operations_Data[[#This Row],[Medication_Cost_USD]]</f>
        <v>488989.12619999994</v>
      </c>
    </row>
    <row r="1640" spans="1:3" x14ac:dyDescent="0.3">
      <c r="A1640" s="12">
        <f>95.19*Hospital_Operations_Data[[#This Row],[Treatment_Cost_USD]]</f>
        <v>872985.5861999999</v>
      </c>
      <c r="C1640" s="14">
        <f>95.19*Hospital_Operations_Data[[#This Row],[Medication_Cost_USD]]</f>
        <v>183016.10159999999</v>
      </c>
    </row>
    <row r="1641" spans="1:3" x14ac:dyDescent="0.3">
      <c r="A1641" s="11">
        <f>95.19*Hospital_Operations_Data[[#This Row],[Treatment_Cost_USD]]</f>
        <v>261720.14549999998</v>
      </c>
      <c r="C1641" s="13">
        <f>95.19*Hospital_Operations_Data[[#This Row],[Medication_Cost_USD]]</f>
        <v>47730.169800000003</v>
      </c>
    </row>
    <row r="1642" spans="1:3" x14ac:dyDescent="0.3">
      <c r="A1642" s="12">
        <f>95.19*Hospital_Operations_Data[[#This Row],[Treatment_Cost_USD]]</f>
        <v>225227.15519999998</v>
      </c>
      <c r="C1642" s="14">
        <f>95.19*Hospital_Operations_Data[[#This Row],[Medication_Cost_USD]]</f>
        <v>42792.664499999999</v>
      </c>
    </row>
    <row r="1643" spans="1:3" x14ac:dyDescent="0.3">
      <c r="A1643" s="11">
        <f>95.19*Hospital_Operations_Data[[#This Row],[Treatment_Cost_USD]]</f>
        <v>592743.37049999996</v>
      </c>
      <c r="C1643" s="13">
        <f>95.19*Hospital_Operations_Data[[#This Row],[Medication_Cost_USD]]</f>
        <v>101617.2288</v>
      </c>
    </row>
    <row r="1644" spans="1:3" x14ac:dyDescent="0.3">
      <c r="A1644" s="12">
        <f>95.19*Hospital_Operations_Data[[#This Row],[Treatment_Cost_USD]]</f>
        <v>712026.91139999998</v>
      </c>
      <c r="C1644" s="14">
        <f>95.19*Hospital_Operations_Data[[#This Row],[Medication_Cost_USD]]</f>
        <v>200828.05440000002</v>
      </c>
    </row>
    <row r="1645" spans="1:3" x14ac:dyDescent="0.3">
      <c r="A1645" s="11">
        <f>95.19*Hospital_Operations_Data[[#This Row],[Treatment_Cost_USD]]</f>
        <v>423477.4644</v>
      </c>
      <c r="C1645" s="13">
        <f>95.19*Hospital_Operations_Data[[#This Row],[Medication_Cost_USD]]</f>
        <v>87043.63979999999</v>
      </c>
    </row>
    <row r="1646" spans="1:3" x14ac:dyDescent="0.3">
      <c r="A1646" s="12">
        <f>95.19*Hospital_Operations_Data[[#This Row],[Treatment_Cost_USD]]</f>
        <v>2325275.6187</v>
      </c>
      <c r="C1646" s="14">
        <f>95.19*Hospital_Operations_Data[[#This Row],[Medication_Cost_USD]]</f>
        <v>624215.08829999994</v>
      </c>
    </row>
    <row r="1647" spans="1:3" x14ac:dyDescent="0.3">
      <c r="A1647" s="11">
        <f>95.19*Hospital_Operations_Data[[#This Row],[Treatment_Cost_USD]]</f>
        <v>495256.43579999998</v>
      </c>
      <c r="C1647" s="13">
        <f>95.19*Hospital_Operations_Data[[#This Row],[Medication_Cost_USD]]</f>
        <v>126568.43160000001</v>
      </c>
    </row>
    <row r="1648" spans="1:3" x14ac:dyDescent="0.3">
      <c r="A1648" s="12">
        <f>95.19*Hospital_Operations_Data[[#This Row],[Treatment_Cost_USD]]</f>
        <v>237260.12309999997</v>
      </c>
      <c r="C1648" s="14">
        <f>95.19*Hospital_Operations_Data[[#This Row],[Medication_Cost_USD]]</f>
        <v>79943.417700000005</v>
      </c>
    </row>
    <row r="1649" spans="1:3" x14ac:dyDescent="0.3">
      <c r="A1649" s="11">
        <f>95.19*Hospital_Operations_Data[[#This Row],[Treatment_Cost_USD]]</f>
        <v>307957.73609999998</v>
      </c>
      <c r="C1649" s="13">
        <f>95.19*Hospital_Operations_Data[[#This Row],[Medication_Cost_USD]]</f>
        <v>118225.98</v>
      </c>
    </row>
    <row r="1650" spans="1:3" x14ac:dyDescent="0.3">
      <c r="A1650" s="12">
        <f>95.19*Hospital_Operations_Data[[#This Row],[Treatment_Cost_USD]]</f>
        <v>275509.3689</v>
      </c>
      <c r="C1650" s="14">
        <f>95.19*Hospital_Operations_Data[[#This Row],[Medication_Cost_USD]]</f>
        <v>95035.792199999996</v>
      </c>
    </row>
    <row r="1651" spans="1:3" x14ac:dyDescent="0.3">
      <c r="A1651" s="11">
        <f>95.19*Hospital_Operations_Data[[#This Row],[Treatment_Cost_USD]]</f>
        <v>442497.37829999998</v>
      </c>
      <c r="C1651" s="13">
        <f>95.19*Hospital_Operations_Data[[#This Row],[Medication_Cost_USD]]</f>
        <v>73977.86039999999</v>
      </c>
    </row>
    <row r="1652" spans="1:3" x14ac:dyDescent="0.3">
      <c r="A1652" s="12">
        <f>95.19*Hospital_Operations_Data[[#This Row],[Treatment_Cost_USD]]</f>
        <v>928573.69050000003</v>
      </c>
      <c r="C1652" s="14">
        <f>95.19*Hospital_Operations_Data[[#This Row],[Medication_Cost_USD]]</f>
        <v>149733.87</v>
      </c>
    </row>
    <row r="1653" spans="1:3" x14ac:dyDescent="0.3">
      <c r="A1653" s="11">
        <f>95.19*Hospital_Operations_Data[[#This Row],[Treatment_Cost_USD]]</f>
        <v>220234.43970000002</v>
      </c>
      <c r="C1653" s="13">
        <f>95.19*Hospital_Operations_Data[[#This Row],[Medication_Cost_USD]]</f>
        <v>42585.150300000001</v>
      </c>
    </row>
    <row r="1654" spans="1:3" x14ac:dyDescent="0.3">
      <c r="A1654" s="12">
        <f>95.19*Hospital_Operations_Data[[#This Row],[Treatment_Cost_USD]]</f>
        <v>304820.27370000002</v>
      </c>
      <c r="C1654" s="14">
        <f>95.19*Hospital_Operations_Data[[#This Row],[Medication_Cost_USD]]</f>
        <v>51834.762599999995</v>
      </c>
    </row>
    <row r="1655" spans="1:3" x14ac:dyDescent="0.3">
      <c r="A1655" s="11">
        <f>95.19*Hospital_Operations_Data[[#This Row],[Treatment_Cost_USD]]</f>
        <v>663757.01430000004</v>
      </c>
      <c r="C1655" s="13">
        <f>95.19*Hospital_Operations_Data[[#This Row],[Medication_Cost_USD]]</f>
        <v>115217.97600000001</v>
      </c>
    </row>
    <row r="1656" spans="1:3" x14ac:dyDescent="0.3">
      <c r="A1656" s="12">
        <f>95.19*Hospital_Operations_Data[[#This Row],[Treatment_Cost_USD]]</f>
        <v>1688277.4652999998</v>
      </c>
      <c r="C1656" s="14">
        <f>95.19*Hospital_Operations_Data[[#This Row],[Medication_Cost_USD]]</f>
        <v>499061.1801</v>
      </c>
    </row>
    <row r="1657" spans="1:3" x14ac:dyDescent="0.3">
      <c r="A1657" s="11">
        <f>95.19*Hospital_Operations_Data[[#This Row],[Treatment_Cost_USD]]</f>
        <v>1070566.7097</v>
      </c>
      <c r="C1657" s="13">
        <f>95.19*Hospital_Operations_Data[[#This Row],[Medication_Cost_USD]]</f>
        <v>185512.93529999998</v>
      </c>
    </row>
    <row r="1658" spans="1:3" x14ac:dyDescent="0.3">
      <c r="A1658" s="12">
        <f>95.19*Hospital_Operations_Data[[#This Row],[Treatment_Cost_USD]]</f>
        <v>365947.4841</v>
      </c>
      <c r="C1658" s="14">
        <f>95.19*Hospital_Operations_Data[[#This Row],[Medication_Cost_USD]]</f>
        <v>69900.872700000007</v>
      </c>
    </row>
    <row r="1659" spans="1:3" x14ac:dyDescent="0.3">
      <c r="A1659" s="11">
        <f>95.19*Hospital_Operations_Data[[#This Row],[Treatment_Cost_USD]]</f>
        <v>351888.87299999996</v>
      </c>
      <c r="C1659" s="13">
        <f>95.19*Hospital_Operations_Data[[#This Row],[Medication_Cost_USD]]</f>
        <v>97166.14439999999</v>
      </c>
    </row>
    <row r="1660" spans="1:3" x14ac:dyDescent="0.3">
      <c r="A1660" s="12">
        <f>95.19*Hospital_Operations_Data[[#This Row],[Treatment_Cost_USD]]</f>
        <v>276767.7807</v>
      </c>
      <c r="C1660" s="14">
        <f>95.19*Hospital_Operations_Data[[#This Row],[Medication_Cost_USD]]</f>
        <v>87449.1492</v>
      </c>
    </row>
    <row r="1661" spans="1:3" x14ac:dyDescent="0.3">
      <c r="A1661" s="11">
        <f>95.19*Hospital_Operations_Data[[#This Row],[Treatment_Cost_USD]]</f>
        <v>1508809.095</v>
      </c>
      <c r="C1661" s="13">
        <f>95.19*Hospital_Operations_Data[[#This Row],[Medication_Cost_USD]]</f>
        <v>329844.77279999998</v>
      </c>
    </row>
    <row r="1662" spans="1:3" x14ac:dyDescent="0.3">
      <c r="A1662" s="12">
        <f>95.19*Hospital_Operations_Data[[#This Row],[Treatment_Cost_USD]]</f>
        <v>585074.86410000001</v>
      </c>
      <c r="C1662" s="14">
        <f>95.19*Hospital_Operations_Data[[#This Row],[Medication_Cost_USD]]</f>
        <v>88406.760599999994</v>
      </c>
    </row>
    <row r="1663" spans="1:3" x14ac:dyDescent="0.3">
      <c r="A1663" s="11">
        <f>95.19*Hospital_Operations_Data[[#This Row],[Treatment_Cost_USD]]</f>
        <v>828906.90480000002</v>
      </c>
      <c r="C1663" s="13">
        <f>95.19*Hospital_Operations_Data[[#This Row],[Medication_Cost_USD]]</f>
        <v>141925.43429999999</v>
      </c>
    </row>
    <row r="1664" spans="1:3" x14ac:dyDescent="0.3">
      <c r="A1664" s="12">
        <f>95.19*Hospital_Operations_Data[[#This Row],[Treatment_Cost_USD]]</f>
        <v>1274467.4972999999</v>
      </c>
      <c r="C1664" s="14">
        <f>95.19*Hospital_Operations_Data[[#This Row],[Medication_Cost_USD]]</f>
        <v>421412.79329999996</v>
      </c>
    </row>
    <row r="1665" spans="1:3" x14ac:dyDescent="0.3">
      <c r="A1665" s="11">
        <f>95.19*Hospital_Operations_Data[[#This Row],[Treatment_Cost_USD]]</f>
        <v>392793.91979999997</v>
      </c>
      <c r="C1665" s="13">
        <f>95.19*Hospital_Operations_Data[[#This Row],[Medication_Cost_USD]]</f>
        <v>125043.48779999999</v>
      </c>
    </row>
    <row r="1666" spans="1:3" x14ac:dyDescent="0.3">
      <c r="A1666" s="12">
        <f>95.19*Hospital_Operations_Data[[#This Row],[Treatment_Cost_USD]]</f>
        <v>345569.20889999997</v>
      </c>
      <c r="C1666" s="14">
        <f>95.19*Hospital_Operations_Data[[#This Row],[Medication_Cost_USD]]</f>
        <v>76824.993300000002</v>
      </c>
    </row>
    <row r="1667" spans="1:3" x14ac:dyDescent="0.3">
      <c r="A1667" s="11">
        <f>95.19*Hospital_Operations_Data[[#This Row],[Treatment_Cost_USD]]</f>
        <v>1086608.1284999999</v>
      </c>
      <c r="C1667" s="13">
        <f>95.19*Hospital_Operations_Data[[#This Row],[Medication_Cost_USD]]</f>
        <v>247058.98169999997</v>
      </c>
    </row>
    <row r="1668" spans="1:3" x14ac:dyDescent="0.3">
      <c r="A1668" s="12">
        <f>95.19*Hospital_Operations_Data[[#This Row],[Treatment_Cost_USD]]</f>
        <v>124876.90529999998</v>
      </c>
      <c r="C1668" s="14">
        <f>95.19*Hospital_Operations_Data[[#This Row],[Medication_Cost_USD]]</f>
        <v>24213.480299999999</v>
      </c>
    </row>
    <row r="1669" spans="1:3" x14ac:dyDescent="0.3">
      <c r="A1669" s="11">
        <f>95.19*Hospital_Operations_Data[[#This Row],[Treatment_Cost_USD]]</f>
        <v>1419003.0414</v>
      </c>
      <c r="C1669" s="13">
        <f>95.19*Hospital_Operations_Data[[#This Row],[Medication_Cost_USD]]</f>
        <v>481548.12390000001</v>
      </c>
    </row>
    <row r="1670" spans="1:3" x14ac:dyDescent="0.3">
      <c r="A1670" s="12">
        <f>95.19*Hospital_Operations_Data[[#This Row],[Treatment_Cost_USD]]</f>
        <v>762059.72730000003</v>
      </c>
      <c r="C1670" s="14">
        <f>95.19*Hospital_Operations_Data[[#This Row],[Medication_Cost_USD]]</f>
        <v>276566.92979999998</v>
      </c>
    </row>
    <row r="1671" spans="1:3" x14ac:dyDescent="0.3">
      <c r="A1671" s="11">
        <f>95.19*Hospital_Operations_Data[[#This Row],[Treatment_Cost_USD]]</f>
        <v>698191.04489999998</v>
      </c>
      <c r="C1671" s="13">
        <f>95.19*Hospital_Operations_Data[[#This Row],[Medication_Cost_USD]]</f>
        <v>227643.07740000001</v>
      </c>
    </row>
    <row r="1672" spans="1:3" x14ac:dyDescent="0.3">
      <c r="A1672" s="12">
        <f>95.19*Hospital_Operations_Data[[#This Row],[Treatment_Cost_USD]]</f>
        <v>1074363.8388</v>
      </c>
      <c r="C1672" s="14">
        <f>95.19*Hospital_Operations_Data[[#This Row],[Medication_Cost_USD]]</f>
        <v>340967.7243</v>
      </c>
    </row>
    <row r="1673" spans="1:3" x14ac:dyDescent="0.3">
      <c r="A1673" s="11">
        <f>95.19*Hospital_Operations_Data[[#This Row],[Treatment_Cost_USD]]</f>
        <v>868387.90919999999</v>
      </c>
      <c r="C1673" s="13">
        <f>95.19*Hospital_Operations_Data[[#This Row],[Medication_Cost_USD]]</f>
        <v>174877.3566</v>
      </c>
    </row>
    <row r="1674" spans="1:3" x14ac:dyDescent="0.3">
      <c r="A1674" s="12">
        <f>95.19*Hospital_Operations_Data[[#This Row],[Treatment_Cost_USD]]</f>
        <v>471532.23210000002</v>
      </c>
      <c r="C1674" s="14">
        <f>95.19*Hospital_Operations_Data[[#This Row],[Medication_Cost_USD]]</f>
        <v>174040.63649999999</v>
      </c>
    </row>
    <row r="1675" spans="1:3" x14ac:dyDescent="0.3">
      <c r="A1675" s="11">
        <f>95.19*Hospital_Operations_Data[[#This Row],[Treatment_Cost_USD]]</f>
        <v>873861.33420000004</v>
      </c>
      <c r="C1675" s="13">
        <f>95.19*Hospital_Operations_Data[[#This Row],[Medication_Cost_USD]]</f>
        <v>234145.50629999998</v>
      </c>
    </row>
    <row r="1676" spans="1:3" x14ac:dyDescent="0.3">
      <c r="A1676" s="12">
        <f>95.19*Hospital_Operations_Data[[#This Row],[Treatment_Cost_USD]]</f>
        <v>552779.75280000002</v>
      </c>
      <c r="C1676" s="14">
        <f>95.19*Hospital_Operations_Data[[#This Row],[Medication_Cost_USD]]</f>
        <v>104811.80519999999</v>
      </c>
    </row>
    <row r="1677" spans="1:3" x14ac:dyDescent="0.3">
      <c r="A1677" s="11">
        <f>95.19*Hospital_Operations_Data[[#This Row],[Treatment_Cost_USD]]</f>
        <v>1110840.6468</v>
      </c>
      <c r="C1677" s="13">
        <f>95.19*Hospital_Operations_Data[[#This Row],[Medication_Cost_USD]]</f>
        <v>273624.60690000001</v>
      </c>
    </row>
    <row r="1678" spans="1:3" x14ac:dyDescent="0.3">
      <c r="A1678" s="12">
        <f>95.19*Hospital_Operations_Data[[#This Row],[Treatment_Cost_USD]]</f>
        <v>990826.99860000005</v>
      </c>
      <c r="C1678" s="14">
        <f>95.19*Hospital_Operations_Data[[#This Row],[Medication_Cost_USD]]</f>
        <v>234076.01759999999</v>
      </c>
    </row>
    <row r="1679" spans="1:3" x14ac:dyDescent="0.3">
      <c r="A1679" s="11">
        <f>95.19*Hospital_Operations_Data[[#This Row],[Treatment_Cost_USD]]</f>
        <v>544294.51619999995</v>
      </c>
      <c r="C1679" s="13">
        <f>95.19*Hospital_Operations_Data[[#This Row],[Medication_Cost_USD]]</f>
        <v>83479.726200000005</v>
      </c>
    </row>
    <row r="1680" spans="1:3" x14ac:dyDescent="0.3">
      <c r="A1680" s="12">
        <f>95.19*Hospital_Operations_Data[[#This Row],[Treatment_Cost_USD]]</f>
        <v>564465.27720000001</v>
      </c>
      <c r="C1680" s="14">
        <f>95.19*Hospital_Operations_Data[[#This Row],[Medication_Cost_USD]]</f>
        <v>183130.3296</v>
      </c>
    </row>
    <row r="1681" spans="1:3" x14ac:dyDescent="0.3">
      <c r="A1681" s="11">
        <f>95.19*Hospital_Operations_Data[[#This Row],[Treatment_Cost_USD]]</f>
        <v>538751.60250000004</v>
      </c>
      <c r="C1681" s="13">
        <f>95.19*Hospital_Operations_Data[[#This Row],[Medication_Cost_USD]]</f>
        <v>191435.65709999998</v>
      </c>
    </row>
    <row r="1682" spans="1:3" x14ac:dyDescent="0.3">
      <c r="A1682" s="12">
        <f>95.19*Hospital_Operations_Data[[#This Row],[Treatment_Cost_USD]]</f>
        <v>1311093.7535999999</v>
      </c>
      <c r="C1682" s="14">
        <f>95.19*Hospital_Operations_Data[[#This Row],[Medication_Cost_USD]]</f>
        <v>316525.788</v>
      </c>
    </row>
    <row r="1683" spans="1:3" x14ac:dyDescent="0.3">
      <c r="A1683" s="11">
        <f>95.19*Hospital_Operations_Data[[#This Row],[Treatment_Cost_USD]]</f>
        <v>541473.08459999994</v>
      </c>
      <c r="C1683" s="13">
        <f>95.19*Hospital_Operations_Data[[#This Row],[Medication_Cost_USD]]</f>
        <v>200373.99809999997</v>
      </c>
    </row>
    <row r="1684" spans="1:3" x14ac:dyDescent="0.3">
      <c r="A1684" s="12">
        <f>95.19*Hospital_Operations_Data[[#This Row],[Treatment_Cost_USD]]</f>
        <v>1086767.0958</v>
      </c>
      <c r="C1684" s="14">
        <f>95.19*Hospital_Operations_Data[[#This Row],[Medication_Cost_USD]]</f>
        <v>224221.94879999998</v>
      </c>
    </row>
    <row r="1685" spans="1:3" x14ac:dyDescent="0.3">
      <c r="A1685" s="11">
        <f>95.19*Hospital_Operations_Data[[#This Row],[Treatment_Cost_USD]]</f>
        <v>1297236.9453</v>
      </c>
      <c r="C1685" s="13">
        <f>95.19*Hospital_Operations_Data[[#This Row],[Medication_Cost_USD]]</f>
        <v>267631.44449999998</v>
      </c>
    </row>
    <row r="1686" spans="1:3" x14ac:dyDescent="0.3">
      <c r="A1686" s="12">
        <f>95.19*Hospital_Operations_Data[[#This Row],[Treatment_Cost_USD]]</f>
        <v>154032.65040000001</v>
      </c>
      <c r="C1686" s="14">
        <f>95.19*Hospital_Operations_Data[[#This Row],[Medication_Cost_USD]]</f>
        <v>24955.010400000003</v>
      </c>
    </row>
    <row r="1687" spans="1:3" x14ac:dyDescent="0.3">
      <c r="A1687" s="11">
        <f>95.19*Hospital_Operations_Data[[#This Row],[Treatment_Cost_USD]]</f>
        <v>851029.06079999998</v>
      </c>
      <c r="C1687" s="13">
        <f>95.19*Hospital_Operations_Data[[#This Row],[Medication_Cost_USD]]</f>
        <v>253377.69389999998</v>
      </c>
    </row>
    <row r="1688" spans="1:3" x14ac:dyDescent="0.3">
      <c r="A1688" s="12">
        <f>95.19*Hospital_Operations_Data[[#This Row],[Treatment_Cost_USD]]</f>
        <v>1252652.8049999999</v>
      </c>
      <c r="C1688" s="14">
        <f>95.19*Hospital_Operations_Data[[#This Row],[Medication_Cost_USD]]</f>
        <v>316795.17570000002</v>
      </c>
    </row>
    <row r="1689" spans="1:3" x14ac:dyDescent="0.3">
      <c r="A1689" s="11">
        <f>95.19*Hospital_Operations_Data[[#This Row],[Treatment_Cost_USD]]</f>
        <v>1669236.6096000001</v>
      </c>
      <c r="C1689" s="13">
        <f>95.19*Hospital_Operations_Data[[#This Row],[Medication_Cost_USD]]</f>
        <v>492505.4448</v>
      </c>
    </row>
    <row r="1690" spans="1:3" x14ac:dyDescent="0.3">
      <c r="A1690" s="12">
        <f>95.19*Hospital_Operations_Data[[#This Row],[Treatment_Cost_USD]]</f>
        <v>1264034.6732999999</v>
      </c>
      <c r="C1690" s="14">
        <f>95.19*Hospital_Operations_Data[[#This Row],[Medication_Cost_USD]]</f>
        <v>490886.26289999997</v>
      </c>
    </row>
    <row r="1691" spans="1:3" x14ac:dyDescent="0.3">
      <c r="A1691" s="11">
        <f>95.19*Hospital_Operations_Data[[#This Row],[Treatment_Cost_USD]]</f>
        <v>1103497.6902000001</v>
      </c>
      <c r="C1691" s="13">
        <f>95.19*Hospital_Operations_Data[[#This Row],[Medication_Cost_USD]]</f>
        <v>269211.59850000002</v>
      </c>
    </row>
    <row r="1692" spans="1:3" x14ac:dyDescent="0.3">
      <c r="A1692" s="12">
        <f>95.19*Hospital_Operations_Data[[#This Row],[Treatment_Cost_USD]]</f>
        <v>1358493.6140999999</v>
      </c>
      <c r="C1692" s="14">
        <f>95.19*Hospital_Operations_Data[[#This Row],[Medication_Cost_USD]]</f>
        <v>343290.3603</v>
      </c>
    </row>
    <row r="1693" spans="1:3" x14ac:dyDescent="0.3">
      <c r="A1693" s="11">
        <f>95.19*Hospital_Operations_Data[[#This Row],[Treatment_Cost_USD]]</f>
        <v>960317.65170000005</v>
      </c>
      <c r="C1693" s="13">
        <f>95.19*Hospital_Operations_Data[[#This Row],[Medication_Cost_USD]]</f>
        <v>248641.9914</v>
      </c>
    </row>
    <row r="1694" spans="1:3" x14ac:dyDescent="0.3">
      <c r="A1694" s="12">
        <f>95.19*Hospital_Operations_Data[[#This Row],[Treatment_Cost_USD]]</f>
        <v>816286.61459999997</v>
      </c>
      <c r="C1694" s="14">
        <f>95.19*Hospital_Operations_Data[[#This Row],[Medication_Cost_USD]]</f>
        <v>264454.95419999998</v>
      </c>
    </row>
    <row r="1695" spans="1:3" x14ac:dyDescent="0.3">
      <c r="A1695" s="11">
        <f>95.19*Hospital_Operations_Data[[#This Row],[Treatment_Cost_USD]]</f>
        <v>1249086.0357000001</v>
      </c>
      <c r="C1695" s="13">
        <f>95.19*Hospital_Operations_Data[[#This Row],[Medication_Cost_USD]]</f>
        <v>441278.94630000001</v>
      </c>
    </row>
    <row r="1696" spans="1:3" x14ac:dyDescent="0.3">
      <c r="A1696" s="12">
        <f>95.19*Hospital_Operations_Data[[#This Row],[Treatment_Cost_USD]]</f>
        <v>289552.74959999998</v>
      </c>
      <c r="C1696" s="14">
        <f>95.19*Hospital_Operations_Data[[#This Row],[Medication_Cost_USD]]</f>
        <v>45552.222600000001</v>
      </c>
    </row>
    <row r="1697" spans="1:3" x14ac:dyDescent="0.3">
      <c r="A1697" s="11">
        <f>95.19*Hospital_Operations_Data[[#This Row],[Treatment_Cost_USD]]</f>
        <v>250224.04919999998</v>
      </c>
      <c r="C1697" s="13">
        <f>95.19*Hospital_Operations_Data[[#This Row],[Medication_Cost_USD]]</f>
        <v>51174.144</v>
      </c>
    </row>
    <row r="1698" spans="1:3" x14ac:dyDescent="0.3">
      <c r="A1698" s="12">
        <f>95.19*Hospital_Operations_Data[[#This Row],[Treatment_Cost_USD]]</f>
        <v>467440.01400000002</v>
      </c>
      <c r="C1698" s="14">
        <f>95.19*Hospital_Operations_Data[[#This Row],[Medication_Cost_USD]]</f>
        <v>75837.873000000007</v>
      </c>
    </row>
    <row r="1699" spans="1:3" x14ac:dyDescent="0.3">
      <c r="A1699" s="11">
        <f>95.19*Hospital_Operations_Data[[#This Row],[Treatment_Cost_USD]]</f>
        <v>472553.62079999998</v>
      </c>
      <c r="C1699" s="13">
        <f>95.19*Hospital_Operations_Data[[#This Row],[Medication_Cost_USD]]</f>
        <v>88078.355100000001</v>
      </c>
    </row>
    <row r="1700" spans="1:3" x14ac:dyDescent="0.3">
      <c r="A1700" s="12">
        <f>95.19*Hospital_Operations_Data[[#This Row],[Treatment_Cost_USD]]</f>
        <v>1247949.4671</v>
      </c>
      <c r="C1700" s="14">
        <f>95.19*Hospital_Operations_Data[[#This Row],[Medication_Cost_USD]]</f>
        <v>303892.17119999998</v>
      </c>
    </row>
    <row r="1701" spans="1:3" x14ac:dyDescent="0.3">
      <c r="A1701" s="11">
        <f>95.19*Hospital_Operations_Data[[#This Row],[Treatment_Cost_USD]]</f>
        <v>1066658.2083000001</v>
      </c>
      <c r="C1701" s="13">
        <f>95.19*Hospital_Operations_Data[[#This Row],[Medication_Cost_USD]]</f>
        <v>332892.75659999996</v>
      </c>
    </row>
    <row r="1702" spans="1:3" x14ac:dyDescent="0.3">
      <c r="A1702" s="12">
        <f>95.19*Hospital_Operations_Data[[#This Row],[Treatment_Cost_USD]]</f>
        <v>831380.89289999998</v>
      </c>
      <c r="C1702" s="14">
        <f>95.19*Hospital_Operations_Data[[#This Row],[Medication_Cost_USD]]</f>
        <v>269619.96360000002</v>
      </c>
    </row>
    <row r="1703" spans="1:3" x14ac:dyDescent="0.3">
      <c r="A1703" s="11">
        <f>95.19*Hospital_Operations_Data[[#This Row],[Treatment_Cost_USD]]</f>
        <v>160710.22889999999</v>
      </c>
      <c r="C1703" s="13">
        <f>95.19*Hospital_Operations_Data[[#This Row],[Medication_Cost_USD]]</f>
        <v>55675.679099999994</v>
      </c>
    </row>
    <row r="1704" spans="1:3" x14ac:dyDescent="0.3">
      <c r="A1704" s="12">
        <f>95.19*Hospital_Operations_Data[[#This Row],[Treatment_Cost_USD]]</f>
        <v>408098.56799999997</v>
      </c>
      <c r="C1704" s="14">
        <f>95.19*Hospital_Operations_Data[[#This Row],[Medication_Cost_USD]]</f>
        <v>67979.938499999989</v>
      </c>
    </row>
    <row r="1705" spans="1:3" x14ac:dyDescent="0.3">
      <c r="A1705" s="11">
        <f>95.19*Hospital_Operations_Data[[#This Row],[Treatment_Cost_USD]]</f>
        <v>454933.95180000004</v>
      </c>
      <c r="C1705" s="13">
        <f>95.19*Hospital_Operations_Data[[#This Row],[Medication_Cost_USD]]</f>
        <v>164259.864</v>
      </c>
    </row>
    <row r="1706" spans="1:3" x14ac:dyDescent="0.3">
      <c r="A1706" s="12">
        <f>95.19*Hospital_Operations_Data[[#This Row],[Treatment_Cost_USD]]</f>
        <v>551124.3986999999</v>
      </c>
      <c r="C1706" s="14">
        <f>95.19*Hospital_Operations_Data[[#This Row],[Medication_Cost_USD]]</f>
        <v>206292.9123</v>
      </c>
    </row>
    <row r="1707" spans="1:3" x14ac:dyDescent="0.3">
      <c r="A1707" s="11">
        <f>95.19*Hospital_Operations_Data[[#This Row],[Treatment_Cost_USD]]</f>
        <v>240500.39070000002</v>
      </c>
      <c r="C1707" s="13">
        <f>95.19*Hospital_Operations_Data[[#This Row],[Medication_Cost_USD]]</f>
        <v>36780.464099999997</v>
      </c>
    </row>
    <row r="1708" spans="1:3" x14ac:dyDescent="0.3">
      <c r="A1708" s="12">
        <f>95.19*Hospital_Operations_Data[[#This Row],[Treatment_Cost_USD]]</f>
        <v>92155.342799999999</v>
      </c>
      <c r="C1708" s="14">
        <f>95.19*Hospital_Operations_Data[[#This Row],[Medication_Cost_USD]]</f>
        <v>19242.658500000001</v>
      </c>
    </row>
    <row r="1709" spans="1:3" x14ac:dyDescent="0.3">
      <c r="A1709" s="11">
        <f>95.19*Hospital_Operations_Data[[#This Row],[Treatment_Cost_USD]]</f>
        <v>533255.33189999999</v>
      </c>
      <c r="C1709" s="13">
        <f>95.19*Hospital_Operations_Data[[#This Row],[Medication_Cost_USD]]</f>
        <v>131272.72139999998</v>
      </c>
    </row>
    <row r="1710" spans="1:3" x14ac:dyDescent="0.3">
      <c r="A1710" s="12">
        <f>95.19*Hospital_Operations_Data[[#This Row],[Treatment_Cost_USD]]</f>
        <v>1626358.2740999998</v>
      </c>
      <c r="C1710" s="14">
        <f>95.19*Hospital_Operations_Data[[#This Row],[Medication_Cost_USD]]</f>
        <v>516173.48640000005</v>
      </c>
    </row>
    <row r="1711" spans="1:3" x14ac:dyDescent="0.3">
      <c r="A1711" s="11">
        <f>95.19*Hospital_Operations_Data[[#This Row],[Treatment_Cost_USD]]</f>
        <v>475554.00959999999</v>
      </c>
      <c r="C1711" s="13">
        <f>95.19*Hospital_Operations_Data[[#This Row],[Medication_Cost_USD]]</f>
        <v>99273.651000000013</v>
      </c>
    </row>
    <row r="1712" spans="1:3" x14ac:dyDescent="0.3">
      <c r="A1712" s="12">
        <f>95.19*Hospital_Operations_Data[[#This Row],[Treatment_Cost_USD]]</f>
        <v>547843.19940000004</v>
      </c>
      <c r="C1712" s="14">
        <f>95.19*Hospital_Operations_Data[[#This Row],[Medication_Cost_USD]]</f>
        <v>169034.5944</v>
      </c>
    </row>
    <row r="1713" spans="1:3" x14ac:dyDescent="0.3">
      <c r="A1713" s="11">
        <f>95.19*Hospital_Operations_Data[[#This Row],[Treatment_Cost_USD]]</f>
        <v>956482.44659999991</v>
      </c>
      <c r="C1713" s="13">
        <f>95.19*Hospital_Operations_Data[[#This Row],[Medication_Cost_USD]]</f>
        <v>287239.63260000001</v>
      </c>
    </row>
    <row r="1714" spans="1:3" x14ac:dyDescent="0.3">
      <c r="A1714" s="12">
        <f>95.19*Hospital_Operations_Data[[#This Row],[Treatment_Cost_USD]]</f>
        <v>500230.11329999997</v>
      </c>
      <c r="C1714" s="14">
        <f>95.19*Hospital_Operations_Data[[#This Row],[Medication_Cost_USD]]</f>
        <v>169581.9369</v>
      </c>
    </row>
    <row r="1715" spans="1:3" x14ac:dyDescent="0.3">
      <c r="A1715" s="11">
        <f>95.19*Hospital_Operations_Data[[#This Row],[Treatment_Cost_USD]]</f>
        <v>707335.94819999998</v>
      </c>
      <c r="C1715" s="13">
        <f>95.19*Hospital_Operations_Data[[#This Row],[Medication_Cost_USD]]</f>
        <v>113690.17649999999</v>
      </c>
    </row>
    <row r="1716" spans="1:3" x14ac:dyDescent="0.3">
      <c r="A1716" s="12">
        <f>95.19*Hospital_Operations_Data[[#This Row],[Treatment_Cost_USD]]</f>
        <v>854692.92389999994</v>
      </c>
      <c r="C1716" s="14">
        <f>95.19*Hospital_Operations_Data[[#This Row],[Medication_Cost_USD]]</f>
        <v>245465.50109999999</v>
      </c>
    </row>
    <row r="1717" spans="1:3" x14ac:dyDescent="0.3">
      <c r="A1717" s="11">
        <f>95.19*Hospital_Operations_Data[[#This Row],[Treatment_Cost_USD]]</f>
        <v>1712181.5781</v>
      </c>
      <c r="C1717" s="13">
        <f>95.19*Hospital_Operations_Data[[#This Row],[Medication_Cost_USD]]</f>
        <v>349333.97340000002</v>
      </c>
    </row>
    <row r="1718" spans="1:3" x14ac:dyDescent="0.3">
      <c r="A1718" s="12">
        <f>95.19*Hospital_Operations_Data[[#This Row],[Treatment_Cost_USD]]</f>
        <v>672089.94689999998</v>
      </c>
      <c r="C1718" s="14">
        <f>95.19*Hospital_Operations_Data[[#This Row],[Medication_Cost_USD]]</f>
        <v>242552.68710000001</v>
      </c>
    </row>
    <row r="1719" spans="1:3" x14ac:dyDescent="0.3">
      <c r="A1719" s="11">
        <f>95.19*Hospital_Operations_Data[[#This Row],[Treatment_Cost_USD]]</f>
        <v>1133047.5219000001</v>
      </c>
      <c r="C1719" s="13">
        <f>95.19*Hospital_Operations_Data[[#This Row],[Medication_Cost_USD]]</f>
        <v>448099.30979999999</v>
      </c>
    </row>
    <row r="1720" spans="1:3" x14ac:dyDescent="0.3">
      <c r="A1720" s="12">
        <f>95.19*Hospital_Operations_Data[[#This Row],[Treatment_Cost_USD]]</f>
        <v>1386526.1172</v>
      </c>
      <c r="C1720" s="14">
        <f>95.19*Hospital_Operations_Data[[#This Row],[Medication_Cost_USD]]</f>
        <v>213683.4639</v>
      </c>
    </row>
    <row r="1721" spans="1:3" x14ac:dyDescent="0.3">
      <c r="A1721" s="11">
        <f>95.19*Hospital_Operations_Data[[#This Row],[Treatment_Cost_USD]]</f>
        <v>283434.88829999999</v>
      </c>
      <c r="C1721" s="13">
        <f>95.19*Hospital_Operations_Data[[#This Row],[Medication_Cost_USD]]</f>
        <v>48799.153499999993</v>
      </c>
    </row>
    <row r="1722" spans="1:3" x14ac:dyDescent="0.3">
      <c r="A1722" s="12">
        <f>95.19*Hospital_Operations_Data[[#This Row],[Treatment_Cost_USD]]</f>
        <v>442335.55530000001</v>
      </c>
      <c r="C1722" s="14">
        <f>95.19*Hospital_Operations_Data[[#This Row],[Medication_Cost_USD]]</f>
        <v>100272.19410000001</v>
      </c>
    </row>
    <row r="1723" spans="1:3" x14ac:dyDescent="0.3">
      <c r="A1723" s="11">
        <f>95.19*Hospital_Operations_Data[[#This Row],[Treatment_Cost_USD]]</f>
        <v>718283.75009999995</v>
      </c>
      <c r="C1723" s="13">
        <f>95.19*Hospital_Operations_Data[[#This Row],[Medication_Cost_USD]]</f>
        <v>215091.32399999999</v>
      </c>
    </row>
    <row r="1724" spans="1:3" x14ac:dyDescent="0.3">
      <c r="A1724" s="12">
        <f>95.19*Hospital_Operations_Data[[#This Row],[Treatment_Cost_USD]]</f>
        <v>1223450.4168</v>
      </c>
      <c r="C1724" s="14">
        <f>95.19*Hospital_Operations_Data[[#This Row],[Medication_Cost_USD]]</f>
        <v>337552.30710000003</v>
      </c>
    </row>
    <row r="1725" spans="1:3" x14ac:dyDescent="0.3">
      <c r="A1725" s="11">
        <f>95.19*Hospital_Operations_Data[[#This Row],[Treatment_Cost_USD]]</f>
        <v>856712.85570000007</v>
      </c>
      <c r="C1725" s="13">
        <f>95.19*Hospital_Operations_Data[[#This Row],[Medication_Cost_USD]]</f>
        <v>189937.36649999997</v>
      </c>
    </row>
    <row r="1726" spans="1:3" x14ac:dyDescent="0.3">
      <c r="A1726" s="12">
        <f>95.19*Hospital_Operations_Data[[#This Row],[Treatment_Cost_USD]]</f>
        <v>1107911.6505</v>
      </c>
      <c r="C1726" s="14">
        <f>95.19*Hospital_Operations_Data[[#This Row],[Medication_Cost_USD]]</f>
        <v>272927.8161</v>
      </c>
    </row>
    <row r="1727" spans="1:3" x14ac:dyDescent="0.3">
      <c r="A1727" s="11">
        <f>95.19*Hospital_Operations_Data[[#This Row],[Treatment_Cost_USD]]</f>
        <v>1257483.6975</v>
      </c>
      <c r="C1727" s="13">
        <f>95.19*Hospital_Operations_Data[[#This Row],[Medication_Cost_USD]]</f>
        <v>302550.94409999996</v>
      </c>
    </row>
    <row r="1728" spans="1:3" x14ac:dyDescent="0.3">
      <c r="A1728" s="12">
        <f>95.19*Hospital_Operations_Data[[#This Row],[Treatment_Cost_USD]]</f>
        <v>1080568.3230000001</v>
      </c>
      <c r="C1728" s="14">
        <f>95.19*Hospital_Operations_Data[[#This Row],[Medication_Cost_USD]]</f>
        <v>410275.56329999998</v>
      </c>
    </row>
    <row r="1729" spans="1:3" x14ac:dyDescent="0.3">
      <c r="A1729" s="11">
        <f>95.19*Hospital_Operations_Data[[#This Row],[Treatment_Cost_USD]]</f>
        <v>793802.73659999995</v>
      </c>
      <c r="C1729" s="13">
        <f>95.19*Hospital_Operations_Data[[#This Row],[Medication_Cost_USD]]</f>
        <v>143874.92550000001</v>
      </c>
    </row>
    <row r="1730" spans="1:3" x14ac:dyDescent="0.3">
      <c r="A1730" s="12">
        <f>95.19*Hospital_Operations_Data[[#This Row],[Treatment_Cost_USD]]</f>
        <v>935164.64610000001</v>
      </c>
      <c r="C1730" s="14">
        <f>95.19*Hospital_Operations_Data[[#This Row],[Medication_Cost_USD]]</f>
        <v>172851.71339999998</v>
      </c>
    </row>
    <row r="1731" spans="1:3" x14ac:dyDescent="0.3">
      <c r="A1731" s="11">
        <f>95.19*Hospital_Operations_Data[[#This Row],[Treatment_Cost_USD]]</f>
        <v>321036.84210000001</v>
      </c>
      <c r="C1731" s="13">
        <f>95.19*Hospital_Operations_Data[[#This Row],[Medication_Cost_USD]]</f>
        <v>81802.478399999993</v>
      </c>
    </row>
    <row r="1732" spans="1:3" x14ac:dyDescent="0.3">
      <c r="A1732" s="12">
        <f>95.19*Hospital_Operations_Data[[#This Row],[Treatment_Cost_USD]]</f>
        <v>829737.91349999991</v>
      </c>
      <c r="C1732" s="14">
        <f>95.19*Hospital_Operations_Data[[#This Row],[Medication_Cost_USD]]</f>
        <v>205753.185</v>
      </c>
    </row>
    <row r="1733" spans="1:3" x14ac:dyDescent="0.3">
      <c r="A1733" s="11">
        <f>95.19*Hospital_Operations_Data[[#This Row],[Treatment_Cost_USD]]</f>
        <v>158638.89449999999</v>
      </c>
      <c r="C1733" s="13">
        <f>95.19*Hospital_Operations_Data[[#This Row],[Medication_Cost_USD]]</f>
        <v>34785.2817</v>
      </c>
    </row>
    <row r="1734" spans="1:3" x14ac:dyDescent="0.3">
      <c r="A1734" s="12">
        <f>95.19*Hospital_Operations_Data[[#This Row],[Treatment_Cost_USD]]</f>
        <v>1060611.7394999999</v>
      </c>
      <c r="C1734" s="14">
        <f>95.19*Hospital_Operations_Data[[#This Row],[Medication_Cost_USD]]</f>
        <v>223310.02859999999</v>
      </c>
    </row>
    <row r="1735" spans="1:3" x14ac:dyDescent="0.3">
      <c r="A1735" s="11">
        <f>95.19*Hospital_Operations_Data[[#This Row],[Treatment_Cost_USD]]</f>
        <v>1852471.6481999999</v>
      </c>
      <c r="C1735" s="13">
        <f>95.19*Hospital_Operations_Data[[#This Row],[Medication_Cost_USD]]</f>
        <v>688336.97609999997</v>
      </c>
    </row>
    <row r="1736" spans="1:3" x14ac:dyDescent="0.3">
      <c r="A1736" s="12">
        <f>95.19*Hospital_Operations_Data[[#This Row],[Treatment_Cost_USD]]</f>
        <v>584085.84</v>
      </c>
      <c r="C1736" s="14">
        <f>95.19*Hospital_Operations_Data[[#This Row],[Medication_Cost_USD]]</f>
        <v>209900.6133</v>
      </c>
    </row>
    <row r="1737" spans="1:3" x14ac:dyDescent="0.3">
      <c r="A1737" s="11">
        <f>95.19*Hospital_Operations_Data[[#This Row],[Treatment_Cost_USD]]</f>
        <v>1191580.8048</v>
      </c>
      <c r="C1737" s="13">
        <f>95.19*Hospital_Operations_Data[[#This Row],[Medication_Cost_USD]]</f>
        <v>378394.52850000001</v>
      </c>
    </row>
    <row r="1738" spans="1:3" x14ac:dyDescent="0.3">
      <c r="A1738" s="12">
        <f>95.19*Hospital_Operations_Data[[#This Row],[Treatment_Cost_USD]]</f>
        <v>464903.20049999998</v>
      </c>
      <c r="C1738" s="14">
        <f>95.19*Hospital_Operations_Data[[#This Row],[Medication_Cost_USD]]</f>
        <v>142412.80709999998</v>
      </c>
    </row>
    <row r="1739" spans="1:3" x14ac:dyDescent="0.3">
      <c r="A1739" s="11">
        <f>95.19*Hospital_Operations_Data[[#This Row],[Treatment_Cost_USD]]</f>
        <v>305277.18570000003</v>
      </c>
      <c r="C1739" s="13">
        <f>95.19*Hospital_Operations_Data[[#This Row],[Medication_Cost_USD]]</f>
        <v>111071.4996</v>
      </c>
    </row>
    <row r="1740" spans="1:3" x14ac:dyDescent="0.3">
      <c r="A1740" s="12">
        <f>95.19*Hospital_Operations_Data[[#This Row],[Treatment_Cost_USD]]</f>
        <v>439163.82449999999</v>
      </c>
      <c r="C1740" s="14">
        <f>95.19*Hospital_Operations_Data[[#This Row],[Medication_Cost_USD]]</f>
        <v>129997.17540000001</v>
      </c>
    </row>
    <row r="1741" spans="1:3" x14ac:dyDescent="0.3">
      <c r="A1741" s="11">
        <f>95.19*Hospital_Operations_Data[[#This Row],[Treatment_Cost_USD]]</f>
        <v>633025.87470000004</v>
      </c>
      <c r="C1741" s="13">
        <f>95.19*Hospital_Operations_Data[[#This Row],[Medication_Cost_USD]]</f>
        <v>207160.0932</v>
      </c>
    </row>
    <row r="1742" spans="1:3" x14ac:dyDescent="0.3">
      <c r="A1742" s="12">
        <f>95.19*Hospital_Operations_Data[[#This Row],[Treatment_Cost_USD]]</f>
        <v>270781.28159999999</v>
      </c>
      <c r="C1742" s="14">
        <f>95.19*Hospital_Operations_Data[[#This Row],[Medication_Cost_USD]]</f>
        <v>81917.65830000001</v>
      </c>
    </row>
    <row r="1743" spans="1:3" x14ac:dyDescent="0.3">
      <c r="A1743" s="11">
        <f>95.19*Hospital_Operations_Data[[#This Row],[Treatment_Cost_USD]]</f>
        <v>891529.55010000011</v>
      </c>
      <c r="C1743" s="13">
        <f>95.19*Hospital_Operations_Data[[#This Row],[Medication_Cost_USD]]</f>
        <v>208278.57570000002</v>
      </c>
    </row>
    <row r="1744" spans="1:3" x14ac:dyDescent="0.3">
      <c r="A1744" s="12">
        <f>95.19*Hospital_Operations_Data[[#This Row],[Treatment_Cost_USD]]</f>
        <v>297152.71919999999</v>
      </c>
      <c r="C1744" s="14">
        <f>95.19*Hospital_Operations_Data[[#This Row],[Medication_Cost_USD]]</f>
        <v>78201.440699999992</v>
      </c>
    </row>
    <row r="1745" spans="1:3" x14ac:dyDescent="0.3">
      <c r="A1745" s="11">
        <f>95.19*Hospital_Operations_Data[[#This Row],[Treatment_Cost_USD]]</f>
        <v>679123.53599999996</v>
      </c>
      <c r="C1745" s="13">
        <f>95.19*Hospital_Operations_Data[[#This Row],[Medication_Cost_USD]]</f>
        <v>208874.4651</v>
      </c>
    </row>
    <row r="1746" spans="1:3" x14ac:dyDescent="0.3">
      <c r="A1746" s="12">
        <f>95.19*Hospital_Operations_Data[[#This Row],[Treatment_Cost_USD]]</f>
        <v>517302.43979999999</v>
      </c>
      <c r="C1746" s="14">
        <f>95.19*Hospital_Operations_Data[[#This Row],[Medication_Cost_USD]]</f>
        <v>123838.3824</v>
      </c>
    </row>
    <row r="1747" spans="1:3" x14ac:dyDescent="0.3">
      <c r="A1747" s="11">
        <f>95.19*Hospital_Operations_Data[[#This Row],[Treatment_Cost_USD]]</f>
        <v>1899886.7390999999</v>
      </c>
      <c r="C1747" s="13">
        <f>95.19*Hospital_Operations_Data[[#This Row],[Medication_Cost_USD]]</f>
        <v>566382.40379999997</v>
      </c>
    </row>
    <row r="1748" spans="1:3" x14ac:dyDescent="0.3">
      <c r="A1748" s="12">
        <f>95.19*Hospital_Operations_Data[[#This Row],[Treatment_Cost_USD]]</f>
        <v>806832.34380000003</v>
      </c>
      <c r="C1748" s="14">
        <f>95.19*Hospital_Operations_Data[[#This Row],[Medication_Cost_USD]]</f>
        <v>315947.98470000003</v>
      </c>
    </row>
    <row r="1749" spans="1:3" x14ac:dyDescent="0.3">
      <c r="A1749" s="11">
        <f>95.19*Hospital_Operations_Data[[#This Row],[Treatment_Cost_USD]]</f>
        <v>1061615.9939999999</v>
      </c>
      <c r="C1749" s="13">
        <f>95.19*Hospital_Operations_Data[[#This Row],[Medication_Cost_USD]]</f>
        <v>321113.946</v>
      </c>
    </row>
    <row r="1750" spans="1:3" x14ac:dyDescent="0.3">
      <c r="A1750" s="12">
        <f>95.19*Hospital_Operations_Data[[#This Row],[Treatment_Cost_USD]]</f>
        <v>354865.46429999999</v>
      </c>
      <c r="C1750" s="14">
        <f>95.19*Hospital_Operations_Data[[#This Row],[Medication_Cost_USD]]</f>
        <v>82896.211500000005</v>
      </c>
    </row>
    <row r="1751" spans="1:3" x14ac:dyDescent="0.3">
      <c r="A1751" s="11">
        <f>95.19*Hospital_Operations_Data[[#This Row],[Treatment_Cost_USD]]</f>
        <v>227314.67190000002</v>
      </c>
      <c r="C1751" s="13">
        <f>95.19*Hospital_Operations_Data[[#This Row],[Medication_Cost_USD]]</f>
        <v>72864.137400000007</v>
      </c>
    </row>
    <row r="1752" spans="1:3" x14ac:dyDescent="0.3">
      <c r="A1752" s="12">
        <f>95.19*Hospital_Operations_Data[[#This Row],[Treatment_Cost_USD]]</f>
        <v>313264.57860000001</v>
      </c>
      <c r="C1752" s="14">
        <f>95.19*Hospital_Operations_Data[[#This Row],[Medication_Cost_USD]]</f>
        <v>82249.871399999989</v>
      </c>
    </row>
    <row r="1753" spans="1:3" x14ac:dyDescent="0.3">
      <c r="A1753" s="11">
        <f>95.19*Hospital_Operations_Data[[#This Row],[Treatment_Cost_USD]]</f>
        <v>400053.10920000001</v>
      </c>
      <c r="C1753" s="13">
        <f>95.19*Hospital_Operations_Data[[#This Row],[Medication_Cost_USD]]</f>
        <v>113931.95910000001</v>
      </c>
    </row>
    <row r="1754" spans="1:3" x14ac:dyDescent="0.3">
      <c r="A1754" s="12">
        <f>95.19*Hospital_Operations_Data[[#This Row],[Treatment_Cost_USD]]</f>
        <v>462310.22489999997</v>
      </c>
      <c r="C1754" s="14">
        <f>95.19*Hospital_Operations_Data[[#This Row],[Medication_Cost_USD]]</f>
        <v>89547.136800000007</v>
      </c>
    </row>
    <row r="1755" spans="1:3" x14ac:dyDescent="0.3">
      <c r="A1755" s="11">
        <f>95.19*Hospital_Operations_Data[[#This Row],[Treatment_Cost_USD]]</f>
        <v>1042874.0348999999</v>
      </c>
      <c r="C1755" s="13">
        <f>95.19*Hospital_Operations_Data[[#This Row],[Medication_Cost_USD]]</f>
        <v>220921.71149999998</v>
      </c>
    </row>
    <row r="1756" spans="1:3" x14ac:dyDescent="0.3">
      <c r="A1756" s="12">
        <f>95.19*Hospital_Operations_Data[[#This Row],[Treatment_Cost_USD]]</f>
        <v>724670.04720000003</v>
      </c>
      <c r="C1756" s="14">
        <f>95.19*Hospital_Operations_Data[[#This Row],[Medication_Cost_USD]]</f>
        <v>149168.44139999998</v>
      </c>
    </row>
    <row r="1757" spans="1:3" x14ac:dyDescent="0.3">
      <c r="A1757" s="11">
        <f>95.19*Hospital_Operations_Data[[#This Row],[Treatment_Cost_USD]]</f>
        <v>463992.23220000003</v>
      </c>
      <c r="C1757" s="13">
        <f>95.19*Hospital_Operations_Data[[#This Row],[Medication_Cost_USD]]</f>
        <v>123043.54589999998</v>
      </c>
    </row>
    <row r="1758" spans="1:3" x14ac:dyDescent="0.3">
      <c r="A1758" s="12">
        <f>95.19*Hospital_Operations_Data[[#This Row],[Treatment_Cost_USD]]</f>
        <v>150604.8585</v>
      </c>
      <c r="C1758" s="14">
        <f>95.19*Hospital_Operations_Data[[#This Row],[Medication_Cost_USD]]</f>
        <v>48492.6417</v>
      </c>
    </row>
    <row r="1759" spans="1:3" x14ac:dyDescent="0.3">
      <c r="A1759" s="11">
        <f>95.19*Hospital_Operations_Data[[#This Row],[Treatment_Cost_USD]]</f>
        <v>440123.33970000001</v>
      </c>
      <c r="C1759" s="13">
        <f>95.19*Hospital_Operations_Data[[#This Row],[Medication_Cost_USD]]</f>
        <v>156726.52739999999</v>
      </c>
    </row>
    <row r="1760" spans="1:3" x14ac:dyDescent="0.3">
      <c r="A1760" s="12">
        <f>95.19*Hospital_Operations_Data[[#This Row],[Treatment_Cost_USD]]</f>
        <v>1263652.9613999999</v>
      </c>
      <c r="C1760" s="14">
        <f>95.19*Hospital_Operations_Data[[#This Row],[Medication_Cost_USD]]</f>
        <v>368656.59149999998</v>
      </c>
    </row>
    <row r="1761" spans="1:3" x14ac:dyDescent="0.3">
      <c r="A1761" s="11">
        <f>95.19*Hospital_Operations_Data[[#This Row],[Treatment_Cost_USD]]</f>
        <v>1276763.4801</v>
      </c>
      <c r="C1761" s="13">
        <f>95.19*Hospital_Operations_Data[[#This Row],[Medication_Cost_USD]]</f>
        <v>244761.09509999998</v>
      </c>
    </row>
    <row r="1762" spans="1:3" x14ac:dyDescent="0.3">
      <c r="A1762" s="12">
        <f>95.19*Hospital_Operations_Data[[#This Row],[Treatment_Cost_USD]]</f>
        <v>692547.22979999997</v>
      </c>
      <c r="C1762" s="14">
        <f>95.19*Hospital_Operations_Data[[#This Row],[Medication_Cost_USD]]</f>
        <v>178144.27739999999</v>
      </c>
    </row>
    <row r="1763" spans="1:3" x14ac:dyDescent="0.3">
      <c r="A1763" s="11">
        <f>95.19*Hospital_Operations_Data[[#This Row],[Treatment_Cost_USD]]</f>
        <v>161104.3155</v>
      </c>
      <c r="C1763" s="13">
        <f>95.19*Hospital_Operations_Data[[#This Row],[Medication_Cost_USD]]</f>
        <v>44734.540499999996</v>
      </c>
    </row>
    <row r="1764" spans="1:3" x14ac:dyDescent="0.3">
      <c r="A1764" s="12">
        <f>95.19*Hospital_Operations_Data[[#This Row],[Treatment_Cost_USD]]</f>
        <v>2249490.1002000002</v>
      </c>
      <c r="C1764" s="14">
        <f>95.19*Hospital_Operations_Data[[#This Row],[Medication_Cost_USD]]</f>
        <v>723334.53150000004</v>
      </c>
    </row>
    <row r="1765" spans="1:3" x14ac:dyDescent="0.3">
      <c r="A1765" s="11">
        <f>95.19*Hospital_Operations_Data[[#This Row],[Treatment_Cost_USD]]</f>
        <v>228151.39200000002</v>
      </c>
      <c r="C1765" s="13">
        <f>95.19*Hospital_Operations_Data[[#This Row],[Medication_Cost_USD]]</f>
        <v>87841.331999999995</v>
      </c>
    </row>
    <row r="1766" spans="1:3" x14ac:dyDescent="0.3">
      <c r="A1766" s="12">
        <f>95.19*Hospital_Operations_Data[[#This Row],[Treatment_Cost_USD]]</f>
        <v>1104358.2078</v>
      </c>
      <c r="C1766" s="14">
        <f>95.19*Hospital_Operations_Data[[#This Row],[Medication_Cost_USD]]</f>
        <v>209473.2102</v>
      </c>
    </row>
    <row r="1767" spans="1:3" x14ac:dyDescent="0.3">
      <c r="A1767" s="11">
        <f>95.19*Hospital_Operations_Data[[#This Row],[Treatment_Cost_USD]]</f>
        <v>267246.87690000003</v>
      </c>
      <c r="C1767" s="13">
        <f>95.19*Hospital_Operations_Data[[#This Row],[Medication_Cost_USD]]</f>
        <v>75207.715200000006</v>
      </c>
    </row>
    <row r="1768" spans="1:3" x14ac:dyDescent="0.3">
      <c r="A1768" s="12">
        <f>95.19*Hospital_Operations_Data[[#This Row],[Treatment_Cost_USD]]</f>
        <v>496313.99670000002</v>
      </c>
      <c r="C1768" s="14">
        <f>95.19*Hospital_Operations_Data[[#This Row],[Medication_Cost_USD]]</f>
        <v>144350.87549999999</v>
      </c>
    </row>
    <row r="1769" spans="1:3" x14ac:dyDescent="0.3">
      <c r="A1769" s="11">
        <f>95.19*Hospital_Operations_Data[[#This Row],[Treatment_Cost_USD]]</f>
        <v>518513.25660000002</v>
      </c>
      <c r="C1769" s="13">
        <f>95.19*Hospital_Operations_Data[[#This Row],[Medication_Cost_USD]]</f>
        <v>142251.93600000002</v>
      </c>
    </row>
    <row r="1770" spans="1:3" x14ac:dyDescent="0.3">
      <c r="A1770" s="12">
        <f>95.19*Hospital_Operations_Data[[#This Row],[Treatment_Cost_USD]]</f>
        <v>510842.84640000004</v>
      </c>
      <c r="C1770" s="14">
        <f>95.19*Hospital_Operations_Data[[#This Row],[Medication_Cost_USD]]</f>
        <v>115424.53829999999</v>
      </c>
    </row>
    <row r="1771" spans="1:3" x14ac:dyDescent="0.3">
      <c r="A1771" s="11">
        <f>95.19*Hospital_Operations_Data[[#This Row],[Treatment_Cost_USD]]</f>
        <v>315989.86830000003</v>
      </c>
      <c r="C1771" s="13">
        <f>95.19*Hospital_Operations_Data[[#This Row],[Medication_Cost_USD]]</f>
        <v>80363.205600000001</v>
      </c>
    </row>
    <row r="1772" spans="1:3" x14ac:dyDescent="0.3">
      <c r="A1772" s="12">
        <f>95.19*Hospital_Operations_Data[[#This Row],[Treatment_Cost_USD]]</f>
        <v>1216481.5569</v>
      </c>
      <c r="C1772" s="14">
        <f>95.19*Hospital_Operations_Data[[#This Row],[Medication_Cost_USD]]</f>
        <v>336233.92559999996</v>
      </c>
    </row>
    <row r="1773" spans="1:3" x14ac:dyDescent="0.3">
      <c r="A1773" s="11">
        <f>95.19*Hospital_Operations_Data[[#This Row],[Treatment_Cost_USD]]</f>
        <v>609650.06640000001</v>
      </c>
      <c r="C1773" s="13">
        <f>95.19*Hospital_Operations_Data[[#This Row],[Medication_Cost_USD]]</f>
        <v>168037.95509999999</v>
      </c>
    </row>
    <row r="1774" spans="1:3" x14ac:dyDescent="0.3">
      <c r="A1774" s="12">
        <f>95.19*Hospital_Operations_Data[[#This Row],[Treatment_Cost_USD]]</f>
        <v>309072.41100000002</v>
      </c>
      <c r="C1774" s="14">
        <f>95.19*Hospital_Operations_Data[[#This Row],[Medication_Cost_USD]]</f>
        <v>59360.484000000004</v>
      </c>
    </row>
    <row r="1775" spans="1:3" x14ac:dyDescent="0.3">
      <c r="A1775" s="11">
        <f>95.19*Hospital_Operations_Data[[#This Row],[Treatment_Cost_USD]]</f>
        <v>147336.98579999999</v>
      </c>
      <c r="C1775" s="13">
        <f>95.19*Hospital_Operations_Data[[#This Row],[Medication_Cost_USD]]</f>
        <v>37767.5844</v>
      </c>
    </row>
    <row r="1776" spans="1:3" x14ac:dyDescent="0.3">
      <c r="A1776" s="12">
        <f>95.19*Hospital_Operations_Data[[#This Row],[Treatment_Cost_USD]]</f>
        <v>161215.68779999999</v>
      </c>
      <c r="C1776" s="14">
        <f>95.19*Hospital_Operations_Data[[#This Row],[Medication_Cost_USD]]</f>
        <v>31149.023700000002</v>
      </c>
    </row>
    <row r="1777" spans="1:3" x14ac:dyDescent="0.3">
      <c r="A1777" s="11">
        <f>95.19*Hospital_Operations_Data[[#This Row],[Treatment_Cost_USD]]</f>
        <v>979274.7402</v>
      </c>
      <c r="C1777" s="13">
        <f>95.19*Hospital_Operations_Data[[#This Row],[Medication_Cost_USD]]</f>
        <v>380623.87829999998</v>
      </c>
    </row>
    <row r="1778" spans="1:3" x14ac:dyDescent="0.3">
      <c r="A1778" s="12">
        <f>95.19*Hospital_Operations_Data[[#This Row],[Treatment_Cost_USD]]</f>
        <v>1304494.2309000001</v>
      </c>
      <c r="C1778" s="14">
        <f>95.19*Hospital_Operations_Data[[#This Row],[Medication_Cost_USD]]</f>
        <v>375994.78859999997</v>
      </c>
    </row>
    <row r="1779" spans="1:3" x14ac:dyDescent="0.3">
      <c r="A1779" s="11">
        <f>95.19*Hospital_Operations_Data[[#This Row],[Treatment_Cost_USD]]</f>
        <v>670529.78279999993</v>
      </c>
      <c r="C1779" s="13">
        <f>95.19*Hospital_Operations_Data[[#This Row],[Medication_Cost_USD]]</f>
        <v>250392.53549999997</v>
      </c>
    </row>
    <row r="1780" spans="1:3" x14ac:dyDescent="0.3">
      <c r="A1780" s="12">
        <f>95.19*Hospital_Operations_Data[[#This Row],[Treatment_Cost_USD]]</f>
        <v>587530.76609999989</v>
      </c>
      <c r="C1780" s="14">
        <f>95.19*Hospital_Operations_Data[[#This Row],[Medication_Cost_USD]]</f>
        <v>226713.0711</v>
      </c>
    </row>
    <row r="1781" spans="1:3" x14ac:dyDescent="0.3">
      <c r="A1781" s="11">
        <f>95.19*Hospital_Operations_Data[[#This Row],[Treatment_Cost_USD]]</f>
        <v>625267.88969999994</v>
      </c>
      <c r="C1781" s="13">
        <f>95.19*Hospital_Operations_Data[[#This Row],[Medication_Cost_USD]]</f>
        <v>176414.67509999999</v>
      </c>
    </row>
    <row r="1782" spans="1:3" x14ac:dyDescent="0.3">
      <c r="A1782" s="12">
        <f>95.19*Hospital_Operations_Data[[#This Row],[Treatment_Cost_USD]]</f>
        <v>307049.62349999999</v>
      </c>
      <c r="C1782" s="14">
        <f>95.19*Hospital_Operations_Data[[#This Row],[Medication_Cost_USD]]</f>
        <v>81902.427899999995</v>
      </c>
    </row>
    <row r="1783" spans="1:3" x14ac:dyDescent="0.3">
      <c r="A1783" s="11">
        <f>95.19*Hospital_Operations_Data[[#This Row],[Treatment_Cost_USD]]</f>
        <v>1411873.3103999998</v>
      </c>
      <c r="C1783" s="13">
        <f>95.19*Hospital_Operations_Data[[#This Row],[Medication_Cost_USD]]</f>
        <v>270042.60720000003</v>
      </c>
    </row>
    <row r="1784" spans="1:3" x14ac:dyDescent="0.3">
      <c r="A1784" s="12">
        <f>95.19*Hospital_Operations_Data[[#This Row],[Treatment_Cost_USD]]</f>
        <v>630846.97560000001</v>
      </c>
      <c r="C1784" s="14">
        <f>95.19*Hospital_Operations_Data[[#This Row],[Medication_Cost_USD]]</f>
        <v>182905.68119999999</v>
      </c>
    </row>
    <row r="1785" spans="1:3" x14ac:dyDescent="0.3">
      <c r="A1785" s="11">
        <f>95.19*Hospital_Operations_Data[[#This Row],[Treatment_Cost_USD]]</f>
        <v>1524175.6166999999</v>
      </c>
      <c r="C1785" s="13">
        <f>95.19*Hospital_Operations_Data[[#This Row],[Medication_Cost_USD]]</f>
        <v>341059.1067</v>
      </c>
    </row>
    <row r="1786" spans="1:3" x14ac:dyDescent="0.3">
      <c r="A1786" s="12">
        <f>95.19*Hospital_Operations_Data[[#This Row],[Treatment_Cost_USD]]</f>
        <v>1082883.3437999999</v>
      </c>
      <c r="C1786" s="14">
        <f>95.19*Hospital_Operations_Data[[#This Row],[Medication_Cost_USD]]</f>
        <v>308206.18200000003</v>
      </c>
    </row>
    <row r="1787" spans="1:3" x14ac:dyDescent="0.3">
      <c r="A1787" s="11">
        <f>95.19*Hospital_Operations_Data[[#This Row],[Treatment_Cost_USD]]</f>
        <v>105815.10779999998</v>
      </c>
      <c r="C1787" s="13">
        <f>95.19*Hospital_Operations_Data[[#This Row],[Medication_Cost_USD]]</f>
        <v>30116.212199999998</v>
      </c>
    </row>
    <row r="1788" spans="1:3" x14ac:dyDescent="0.3">
      <c r="A1788" s="12">
        <f>95.19*Hospital_Operations_Data[[#This Row],[Treatment_Cost_USD]]</f>
        <v>353735.55900000001</v>
      </c>
      <c r="C1788" s="14">
        <f>95.19*Hospital_Operations_Data[[#This Row],[Medication_Cost_USD]]</f>
        <v>102942.2736</v>
      </c>
    </row>
    <row r="1789" spans="1:3" x14ac:dyDescent="0.3">
      <c r="A1789" s="11">
        <f>95.19*Hospital_Operations_Data[[#This Row],[Treatment_Cost_USD]]</f>
        <v>348643.84590000001</v>
      </c>
      <c r="C1789" s="13">
        <f>95.19*Hospital_Operations_Data[[#This Row],[Medication_Cost_USD]]</f>
        <v>81262.751100000009</v>
      </c>
    </row>
    <row r="1790" spans="1:3" x14ac:dyDescent="0.3">
      <c r="A1790" s="12">
        <f>95.19*Hospital_Operations_Data[[#This Row],[Treatment_Cost_USD]]</f>
        <v>200044.64070000002</v>
      </c>
      <c r="C1790" s="14">
        <f>95.19*Hospital_Operations_Data[[#This Row],[Medication_Cost_USD]]</f>
        <v>52326.894899999999</v>
      </c>
    </row>
    <row r="1791" spans="1:3" x14ac:dyDescent="0.3">
      <c r="A1791" s="11">
        <f>95.19*Hospital_Operations_Data[[#This Row],[Treatment_Cost_USD]]</f>
        <v>1179781.0523999999</v>
      </c>
      <c r="C1791" s="13">
        <f>95.19*Hospital_Operations_Data[[#This Row],[Medication_Cost_USD]]</f>
        <v>379806.19620000001</v>
      </c>
    </row>
    <row r="1792" spans="1:3" x14ac:dyDescent="0.3">
      <c r="A1792" s="12">
        <f>95.19*Hospital_Operations_Data[[#This Row],[Treatment_Cost_USD]]</f>
        <v>563114.53109999991</v>
      </c>
      <c r="C1792" s="14">
        <f>95.19*Hospital_Operations_Data[[#This Row],[Medication_Cost_USD]]</f>
        <v>146191.85009999998</v>
      </c>
    </row>
    <row r="1793" spans="1:3" x14ac:dyDescent="0.3">
      <c r="A1793" s="11">
        <f>95.19*Hospital_Operations_Data[[#This Row],[Treatment_Cost_USD]]</f>
        <v>739569.18599999999</v>
      </c>
      <c r="C1793" s="13">
        <f>95.19*Hospital_Operations_Data[[#This Row],[Medication_Cost_USD]]</f>
        <v>250835.16899999999</v>
      </c>
    </row>
    <row r="1794" spans="1:3" x14ac:dyDescent="0.3">
      <c r="A1794" s="12">
        <f>95.19*Hospital_Operations_Data[[#This Row],[Treatment_Cost_USD]]</f>
        <v>964659.26760000002</v>
      </c>
      <c r="C1794" s="14">
        <f>95.19*Hospital_Operations_Data[[#This Row],[Medication_Cost_USD]]</f>
        <v>302335.81469999999</v>
      </c>
    </row>
    <row r="1795" spans="1:3" x14ac:dyDescent="0.3">
      <c r="A1795" s="11">
        <f>95.19*Hospital_Operations_Data[[#This Row],[Treatment_Cost_USD]]</f>
        <v>727129.75679999997</v>
      </c>
      <c r="C1795" s="13">
        <f>95.19*Hospital_Operations_Data[[#This Row],[Medication_Cost_USD]]</f>
        <v>285875.55989999999</v>
      </c>
    </row>
    <row r="1796" spans="1:3" x14ac:dyDescent="0.3">
      <c r="A1796" s="12">
        <f>95.19*Hospital_Operations_Data[[#This Row],[Treatment_Cost_USD]]</f>
        <v>533560.89179999998</v>
      </c>
      <c r="C1796" s="14">
        <f>95.19*Hospital_Operations_Data[[#This Row],[Medication_Cost_USD]]</f>
        <v>151741.4271</v>
      </c>
    </row>
    <row r="1797" spans="1:3" x14ac:dyDescent="0.3">
      <c r="A1797" s="11">
        <f>95.19*Hospital_Operations_Data[[#This Row],[Treatment_Cost_USD]]</f>
        <v>1008545.6651999999</v>
      </c>
      <c r="C1797" s="13">
        <f>95.19*Hospital_Operations_Data[[#This Row],[Medication_Cost_USD]]</f>
        <v>198435.92970000001</v>
      </c>
    </row>
    <row r="1798" spans="1:3" x14ac:dyDescent="0.3">
      <c r="A1798" s="12">
        <f>95.19*Hospital_Operations_Data[[#This Row],[Treatment_Cost_USD]]</f>
        <v>452605.60440000001</v>
      </c>
      <c r="C1798" s="14">
        <f>95.19*Hospital_Operations_Data[[#This Row],[Medication_Cost_USD]]</f>
        <v>127179.5514</v>
      </c>
    </row>
    <row r="1799" spans="1:3" x14ac:dyDescent="0.3">
      <c r="A1799" s="11">
        <f>95.19*Hospital_Operations_Data[[#This Row],[Treatment_Cost_USD]]</f>
        <v>910610.38559999992</v>
      </c>
      <c r="C1799" s="13">
        <f>95.19*Hospital_Operations_Data[[#This Row],[Medication_Cost_USD]]</f>
        <v>355839.25799999997</v>
      </c>
    </row>
    <row r="1800" spans="1:3" x14ac:dyDescent="0.3">
      <c r="A1800" s="12">
        <f>95.19*Hospital_Operations_Data[[#This Row],[Treatment_Cost_USD]]</f>
        <v>393108.99869999994</v>
      </c>
      <c r="C1800" s="14">
        <f>95.19*Hospital_Operations_Data[[#This Row],[Medication_Cost_USD]]</f>
        <v>70913.694300000003</v>
      </c>
    </row>
    <row r="1801" spans="1:3" x14ac:dyDescent="0.3">
      <c r="A1801" s="11">
        <f>95.19*Hospital_Operations_Data[[#This Row],[Treatment_Cost_USD]]</f>
        <v>478136.51430000004</v>
      </c>
      <c r="C1801" s="13">
        <f>95.19*Hospital_Operations_Data[[#This Row],[Medication_Cost_USD]]</f>
        <v>181730.08470000001</v>
      </c>
    </row>
    <row r="1802" spans="1:3" x14ac:dyDescent="0.3">
      <c r="A1802" s="12">
        <f>95.19*Hospital_Operations_Data[[#This Row],[Treatment_Cost_USD]]</f>
        <v>618648.37710000004</v>
      </c>
      <c r="C1802" s="14">
        <f>95.19*Hospital_Operations_Data[[#This Row],[Medication_Cost_USD]]</f>
        <v>142285.2525</v>
      </c>
    </row>
    <row r="1803" spans="1:3" x14ac:dyDescent="0.3">
      <c r="A1803" s="11">
        <f>95.19*Hospital_Operations_Data[[#This Row],[Treatment_Cost_USD]]</f>
        <v>1077154.8096</v>
      </c>
      <c r="C1803" s="13">
        <f>95.19*Hospital_Operations_Data[[#This Row],[Medication_Cost_USD]]</f>
        <v>410787.68549999996</v>
      </c>
    </row>
    <row r="1804" spans="1:3" x14ac:dyDescent="0.3">
      <c r="A1804" s="12">
        <f>95.19*Hospital_Operations_Data[[#This Row],[Treatment_Cost_USD]]</f>
        <v>302940.27120000002</v>
      </c>
      <c r="C1804" s="14">
        <f>95.19*Hospital_Operations_Data[[#This Row],[Medication_Cost_USD]]</f>
        <v>104909.85089999999</v>
      </c>
    </row>
    <row r="1805" spans="1:3" x14ac:dyDescent="0.3">
      <c r="A1805" s="11">
        <f>95.19*Hospital_Operations_Data[[#This Row],[Treatment_Cost_USD]]</f>
        <v>370037.79840000003</v>
      </c>
      <c r="C1805" s="13">
        <f>95.19*Hospital_Operations_Data[[#This Row],[Medication_Cost_USD]]</f>
        <v>80929.5861</v>
      </c>
    </row>
    <row r="1806" spans="1:3" x14ac:dyDescent="0.3">
      <c r="A1806" s="12">
        <f>95.19*Hospital_Operations_Data[[#This Row],[Treatment_Cost_USD]]</f>
        <v>166292.17050000001</v>
      </c>
      <c r="C1806" s="14">
        <f>95.19*Hospital_Operations_Data[[#This Row],[Medication_Cost_USD]]</f>
        <v>64537.8681</v>
      </c>
    </row>
    <row r="1807" spans="1:3" x14ac:dyDescent="0.3">
      <c r="A1807" s="11">
        <f>95.19*Hospital_Operations_Data[[#This Row],[Treatment_Cost_USD]]</f>
        <v>394595.8665</v>
      </c>
      <c r="C1807" s="13">
        <f>95.19*Hospital_Operations_Data[[#This Row],[Medication_Cost_USD]]</f>
        <v>83410.237500000003</v>
      </c>
    </row>
    <row r="1808" spans="1:3" x14ac:dyDescent="0.3">
      <c r="A1808" s="12">
        <f>95.19*Hospital_Operations_Data[[#This Row],[Treatment_Cost_USD]]</f>
        <v>398749.00619999995</v>
      </c>
      <c r="C1808" s="14">
        <f>95.19*Hospital_Operations_Data[[#This Row],[Medication_Cost_USD]]</f>
        <v>153006.50220000002</v>
      </c>
    </row>
    <row r="1809" spans="1:3" x14ac:dyDescent="0.3">
      <c r="A1809" s="11">
        <f>95.19*Hospital_Operations_Data[[#This Row],[Treatment_Cost_USD]]</f>
        <v>1181592.5181</v>
      </c>
      <c r="C1809" s="13">
        <f>95.19*Hospital_Operations_Data[[#This Row],[Medication_Cost_USD]]</f>
        <v>302201.5968</v>
      </c>
    </row>
    <row r="1810" spans="1:3" x14ac:dyDescent="0.3">
      <c r="A1810" s="12">
        <f>95.19*Hospital_Operations_Data[[#This Row],[Treatment_Cost_USD]]</f>
        <v>872561.03879999998</v>
      </c>
      <c r="C1810" s="14">
        <f>95.19*Hospital_Operations_Data[[#This Row],[Medication_Cost_USD]]</f>
        <v>342810.60269999999</v>
      </c>
    </row>
    <row r="1811" spans="1:3" x14ac:dyDescent="0.3">
      <c r="A1811" s="11">
        <f>95.19*Hospital_Operations_Data[[#This Row],[Treatment_Cost_USD]]</f>
        <v>1406140.9686</v>
      </c>
      <c r="C1811" s="13">
        <f>95.19*Hospital_Operations_Data[[#This Row],[Medication_Cost_USD]]</f>
        <v>481138.80690000003</v>
      </c>
    </row>
    <row r="1812" spans="1:3" x14ac:dyDescent="0.3">
      <c r="A1812" s="12">
        <f>95.19*Hospital_Operations_Data[[#This Row],[Treatment_Cost_USD]]</f>
        <v>911422.35629999998</v>
      </c>
      <c r="C1812" s="14">
        <f>95.19*Hospital_Operations_Data[[#This Row],[Medication_Cost_USD]]</f>
        <v>268134.0477</v>
      </c>
    </row>
    <row r="1813" spans="1:3" x14ac:dyDescent="0.3">
      <c r="A1813" s="11">
        <f>95.19*Hospital_Operations_Data[[#This Row],[Treatment_Cost_USD]]</f>
        <v>1443658.2032999999</v>
      </c>
      <c r="C1813" s="13">
        <f>95.19*Hospital_Operations_Data[[#This Row],[Medication_Cost_USD]]</f>
        <v>376921.93919999996</v>
      </c>
    </row>
    <row r="1814" spans="1:3" x14ac:dyDescent="0.3">
      <c r="A1814" s="12">
        <f>95.19*Hospital_Operations_Data[[#This Row],[Treatment_Cost_USD]]</f>
        <v>1014825.3494999999</v>
      </c>
      <c r="C1814" s="14">
        <f>95.19*Hospital_Operations_Data[[#This Row],[Medication_Cost_USD]]</f>
        <v>168327.3327</v>
      </c>
    </row>
    <row r="1815" spans="1:3" x14ac:dyDescent="0.3">
      <c r="A1815" s="11">
        <f>95.19*Hospital_Operations_Data[[#This Row],[Treatment_Cost_USD]]</f>
        <v>323057.72580000001</v>
      </c>
      <c r="C1815" s="13">
        <f>95.19*Hospital_Operations_Data[[#This Row],[Medication_Cost_USD]]</f>
        <v>85340.690699999992</v>
      </c>
    </row>
    <row r="1816" spans="1:3" x14ac:dyDescent="0.3">
      <c r="A1816" s="12">
        <f>95.19*Hospital_Operations_Data[[#This Row],[Treatment_Cost_USD]]</f>
        <v>351970.73639999999</v>
      </c>
      <c r="C1816" s="14">
        <f>95.19*Hospital_Operations_Data[[#This Row],[Medication_Cost_USD]]</f>
        <v>132949.96919999999</v>
      </c>
    </row>
    <row r="1817" spans="1:3" x14ac:dyDescent="0.3">
      <c r="A1817" s="11">
        <f>95.19*Hospital_Operations_Data[[#This Row],[Treatment_Cost_USD]]</f>
        <v>1287997.8038999999</v>
      </c>
      <c r="C1817" s="13">
        <f>95.19*Hospital_Operations_Data[[#This Row],[Medication_Cost_USD]]</f>
        <v>275335.17119999998</v>
      </c>
    </row>
    <row r="1818" spans="1:3" x14ac:dyDescent="0.3">
      <c r="A1818" s="12">
        <f>95.19*Hospital_Operations_Data[[#This Row],[Treatment_Cost_USD]]</f>
        <v>629481.951</v>
      </c>
      <c r="C1818" s="14">
        <f>95.19*Hospital_Operations_Data[[#This Row],[Medication_Cost_USD]]</f>
        <v>147909.07769999999</v>
      </c>
    </row>
    <row r="1819" spans="1:3" x14ac:dyDescent="0.3">
      <c r="A1819" s="11">
        <f>95.19*Hospital_Operations_Data[[#This Row],[Treatment_Cost_USD]]</f>
        <v>387610.82429999998</v>
      </c>
      <c r="C1819" s="13">
        <f>95.19*Hospital_Operations_Data[[#This Row],[Medication_Cost_USD]]</f>
        <v>71787.538499999995</v>
      </c>
    </row>
    <row r="1820" spans="1:3" x14ac:dyDescent="0.3">
      <c r="A1820" s="12">
        <f>95.19*Hospital_Operations_Data[[#This Row],[Treatment_Cost_USD]]</f>
        <v>705805.29299999995</v>
      </c>
      <c r="C1820" s="14">
        <f>95.19*Hospital_Operations_Data[[#This Row],[Medication_Cost_USD]]</f>
        <v>243911.0484</v>
      </c>
    </row>
    <row r="1821" spans="1:3" x14ac:dyDescent="0.3">
      <c r="A1821" s="11">
        <f>95.19*Hospital_Operations_Data[[#This Row],[Treatment_Cost_USD]]</f>
        <v>891812.26439999999</v>
      </c>
      <c r="C1821" s="13">
        <f>95.19*Hospital_Operations_Data[[#This Row],[Medication_Cost_USD]]</f>
        <v>222124.91309999998</v>
      </c>
    </row>
    <row r="1822" spans="1:3" x14ac:dyDescent="0.3">
      <c r="A1822" s="12">
        <f>95.19*Hospital_Operations_Data[[#This Row],[Treatment_Cost_USD]]</f>
        <v>907212.1026000001</v>
      </c>
      <c r="C1822" s="14">
        <f>95.19*Hospital_Operations_Data[[#This Row],[Medication_Cost_USD]]</f>
        <v>302331.0552</v>
      </c>
    </row>
    <row r="1823" spans="1:3" x14ac:dyDescent="0.3">
      <c r="A1823" s="11">
        <f>95.19*Hospital_Operations_Data[[#This Row],[Treatment_Cost_USD]]</f>
        <v>1063574.0523000001</v>
      </c>
      <c r="C1823" s="13">
        <f>95.19*Hospital_Operations_Data[[#This Row],[Medication_Cost_USD]]</f>
        <v>203135.46</v>
      </c>
    </row>
    <row r="1824" spans="1:3" x14ac:dyDescent="0.3">
      <c r="A1824" s="12">
        <f>95.19*Hospital_Operations_Data[[#This Row],[Treatment_Cost_USD]]</f>
        <v>1419142.9706999999</v>
      </c>
      <c r="C1824" s="14">
        <f>95.19*Hospital_Operations_Data[[#This Row],[Medication_Cost_USD]]</f>
        <v>227841.07259999998</v>
      </c>
    </row>
    <row r="1825" spans="1:3" x14ac:dyDescent="0.3">
      <c r="A1825" s="11">
        <f>95.19*Hospital_Operations_Data[[#This Row],[Treatment_Cost_USD]]</f>
        <v>1511604.8253000001</v>
      </c>
      <c r="C1825" s="13">
        <f>95.19*Hospital_Operations_Data[[#This Row],[Medication_Cost_USD]]</f>
        <v>586909.17539999995</v>
      </c>
    </row>
    <row r="1826" spans="1:3" x14ac:dyDescent="0.3">
      <c r="A1826" s="12">
        <f>95.19*Hospital_Operations_Data[[#This Row],[Treatment_Cost_USD]]</f>
        <v>965102.853</v>
      </c>
      <c r="C1826" s="14">
        <f>95.19*Hospital_Operations_Data[[#This Row],[Medication_Cost_USD]]</f>
        <v>318420.06899999996</v>
      </c>
    </row>
    <row r="1827" spans="1:3" x14ac:dyDescent="0.3">
      <c r="A1827" s="11">
        <f>95.19*Hospital_Operations_Data[[#This Row],[Treatment_Cost_USD]]</f>
        <v>294991.90619999997</v>
      </c>
      <c r="C1827" s="13">
        <f>95.19*Hospital_Operations_Data[[#This Row],[Medication_Cost_USD]]</f>
        <v>48932.419499999996</v>
      </c>
    </row>
    <row r="1828" spans="1:3" x14ac:dyDescent="0.3">
      <c r="A1828" s="12">
        <f>95.19*Hospital_Operations_Data[[#This Row],[Treatment_Cost_USD]]</f>
        <v>950727.25919999997</v>
      </c>
      <c r="C1828" s="14">
        <f>95.19*Hospital_Operations_Data[[#This Row],[Medication_Cost_USD]]</f>
        <v>275650.2501</v>
      </c>
    </row>
    <row r="1829" spans="1:3" x14ac:dyDescent="0.3">
      <c r="A1829" s="11">
        <f>95.19*Hospital_Operations_Data[[#This Row],[Treatment_Cost_USD]]</f>
        <v>872811.3885</v>
      </c>
      <c r="C1829" s="13">
        <f>95.19*Hospital_Operations_Data[[#This Row],[Medication_Cost_USD]]</f>
        <v>198985.17600000001</v>
      </c>
    </row>
    <row r="1830" spans="1:3" x14ac:dyDescent="0.3">
      <c r="A1830" s="12">
        <f>95.19*Hospital_Operations_Data[[#This Row],[Treatment_Cost_USD]]</f>
        <v>859946.46</v>
      </c>
      <c r="C1830" s="14">
        <f>95.19*Hospital_Operations_Data[[#This Row],[Medication_Cost_USD]]</f>
        <v>145823.46480000002</v>
      </c>
    </row>
    <row r="1831" spans="1:3" x14ac:dyDescent="0.3">
      <c r="A1831" s="11">
        <f>95.19*Hospital_Operations_Data[[#This Row],[Treatment_Cost_USD]]</f>
        <v>305379.03899999999</v>
      </c>
      <c r="C1831" s="13">
        <f>95.19*Hospital_Operations_Data[[#This Row],[Medication_Cost_USD]]</f>
        <v>112964.8287</v>
      </c>
    </row>
    <row r="1832" spans="1:3" x14ac:dyDescent="0.3">
      <c r="A1832" s="12">
        <f>95.19*Hospital_Operations_Data[[#This Row],[Treatment_Cost_USD]]</f>
        <v>87192.136199999994</v>
      </c>
      <c r="C1832" s="14">
        <f>95.19*Hospital_Operations_Data[[#This Row],[Medication_Cost_USD]]</f>
        <v>17984.2467</v>
      </c>
    </row>
    <row r="1833" spans="1:3" x14ac:dyDescent="0.3">
      <c r="A1833" s="11">
        <f>95.19*Hospital_Operations_Data[[#This Row],[Treatment_Cost_USD]]</f>
        <v>388621.74210000003</v>
      </c>
      <c r="C1833" s="13">
        <f>95.19*Hospital_Operations_Data[[#This Row],[Medication_Cost_USD]]</f>
        <v>91077.791999999987</v>
      </c>
    </row>
    <row r="1834" spans="1:3" x14ac:dyDescent="0.3">
      <c r="A1834" s="12">
        <f>95.19*Hospital_Operations_Data[[#This Row],[Treatment_Cost_USD]]</f>
        <v>475748.1972</v>
      </c>
      <c r="C1834" s="14">
        <f>95.19*Hospital_Operations_Data[[#This Row],[Medication_Cost_USD]]</f>
        <v>89739.420599999998</v>
      </c>
    </row>
    <row r="1835" spans="1:3" x14ac:dyDescent="0.3">
      <c r="A1835" s="11">
        <f>95.19*Hospital_Operations_Data[[#This Row],[Treatment_Cost_USD]]</f>
        <v>785824.86269999994</v>
      </c>
      <c r="C1835" s="13">
        <f>95.19*Hospital_Operations_Data[[#This Row],[Medication_Cost_USD]]</f>
        <v>175626.5019</v>
      </c>
    </row>
    <row r="1836" spans="1:3" x14ac:dyDescent="0.3">
      <c r="A1836" s="12">
        <f>95.19*Hospital_Operations_Data[[#This Row],[Treatment_Cost_USD]]</f>
        <v>1021380.1329</v>
      </c>
      <c r="C1836" s="14">
        <f>95.19*Hospital_Operations_Data[[#This Row],[Medication_Cost_USD]]</f>
        <v>247146.55649999998</v>
      </c>
    </row>
    <row r="1837" spans="1:3" x14ac:dyDescent="0.3">
      <c r="A1837" s="11">
        <f>95.19*Hospital_Operations_Data[[#This Row],[Treatment_Cost_USD]]</f>
        <v>383569.05690000003</v>
      </c>
      <c r="C1837" s="13">
        <f>95.19*Hospital_Operations_Data[[#This Row],[Medication_Cost_USD]]</f>
        <v>122300.11199999999</v>
      </c>
    </row>
    <row r="1838" spans="1:3" x14ac:dyDescent="0.3">
      <c r="A1838" s="12">
        <f>95.19*Hospital_Operations_Data[[#This Row],[Treatment_Cost_USD]]</f>
        <v>879643.17480000004</v>
      </c>
      <c r="C1838" s="14">
        <f>95.19*Hospital_Operations_Data[[#This Row],[Medication_Cost_USD]]</f>
        <v>319918.35960000003</v>
      </c>
    </row>
    <row r="1839" spans="1:3" x14ac:dyDescent="0.3">
      <c r="A1839" s="11">
        <f>95.19*Hospital_Operations_Data[[#This Row],[Treatment_Cost_USD]]</f>
        <v>2171832.1943999999</v>
      </c>
      <c r="C1839" s="13">
        <f>95.19*Hospital_Operations_Data[[#This Row],[Medication_Cost_USD]]</f>
        <v>571487.44349999994</v>
      </c>
    </row>
    <row r="1840" spans="1:3" x14ac:dyDescent="0.3">
      <c r="A1840" s="12">
        <f>95.19*Hospital_Operations_Data[[#This Row],[Treatment_Cost_USD]]</f>
        <v>750841.5858</v>
      </c>
      <c r="C1840" s="14">
        <f>95.19*Hospital_Operations_Data[[#This Row],[Medication_Cost_USD]]</f>
        <v>187628.05709999998</v>
      </c>
    </row>
    <row r="1841" spans="1:3" x14ac:dyDescent="0.3">
      <c r="A1841" s="11">
        <f>95.19*Hospital_Operations_Data[[#This Row],[Treatment_Cost_USD]]</f>
        <v>238525.19820000001</v>
      </c>
      <c r="C1841" s="13">
        <f>95.19*Hospital_Operations_Data[[#This Row],[Medication_Cost_USD]]</f>
        <v>87948.896699999998</v>
      </c>
    </row>
    <row r="1842" spans="1:3" x14ac:dyDescent="0.3">
      <c r="A1842" s="12">
        <f>95.19*Hospital_Operations_Data[[#This Row],[Treatment_Cost_USD]]</f>
        <v>1453946.3384999998</v>
      </c>
      <c r="C1842" s="14">
        <f>95.19*Hospital_Operations_Data[[#This Row],[Medication_Cost_USD]]</f>
        <v>247922.35499999998</v>
      </c>
    </row>
    <row r="1843" spans="1:3" x14ac:dyDescent="0.3">
      <c r="A1843" s="11">
        <f>95.19*Hospital_Operations_Data[[#This Row],[Treatment_Cost_USD]]</f>
        <v>179967.16589999999</v>
      </c>
      <c r="C1843" s="13">
        <f>95.19*Hospital_Operations_Data[[#This Row],[Medication_Cost_USD]]</f>
        <v>58325.768700000001</v>
      </c>
    </row>
    <row r="1844" spans="1:3" x14ac:dyDescent="0.3">
      <c r="A1844" s="12">
        <f>95.19*Hospital_Operations_Data[[#This Row],[Treatment_Cost_USD]]</f>
        <v>1281739.0614</v>
      </c>
      <c r="C1844" s="14">
        <f>95.19*Hospital_Operations_Data[[#This Row],[Medication_Cost_USD]]</f>
        <v>380547.72629999998</v>
      </c>
    </row>
    <row r="1845" spans="1:3" x14ac:dyDescent="0.3">
      <c r="A1845" s="11">
        <f>95.19*Hospital_Operations_Data[[#This Row],[Treatment_Cost_USD]]</f>
        <v>222617.04539999997</v>
      </c>
      <c r="C1845" s="13">
        <f>95.19*Hospital_Operations_Data[[#This Row],[Medication_Cost_USD]]</f>
        <v>42964.958400000003</v>
      </c>
    </row>
    <row r="1846" spans="1:3" x14ac:dyDescent="0.3">
      <c r="A1846" s="12">
        <f>95.19*Hospital_Operations_Data[[#This Row],[Treatment_Cost_USD]]</f>
        <v>485200.56420000002</v>
      </c>
      <c r="C1846" s="14">
        <f>95.19*Hospital_Operations_Data[[#This Row],[Medication_Cost_USD]]</f>
        <v>135951.30989999999</v>
      </c>
    </row>
    <row r="1847" spans="1:3" x14ac:dyDescent="0.3">
      <c r="A1847" s="11">
        <f>95.19*Hospital_Operations_Data[[#This Row],[Treatment_Cost_USD]]</f>
        <v>311475.95850000001</v>
      </c>
      <c r="C1847" s="13">
        <f>95.19*Hospital_Operations_Data[[#This Row],[Medication_Cost_USD]]</f>
        <v>94907.285699999993</v>
      </c>
    </row>
    <row r="1848" spans="1:3" x14ac:dyDescent="0.3">
      <c r="A1848" s="12">
        <f>95.19*Hospital_Operations_Data[[#This Row],[Treatment_Cost_USD]]</f>
        <v>761434.32900000003</v>
      </c>
      <c r="C1848" s="14">
        <f>95.19*Hospital_Operations_Data[[#This Row],[Medication_Cost_USD]]</f>
        <v>122727.51509999999</v>
      </c>
    </row>
    <row r="1849" spans="1:3" x14ac:dyDescent="0.3">
      <c r="A1849" s="11">
        <f>95.19*Hospital_Operations_Data[[#This Row],[Treatment_Cost_USD]]</f>
        <v>203457.2022</v>
      </c>
      <c r="C1849" s="13">
        <f>95.19*Hospital_Operations_Data[[#This Row],[Medication_Cost_USD]]</f>
        <v>78099.587400000004</v>
      </c>
    </row>
    <row r="1850" spans="1:3" x14ac:dyDescent="0.3">
      <c r="A1850" s="12">
        <f>95.19*Hospital_Operations_Data[[#This Row],[Treatment_Cost_USD]]</f>
        <v>1780338.57</v>
      </c>
      <c r="C1850" s="14">
        <f>95.19*Hospital_Operations_Data[[#This Row],[Medication_Cost_USD]]</f>
        <v>464182.61219999997</v>
      </c>
    </row>
    <row r="1851" spans="1:3" x14ac:dyDescent="0.3">
      <c r="A1851" s="11">
        <f>95.19*Hospital_Operations_Data[[#This Row],[Treatment_Cost_USD]]</f>
        <v>462829.01039999997</v>
      </c>
      <c r="C1851" s="13">
        <f>95.19*Hospital_Operations_Data[[#This Row],[Medication_Cost_USD]]</f>
        <v>99188.931899999996</v>
      </c>
    </row>
    <row r="1852" spans="1:3" x14ac:dyDescent="0.3">
      <c r="A1852" s="12">
        <f>95.19*Hospital_Operations_Data[[#This Row],[Treatment_Cost_USD]]</f>
        <v>930231.9003000001</v>
      </c>
      <c r="C1852" s="14">
        <f>95.19*Hospital_Operations_Data[[#This Row],[Medication_Cost_USD]]</f>
        <v>350127.85799999995</v>
      </c>
    </row>
    <row r="1853" spans="1:3" x14ac:dyDescent="0.3">
      <c r="A1853" s="11">
        <f>95.19*Hospital_Operations_Data[[#This Row],[Treatment_Cost_USD]]</f>
        <v>271992.09840000002</v>
      </c>
      <c r="C1853" s="13">
        <f>95.19*Hospital_Operations_Data[[#This Row],[Medication_Cost_USD]]</f>
        <v>54963.657899999998</v>
      </c>
    </row>
    <row r="1854" spans="1:3" x14ac:dyDescent="0.3">
      <c r="A1854" s="12">
        <f>95.19*Hospital_Operations_Data[[#This Row],[Treatment_Cost_USD]]</f>
        <v>132493.05720000001</v>
      </c>
      <c r="C1854" s="14">
        <f>95.19*Hospital_Operations_Data[[#This Row],[Medication_Cost_USD]]</f>
        <v>22325.8626</v>
      </c>
    </row>
    <row r="1855" spans="1:3" x14ac:dyDescent="0.3">
      <c r="A1855" s="11">
        <f>95.19*Hospital_Operations_Data[[#This Row],[Treatment_Cost_USD]]</f>
        <v>576028.9584</v>
      </c>
      <c r="C1855" s="13">
        <f>95.19*Hospital_Operations_Data[[#This Row],[Medication_Cost_USD]]</f>
        <v>133933.2819</v>
      </c>
    </row>
    <row r="1856" spans="1:3" x14ac:dyDescent="0.3">
      <c r="A1856" s="12">
        <f>95.19*Hospital_Operations_Data[[#This Row],[Treatment_Cost_USD]]</f>
        <v>983886.69570000004</v>
      </c>
      <c r="C1856" s="14">
        <f>95.19*Hospital_Operations_Data[[#This Row],[Medication_Cost_USD]]</f>
        <v>319668.96179999999</v>
      </c>
    </row>
    <row r="1857" spans="1:3" x14ac:dyDescent="0.3">
      <c r="A1857" s="11">
        <f>95.19*Hospital_Operations_Data[[#This Row],[Treatment_Cost_USD]]</f>
        <v>875795.59499999997</v>
      </c>
      <c r="C1857" s="13">
        <f>95.19*Hospital_Operations_Data[[#This Row],[Medication_Cost_USD]]</f>
        <v>136120.7481</v>
      </c>
    </row>
    <row r="1858" spans="1:3" x14ac:dyDescent="0.3">
      <c r="A1858" s="12">
        <f>95.19*Hospital_Operations_Data[[#This Row],[Treatment_Cost_USD]]</f>
        <v>407339.90369999997</v>
      </c>
      <c r="C1858" s="14">
        <f>95.19*Hospital_Operations_Data[[#This Row],[Medication_Cost_USD]]</f>
        <v>144998.16750000001</v>
      </c>
    </row>
    <row r="1859" spans="1:3" x14ac:dyDescent="0.3">
      <c r="A1859" s="11">
        <f>95.19*Hospital_Operations_Data[[#This Row],[Treatment_Cost_USD]]</f>
        <v>361179.41700000002</v>
      </c>
      <c r="C1859" s="13">
        <f>95.19*Hospital_Operations_Data[[#This Row],[Medication_Cost_USD]]</f>
        <v>66261.759000000005</v>
      </c>
    </row>
    <row r="1860" spans="1:3" x14ac:dyDescent="0.3">
      <c r="A1860" s="12">
        <f>95.19*Hospital_Operations_Data[[#This Row],[Treatment_Cost_USD]]</f>
        <v>379698.63149999996</v>
      </c>
      <c r="C1860" s="14">
        <f>95.19*Hospital_Operations_Data[[#This Row],[Medication_Cost_USD]]</f>
        <v>112505.061</v>
      </c>
    </row>
    <row r="1861" spans="1:3" x14ac:dyDescent="0.3">
      <c r="A1861" s="11">
        <f>95.19*Hospital_Operations_Data[[#This Row],[Treatment_Cost_USD]]</f>
        <v>2047664.4546000001</v>
      </c>
      <c r="C1861" s="13">
        <f>95.19*Hospital_Operations_Data[[#This Row],[Medication_Cost_USD]]</f>
        <v>656196.07259999996</v>
      </c>
    </row>
    <row r="1862" spans="1:3" x14ac:dyDescent="0.3">
      <c r="A1862" s="12">
        <f>95.19*Hospital_Operations_Data[[#This Row],[Treatment_Cost_USD]]</f>
        <v>303875.03700000001</v>
      </c>
      <c r="C1862" s="14">
        <f>95.19*Hospital_Operations_Data[[#This Row],[Medication_Cost_USD]]</f>
        <v>74444.291399999987</v>
      </c>
    </row>
    <row r="1863" spans="1:3" x14ac:dyDescent="0.3">
      <c r="A1863" s="11">
        <f>95.19*Hospital_Operations_Data[[#This Row],[Treatment_Cost_USD]]</f>
        <v>1899189.9482999998</v>
      </c>
      <c r="C1863" s="13">
        <f>95.19*Hospital_Operations_Data[[#This Row],[Medication_Cost_USD]]</f>
        <v>737667.28980000003</v>
      </c>
    </row>
    <row r="1864" spans="1:3" x14ac:dyDescent="0.3">
      <c r="A1864" s="12">
        <f>95.19*Hospital_Operations_Data[[#This Row],[Treatment_Cost_USD]]</f>
        <v>911283.37889999989</v>
      </c>
      <c r="C1864" s="14">
        <f>95.19*Hospital_Operations_Data[[#This Row],[Medication_Cost_USD]]</f>
        <v>157265.30279999998</v>
      </c>
    </row>
    <row r="1865" spans="1:3" x14ac:dyDescent="0.3">
      <c r="A1865" s="11">
        <f>95.19*Hospital_Operations_Data[[#This Row],[Treatment_Cost_USD]]</f>
        <v>813034.92420000001</v>
      </c>
      <c r="C1865" s="13">
        <f>95.19*Hospital_Operations_Data[[#This Row],[Medication_Cost_USD]]</f>
        <v>272477.5674</v>
      </c>
    </row>
    <row r="1866" spans="1:3" x14ac:dyDescent="0.3">
      <c r="A1866" s="12">
        <f>95.19*Hospital_Operations_Data[[#This Row],[Treatment_Cost_USD]]</f>
        <v>2094217.1240999999</v>
      </c>
      <c r="C1866" s="14">
        <f>95.19*Hospital_Operations_Data[[#This Row],[Medication_Cost_USD]]</f>
        <v>406892.51069999998</v>
      </c>
    </row>
    <row r="1867" spans="1:3" x14ac:dyDescent="0.3">
      <c r="A1867" s="11">
        <f>95.19*Hospital_Operations_Data[[#This Row],[Treatment_Cost_USD]]</f>
        <v>1075942.0889999999</v>
      </c>
      <c r="C1867" s="13">
        <f>95.19*Hospital_Operations_Data[[#This Row],[Medication_Cost_USD]]</f>
        <v>371340.94949999999</v>
      </c>
    </row>
    <row r="1868" spans="1:3" x14ac:dyDescent="0.3">
      <c r="A1868" s="12">
        <f>95.19*Hospital_Operations_Data[[#This Row],[Treatment_Cost_USD]]</f>
        <v>675190.28519999993</v>
      </c>
      <c r="C1868" s="14">
        <f>95.19*Hospital_Operations_Data[[#This Row],[Medication_Cost_USD]]</f>
        <v>208596.51029999999</v>
      </c>
    </row>
    <row r="1869" spans="1:3" x14ac:dyDescent="0.3">
      <c r="A1869" s="11">
        <f>95.19*Hospital_Operations_Data[[#This Row],[Treatment_Cost_USD]]</f>
        <v>763388.5797</v>
      </c>
      <c r="C1869" s="13">
        <f>95.19*Hospital_Operations_Data[[#This Row],[Medication_Cost_USD]]</f>
        <v>147106.62600000002</v>
      </c>
    </row>
    <row r="1870" spans="1:3" x14ac:dyDescent="0.3">
      <c r="A1870" s="12">
        <f>95.19*Hospital_Operations_Data[[#This Row],[Treatment_Cost_USD]]</f>
        <v>202069.33200000002</v>
      </c>
      <c r="C1870" s="14">
        <f>95.19*Hospital_Operations_Data[[#This Row],[Medication_Cost_USD]]</f>
        <v>70258.787100000001</v>
      </c>
    </row>
    <row r="1871" spans="1:3" x14ac:dyDescent="0.3">
      <c r="A1871" s="11">
        <f>95.19*Hospital_Operations_Data[[#This Row],[Treatment_Cost_USD]]</f>
        <v>980617.87109999999</v>
      </c>
      <c r="C1871" s="13">
        <f>95.19*Hospital_Operations_Data[[#This Row],[Medication_Cost_USD]]</f>
        <v>376563.07289999997</v>
      </c>
    </row>
    <row r="1872" spans="1:3" x14ac:dyDescent="0.3">
      <c r="A1872" s="12">
        <f>95.19*Hospital_Operations_Data[[#This Row],[Treatment_Cost_USD]]</f>
        <v>942829.34489999991</v>
      </c>
      <c r="C1872" s="14">
        <f>95.19*Hospital_Operations_Data[[#This Row],[Medication_Cost_USD]]</f>
        <v>142650.78209999998</v>
      </c>
    </row>
    <row r="1873" spans="1:3" x14ac:dyDescent="0.3">
      <c r="A1873" s="11">
        <f>95.19*Hospital_Operations_Data[[#This Row],[Treatment_Cost_USD]]</f>
        <v>475444.54109999997</v>
      </c>
      <c r="C1873" s="13">
        <f>95.19*Hospital_Operations_Data[[#This Row],[Medication_Cost_USD]]</f>
        <v>158065.85069999998</v>
      </c>
    </row>
    <row r="1874" spans="1:3" x14ac:dyDescent="0.3">
      <c r="A1874" s="12">
        <f>95.19*Hospital_Operations_Data[[#This Row],[Treatment_Cost_USD]]</f>
        <v>806292.6165</v>
      </c>
      <c r="C1874" s="14">
        <f>95.19*Hospital_Operations_Data[[#This Row],[Medication_Cost_USD]]</f>
        <v>214559.21190000002</v>
      </c>
    </row>
    <row r="1875" spans="1:3" x14ac:dyDescent="0.3">
      <c r="A1875" s="11">
        <f>95.19*Hospital_Operations_Data[[#This Row],[Treatment_Cost_USD]]</f>
        <v>428131.30349999998</v>
      </c>
      <c r="C1875" s="13">
        <f>95.19*Hospital_Operations_Data[[#This Row],[Medication_Cost_USD]]</f>
        <v>119111.24699999999</v>
      </c>
    </row>
    <row r="1876" spans="1:3" x14ac:dyDescent="0.3">
      <c r="A1876" s="12">
        <f>95.19*Hospital_Operations_Data[[#This Row],[Treatment_Cost_USD]]</f>
        <v>1087208.7773999998</v>
      </c>
      <c r="C1876" s="14">
        <f>95.19*Hospital_Operations_Data[[#This Row],[Medication_Cost_USD]]</f>
        <v>401188.72589999996</v>
      </c>
    </row>
    <row r="1877" spans="1:3" x14ac:dyDescent="0.3">
      <c r="A1877" s="11">
        <f>95.19*Hospital_Operations_Data[[#This Row],[Treatment_Cost_USD]]</f>
        <v>1083512.5496999999</v>
      </c>
      <c r="C1877" s="13">
        <f>95.19*Hospital_Operations_Data[[#This Row],[Medication_Cost_USD]]</f>
        <v>283820.40779999999</v>
      </c>
    </row>
    <row r="1878" spans="1:3" x14ac:dyDescent="0.3">
      <c r="A1878" s="12">
        <f>95.19*Hospital_Operations_Data[[#This Row],[Treatment_Cost_USD]]</f>
        <v>1031523.5792999999</v>
      </c>
      <c r="C1878" s="14">
        <f>95.19*Hospital_Operations_Data[[#This Row],[Medication_Cost_USD]]</f>
        <v>308154.7794</v>
      </c>
    </row>
    <row r="1879" spans="1:3" x14ac:dyDescent="0.3">
      <c r="A1879" s="11">
        <f>95.19*Hospital_Operations_Data[[#This Row],[Treatment_Cost_USD]]</f>
        <v>831253.33829999994</v>
      </c>
      <c r="C1879" s="13">
        <f>95.19*Hospital_Operations_Data[[#This Row],[Medication_Cost_USD]]</f>
        <v>227918.17649999997</v>
      </c>
    </row>
    <row r="1880" spans="1:3" x14ac:dyDescent="0.3">
      <c r="A1880" s="12">
        <f>95.19*Hospital_Operations_Data[[#This Row],[Treatment_Cost_USD]]</f>
        <v>345628.2267</v>
      </c>
      <c r="C1880" s="14">
        <f>95.19*Hospital_Operations_Data[[#This Row],[Medication_Cost_USD]]</f>
        <v>135819.94769999999</v>
      </c>
    </row>
    <row r="1881" spans="1:3" x14ac:dyDescent="0.3">
      <c r="A1881" s="11">
        <f>95.19*Hospital_Operations_Data[[#This Row],[Treatment_Cost_USD]]</f>
        <v>719268.01469999994</v>
      </c>
      <c r="C1881" s="13">
        <f>95.19*Hospital_Operations_Data[[#This Row],[Medication_Cost_USD]]</f>
        <v>123306.27029999999</v>
      </c>
    </row>
    <row r="1882" spans="1:3" x14ac:dyDescent="0.3">
      <c r="A1882" s="12">
        <f>95.19*Hospital_Operations_Data[[#This Row],[Treatment_Cost_USD]]</f>
        <v>1228359.3651000001</v>
      </c>
      <c r="C1882" s="14">
        <f>95.19*Hospital_Operations_Data[[#This Row],[Medication_Cost_USD]]</f>
        <v>408846.76140000002</v>
      </c>
    </row>
    <row r="1883" spans="1:3" x14ac:dyDescent="0.3">
      <c r="A1883" s="11">
        <f>95.19*Hospital_Operations_Data[[#This Row],[Treatment_Cost_USD]]</f>
        <v>1357365.6126000001</v>
      </c>
      <c r="C1883" s="13">
        <f>95.19*Hospital_Operations_Data[[#This Row],[Medication_Cost_USD]]</f>
        <v>289316.67840000003</v>
      </c>
    </row>
    <row r="1884" spans="1:3" x14ac:dyDescent="0.3">
      <c r="A1884" s="12">
        <f>95.19*Hospital_Operations_Data[[#This Row],[Treatment_Cost_USD]]</f>
        <v>819963.80429999996</v>
      </c>
      <c r="C1884" s="14">
        <f>95.19*Hospital_Operations_Data[[#This Row],[Medication_Cost_USD]]</f>
        <v>228934.80570000003</v>
      </c>
    </row>
    <row r="1885" spans="1:3" x14ac:dyDescent="0.3">
      <c r="A1885" s="11">
        <f>95.19*Hospital_Operations_Data[[#This Row],[Treatment_Cost_USD]]</f>
        <v>674197.45349999995</v>
      </c>
      <c r="C1885" s="13">
        <f>95.19*Hospital_Operations_Data[[#This Row],[Medication_Cost_USD]]</f>
        <v>194526.47639999999</v>
      </c>
    </row>
    <row r="1886" spans="1:3" x14ac:dyDescent="0.3">
      <c r="A1886" s="12">
        <f>95.19*Hospital_Operations_Data[[#This Row],[Treatment_Cost_USD]]</f>
        <v>557245.11569999997</v>
      </c>
      <c r="C1886" s="14">
        <f>95.19*Hospital_Operations_Data[[#This Row],[Medication_Cost_USD]]</f>
        <v>133114.64790000001</v>
      </c>
    </row>
    <row r="1887" spans="1:3" x14ac:dyDescent="0.3">
      <c r="A1887" s="11">
        <f>95.19*Hospital_Operations_Data[[#This Row],[Treatment_Cost_USD]]</f>
        <v>499856.96849999996</v>
      </c>
      <c r="C1887" s="13">
        <f>95.19*Hospital_Operations_Data[[#This Row],[Medication_Cost_USD]]</f>
        <v>101686.7175</v>
      </c>
    </row>
    <row r="1888" spans="1:3" x14ac:dyDescent="0.3">
      <c r="A1888" s="12">
        <f>95.19*Hospital_Operations_Data[[#This Row],[Treatment_Cost_USD]]</f>
        <v>761687.5344</v>
      </c>
      <c r="C1888" s="14">
        <f>95.19*Hospital_Operations_Data[[#This Row],[Medication_Cost_USD]]</f>
        <v>191020.6287</v>
      </c>
    </row>
    <row r="1889" spans="1:3" x14ac:dyDescent="0.3">
      <c r="A1889" s="11">
        <f>95.19*Hospital_Operations_Data[[#This Row],[Treatment_Cost_USD]]</f>
        <v>573410.28150000004</v>
      </c>
      <c r="C1889" s="13">
        <f>95.19*Hospital_Operations_Data[[#This Row],[Medication_Cost_USD]]</f>
        <v>215929.94789999997</v>
      </c>
    </row>
    <row r="1890" spans="1:3" x14ac:dyDescent="0.3">
      <c r="A1890" s="12">
        <f>95.19*Hospital_Operations_Data[[#This Row],[Treatment_Cost_USD]]</f>
        <v>1380784.2563999998</v>
      </c>
      <c r="C1890" s="14">
        <f>95.19*Hospital_Operations_Data[[#This Row],[Medication_Cost_USD]]</f>
        <v>349142.64149999997</v>
      </c>
    </row>
    <row r="1891" spans="1:3" x14ac:dyDescent="0.3">
      <c r="A1891" s="11">
        <f>95.19*Hospital_Operations_Data[[#This Row],[Treatment_Cost_USD]]</f>
        <v>310153.76939999999</v>
      </c>
      <c r="C1891" s="13">
        <f>95.19*Hospital_Operations_Data[[#This Row],[Medication_Cost_USD]]</f>
        <v>106199.67540000001</v>
      </c>
    </row>
    <row r="1892" spans="1:3" x14ac:dyDescent="0.3">
      <c r="A1892" s="12">
        <f>95.19*Hospital_Operations_Data[[#This Row],[Treatment_Cost_USD]]</f>
        <v>348806.62080000003</v>
      </c>
      <c r="C1892" s="14">
        <f>95.19*Hospital_Operations_Data[[#This Row],[Medication_Cost_USD]]</f>
        <v>137646.64379999999</v>
      </c>
    </row>
    <row r="1893" spans="1:3" x14ac:dyDescent="0.3">
      <c r="A1893" s="11">
        <f>95.19*Hospital_Operations_Data[[#This Row],[Treatment_Cost_USD]]</f>
        <v>909915.49860000005</v>
      </c>
      <c r="C1893" s="13">
        <f>95.19*Hospital_Operations_Data[[#This Row],[Medication_Cost_USD]]</f>
        <v>342199.4829</v>
      </c>
    </row>
    <row r="1894" spans="1:3" x14ac:dyDescent="0.3">
      <c r="A1894" s="12">
        <f>95.19*Hospital_Operations_Data[[#This Row],[Treatment_Cost_USD]]</f>
        <v>1111197.6092999999</v>
      </c>
      <c r="C1894" s="14">
        <f>95.19*Hospital_Operations_Data[[#This Row],[Medication_Cost_USD]]</f>
        <v>306620.31659999996</v>
      </c>
    </row>
    <row r="1895" spans="1:3" x14ac:dyDescent="0.3">
      <c r="A1895" s="11">
        <f>95.19*Hospital_Operations_Data[[#This Row],[Treatment_Cost_USD]]</f>
        <v>170164.49970000001</v>
      </c>
      <c r="C1895" s="13">
        <f>95.19*Hospital_Operations_Data[[#This Row],[Medication_Cost_USD]]</f>
        <v>37683.817199999998</v>
      </c>
    </row>
    <row r="1896" spans="1:3" x14ac:dyDescent="0.3">
      <c r="A1896" s="12">
        <f>95.19*Hospital_Operations_Data[[#This Row],[Treatment_Cost_USD]]</f>
        <v>823687.63710000005</v>
      </c>
      <c r="C1896" s="14">
        <f>95.19*Hospital_Operations_Data[[#This Row],[Medication_Cost_USD]]</f>
        <v>240775.48980000001</v>
      </c>
    </row>
    <row r="1897" spans="1:3" x14ac:dyDescent="0.3">
      <c r="A1897" s="11">
        <f>95.19*Hospital_Operations_Data[[#This Row],[Treatment_Cost_USD]]</f>
        <v>2304803.1053999998</v>
      </c>
      <c r="C1897" s="13">
        <f>95.19*Hospital_Operations_Data[[#This Row],[Medication_Cost_USD]]</f>
        <v>613303.4585999999</v>
      </c>
    </row>
    <row r="1898" spans="1:3" x14ac:dyDescent="0.3">
      <c r="A1898" s="12">
        <f>95.19*Hospital_Operations_Data[[#This Row],[Treatment_Cost_USD]]</f>
        <v>425041.43609999993</v>
      </c>
      <c r="C1898" s="14">
        <f>95.19*Hospital_Operations_Data[[#This Row],[Medication_Cost_USD]]</f>
        <v>86544.844199999992</v>
      </c>
    </row>
    <row r="1899" spans="1:3" x14ac:dyDescent="0.3">
      <c r="A1899" s="11">
        <f>95.19*Hospital_Operations_Data[[#This Row],[Treatment_Cost_USD]]</f>
        <v>1024642.2942</v>
      </c>
      <c r="C1899" s="13">
        <f>95.19*Hospital_Operations_Data[[#This Row],[Medication_Cost_USD]]</f>
        <v>291759.25380000001</v>
      </c>
    </row>
    <row r="1900" spans="1:3" x14ac:dyDescent="0.3">
      <c r="A1900" s="12">
        <f>95.19*Hospital_Operations_Data[[#This Row],[Treatment_Cost_USD]]</f>
        <v>664382.41259999992</v>
      </c>
      <c r="C1900" s="14">
        <f>95.19*Hospital_Operations_Data[[#This Row],[Medication_Cost_USD]]</f>
        <v>173682.72209999998</v>
      </c>
    </row>
    <row r="1901" spans="1:3" x14ac:dyDescent="0.3">
      <c r="A1901" s="11">
        <f>95.19*Hospital_Operations_Data[[#This Row],[Treatment_Cost_USD]]</f>
        <v>330560.60159999999</v>
      </c>
      <c r="C1901" s="13">
        <f>95.19*Hospital_Operations_Data[[#This Row],[Medication_Cost_USD]]</f>
        <v>84662.93789999999</v>
      </c>
    </row>
    <row r="1902" spans="1:3" x14ac:dyDescent="0.3">
      <c r="A1902" s="12">
        <f>95.19*Hospital_Operations_Data[[#This Row],[Treatment_Cost_USD]]</f>
        <v>886549.20929999987</v>
      </c>
      <c r="C1902" s="14">
        <f>95.19*Hospital_Operations_Data[[#This Row],[Medication_Cost_USD]]</f>
        <v>322775.01149999996</v>
      </c>
    </row>
    <row r="1903" spans="1:3" x14ac:dyDescent="0.3">
      <c r="A1903" s="11">
        <f>95.19*Hospital_Operations_Data[[#This Row],[Treatment_Cost_USD]]</f>
        <v>874705.66949999996</v>
      </c>
      <c r="C1903" s="13">
        <f>95.19*Hospital_Operations_Data[[#This Row],[Medication_Cost_USD]]</f>
        <v>177868.22639999999</v>
      </c>
    </row>
    <row r="1904" spans="1:3" x14ac:dyDescent="0.3">
      <c r="A1904" s="12">
        <f>95.19*Hospital_Operations_Data[[#This Row],[Treatment_Cost_USD]]</f>
        <v>339035.36729999998</v>
      </c>
      <c r="C1904" s="14">
        <f>95.19*Hospital_Operations_Data[[#This Row],[Medication_Cost_USD]]</f>
        <v>57026.425200000005</v>
      </c>
    </row>
    <row r="1905" spans="1:3" x14ac:dyDescent="0.3">
      <c r="A1905" s="11">
        <f>95.19*Hospital_Operations_Data[[#This Row],[Treatment_Cost_USD]]</f>
        <v>740019.43469999998</v>
      </c>
      <c r="C1905" s="13">
        <f>95.19*Hospital_Operations_Data[[#This Row],[Medication_Cost_USD]]</f>
        <v>190020.18179999999</v>
      </c>
    </row>
    <row r="1906" spans="1:3" x14ac:dyDescent="0.3">
      <c r="A1906" s="12">
        <f>95.19*Hospital_Operations_Data[[#This Row],[Treatment_Cost_USD]]</f>
        <v>516679.89720000001</v>
      </c>
      <c r="C1906" s="14">
        <f>95.19*Hospital_Operations_Data[[#This Row],[Medication_Cost_USD]]</f>
        <v>145129.52970000001</v>
      </c>
    </row>
    <row r="1907" spans="1:3" x14ac:dyDescent="0.3">
      <c r="A1907" s="11">
        <f>95.19*Hospital_Operations_Data[[#This Row],[Treatment_Cost_USD]]</f>
        <v>188338.17449999999</v>
      </c>
      <c r="C1907" s="13">
        <f>95.19*Hospital_Operations_Data[[#This Row],[Medication_Cost_USD]]</f>
        <v>70655.729399999997</v>
      </c>
    </row>
    <row r="1908" spans="1:3" x14ac:dyDescent="0.3">
      <c r="A1908" s="12">
        <f>95.19*Hospital_Operations_Data[[#This Row],[Treatment_Cost_USD]]</f>
        <v>1234086.9473999999</v>
      </c>
      <c r="C1908" s="14">
        <f>95.19*Hospital_Operations_Data[[#This Row],[Medication_Cost_USD]]</f>
        <v>291534.6054</v>
      </c>
    </row>
    <row r="1909" spans="1:3" x14ac:dyDescent="0.3">
      <c r="A1909" s="11">
        <f>95.19*Hospital_Operations_Data[[#This Row],[Treatment_Cost_USD]]</f>
        <v>531609.49679999996</v>
      </c>
      <c r="C1909" s="13">
        <f>95.19*Hospital_Operations_Data[[#This Row],[Medication_Cost_USD]]</f>
        <v>186019.3461</v>
      </c>
    </row>
    <row r="1910" spans="1:3" x14ac:dyDescent="0.3">
      <c r="A1910" s="12">
        <f>95.19*Hospital_Operations_Data[[#This Row],[Treatment_Cost_USD]]</f>
        <v>325576.45319999999</v>
      </c>
      <c r="C1910" s="14">
        <f>95.19*Hospital_Operations_Data[[#This Row],[Medication_Cost_USD]]</f>
        <v>81073.323000000004</v>
      </c>
    </row>
    <row r="1911" spans="1:3" x14ac:dyDescent="0.3">
      <c r="A1911" s="11">
        <f>95.19*Hospital_Operations_Data[[#This Row],[Treatment_Cost_USD]]</f>
        <v>1167199.7901000001</v>
      </c>
      <c r="C1911" s="13">
        <f>95.19*Hospital_Operations_Data[[#This Row],[Medication_Cost_USD]]</f>
        <v>313406.4117</v>
      </c>
    </row>
    <row r="1912" spans="1:3" x14ac:dyDescent="0.3">
      <c r="A1912" s="12">
        <f>95.19*Hospital_Operations_Data[[#This Row],[Treatment_Cost_USD]]</f>
        <v>723061.3361999999</v>
      </c>
      <c r="C1912" s="14">
        <f>95.19*Hospital_Operations_Data[[#This Row],[Medication_Cost_USD]]</f>
        <v>268527.18239999999</v>
      </c>
    </row>
    <row r="1913" spans="1:3" x14ac:dyDescent="0.3">
      <c r="A1913" s="11">
        <f>95.19*Hospital_Operations_Data[[#This Row],[Treatment_Cost_USD]]</f>
        <v>180824.8278</v>
      </c>
      <c r="C1913" s="13">
        <f>95.19*Hospital_Operations_Data[[#This Row],[Medication_Cost_USD]]</f>
        <v>28990.1145</v>
      </c>
    </row>
    <row r="1914" spans="1:3" x14ac:dyDescent="0.3">
      <c r="A1914" s="12">
        <f>95.19*Hospital_Operations_Data[[#This Row],[Treatment_Cost_USD]]</f>
        <v>513575.7513</v>
      </c>
      <c r="C1914" s="14">
        <f>95.19*Hospital_Operations_Data[[#This Row],[Medication_Cost_USD]]</f>
        <v>152050.79459999999</v>
      </c>
    </row>
    <row r="1915" spans="1:3" x14ac:dyDescent="0.3">
      <c r="A1915" s="11">
        <f>95.19*Hospital_Operations_Data[[#This Row],[Treatment_Cost_USD]]</f>
        <v>695932.1862</v>
      </c>
      <c r="C1915" s="13">
        <f>95.19*Hospital_Operations_Data[[#This Row],[Medication_Cost_USD]]</f>
        <v>130348.42649999999</v>
      </c>
    </row>
    <row r="1916" spans="1:3" x14ac:dyDescent="0.3">
      <c r="A1916" s="12">
        <f>95.19*Hospital_Operations_Data[[#This Row],[Treatment_Cost_USD]]</f>
        <v>355997.27340000001</v>
      </c>
      <c r="C1916" s="14">
        <f>95.19*Hospital_Operations_Data[[#This Row],[Medication_Cost_USD]]</f>
        <v>137734.21859999999</v>
      </c>
    </row>
    <row r="1917" spans="1:3" x14ac:dyDescent="0.3">
      <c r="A1917" s="11">
        <f>95.19*Hospital_Operations_Data[[#This Row],[Treatment_Cost_USD]]</f>
        <v>737958.57119999989</v>
      </c>
      <c r="C1917" s="13">
        <f>95.19*Hospital_Operations_Data[[#This Row],[Medication_Cost_USD]]</f>
        <v>153520.5282</v>
      </c>
    </row>
    <row r="1918" spans="1:3" x14ac:dyDescent="0.3">
      <c r="A1918" s="12">
        <f>95.19*Hospital_Operations_Data[[#This Row],[Treatment_Cost_USD]]</f>
        <v>1184367.3066</v>
      </c>
      <c r="C1918" s="14">
        <f>95.19*Hospital_Operations_Data[[#This Row],[Medication_Cost_USD]]</f>
        <v>314876.14529999997</v>
      </c>
    </row>
    <row r="1919" spans="1:3" x14ac:dyDescent="0.3">
      <c r="A1919" s="11">
        <f>95.19*Hospital_Operations_Data[[#This Row],[Treatment_Cost_USD]]</f>
        <v>843164.46300000011</v>
      </c>
      <c r="C1919" s="13">
        <f>95.19*Hospital_Operations_Data[[#This Row],[Medication_Cost_USD]]</f>
        <v>142361.4045</v>
      </c>
    </row>
    <row r="1920" spans="1:3" x14ac:dyDescent="0.3">
      <c r="A1920" s="12">
        <f>95.19*Hospital_Operations_Data[[#This Row],[Treatment_Cost_USD]]</f>
        <v>776712.32400000002</v>
      </c>
      <c r="C1920" s="14">
        <f>95.19*Hospital_Operations_Data[[#This Row],[Medication_Cost_USD]]</f>
        <v>256738.85279999999</v>
      </c>
    </row>
    <row r="1921" spans="1:3" x14ac:dyDescent="0.3">
      <c r="A1921" s="11">
        <f>95.19*Hospital_Operations_Data[[#This Row],[Treatment_Cost_USD]]</f>
        <v>392029.5441</v>
      </c>
      <c r="C1921" s="13">
        <f>95.19*Hospital_Operations_Data[[#This Row],[Medication_Cost_USD]]</f>
        <v>136646.19690000001</v>
      </c>
    </row>
    <row r="1922" spans="1:3" x14ac:dyDescent="0.3">
      <c r="A1922" s="12">
        <f>95.19*Hospital_Operations_Data[[#This Row],[Treatment_Cost_USD]]</f>
        <v>873924.15960000001</v>
      </c>
      <c r="C1922" s="14">
        <f>95.19*Hospital_Operations_Data[[#This Row],[Medication_Cost_USD]]</f>
        <v>205103.98919999998</v>
      </c>
    </row>
    <row r="1923" spans="1:3" x14ac:dyDescent="0.3">
      <c r="A1923" s="11">
        <f>95.19*Hospital_Operations_Data[[#This Row],[Treatment_Cost_USD]]</f>
        <v>2225387.9922000002</v>
      </c>
      <c r="C1923" s="13">
        <f>95.19*Hospital_Operations_Data[[#This Row],[Medication_Cost_USD]]</f>
        <v>421844.00400000002</v>
      </c>
    </row>
    <row r="1924" spans="1:3" x14ac:dyDescent="0.3">
      <c r="A1924" s="12">
        <f>95.19*Hospital_Operations_Data[[#This Row],[Treatment_Cost_USD]]</f>
        <v>1133157.9423</v>
      </c>
      <c r="C1924" s="14">
        <f>95.19*Hospital_Operations_Data[[#This Row],[Medication_Cost_USD]]</f>
        <v>231091.81109999999</v>
      </c>
    </row>
    <row r="1925" spans="1:3" x14ac:dyDescent="0.3">
      <c r="A1925" s="11">
        <f>95.19*Hospital_Operations_Data[[#This Row],[Treatment_Cost_USD]]</f>
        <v>554412.26130000001</v>
      </c>
      <c r="C1925" s="13">
        <f>95.19*Hospital_Operations_Data[[#This Row],[Medication_Cost_USD]]</f>
        <v>164141.8284</v>
      </c>
    </row>
    <row r="1926" spans="1:3" x14ac:dyDescent="0.3">
      <c r="A1926" s="12">
        <f>95.19*Hospital_Operations_Data[[#This Row],[Treatment_Cost_USD]]</f>
        <v>702664.97490000003</v>
      </c>
      <c r="C1926" s="14">
        <f>95.19*Hospital_Operations_Data[[#This Row],[Medication_Cost_USD]]</f>
        <v>117064.662</v>
      </c>
    </row>
    <row r="1927" spans="1:3" x14ac:dyDescent="0.3">
      <c r="A1927" s="11">
        <f>95.19*Hospital_Operations_Data[[#This Row],[Treatment_Cost_USD]]</f>
        <v>1114011.4257</v>
      </c>
      <c r="C1927" s="13">
        <f>95.19*Hospital_Operations_Data[[#This Row],[Medication_Cost_USD]]</f>
        <v>410701.0626</v>
      </c>
    </row>
    <row r="1928" spans="1:3" x14ac:dyDescent="0.3">
      <c r="A1928" s="12">
        <f>95.19*Hospital_Operations_Data[[#This Row],[Treatment_Cost_USD]]</f>
        <v>194803.47930000001</v>
      </c>
      <c r="C1928" s="14">
        <f>95.19*Hospital_Operations_Data[[#This Row],[Medication_Cost_USD]]</f>
        <v>57653.727299999991</v>
      </c>
    </row>
    <row r="1929" spans="1:3" x14ac:dyDescent="0.3">
      <c r="A1929" s="11">
        <f>95.19*Hospital_Operations_Data[[#This Row],[Treatment_Cost_USD]]</f>
        <v>905132.20110000006</v>
      </c>
      <c r="C1929" s="13">
        <f>95.19*Hospital_Operations_Data[[#This Row],[Medication_Cost_USD]]</f>
        <v>155978.33399999997</v>
      </c>
    </row>
    <row r="1930" spans="1:3" x14ac:dyDescent="0.3">
      <c r="A1930" s="12">
        <f>95.19*Hospital_Operations_Data[[#This Row],[Treatment_Cost_USD]]</f>
        <v>285591.89370000002</v>
      </c>
      <c r="C1930" s="14">
        <f>95.19*Hospital_Operations_Data[[#This Row],[Medication_Cost_USD]]</f>
        <v>55856.540099999998</v>
      </c>
    </row>
    <row r="1931" spans="1:3" x14ac:dyDescent="0.3">
      <c r="A1931" s="11">
        <f>95.19*Hospital_Operations_Data[[#This Row],[Treatment_Cost_USD]]</f>
        <v>341543.6238</v>
      </c>
      <c r="C1931" s="13">
        <f>95.19*Hospital_Operations_Data[[#This Row],[Medication_Cost_USD]]</f>
        <v>129149.0325</v>
      </c>
    </row>
    <row r="1932" spans="1:3" x14ac:dyDescent="0.3">
      <c r="A1932" s="12">
        <f>95.19*Hospital_Operations_Data[[#This Row],[Treatment_Cost_USD]]</f>
        <v>739162.72470000002</v>
      </c>
      <c r="C1932" s="14">
        <f>95.19*Hospital_Operations_Data[[#This Row],[Medication_Cost_USD]]</f>
        <v>290862.56400000001</v>
      </c>
    </row>
    <row r="1933" spans="1:3" x14ac:dyDescent="0.3">
      <c r="A1933" s="11">
        <f>95.19*Hospital_Operations_Data[[#This Row],[Treatment_Cost_USD]]</f>
        <v>394400.72700000001</v>
      </c>
      <c r="C1933" s="13">
        <f>95.19*Hospital_Operations_Data[[#This Row],[Medication_Cost_USD]]</f>
        <v>99922.846799999999</v>
      </c>
    </row>
    <row r="1934" spans="1:3" x14ac:dyDescent="0.3">
      <c r="A1934" s="12">
        <f>95.19*Hospital_Operations_Data[[#This Row],[Treatment_Cost_USD]]</f>
        <v>673425.46259999997</v>
      </c>
      <c r="C1934" s="14">
        <f>95.19*Hospital_Operations_Data[[#This Row],[Medication_Cost_USD]]</f>
        <v>190422.83549999999</v>
      </c>
    </row>
    <row r="1935" spans="1:3" x14ac:dyDescent="0.3">
      <c r="A1935" s="11">
        <f>95.19*Hospital_Operations_Data[[#This Row],[Treatment_Cost_USD]]</f>
        <v>750360.8763</v>
      </c>
      <c r="C1935" s="13">
        <f>95.19*Hospital_Operations_Data[[#This Row],[Medication_Cost_USD]]</f>
        <v>222886.43309999997</v>
      </c>
    </row>
    <row r="1936" spans="1:3" x14ac:dyDescent="0.3">
      <c r="A1936" s="12">
        <f>95.19*Hospital_Operations_Data[[#This Row],[Treatment_Cost_USD]]</f>
        <v>378586.81229999999</v>
      </c>
      <c r="C1936" s="14">
        <f>95.19*Hospital_Operations_Data[[#This Row],[Medication_Cost_USD]]</f>
        <v>109938.7386</v>
      </c>
    </row>
    <row r="1937" spans="1:3" x14ac:dyDescent="0.3">
      <c r="A1937" s="11">
        <f>95.19*Hospital_Operations_Data[[#This Row],[Treatment_Cost_USD]]</f>
        <v>1149118.4495999999</v>
      </c>
      <c r="C1937" s="13">
        <f>95.19*Hospital_Operations_Data[[#This Row],[Medication_Cost_USD]]</f>
        <v>252348.69</v>
      </c>
    </row>
    <row r="1938" spans="1:3" x14ac:dyDescent="0.3">
      <c r="A1938" s="12">
        <f>95.19*Hospital_Operations_Data[[#This Row],[Treatment_Cost_USD]]</f>
        <v>1005686.1576</v>
      </c>
      <c r="C1938" s="14">
        <f>95.19*Hospital_Operations_Data[[#This Row],[Medication_Cost_USD]]</f>
        <v>360996.65220000001</v>
      </c>
    </row>
    <row r="1939" spans="1:3" x14ac:dyDescent="0.3">
      <c r="A1939" s="11">
        <f>95.19*Hospital_Operations_Data[[#This Row],[Treatment_Cost_USD]]</f>
        <v>1147009.9911</v>
      </c>
      <c r="C1939" s="13">
        <f>95.19*Hospital_Operations_Data[[#This Row],[Medication_Cost_USD]]</f>
        <v>305538.00630000001</v>
      </c>
    </row>
    <row r="1940" spans="1:3" x14ac:dyDescent="0.3">
      <c r="A1940" s="12">
        <f>95.19*Hospital_Operations_Data[[#This Row],[Treatment_Cost_USD]]</f>
        <v>254483.80169999998</v>
      </c>
      <c r="C1940" s="14">
        <f>95.19*Hospital_Operations_Data[[#This Row],[Medication_Cost_USD]]</f>
        <v>86806.616699999999</v>
      </c>
    </row>
    <row r="1941" spans="1:3" x14ac:dyDescent="0.3">
      <c r="A1941" s="11">
        <f>95.19*Hospital_Operations_Data[[#This Row],[Treatment_Cost_USD]]</f>
        <v>930177.64199999988</v>
      </c>
      <c r="C1941" s="13">
        <f>95.19*Hospital_Operations_Data[[#This Row],[Medication_Cost_USD]]</f>
        <v>232707.18539999999</v>
      </c>
    </row>
    <row r="1942" spans="1:3" x14ac:dyDescent="0.3">
      <c r="A1942" s="12">
        <f>95.19*Hospital_Operations_Data[[#This Row],[Treatment_Cost_USD]]</f>
        <v>564539.52539999993</v>
      </c>
      <c r="C1942" s="14">
        <f>95.19*Hospital_Operations_Data[[#This Row],[Medication_Cost_USD]]</f>
        <v>181078.03320000001</v>
      </c>
    </row>
    <row r="1943" spans="1:3" x14ac:dyDescent="0.3">
      <c r="A1943" s="11">
        <f>95.19*Hospital_Operations_Data[[#This Row],[Treatment_Cost_USD]]</f>
        <v>1229625.3921000001</v>
      </c>
      <c r="C1943" s="13">
        <f>95.19*Hospital_Operations_Data[[#This Row],[Medication_Cost_USD]]</f>
        <v>466283.45549999998</v>
      </c>
    </row>
    <row r="1944" spans="1:3" x14ac:dyDescent="0.3">
      <c r="A1944" s="12">
        <f>95.19*Hospital_Operations_Data[[#This Row],[Treatment_Cost_USD]]</f>
        <v>1387960.6305</v>
      </c>
      <c r="C1944" s="14">
        <f>95.19*Hospital_Operations_Data[[#This Row],[Medication_Cost_USD]]</f>
        <v>461834.27490000002</v>
      </c>
    </row>
    <row r="1945" spans="1:3" x14ac:dyDescent="0.3">
      <c r="A1945" s="11">
        <f>95.19*Hospital_Operations_Data[[#This Row],[Treatment_Cost_USD]]</f>
        <v>367488.6102</v>
      </c>
      <c r="C1945" s="13">
        <f>95.19*Hospital_Operations_Data[[#This Row],[Medication_Cost_USD]]</f>
        <v>70289.247900000002</v>
      </c>
    </row>
    <row r="1946" spans="1:3" x14ac:dyDescent="0.3">
      <c r="A1946" s="12">
        <f>95.19*Hospital_Operations_Data[[#This Row],[Treatment_Cost_USD]]</f>
        <v>132311.24429999999</v>
      </c>
      <c r="C1946" s="14">
        <f>95.19*Hospital_Operations_Data[[#This Row],[Medication_Cost_USD]]</f>
        <v>32668.256099999999</v>
      </c>
    </row>
    <row r="1947" spans="1:3" x14ac:dyDescent="0.3">
      <c r="A1947" s="11">
        <f>95.19*Hospital_Operations_Data[[#This Row],[Treatment_Cost_USD]]</f>
        <v>903750.04229999997</v>
      </c>
      <c r="C1947" s="13">
        <f>95.19*Hospital_Operations_Data[[#This Row],[Medication_Cost_USD]]</f>
        <v>248554.41659999997</v>
      </c>
    </row>
    <row r="1948" spans="1:3" x14ac:dyDescent="0.3">
      <c r="A1948" s="12">
        <f>95.19*Hospital_Operations_Data[[#This Row],[Treatment_Cost_USD]]</f>
        <v>679671.83039999998</v>
      </c>
      <c r="C1948" s="14">
        <f>95.19*Hospital_Operations_Data[[#This Row],[Medication_Cost_USD]]</f>
        <v>195842.95409999997</v>
      </c>
    </row>
    <row r="1949" spans="1:3" x14ac:dyDescent="0.3">
      <c r="A1949" s="11">
        <f>95.19*Hospital_Operations_Data[[#This Row],[Treatment_Cost_USD]]</f>
        <v>1530789.4179</v>
      </c>
      <c r="C1949" s="13">
        <f>95.19*Hospital_Operations_Data[[#This Row],[Medication_Cost_USD]]</f>
        <v>512642.88930000004</v>
      </c>
    </row>
    <row r="1950" spans="1:3" x14ac:dyDescent="0.3">
      <c r="A1950" s="12">
        <f>95.19*Hospital_Operations_Data[[#This Row],[Treatment_Cost_USD]]</f>
        <v>95762.091899999999</v>
      </c>
      <c r="C1950" s="14">
        <f>95.19*Hospital_Operations_Data[[#This Row],[Medication_Cost_USD]]</f>
        <v>23341.5399</v>
      </c>
    </row>
    <row r="1951" spans="1:3" x14ac:dyDescent="0.3">
      <c r="A1951" s="11">
        <f>95.19*Hospital_Operations_Data[[#This Row],[Treatment_Cost_USD]]</f>
        <v>426375.04799999995</v>
      </c>
      <c r="C1951" s="13">
        <f>95.19*Hospital_Operations_Data[[#This Row],[Medication_Cost_USD]]</f>
        <v>98319.847200000004</v>
      </c>
    </row>
    <row r="1952" spans="1:3" x14ac:dyDescent="0.3">
      <c r="A1952" s="12">
        <f>95.19*Hospital_Operations_Data[[#This Row],[Treatment_Cost_USD]]</f>
        <v>926390.03189999994</v>
      </c>
      <c r="C1952" s="14">
        <f>95.19*Hospital_Operations_Data[[#This Row],[Medication_Cost_USD]]</f>
        <v>305266.71480000002</v>
      </c>
    </row>
    <row r="1953" spans="1:3" x14ac:dyDescent="0.3">
      <c r="A1953" s="11">
        <f>95.19*Hospital_Operations_Data[[#This Row],[Treatment_Cost_USD]]</f>
        <v>1369432.8488999999</v>
      </c>
      <c r="C1953" s="13">
        <f>95.19*Hospital_Operations_Data[[#This Row],[Medication_Cost_USD]]</f>
        <v>443793.86609999993</v>
      </c>
    </row>
    <row r="1954" spans="1:3" x14ac:dyDescent="0.3">
      <c r="A1954" s="12">
        <f>95.19*Hospital_Operations_Data[[#This Row],[Treatment_Cost_USD]]</f>
        <v>1260472.6635</v>
      </c>
      <c r="C1954" s="14">
        <f>95.19*Hospital_Operations_Data[[#This Row],[Medication_Cost_USD]]</f>
        <v>262050.45480000001</v>
      </c>
    </row>
    <row r="1955" spans="1:3" x14ac:dyDescent="0.3">
      <c r="A1955" s="11">
        <f>95.19*Hospital_Operations_Data[[#This Row],[Treatment_Cost_USD]]</f>
        <v>621847.71299999999</v>
      </c>
      <c r="C1955" s="13">
        <f>95.19*Hospital_Operations_Data[[#This Row],[Medication_Cost_USD]]</f>
        <v>140937.3621</v>
      </c>
    </row>
    <row r="1956" spans="1:3" x14ac:dyDescent="0.3">
      <c r="A1956" s="12">
        <f>95.19*Hospital_Operations_Data[[#This Row],[Treatment_Cost_USD]]</f>
        <v>1030380.3473999999</v>
      </c>
      <c r="C1956" s="14">
        <f>95.19*Hospital_Operations_Data[[#This Row],[Medication_Cost_USD]]</f>
        <v>269468.6115</v>
      </c>
    </row>
    <row r="1957" spans="1:3" x14ac:dyDescent="0.3">
      <c r="A1957" s="11">
        <f>95.19*Hospital_Operations_Data[[#This Row],[Treatment_Cost_USD]]</f>
        <v>204696.576</v>
      </c>
      <c r="C1957" s="13">
        <f>95.19*Hospital_Operations_Data[[#This Row],[Medication_Cost_USD]]</f>
        <v>75886.419900000008</v>
      </c>
    </row>
    <row r="1958" spans="1:3" x14ac:dyDescent="0.3">
      <c r="A1958" s="12">
        <f>95.19*Hospital_Operations_Data[[#This Row],[Treatment_Cost_USD]]</f>
        <v>968391.66749999998</v>
      </c>
      <c r="C1958" s="14">
        <f>95.19*Hospital_Operations_Data[[#This Row],[Medication_Cost_USD]]</f>
        <v>284539.09230000002</v>
      </c>
    </row>
    <row r="1959" spans="1:3" x14ac:dyDescent="0.3">
      <c r="A1959" s="11">
        <f>95.19*Hospital_Operations_Data[[#This Row],[Treatment_Cost_USD]]</f>
        <v>937913.73329999996</v>
      </c>
      <c r="C1959" s="13">
        <f>95.19*Hospital_Operations_Data[[#This Row],[Medication_Cost_USD]]</f>
        <v>171843.6513</v>
      </c>
    </row>
    <row r="1960" spans="1:3" x14ac:dyDescent="0.3">
      <c r="A1960" s="12">
        <f>95.19*Hospital_Operations_Data[[#This Row],[Treatment_Cost_USD]]</f>
        <v>743367.26699999999</v>
      </c>
      <c r="C1960" s="14">
        <f>95.19*Hospital_Operations_Data[[#This Row],[Medication_Cost_USD]]</f>
        <v>260183.77889999998</v>
      </c>
    </row>
    <row r="1961" spans="1:3" x14ac:dyDescent="0.3">
      <c r="A1961" s="11">
        <f>95.19*Hospital_Operations_Data[[#This Row],[Treatment_Cost_USD]]</f>
        <v>983105.18579999998</v>
      </c>
      <c r="C1961" s="13">
        <f>95.19*Hospital_Operations_Data[[#This Row],[Medication_Cost_USD]]</f>
        <v>297175.56479999999</v>
      </c>
    </row>
    <row r="1962" spans="1:3" x14ac:dyDescent="0.3">
      <c r="A1962" s="12">
        <f>95.19*Hospital_Operations_Data[[#This Row],[Treatment_Cost_USD]]</f>
        <v>1231500.6351000001</v>
      </c>
      <c r="C1962" s="14">
        <f>95.19*Hospital_Operations_Data[[#This Row],[Medication_Cost_USD]]</f>
        <v>215050.39230000001</v>
      </c>
    </row>
    <row r="1963" spans="1:3" x14ac:dyDescent="0.3">
      <c r="A1963" s="11">
        <f>95.19*Hospital_Operations_Data[[#This Row],[Treatment_Cost_USD]]</f>
        <v>756143.66879999998</v>
      </c>
      <c r="C1963" s="13">
        <f>95.19*Hospital_Operations_Data[[#This Row],[Medication_Cost_USD]]</f>
        <v>200709.06690000001</v>
      </c>
    </row>
    <row r="1964" spans="1:3" x14ac:dyDescent="0.3">
      <c r="A1964" s="12">
        <f>95.19*Hospital_Operations_Data[[#This Row],[Treatment_Cost_USD]]</f>
        <v>734773.51380000007</v>
      </c>
      <c r="C1964" s="14">
        <f>95.19*Hospital_Operations_Data[[#This Row],[Medication_Cost_USD]]</f>
        <v>254369.57370000001</v>
      </c>
    </row>
    <row r="1965" spans="1:3" x14ac:dyDescent="0.3">
      <c r="A1965" s="11">
        <f>95.19*Hospital_Operations_Data[[#This Row],[Treatment_Cost_USD]]</f>
        <v>925647.54989999987</v>
      </c>
      <c r="C1965" s="13">
        <f>95.19*Hospital_Operations_Data[[#This Row],[Medication_Cost_USD]]</f>
        <v>194928.17819999999</v>
      </c>
    </row>
    <row r="1966" spans="1:3" x14ac:dyDescent="0.3">
      <c r="A1966" s="12">
        <f>95.19*Hospital_Operations_Data[[#This Row],[Treatment_Cost_USD]]</f>
        <v>632503.28159999999</v>
      </c>
      <c r="C1966" s="14">
        <f>95.19*Hospital_Operations_Data[[#This Row],[Medication_Cost_USD]]</f>
        <v>247368.34919999997</v>
      </c>
    </row>
    <row r="1967" spans="1:3" x14ac:dyDescent="0.3">
      <c r="A1967" s="11">
        <f>95.19*Hospital_Operations_Data[[#This Row],[Treatment_Cost_USD]]</f>
        <v>429111.76049999997</v>
      </c>
      <c r="C1967" s="13">
        <f>95.19*Hospital_Operations_Data[[#This Row],[Medication_Cost_USD]]</f>
        <v>68127.483000000007</v>
      </c>
    </row>
    <row r="1968" spans="1:3" x14ac:dyDescent="0.3">
      <c r="A1968" s="12">
        <f>95.19*Hospital_Operations_Data[[#This Row],[Treatment_Cost_USD]]</f>
        <v>349650.00419999997</v>
      </c>
      <c r="C1968" s="14">
        <f>95.19*Hospital_Operations_Data[[#This Row],[Medication_Cost_USD]]</f>
        <v>96309.434399999998</v>
      </c>
    </row>
    <row r="1969" spans="1:3" x14ac:dyDescent="0.3">
      <c r="A1969" s="11">
        <f>95.19*Hospital_Operations_Data[[#This Row],[Treatment_Cost_USD]]</f>
        <v>1559491.1066999999</v>
      </c>
      <c r="C1969" s="13">
        <f>95.19*Hospital_Operations_Data[[#This Row],[Medication_Cost_USD]]</f>
        <v>495931.33289999998</v>
      </c>
    </row>
    <row r="1970" spans="1:3" x14ac:dyDescent="0.3">
      <c r="A1970" s="12">
        <f>95.19*Hospital_Operations_Data[[#This Row],[Treatment_Cost_USD]]</f>
        <v>441108.55619999993</v>
      </c>
      <c r="C1970" s="14">
        <f>95.19*Hospital_Operations_Data[[#This Row],[Medication_Cost_USD]]</f>
        <v>84216.496799999994</v>
      </c>
    </row>
    <row r="1971" spans="1:3" x14ac:dyDescent="0.3">
      <c r="A1971" s="11">
        <f>95.19*Hospital_Operations_Data[[#This Row],[Treatment_Cost_USD]]</f>
        <v>883715.40300000005</v>
      </c>
      <c r="C1971" s="13">
        <f>95.19*Hospital_Operations_Data[[#This Row],[Medication_Cost_USD]]</f>
        <v>305299.07939999999</v>
      </c>
    </row>
    <row r="1972" spans="1:3" x14ac:dyDescent="0.3">
      <c r="A1972" s="12">
        <f>95.19*Hospital_Operations_Data[[#This Row],[Treatment_Cost_USD]]</f>
        <v>698759.32920000004</v>
      </c>
      <c r="C1972" s="14">
        <f>95.19*Hospital_Operations_Data[[#This Row],[Medication_Cost_USD]]</f>
        <v>107743.6572</v>
      </c>
    </row>
    <row r="1973" spans="1:3" x14ac:dyDescent="0.3">
      <c r="A1973" s="11">
        <f>95.19*Hospital_Operations_Data[[#This Row],[Treatment_Cost_USD]]</f>
        <v>932616.40980000002</v>
      </c>
      <c r="C1973" s="13">
        <f>95.19*Hospital_Operations_Data[[#This Row],[Medication_Cost_USD]]</f>
        <v>184438.2402</v>
      </c>
    </row>
    <row r="1974" spans="1:3" x14ac:dyDescent="0.3">
      <c r="A1974" s="12">
        <f>95.19*Hospital_Operations_Data[[#This Row],[Treatment_Cost_USD]]</f>
        <v>579235.90949999995</v>
      </c>
      <c r="C1974" s="14">
        <f>95.19*Hospital_Operations_Data[[#This Row],[Medication_Cost_USD]]</f>
        <v>218772.32129999998</v>
      </c>
    </row>
    <row r="1975" spans="1:3" x14ac:dyDescent="0.3">
      <c r="A1975" s="11">
        <f>95.19*Hospital_Operations_Data[[#This Row],[Treatment_Cost_USD]]</f>
        <v>805316.91899999999</v>
      </c>
      <c r="C1975" s="13">
        <f>95.19*Hospital_Operations_Data[[#This Row],[Medication_Cost_USD]]</f>
        <v>186146.9007</v>
      </c>
    </row>
    <row r="1976" spans="1:3" x14ac:dyDescent="0.3">
      <c r="A1976" s="12">
        <f>95.19*Hospital_Operations_Data[[#This Row],[Treatment_Cost_USD]]</f>
        <v>907292.06219999993</v>
      </c>
      <c r="C1976" s="14">
        <f>95.19*Hospital_Operations_Data[[#This Row],[Medication_Cost_USD]]</f>
        <v>225358.51740000001</v>
      </c>
    </row>
    <row r="1977" spans="1:3" x14ac:dyDescent="0.3">
      <c r="A1977" s="11">
        <f>95.19*Hospital_Operations_Data[[#This Row],[Treatment_Cost_USD]]</f>
        <v>627031.76040000003</v>
      </c>
      <c r="C1977" s="13">
        <f>95.19*Hospital_Operations_Data[[#This Row],[Medication_Cost_USD]]</f>
        <v>192762.60569999999</v>
      </c>
    </row>
    <row r="1978" spans="1:3" x14ac:dyDescent="0.3">
      <c r="A1978" s="12">
        <f>95.19*Hospital_Operations_Data[[#This Row],[Treatment_Cost_USD]]</f>
        <v>1259906.2830000001</v>
      </c>
      <c r="C1978" s="14">
        <f>95.19*Hospital_Operations_Data[[#This Row],[Medication_Cost_USD]]</f>
        <v>494422.57140000002</v>
      </c>
    </row>
    <row r="1979" spans="1:3" x14ac:dyDescent="0.3">
      <c r="A1979" s="11">
        <f>95.19*Hospital_Operations_Data[[#This Row],[Treatment_Cost_USD]]</f>
        <v>1178981.4564</v>
      </c>
      <c r="C1979" s="13">
        <f>95.19*Hospital_Operations_Data[[#This Row],[Medication_Cost_USD]]</f>
        <v>345543.50760000001</v>
      </c>
    </row>
    <row r="1980" spans="1:3" x14ac:dyDescent="0.3">
      <c r="A1980" s="12">
        <f>95.19*Hospital_Operations_Data[[#This Row],[Treatment_Cost_USD]]</f>
        <v>461780.96849999996</v>
      </c>
      <c r="C1980" s="14">
        <f>95.19*Hospital_Operations_Data[[#This Row],[Medication_Cost_USD]]</f>
        <v>180098.5281</v>
      </c>
    </row>
    <row r="1981" spans="1:3" x14ac:dyDescent="0.3">
      <c r="A1981" s="11">
        <f>95.19*Hospital_Operations_Data[[#This Row],[Treatment_Cost_USD]]</f>
        <v>493780.99079999997</v>
      </c>
      <c r="C1981" s="13">
        <f>95.19*Hospital_Operations_Data[[#This Row],[Medication_Cost_USD]]</f>
        <v>117761.45279999998</v>
      </c>
    </row>
    <row r="1982" spans="1:3" x14ac:dyDescent="0.3">
      <c r="A1982" s="12">
        <f>95.19*Hospital_Operations_Data[[#This Row],[Treatment_Cost_USD]]</f>
        <v>578320.18169999996</v>
      </c>
      <c r="C1982" s="14">
        <f>95.19*Hospital_Operations_Data[[#This Row],[Medication_Cost_USD]]</f>
        <v>104163.5613</v>
      </c>
    </row>
    <row r="1983" spans="1:3" x14ac:dyDescent="0.3">
      <c r="A1983" s="11">
        <f>95.19*Hospital_Operations_Data[[#This Row],[Treatment_Cost_USD]]</f>
        <v>727547.6409</v>
      </c>
      <c r="C1983" s="13">
        <f>95.19*Hospital_Operations_Data[[#This Row],[Medication_Cost_USD]]</f>
        <v>185826.11040000001</v>
      </c>
    </row>
    <row r="1984" spans="1:3" x14ac:dyDescent="0.3">
      <c r="A1984" s="12">
        <f>95.19*Hospital_Operations_Data[[#This Row],[Treatment_Cost_USD]]</f>
        <v>933594.96299999999</v>
      </c>
      <c r="C1984" s="14">
        <f>95.19*Hospital_Operations_Data[[#This Row],[Medication_Cost_USD]]</f>
        <v>353755.54889999999</v>
      </c>
    </row>
    <row r="1985" spans="1:3" x14ac:dyDescent="0.3">
      <c r="A1985" s="11">
        <f>95.19*Hospital_Operations_Data[[#This Row],[Treatment_Cost_USD]]</f>
        <v>405998.67660000001</v>
      </c>
      <c r="C1985" s="13">
        <f>95.19*Hospital_Operations_Data[[#This Row],[Medication_Cost_USD]]</f>
        <v>130306.5429</v>
      </c>
    </row>
    <row r="1986" spans="1:3" x14ac:dyDescent="0.3">
      <c r="A1986" s="12">
        <f>95.19*Hospital_Operations_Data[[#This Row],[Treatment_Cost_USD]]</f>
        <v>448230.67200000002</v>
      </c>
      <c r="C1986" s="14">
        <f>95.19*Hospital_Operations_Data[[#This Row],[Medication_Cost_USD]]</f>
        <v>179223.73199999999</v>
      </c>
    </row>
    <row r="1987" spans="1:3" x14ac:dyDescent="0.3">
      <c r="A1987" s="11">
        <f>95.19*Hospital_Operations_Data[[#This Row],[Treatment_Cost_USD]]</f>
        <v>626403.50640000007</v>
      </c>
      <c r="C1987" s="13">
        <f>95.19*Hospital_Operations_Data[[#This Row],[Medication_Cost_USD]]</f>
        <v>208535.58869999999</v>
      </c>
    </row>
    <row r="1988" spans="1:3" x14ac:dyDescent="0.3">
      <c r="A1988" s="12">
        <f>95.19*Hospital_Operations_Data[[#This Row],[Treatment_Cost_USD]]</f>
        <v>518002.08630000002</v>
      </c>
      <c r="C1988" s="14">
        <f>95.19*Hospital_Operations_Data[[#This Row],[Medication_Cost_USD]]</f>
        <v>162530.2617</v>
      </c>
    </row>
    <row r="1989" spans="1:3" x14ac:dyDescent="0.3">
      <c r="A1989" s="11">
        <f>95.19*Hospital_Operations_Data[[#This Row],[Treatment_Cost_USD]]</f>
        <v>1488842.9924999999</v>
      </c>
      <c r="C1989" s="13">
        <f>95.19*Hospital_Operations_Data[[#This Row],[Medication_Cost_USD]]</f>
        <v>352002.14909999998</v>
      </c>
    </row>
    <row r="1990" spans="1:3" x14ac:dyDescent="0.3">
      <c r="A1990" s="12">
        <f>95.19*Hospital_Operations_Data[[#This Row],[Treatment_Cost_USD]]</f>
        <v>1445694.3173999998</v>
      </c>
      <c r="C1990" s="14">
        <f>95.19*Hospital_Operations_Data[[#This Row],[Medication_Cost_USD]]</f>
        <v>546748.51439999999</v>
      </c>
    </row>
    <row r="1991" spans="1:3" x14ac:dyDescent="0.3">
      <c r="A1991" s="11">
        <f>95.19*Hospital_Operations_Data[[#This Row],[Treatment_Cost_USD]]</f>
        <v>616945.42799999996</v>
      </c>
      <c r="C1991" s="13">
        <f>95.19*Hospital_Operations_Data[[#This Row],[Medication_Cost_USD]]</f>
        <v>240409.00830000002</v>
      </c>
    </row>
    <row r="1992" spans="1:3" x14ac:dyDescent="0.3">
      <c r="A1992" s="12">
        <f>95.19*Hospital_Operations_Data[[#This Row],[Treatment_Cost_USD]]</f>
        <v>1097372.2137</v>
      </c>
      <c r="C1992" s="14">
        <f>95.19*Hospital_Operations_Data[[#This Row],[Medication_Cost_USD]]</f>
        <v>168195.9705</v>
      </c>
    </row>
    <row r="1993" spans="1:3" x14ac:dyDescent="0.3">
      <c r="A1993" s="11">
        <f>95.19*Hospital_Operations_Data[[#This Row],[Treatment_Cost_USD]]</f>
        <v>2128227.5592</v>
      </c>
      <c r="C1993" s="13">
        <f>95.19*Hospital_Operations_Data[[#This Row],[Medication_Cost_USD]]</f>
        <v>577996.53570000001</v>
      </c>
    </row>
    <row r="1994" spans="1:3" x14ac:dyDescent="0.3">
      <c r="A1994" s="12">
        <f>95.19*Hospital_Operations_Data[[#This Row],[Treatment_Cost_USD]]</f>
        <v>1431188.3133</v>
      </c>
      <c r="C1994" s="14">
        <f>95.19*Hospital_Operations_Data[[#This Row],[Medication_Cost_USD]]</f>
        <v>486795.94859999995</v>
      </c>
    </row>
    <row r="1995" spans="1:3" x14ac:dyDescent="0.3">
      <c r="A1995" s="11">
        <f>95.19*Hospital_Operations_Data[[#This Row],[Treatment_Cost_USD]]</f>
        <v>975087.3321</v>
      </c>
      <c r="C1995" s="13">
        <f>95.19*Hospital_Operations_Data[[#This Row],[Medication_Cost_USD]]</f>
        <v>265784.7585</v>
      </c>
    </row>
    <row r="1996" spans="1:3" x14ac:dyDescent="0.3">
      <c r="A1996" s="12">
        <f>95.19*Hospital_Operations_Data[[#This Row],[Treatment_Cost_USD]]</f>
        <v>352770.33240000001</v>
      </c>
      <c r="C1996" s="14">
        <f>95.19*Hospital_Operations_Data[[#This Row],[Medication_Cost_USD]]</f>
        <v>75896.890800000008</v>
      </c>
    </row>
    <row r="1997" spans="1:3" x14ac:dyDescent="0.3">
      <c r="A1997" s="11">
        <f>95.19*Hospital_Operations_Data[[#This Row],[Treatment_Cost_USD]]</f>
        <v>590005.70609999995</v>
      </c>
      <c r="C1997" s="13">
        <f>95.19*Hospital_Operations_Data[[#This Row],[Medication_Cost_USD]]</f>
        <v>110471.8026</v>
      </c>
    </row>
    <row r="1998" spans="1:3" x14ac:dyDescent="0.3">
      <c r="A1998" s="12">
        <f>95.19*Hospital_Operations_Data[[#This Row],[Treatment_Cost_USD]]</f>
        <v>2220155.3978999997</v>
      </c>
      <c r="C1998" s="14">
        <f>95.19*Hospital_Operations_Data[[#This Row],[Medication_Cost_USD]]</f>
        <v>589899.09329999995</v>
      </c>
    </row>
    <row r="1999" spans="1:3" x14ac:dyDescent="0.3">
      <c r="A1999" s="11">
        <f>95.19*Hospital_Operations_Data[[#This Row],[Treatment_Cost_USD]]</f>
        <v>225307.11480000001</v>
      </c>
      <c r="C1999" s="13">
        <f>95.19*Hospital_Operations_Data[[#This Row],[Medication_Cost_USD]]</f>
        <v>72623.306699999986</v>
      </c>
    </row>
    <row r="2000" spans="1:3" x14ac:dyDescent="0.3">
      <c r="A2000" s="12">
        <f>95.19*Hospital_Operations_Data[[#This Row],[Treatment_Cost_USD]]</f>
        <v>464893.68150000001</v>
      </c>
      <c r="C2000" s="14">
        <f>95.19*Hospital_Operations_Data[[#This Row],[Medication_Cost_USD]]</f>
        <v>69903.728399999993</v>
      </c>
    </row>
    <row r="2001" spans="1:3" x14ac:dyDescent="0.3">
      <c r="A2001" s="11">
        <f>95.19*Hospital_Operations_Data[[#This Row],[Treatment_Cost_USD]]</f>
        <v>842424.83669999999</v>
      </c>
      <c r="C2001" s="13">
        <f>95.19*Hospital_Operations_Data[[#This Row],[Medication_Cost_USD]]</f>
        <v>137703.75779999999</v>
      </c>
    </row>
    <row r="2002" spans="1:3" x14ac:dyDescent="0.3">
      <c r="A2002" s="12">
        <f>95.19*Hospital_Operations_Data[[#This Row],[Treatment_Cost_USD]]</f>
        <v>129456.49619999999</v>
      </c>
      <c r="C2002" s="14">
        <f>95.19*Hospital_Operations_Data[[#This Row],[Medication_Cost_USD]]</f>
        <v>40080.701399999998</v>
      </c>
    </row>
    <row r="2003" spans="1:3" x14ac:dyDescent="0.3">
      <c r="A2003" s="11">
        <f>95.19*Hospital_Operations_Data[[#This Row],[Treatment_Cost_USD]]</f>
        <v>368858.39429999999</v>
      </c>
      <c r="C2003" s="13">
        <f>95.19*Hospital_Operations_Data[[#This Row],[Medication_Cost_USD]]</f>
        <v>81990.954599999997</v>
      </c>
    </row>
    <row r="2004" spans="1:3" x14ac:dyDescent="0.3">
      <c r="A2004" s="12">
        <f>95.19*Hospital_Operations_Data[[#This Row],[Treatment_Cost_USD]]</f>
        <v>421226.22089999996</v>
      </c>
      <c r="C2004" s="14">
        <f>95.19*Hospital_Operations_Data[[#This Row],[Medication_Cost_USD]]</f>
        <v>107305.78319999999</v>
      </c>
    </row>
    <row r="2005" spans="1:3" x14ac:dyDescent="0.3">
      <c r="A2005" s="11">
        <f>95.19*Hospital_Operations_Data[[#This Row],[Treatment_Cost_USD]]</f>
        <v>1190305.2588</v>
      </c>
      <c r="C2005" s="13">
        <f>95.19*Hospital_Operations_Data[[#This Row],[Medication_Cost_USD]]</f>
        <v>373612.18289999996</v>
      </c>
    </row>
    <row r="2006" spans="1:3" x14ac:dyDescent="0.3">
      <c r="A2006" s="12">
        <f>95.19*Hospital_Operations_Data[[#This Row],[Treatment_Cost_USD]]</f>
        <v>410393.59890000004</v>
      </c>
      <c r="C2006" s="14">
        <f>95.19*Hospital_Operations_Data[[#This Row],[Medication_Cost_USD]]</f>
        <v>151752.8499</v>
      </c>
    </row>
    <row r="2007" spans="1:3" x14ac:dyDescent="0.3">
      <c r="A2007" s="11">
        <f>95.19*Hospital_Operations_Data[[#This Row],[Treatment_Cost_USD]]</f>
        <v>1497990.7515</v>
      </c>
      <c r="C2007" s="13">
        <f>95.19*Hospital_Operations_Data[[#This Row],[Medication_Cost_USD]]</f>
        <v>265782.85470000003</v>
      </c>
    </row>
    <row r="2008" spans="1:3" x14ac:dyDescent="0.3">
      <c r="A2008" s="12">
        <f>95.19*Hospital_Operations_Data[[#This Row],[Treatment_Cost_USD]]</f>
        <v>738899.04839999997</v>
      </c>
      <c r="C2008" s="14">
        <f>95.19*Hospital_Operations_Data[[#This Row],[Medication_Cost_USD]]</f>
        <v>291630.74729999999</v>
      </c>
    </row>
    <row r="2009" spans="1:3" x14ac:dyDescent="0.3">
      <c r="A2009" s="11">
        <f>95.19*Hospital_Operations_Data[[#This Row],[Treatment_Cost_USD]]</f>
        <v>458348.41710000002</v>
      </c>
      <c r="C2009" s="13">
        <f>95.19*Hospital_Operations_Data[[#This Row],[Medication_Cost_USD]]</f>
        <v>153565.26749999999</v>
      </c>
    </row>
    <row r="2010" spans="1:3" x14ac:dyDescent="0.3">
      <c r="A2010" s="12">
        <f>95.19*Hospital_Operations_Data[[#This Row],[Treatment_Cost_USD]]</f>
        <v>712460.02590000001</v>
      </c>
      <c r="C2010" s="14">
        <f>95.19*Hospital_Operations_Data[[#This Row],[Medication_Cost_USD]]</f>
        <v>188710.36739999999</v>
      </c>
    </row>
    <row r="2011" spans="1:3" x14ac:dyDescent="0.3">
      <c r="A2011" s="11">
        <f>95.19*Hospital_Operations_Data[[#This Row],[Treatment_Cost_USD]]</f>
        <v>387840.23220000003</v>
      </c>
      <c r="C2011" s="13">
        <f>95.19*Hospital_Operations_Data[[#This Row],[Medication_Cost_USD]]</f>
        <v>140650.84019999998</v>
      </c>
    </row>
    <row r="2012" spans="1:3" x14ac:dyDescent="0.3">
      <c r="A2012" s="12">
        <f>95.19*Hospital_Operations_Data[[#This Row],[Treatment_Cost_USD]]</f>
        <v>275064.83159999998</v>
      </c>
      <c r="C2012" s="14">
        <f>95.19*Hospital_Operations_Data[[#This Row],[Medication_Cost_USD]]</f>
        <v>88773.242100000003</v>
      </c>
    </row>
    <row r="2013" spans="1:3" x14ac:dyDescent="0.3">
      <c r="A2013" s="11">
        <f>95.19*Hospital_Operations_Data[[#This Row],[Treatment_Cost_USD]]</f>
        <v>1066484.9624999999</v>
      </c>
      <c r="C2013" s="13">
        <f>95.19*Hospital_Operations_Data[[#This Row],[Medication_Cost_USD]]</f>
        <v>193715.45759999999</v>
      </c>
    </row>
    <row r="2014" spans="1:3" x14ac:dyDescent="0.3">
      <c r="A2014" s="12">
        <f>95.19*Hospital_Operations_Data[[#This Row],[Treatment_Cost_USD]]</f>
        <v>482305.83630000002</v>
      </c>
      <c r="C2014" s="14">
        <f>95.19*Hospital_Operations_Data[[#This Row],[Medication_Cost_USD]]</f>
        <v>121037.89259999999</v>
      </c>
    </row>
    <row r="2015" spans="1:3" x14ac:dyDescent="0.3">
      <c r="A2015" s="11">
        <f>95.19*Hospital_Operations_Data[[#This Row],[Treatment_Cost_USD]]</f>
        <v>320268.65879999998</v>
      </c>
      <c r="C2015" s="13">
        <f>95.19*Hospital_Operations_Data[[#This Row],[Medication_Cost_USD]]</f>
        <v>68637.701399999991</v>
      </c>
    </row>
    <row r="2016" spans="1:3" x14ac:dyDescent="0.3">
      <c r="A2016" s="12">
        <f>95.19*Hospital_Operations_Data[[#This Row],[Treatment_Cost_USD]]</f>
        <v>681139.66019999993</v>
      </c>
      <c r="C2016" s="14">
        <f>95.19*Hospital_Operations_Data[[#This Row],[Medication_Cost_USD]]</f>
        <v>118483.9449</v>
      </c>
    </row>
    <row r="2017" spans="1:3" x14ac:dyDescent="0.3">
      <c r="A2017" s="11">
        <f>95.19*Hospital_Operations_Data[[#This Row],[Treatment_Cost_USD]]</f>
        <v>891451.4942999999</v>
      </c>
      <c r="C2017" s="13">
        <f>95.19*Hospital_Operations_Data[[#This Row],[Medication_Cost_USD]]</f>
        <v>341927.23950000003</v>
      </c>
    </row>
    <row r="2018" spans="1:3" x14ac:dyDescent="0.3">
      <c r="A2018" s="12">
        <f>95.19*Hospital_Operations_Data[[#This Row],[Treatment_Cost_USD]]</f>
        <v>265459.20870000002</v>
      </c>
      <c r="C2018" s="14">
        <f>95.19*Hospital_Operations_Data[[#This Row],[Medication_Cost_USD]]</f>
        <v>60380.9208</v>
      </c>
    </row>
    <row r="2019" spans="1:3" x14ac:dyDescent="0.3">
      <c r="A2019" s="11">
        <f>95.19*Hospital_Operations_Data[[#This Row],[Treatment_Cost_USD]]</f>
        <v>1595176.8858</v>
      </c>
      <c r="C2019" s="13">
        <f>95.19*Hospital_Operations_Data[[#This Row],[Medication_Cost_USD]]</f>
        <v>260214.23970000001</v>
      </c>
    </row>
    <row r="2020" spans="1:3" x14ac:dyDescent="0.3">
      <c r="A2020" s="12">
        <f>95.19*Hospital_Operations_Data[[#This Row],[Treatment_Cost_USD]]</f>
        <v>705810.05249999999</v>
      </c>
      <c r="C2020" s="14">
        <f>95.19*Hospital_Operations_Data[[#This Row],[Medication_Cost_USD]]</f>
        <v>184445.8554</v>
      </c>
    </row>
    <row r="2021" spans="1:3" x14ac:dyDescent="0.3">
      <c r="A2021" s="11">
        <f>95.19*Hospital_Operations_Data[[#This Row],[Treatment_Cost_USD]]</f>
        <v>281012.3028</v>
      </c>
      <c r="C2021" s="13">
        <f>95.19*Hospital_Operations_Data[[#This Row],[Medication_Cost_USD]]</f>
        <v>92517.064799999993</v>
      </c>
    </row>
    <row r="2022" spans="1:3" x14ac:dyDescent="0.3">
      <c r="A2022" s="12">
        <f>95.19*Hospital_Operations_Data[[#This Row],[Treatment_Cost_USD]]</f>
        <v>1035825.2154</v>
      </c>
      <c r="C2022" s="14">
        <f>95.19*Hospital_Operations_Data[[#This Row],[Medication_Cost_USD]]</f>
        <v>347879.47019999998</v>
      </c>
    </row>
    <row r="2023" spans="1:3" x14ac:dyDescent="0.3">
      <c r="A2023" s="11">
        <f>95.19*Hospital_Operations_Data[[#This Row],[Treatment_Cost_USD]]</f>
        <v>856516.76429999992</v>
      </c>
      <c r="C2023" s="13">
        <f>95.19*Hospital_Operations_Data[[#This Row],[Medication_Cost_USD]]</f>
        <v>147130.4235</v>
      </c>
    </row>
    <row r="2024" spans="1:3" x14ac:dyDescent="0.3">
      <c r="A2024" s="12">
        <f>95.19*Hospital_Operations_Data[[#This Row],[Treatment_Cost_USD]]</f>
        <v>482916.00420000002</v>
      </c>
      <c r="C2024" s="14">
        <f>95.19*Hospital_Operations_Data[[#This Row],[Medication_Cost_USD]]</f>
        <v>100348.34610000001</v>
      </c>
    </row>
    <row r="2025" spans="1:3" x14ac:dyDescent="0.3">
      <c r="A2025" s="11">
        <f>95.19*Hospital_Operations_Data[[#This Row],[Treatment_Cost_USD]]</f>
        <v>163642.0809</v>
      </c>
      <c r="C2025" s="13">
        <f>95.19*Hospital_Operations_Data[[#This Row],[Medication_Cost_USD]]</f>
        <v>50582.0622</v>
      </c>
    </row>
    <row r="2026" spans="1:3" x14ac:dyDescent="0.3">
      <c r="A2026" s="12">
        <f>95.19*Hospital_Operations_Data[[#This Row],[Treatment_Cost_USD]]</f>
        <v>185095.05119999999</v>
      </c>
      <c r="C2026" s="14">
        <f>95.19*Hospital_Operations_Data[[#This Row],[Medication_Cost_USD]]</f>
        <v>52770.480299999996</v>
      </c>
    </row>
    <row r="2027" spans="1:3" x14ac:dyDescent="0.3">
      <c r="A2027" s="11">
        <f>95.19*Hospital_Operations_Data[[#This Row],[Treatment_Cost_USD]]</f>
        <v>899992.89300000004</v>
      </c>
      <c r="C2027" s="13">
        <f>95.19*Hospital_Operations_Data[[#This Row],[Medication_Cost_USD]]</f>
        <v>163622.09100000001</v>
      </c>
    </row>
    <row r="2028" spans="1:3" x14ac:dyDescent="0.3">
      <c r="A2028" s="12">
        <f>95.19*Hospital_Operations_Data[[#This Row],[Treatment_Cost_USD]]</f>
        <v>382630.48349999997</v>
      </c>
      <c r="C2028" s="14">
        <f>95.19*Hospital_Operations_Data[[#This Row],[Medication_Cost_USD]]</f>
        <v>116922.82889999999</v>
      </c>
    </row>
    <row r="2029" spans="1:3" x14ac:dyDescent="0.3">
      <c r="A2029" s="11">
        <f>95.19*Hospital_Operations_Data[[#This Row],[Treatment_Cost_USD]]</f>
        <v>1023609.4826999999</v>
      </c>
      <c r="C2029" s="13">
        <f>95.19*Hospital_Operations_Data[[#This Row],[Medication_Cost_USD]]</f>
        <v>156756.98819999999</v>
      </c>
    </row>
    <row r="2030" spans="1:3" x14ac:dyDescent="0.3">
      <c r="A2030" s="12">
        <f>95.19*Hospital_Operations_Data[[#This Row],[Treatment_Cost_USD]]</f>
        <v>585116.74769999995</v>
      </c>
      <c r="C2030" s="14">
        <f>95.19*Hospital_Operations_Data[[#This Row],[Medication_Cost_USD]]</f>
        <v>187817.4852</v>
      </c>
    </row>
    <row r="2031" spans="1:3" x14ac:dyDescent="0.3">
      <c r="A2031" s="11">
        <f>95.19*Hospital_Operations_Data[[#This Row],[Treatment_Cost_USD]]</f>
        <v>588612.12450000003</v>
      </c>
      <c r="C2031" s="13">
        <f>95.19*Hospital_Operations_Data[[#This Row],[Medication_Cost_USD]]</f>
        <v>128296.13009999999</v>
      </c>
    </row>
    <row r="2032" spans="1:3" x14ac:dyDescent="0.3">
      <c r="A2032" s="12">
        <f>95.19*Hospital_Operations_Data[[#This Row],[Treatment_Cost_USD]]</f>
        <v>385355.7732</v>
      </c>
      <c r="C2032" s="14">
        <f>95.19*Hospital_Operations_Data[[#This Row],[Medication_Cost_USD]]</f>
        <v>135467.74470000001</v>
      </c>
    </row>
    <row r="2033" spans="1:3" x14ac:dyDescent="0.3">
      <c r="A2033" s="11">
        <f>95.19*Hospital_Operations_Data[[#This Row],[Treatment_Cost_USD]]</f>
        <v>396734.78579999995</v>
      </c>
      <c r="C2033" s="13">
        <f>95.19*Hospital_Operations_Data[[#This Row],[Medication_Cost_USD]]</f>
        <v>108312.89339999999</v>
      </c>
    </row>
    <row r="2034" spans="1:3" x14ac:dyDescent="0.3">
      <c r="A2034" s="12">
        <f>95.19*Hospital_Operations_Data[[#This Row],[Treatment_Cost_USD]]</f>
        <v>684571.25969999994</v>
      </c>
      <c r="C2034" s="14">
        <f>95.19*Hospital_Operations_Data[[#This Row],[Medication_Cost_USD]]</f>
        <v>258817.80239999999</v>
      </c>
    </row>
    <row r="2035" spans="1:3" x14ac:dyDescent="0.3">
      <c r="A2035" s="11">
        <f>95.19*Hospital_Operations_Data[[#This Row],[Treatment_Cost_USD]]</f>
        <v>262122.79919999998</v>
      </c>
      <c r="C2035" s="13">
        <f>95.19*Hospital_Operations_Data[[#This Row],[Medication_Cost_USD]]</f>
        <v>64411.265399999997</v>
      </c>
    </row>
    <row r="2036" spans="1:3" x14ac:dyDescent="0.3">
      <c r="A2036" s="12">
        <f>95.19*Hospital_Operations_Data[[#This Row],[Treatment_Cost_USD]]</f>
        <v>1166009.9151000001</v>
      </c>
      <c r="C2036" s="14">
        <f>95.19*Hospital_Operations_Data[[#This Row],[Medication_Cost_USD]]</f>
        <v>285015.04229999997</v>
      </c>
    </row>
    <row r="2037" spans="1:3" x14ac:dyDescent="0.3">
      <c r="A2037" s="11">
        <f>95.19*Hospital_Operations_Data[[#This Row],[Treatment_Cost_USD]]</f>
        <v>391731.59940000001</v>
      </c>
      <c r="C2037" s="13">
        <f>95.19*Hospital_Operations_Data[[#This Row],[Medication_Cost_USD]]</f>
        <v>58906.4277</v>
      </c>
    </row>
    <row r="2038" spans="1:3" x14ac:dyDescent="0.3">
      <c r="A2038" s="12">
        <f>95.19*Hospital_Operations_Data[[#This Row],[Treatment_Cost_USD]]</f>
        <v>1179360.3126000001</v>
      </c>
      <c r="C2038" s="14">
        <f>95.19*Hospital_Operations_Data[[#This Row],[Medication_Cost_USD]]</f>
        <v>312728.65889999998</v>
      </c>
    </row>
    <row r="2039" spans="1:3" x14ac:dyDescent="0.3">
      <c r="A2039" s="11">
        <f>95.19*Hospital_Operations_Data[[#This Row],[Treatment_Cost_USD]]</f>
        <v>1142412.3140999998</v>
      </c>
      <c r="C2039" s="13">
        <f>95.19*Hospital_Operations_Data[[#This Row],[Medication_Cost_USD]]</f>
        <v>255339.55979999999</v>
      </c>
    </row>
    <row r="2040" spans="1:3" x14ac:dyDescent="0.3">
      <c r="A2040" s="12">
        <f>95.19*Hospital_Operations_Data[[#This Row],[Treatment_Cost_USD]]</f>
        <v>363271.69320000004</v>
      </c>
      <c r="C2040" s="14">
        <f>95.19*Hospital_Operations_Data[[#This Row],[Medication_Cost_USD]]</f>
        <v>87605.260800000004</v>
      </c>
    </row>
    <row r="2041" spans="1:3" x14ac:dyDescent="0.3">
      <c r="A2041" s="11">
        <f>95.19*Hospital_Operations_Data[[#This Row],[Treatment_Cost_USD]]</f>
        <v>967002.84539999999</v>
      </c>
      <c r="C2041" s="13">
        <f>95.19*Hospital_Operations_Data[[#This Row],[Medication_Cost_USD]]</f>
        <v>210433.67730000001</v>
      </c>
    </row>
    <row r="2042" spans="1:3" x14ac:dyDescent="0.3">
      <c r="A2042" s="12">
        <f>95.19*Hospital_Operations_Data[[#This Row],[Treatment_Cost_USD]]</f>
        <v>523783.92690000002</v>
      </c>
      <c r="C2042" s="14">
        <f>95.19*Hospital_Operations_Data[[#This Row],[Medication_Cost_USD]]</f>
        <v>175378.05600000001</v>
      </c>
    </row>
    <row r="2043" spans="1:3" x14ac:dyDescent="0.3">
      <c r="A2043" s="11">
        <f>95.19*Hospital_Operations_Data[[#This Row],[Treatment_Cost_USD]]</f>
        <v>1268162.1117</v>
      </c>
      <c r="C2043" s="13">
        <f>95.19*Hospital_Operations_Data[[#This Row],[Medication_Cost_USD]]</f>
        <v>194454.13199999998</v>
      </c>
    </row>
    <row r="2044" spans="1:3" x14ac:dyDescent="0.3">
      <c r="A2044" s="12">
        <f>95.19*Hospital_Operations_Data[[#This Row],[Treatment_Cost_USD]]</f>
        <v>1835880.9831000001</v>
      </c>
      <c r="C2044" s="14">
        <f>95.19*Hospital_Operations_Data[[#This Row],[Medication_Cost_USD]]</f>
        <v>389644.08269999997</v>
      </c>
    </row>
    <row r="2045" spans="1:3" x14ac:dyDescent="0.3">
      <c r="A2045" s="11">
        <f>95.19*Hospital_Operations_Data[[#This Row],[Treatment_Cost_USD]]</f>
        <v>542642.01780000003</v>
      </c>
      <c r="C2045" s="13">
        <f>95.19*Hospital_Operations_Data[[#This Row],[Medication_Cost_USD]]</f>
        <v>94637.898000000001</v>
      </c>
    </row>
    <row r="2046" spans="1:3" x14ac:dyDescent="0.3">
      <c r="A2046" s="12">
        <f>95.19*Hospital_Operations_Data[[#This Row],[Treatment_Cost_USD]]</f>
        <v>494714.80469999998</v>
      </c>
      <c r="C2046" s="14">
        <f>95.19*Hospital_Operations_Data[[#This Row],[Medication_Cost_USD]]</f>
        <v>168368.26439999999</v>
      </c>
    </row>
    <row r="2047" spans="1:3" x14ac:dyDescent="0.3">
      <c r="A2047" s="11">
        <f>95.19*Hospital_Operations_Data[[#This Row],[Treatment_Cost_USD]]</f>
        <v>603012.46769999992</v>
      </c>
      <c r="C2047" s="13">
        <f>95.19*Hospital_Operations_Data[[#This Row],[Medication_Cost_USD]]</f>
        <v>95495.559900000007</v>
      </c>
    </row>
    <row r="2048" spans="1:3" x14ac:dyDescent="0.3">
      <c r="A2048" s="12">
        <f>95.19*Hospital_Operations_Data[[#This Row],[Treatment_Cost_USD]]</f>
        <v>96137.140500000009</v>
      </c>
      <c r="C2048" s="14">
        <f>95.19*Hospital_Operations_Data[[#This Row],[Medication_Cost_USD]]</f>
        <v>22544.799599999998</v>
      </c>
    </row>
    <row r="2049" spans="1:3" x14ac:dyDescent="0.3">
      <c r="A2049" s="11">
        <f>95.19*Hospital_Operations_Data[[#This Row],[Treatment_Cost_USD]]</f>
        <v>469033.49459999998</v>
      </c>
      <c r="C2049" s="13">
        <f>95.19*Hospital_Operations_Data[[#This Row],[Medication_Cost_USD]]</f>
        <v>175809.26670000001</v>
      </c>
    </row>
    <row r="2050" spans="1:3" x14ac:dyDescent="0.3">
      <c r="A2050" s="12">
        <f>95.19*Hospital_Operations_Data[[#This Row],[Treatment_Cost_USD]]</f>
        <v>847621.25880000007</v>
      </c>
      <c r="C2050" s="14">
        <f>95.19*Hospital_Operations_Data[[#This Row],[Medication_Cost_USD]]</f>
        <v>292643.56890000001</v>
      </c>
    </row>
    <row r="2051" spans="1:3" x14ac:dyDescent="0.3">
      <c r="A2051" s="11">
        <f>95.19*Hospital_Operations_Data[[#This Row],[Treatment_Cost_USD]]</f>
        <v>815108.16239999991</v>
      </c>
      <c r="C2051" s="13">
        <f>95.19*Hospital_Operations_Data[[#This Row],[Medication_Cost_USD]]</f>
        <v>158517.05129999999</v>
      </c>
    </row>
    <row r="2052" spans="1:3" x14ac:dyDescent="0.3">
      <c r="A2052" s="12">
        <f>95.19*Hospital_Operations_Data[[#This Row],[Treatment_Cost_USD]]</f>
        <v>972693.30359999998</v>
      </c>
      <c r="C2052" s="14">
        <f>95.19*Hospital_Operations_Data[[#This Row],[Medication_Cost_USD]]</f>
        <v>303317.22360000003</v>
      </c>
    </row>
    <row r="2053" spans="1:3" x14ac:dyDescent="0.3">
      <c r="A2053" s="11">
        <f>95.19*Hospital_Operations_Data[[#This Row],[Treatment_Cost_USD]]</f>
        <v>423647.85450000002</v>
      </c>
      <c r="C2053" s="13">
        <f>95.19*Hospital_Operations_Data[[#This Row],[Medication_Cost_USD]]</f>
        <v>131104.23509999999</v>
      </c>
    </row>
    <row r="2054" spans="1:3" x14ac:dyDescent="0.3">
      <c r="A2054" s="12">
        <f>95.19*Hospital_Operations_Data[[#This Row],[Treatment_Cost_USD]]</f>
        <v>352960.71240000002</v>
      </c>
      <c r="C2054" s="14">
        <f>95.19*Hospital_Operations_Data[[#This Row],[Medication_Cost_USD]]</f>
        <v>74386.2255</v>
      </c>
    </row>
    <row r="2055" spans="1:3" x14ac:dyDescent="0.3">
      <c r="A2055" s="11">
        <f>95.19*Hospital_Operations_Data[[#This Row],[Treatment_Cost_USD]]</f>
        <v>679360.55910000007</v>
      </c>
      <c r="C2055" s="13">
        <f>95.19*Hospital_Operations_Data[[#This Row],[Medication_Cost_USD]]</f>
        <v>203105.95110000001</v>
      </c>
    </row>
    <row r="2056" spans="1:3" x14ac:dyDescent="0.3">
      <c r="A2056" s="12">
        <f>95.19*Hospital_Operations_Data[[#This Row],[Treatment_Cost_USD]]</f>
        <v>952112.2736999999</v>
      </c>
      <c r="C2056" s="14">
        <f>95.19*Hospital_Operations_Data[[#This Row],[Medication_Cost_USD]]</f>
        <v>287181.56669999997</v>
      </c>
    </row>
    <row r="2057" spans="1:3" x14ac:dyDescent="0.3">
      <c r="A2057" s="11">
        <f>95.19*Hospital_Operations_Data[[#This Row],[Treatment_Cost_USD]]</f>
        <v>603501.74430000002</v>
      </c>
      <c r="C2057" s="13">
        <f>95.19*Hospital_Operations_Data[[#This Row],[Medication_Cost_USD]]</f>
        <v>132529.22939999998</v>
      </c>
    </row>
    <row r="2058" spans="1:3" x14ac:dyDescent="0.3">
      <c r="A2058" s="12">
        <f>95.19*Hospital_Operations_Data[[#This Row],[Treatment_Cost_USD]]</f>
        <v>652203.804</v>
      </c>
      <c r="C2058" s="14">
        <f>95.19*Hospital_Operations_Data[[#This Row],[Medication_Cost_USD]]</f>
        <v>132816.70319999999</v>
      </c>
    </row>
    <row r="2059" spans="1:3" x14ac:dyDescent="0.3">
      <c r="A2059" s="11">
        <f>95.19*Hospital_Operations_Data[[#This Row],[Treatment_Cost_USD]]</f>
        <v>526210.31999999995</v>
      </c>
      <c r="C2059" s="13">
        <f>95.19*Hospital_Operations_Data[[#This Row],[Medication_Cost_USD]]</f>
        <v>195156.63419999997</v>
      </c>
    </row>
    <row r="2060" spans="1:3" x14ac:dyDescent="0.3">
      <c r="A2060" s="12">
        <f>95.19*Hospital_Operations_Data[[#This Row],[Treatment_Cost_USD]]</f>
        <v>871044.66209999996</v>
      </c>
      <c r="C2060" s="14">
        <f>95.19*Hospital_Operations_Data[[#This Row],[Medication_Cost_USD]]</f>
        <v>335883.62640000001</v>
      </c>
    </row>
    <row r="2061" spans="1:3" x14ac:dyDescent="0.3">
      <c r="A2061" s="11">
        <f>95.19*Hospital_Operations_Data[[#This Row],[Treatment_Cost_USD]]</f>
        <v>444596.31779999996</v>
      </c>
      <c r="C2061" s="13">
        <f>95.19*Hospital_Operations_Data[[#This Row],[Medication_Cost_USD]]</f>
        <v>175430.4105</v>
      </c>
    </row>
    <row r="2062" spans="1:3" x14ac:dyDescent="0.3">
      <c r="A2062" s="12">
        <f>95.19*Hospital_Operations_Data[[#This Row],[Treatment_Cost_USD]]</f>
        <v>1237789.8384</v>
      </c>
      <c r="C2062" s="14">
        <f>95.19*Hospital_Operations_Data[[#This Row],[Medication_Cost_USD]]</f>
        <v>286569.495</v>
      </c>
    </row>
    <row r="2063" spans="1:3" x14ac:dyDescent="0.3">
      <c r="A2063" s="11">
        <f>95.19*Hospital_Operations_Data[[#This Row],[Treatment_Cost_USD]]</f>
        <v>1199056.0755</v>
      </c>
      <c r="C2063" s="13">
        <f>95.19*Hospital_Operations_Data[[#This Row],[Medication_Cost_USD]]</f>
        <v>202675.6923</v>
      </c>
    </row>
    <row r="2064" spans="1:3" x14ac:dyDescent="0.3">
      <c r="A2064" s="12">
        <f>95.19*Hospital_Operations_Data[[#This Row],[Treatment_Cost_USD]]</f>
        <v>829261.96349999995</v>
      </c>
      <c r="C2064" s="14">
        <f>95.19*Hospital_Operations_Data[[#This Row],[Medication_Cost_USD]]</f>
        <v>180023.32800000001</v>
      </c>
    </row>
    <row r="2065" spans="1:3" x14ac:dyDescent="0.3">
      <c r="A2065" s="11">
        <f>95.19*Hospital_Operations_Data[[#This Row],[Treatment_Cost_USD]]</f>
        <v>1331906.0951999999</v>
      </c>
      <c r="C2065" s="13">
        <f>95.19*Hospital_Operations_Data[[#This Row],[Medication_Cost_USD]]</f>
        <v>348650.50919999997</v>
      </c>
    </row>
    <row r="2066" spans="1:3" x14ac:dyDescent="0.3">
      <c r="A2066" s="12">
        <f>95.19*Hospital_Operations_Data[[#This Row],[Treatment_Cost_USD]]</f>
        <v>1430073.6384000001</v>
      </c>
      <c r="C2066" s="14">
        <f>95.19*Hospital_Operations_Data[[#This Row],[Medication_Cost_USD]]</f>
        <v>384196.359</v>
      </c>
    </row>
    <row r="2067" spans="1:3" x14ac:dyDescent="0.3">
      <c r="A2067" s="11">
        <f>95.19*Hospital_Operations_Data[[#This Row],[Treatment_Cost_USD]]</f>
        <v>292996.72379999998</v>
      </c>
      <c r="C2067" s="13">
        <f>95.19*Hospital_Operations_Data[[#This Row],[Medication_Cost_USD]]</f>
        <v>78973.431599999996</v>
      </c>
    </row>
    <row r="2068" spans="1:3" x14ac:dyDescent="0.3">
      <c r="A2068" s="12">
        <f>95.19*Hospital_Operations_Data[[#This Row],[Treatment_Cost_USD]]</f>
        <v>481889.85599999997</v>
      </c>
      <c r="C2068" s="14">
        <f>95.19*Hospital_Operations_Data[[#This Row],[Medication_Cost_USD]]</f>
        <v>159561.2856</v>
      </c>
    </row>
    <row r="2069" spans="1:3" x14ac:dyDescent="0.3">
      <c r="A2069" s="11">
        <f>95.19*Hospital_Operations_Data[[#This Row],[Treatment_Cost_USD]]</f>
        <v>856598.62769999995</v>
      </c>
      <c r="C2069" s="13">
        <f>95.19*Hospital_Operations_Data[[#This Row],[Medication_Cost_USD]]</f>
        <v>318385.80059999996</v>
      </c>
    </row>
    <row r="2070" spans="1:3" x14ac:dyDescent="0.3">
      <c r="A2070" s="12">
        <f>95.19*Hospital_Operations_Data[[#This Row],[Treatment_Cost_USD]]</f>
        <v>1375738.2344999998</v>
      </c>
      <c r="C2070" s="14">
        <f>95.19*Hospital_Operations_Data[[#This Row],[Medication_Cost_USD]]</f>
        <v>390582.65609999996</v>
      </c>
    </row>
    <row r="2071" spans="1:3" x14ac:dyDescent="0.3">
      <c r="A2071" s="11">
        <f>95.19*Hospital_Operations_Data[[#This Row],[Treatment_Cost_USD]]</f>
        <v>259388.9424</v>
      </c>
      <c r="C2071" s="13">
        <f>95.19*Hospital_Operations_Data[[#This Row],[Medication_Cost_USD]]</f>
        <v>84966.593999999997</v>
      </c>
    </row>
    <row r="2072" spans="1:3" x14ac:dyDescent="0.3">
      <c r="A2072" s="12">
        <f>95.19*Hospital_Operations_Data[[#This Row],[Treatment_Cost_USD]]</f>
        <v>884679.6777</v>
      </c>
      <c r="C2072" s="14">
        <f>95.19*Hospital_Operations_Data[[#This Row],[Medication_Cost_USD]]</f>
        <v>289236.71879999997</v>
      </c>
    </row>
    <row r="2073" spans="1:3" x14ac:dyDescent="0.3">
      <c r="A2073" s="11">
        <f>95.19*Hospital_Operations_Data[[#This Row],[Treatment_Cost_USD]]</f>
        <v>811696.55280000006</v>
      </c>
      <c r="C2073" s="13">
        <f>95.19*Hospital_Operations_Data[[#This Row],[Medication_Cost_USD]]</f>
        <v>246242.25149999998</v>
      </c>
    </row>
    <row r="2074" spans="1:3" x14ac:dyDescent="0.3">
      <c r="A2074" s="12">
        <f>95.19*Hospital_Operations_Data[[#This Row],[Treatment_Cost_USD]]</f>
        <v>283179.77909999999</v>
      </c>
      <c r="C2074" s="14">
        <f>95.19*Hospital_Operations_Data[[#This Row],[Medication_Cost_USD]]</f>
        <v>77951.091</v>
      </c>
    </row>
    <row r="2075" spans="1:3" x14ac:dyDescent="0.3">
      <c r="A2075" s="11">
        <f>95.19*Hospital_Operations_Data[[#This Row],[Treatment_Cost_USD]]</f>
        <v>1796628.4347000001</v>
      </c>
      <c r="C2075" s="13">
        <f>95.19*Hospital_Operations_Data[[#This Row],[Medication_Cost_USD]]</f>
        <v>310099.5111</v>
      </c>
    </row>
    <row r="2076" spans="1:3" x14ac:dyDescent="0.3">
      <c r="A2076" s="12">
        <f>95.19*Hospital_Operations_Data[[#This Row],[Treatment_Cost_USD]]</f>
        <v>1479360.1646999998</v>
      </c>
      <c r="C2076" s="14">
        <f>95.19*Hospital_Operations_Data[[#This Row],[Medication_Cost_USD]]</f>
        <v>270719.4081</v>
      </c>
    </row>
    <row r="2077" spans="1:3" x14ac:dyDescent="0.3">
      <c r="A2077" s="11">
        <f>95.19*Hospital_Operations_Data[[#This Row],[Treatment_Cost_USD]]</f>
        <v>746669.4081</v>
      </c>
      <c r="C2077" s="13">
        <f>95.19*Hospital_Operations_Data[[#This Row],[Medication_Cost_USD]]</f>
        <v>200909.9178</v>
      </c>
    </row>
    <row r="2078" spans="1:3" x14ac:dyDescent="0.3">
      <c r="A2078" s="12">
        <f>95.19*Hospital_Operations_Data[[#This Row],[Treatment_Cost_USD]]</f>
        <v>1338434.2253999999</v>
      </c>
      <c r="C2078" s="14">
        <f>95.19*Hospital_Operations_Data[[#This Row],[Medication_Cost_USD]]</f>
        <v>471047.71499999997</v>
      </c>
    </row>
    <row r="2079" spans="1:3" x14ac:dyDescent="0.3">
      <c r="A2079" s="11">
        <f>95.19*Hospital_Operations_Data[[#This Row],[Treatment_Cost_USD]]</f>
        <v>718046.72699999996</v>
      </c>
      <c r="C2079" s="13">
        <f>95.19*Hospital_Operations_Data[[#This Row],[Medication_Cost_USD]]</f>
        <v>115513.065</v>
      </c>
    </row>
    <row r="2080" spans="1:3" x14ac:dyDescent="0.3">
      <c r="A2080" s="12">
        <f>95.19*Hospital_Operations_Data[[#This Row],[Treatment_Cost_USD]]</f>
        <v>860310.0858</v>
      </c>
      <c r="C2080" s="14">
        <f>95.19*Hospital_Operations_Data[[#This Row],[Medication_Cost_USD]]</f>
        <v>283773.7647</v>
      </c>
    </row>
    <row r="2081" spans="1:3" x14ac:dyDescent="0.3">
      <c r="A2081" s="11">
        <f>95.19*Hospital_Operations_Data[[#This Row],[Treatment_Cost_USD]]</f>
        <v>600571.79609999992</v>
      </c>
      <c r="C2081" s="13">
        <f>95.19*Hospital_Operations_Data[[#This Row],[Medication_Cost_USD]]</f>
        <v>181022.823</v>
      </c>
    </row>
    <row r="2082" spans="1:3" x14ac:dyDescent="0.3">
      <c r="A2082" s="12">
        <f>95.19*Hospital_Operations_Data[[#This Row],[Treatment_Cost_USD]]</f>
        <v>230559.69899999999</v>
      </c>
      <c r="C2082" s="14">
        <f>95.19*Hospital_Operations_Data[[#This Row],[Medication_Cost_USD]]</f>
        <v>87860.37</v>
      </c>
    </row>
    <row r="2083" spans="1:3" x14ac:dyDescent="0.3">
      <c r="A2083" s="11">
        <f>95.19*Hospital_Operations_Data[[#This Row],[Treatment_Cost_USD]]</f>
        <v>304153.9437</v>
      </c>
      <c r="C2083" s="13">
        <f>95.19*Hospital_Operations_Data[[#This Row],[Medication_Cost_USD]]</f>
        <v>59349.061200000004</v>
      </c>
    </row>
    <row r="2084" spans="1:3" x14ac:dyDescent="0.3">
      <c r="A2084" s="12">
        <f>95.19*Hospital_Operations_Data[[#This Row],[Treatment_Cost_USD]]</f>
        <v>907204.48739999987</v>
      </c>
      <c r="C2084" s="14">
        <f>95.19*Hospital_Operations_Data[[#This Row],[Medication_Cost_USD]]</f>
        <v>247306.47570000001</v>
      </c>
    </row>
    <row r="2085" spans="1:3" x14ac:dyDescent="0.3">
      <c r="A2085" s="11">
        <f>95.19*Hospital_Operations_Data[[#This Row],[Treatment_Cost_USD]]</f>
        <v>2177272.3029</v>
      </c>
      <c r="C2085" s="13">
        <f>95.19*Hospital_Operations_Data[[#This Row],[Medication_Cost_USD]]</f>
        <v>362753.85960000003</v>
      </c>
    </row>
    <row r="2086" spans="1:3" x14ac:dyDescent="0.3">
      <c r="A2086" s="12">
        <f>95.19*Hospital_Operations_Data[[#This Row],[Treatment_Cost_USD]]</f>
        <v>1059155.3325</v>
      </c>
      <c r="C2086" s="14">
        <f>95.19*Hospital_Operations_Data[[#This Row],[Medication_Cost_USD]]</f>
        <v>251604.30419999998</v>
      </c>
    </row>
    <row r="2087" spans="1:3" x14ac:dyDescent="0.3">
      <c r="A2087" s="11">
        <f>95.19*Hospital_Operations_Data[[#This Row],[Treatment_Cost_USD]]</f>
        <v>390027.69839999994</v>
      </c>
      <c r="C2087" s="13">
        <f>95.19*Hospital_Operations_Data[[#This Row],[Medication_Cost_USD]]</f>
        <v>107179.1805</v>
      </c>
    </row>
    <row r="2088" spans="1:3" x14ac:dyDescent="0.3">
      <c r="A2088" s="12">
        <f>95.19*Hospital_Operations_Data[[#This Row],[Treatment_Cost_USD]]</f>
        <v>335680.87169999996</v>
      </c>
      <c r="C2088" s="14">
        <f>95.19*Hospital_Operations_Data[[#This Row],[Medication_Cost_USD]]</f>
        <v>126893.02949999999</v>
      </c>
    </row>
    <row r="2089" spans="1:3" x14ac:dyDescent="0.3">
      <c r="A2089" s="11">
        <f>95.19*Hospital_Operations_Data[[#This Row],[Treatment_Cost_USD]]</f>
        <v>956537.65679999988</v>
      </c>
      <c r="C2089" s="13">
        <f>95.19*Hospital_Operations_Data[[#This Row],[Medication_Cost_USD]]</f>
        <v>348541.9926</v>
      </c>
    </row>
    <row r="2090" spans="1:3" x14ac:dyDescent="0.3">
      <c r="A2090" s="12">
        <f>95.19*Hospital_Operations_Data[[#This Row],[Treatment_Cost_USD]]</f>
        <v>1423808.2326</v>
      </c>
      <c r="C2090" s="14">
        <f>95.19*Hospital_Operations_Data[[#This Row],[Medication_Cost_USD]]</f>
        <v>343792.96350000001</v>
      </c>
    </row>
    <row r="2091" spans="1:3" x14ac:dyDescent="0.3">
      <c r="A2091" s="11">
        <f>95.19*Hospital_Operations_Data[[#This Row],[Treatment_Cost_USD]]</f>
        <v>572452.67009999999</v>
      </c>
      <c r="C2091" s="13">
        <f>95.19*Hospital_Operations_Data[[#This Row],[Medication_Cost_USD]]</f>
        <v>95369.90909999999</v>
      </c>
    </row>
    <row r="2092" spans="1:3" x14ac:dyDescent="0.3">
      <c r="A2092" s="12">
        <f>95.19*Hospital_Operations_Data[[#This Row],[Treatment_Cost_USD]]</f>
        <v>303646.58100000001</v>
      </c>
      <c r="C2092" s="14">
        <f>95.19*Hospital_Operations_Data[[#This Row],[Medication_Cost_USD]]</f>
        <v>84194.603099999993</v>
      </c>
    </row>
    <row r="2093" spans="1:3" x14ac:dyDescent="0.3">
      <c r="A2093" s="11">
        <f>95.19*Hospital_Operations_Data[[#This Row],[Treatment_Cost_USD]]</f>
        <v>796944.95849999995</v>
      </c>
      <c r="C2093" s="13">
        <f>95.19*Hospital_Operations_Data[[#This Row],[Medication_Cost_USD]]</f>
        <v>179609.25149999998</v>
      </c>
    </row>
    <row r="2094" spans="1:3" x14ac:dyDescent="0.3">
      <c r="A2094" s="12">
        <f>95.19*Hospital_Operations_Data[[#This Row],[Treatment_Cost_USD]]</f>
        <v>690480.65489999996</v>
      </c>
      <c r="C2094" s="14">
        <f>95.19*Hospital_Operations_Data[[#This Row],[Medication_Cost_USD]]</f>
        <v>200274.04860000001</v>
      </c>
    </row>
    <row r="2095" spans="1:3" x14ac:dyDescent="0.3">
      <c r="A2095" s="11">
        <f>95.19*Hospital_Operations_Data[[#This Row],[Treatment_Cost_USD]]</f>
        <v>515052.14819999994</v>
      </c>
      <c r="C2095" s="13">
        <f>95.19*Hospital_Operations_Data[[#This Row],[Medication_Cost_USD]]</f>
        <v>89622.336899999995</v>
      </c>
    </row>
    <row r="2096" spans="1:3" x14ac:dyDescent="0.3">
      <c r="A2096" s="12">
        <f>95.19*Hospital_Operations_Data[[#This Row],[Treatment_Cost_USD]]</f>
        <v>275952.95429999998</v>
      </c>
      <c r="C2096" s="14">
        <f>95.19*Hospital_Operations_Data[[#This Row],[Medication_Cost_USD]]</f>
        <v>77697.885599999994</v>
      </c>
    </row>
    <row r="2097" spans="1:3" x14ac:dyDescent="0.3">
      <c r="A2097" s="11">
        <f>95.19*Hospital_Operations_Data[[#This Row],[Treatment_Cost_USD]]</f>
        <v>2480132.6144999997</v>
      </c>
      <c r="C2097" s="13">
        <f>95.19*Hospital_Operations_Data[[#This Row],[Medication_Cost_USD]]</f>
        <v>511034.17829999997</v>
      </c>
    </row>
    <row r="2098" spans="1:3" x14ac:dyDescent="0.3">
      <c r="A2098" s="12">
        <f>95.19*Hospital_Operations_Data[[#This Row],[Treatment_Cost_USD]]</f>
        <v>255469.01820000002</v>
      </c>
      <c r="C2098" s="14">
        <f>95.19*Hospital_Operations_Data[[#This Row],[Medication_Cost_USD]]</f>
        <v>79631.194499999998</v>
      </c>
    </row>
    <row r="2099" spans="1:3" x14ac:dyDescent="0.3">
      <c r="A2099" s="11">
        <f>95.19*Hospital_Operations_Data[[#This Row],[Treatment_Cost_USD]]</f>
        <v>268607.14199999999</v>
      </c>
      <c r="C2099" s="13">
        <f>95.19*Hospital_Operations_Data[[#This Row],[Medication_Cost_USD]]</f>
        <v>46630.725299999998</v>
      </c>
    </row>
    <row r="2100" spans="1:3" x14ac:dyDescent="0.3">
      <c r="A2100" s="12">
        <f>95.19*Hospital_Operations_Data[[#This Row],[Treatment_Cost_USD]]</f>
        <v>104909.85089999999</v>
      </c>
      <c r="C2100" s="14">
        <f>95.19*Hospital_Operations_Data[[#This Row],[Medication_Cost_USD]]</f>
        <v>25605.158100000001</v>
      </c>
    </row>
    <row r="2101" spans="1:3" x14ac:dyDescent="0.3">
      <c r="A2101" s="11">
        <f>95.19*Hospital_Operations_Data[[#This Row],[Treatment_Cost_USD]]</f>
        <v>1001511.1242</v>
      </c>
      <c r="C2101" s="13">
        <f>95.19*Hospital_Operations_Data[[#This Row],[Medication_Cost_USD]]</f>
        <v>299399.20319999999</v>
      </c>
    </row>
    <row r="2102" spans="1:3" x14ac:dyDescent="0.3">
      <c r="A2102" s="12">
        <f>95.19*Hospital_Operations_Data[[#This Row],[Treatment_Cost_USD]]</f>
        <v>742541.01779999991</v>
      </c>
      <c r="C2102" s="14">
        <f>95.19*Hospital_Operations_Data[[#This Row],[Medication_Cost_USD]]</f>
        <v>161454.61470000001</v>
      </c>
    </row>
    <row r="2103" spans="1:3" x14ac:dyDescent="0.3">
      <c r="A2103" s="11">
        <f>95.19*Hospital_Operations_Data[[#This Row],[Treatment_Cost_USD]]</f>
        <v>375432.2157</v>
      </c>
      <c r="C2103" s="13">
        <f>95.19*Hospital_Operations_Data[[#This Row],[Medication_Cost_USD]]</f>
        <v>68485.397400000002</v>
      </c>
    </row>
    <row r="2104" spans="1:3" x14ac:dyDescent="0.3">
      <c r="A2104" s="12">
        <f>95.19*Hospital_Operations_Data[[#This Row],[Treatment_Cost_USD]]</f>
        <v>380592.4656</v>
      </c>
      <c r="C2104" s="14">
        <f>95.19*Hospital_Operations_Data[[#This Row],[Medication_Cost_USD]]</f>
        <v>71461.988700000002</v>
      </c>
    </row>
    <row r="2105" spans="1:3" x14ac:dyDescent="0.3">
      <c r="A2105" s="11">
        <f>95.19*Hospital_Operations_Data[[#This Row],[Treatment_Cost_USD]]</f>
        <v>609748.11210000003</v>
      </c>
      <c r="C2105" s="13">
        <f>95.19*Hospital_Operations_Data[[#This Row],[Medication_Cost_USD]]</f>
        <v>173388.58499999999</v>
      </c>
    </row>
    <row r="2106" spans="1:3" x14ac:dyDescent="0.3">
      <c r="A2106" s="12">
        <f>95.19*Hospital_Operations_Data[[#This Row],[Treatment_Cost_USD]]</f>
        <v>1173274.8159</v>
      </c>
      <c r="C2106" s="14">
        <f>95.19*Hospital_Operations_Data[[#This Row],[Medication_Cost_USD]]</f>
        <v>297301.2156</v>
      </c>
    </row>
    <row r="2107" spans="1:3" x14ac:dyDescent="0.3">
      <c r="A2107" s="11">
        <f>95.19*Hospital_Operations_Data[[#This Row],[Treatment_Cost_USD]]</f>
        <v>936633.42780000006</v>
      </c>
      <c r="C2107" s="13">
        <f>95.19*Hospital_Operations_Data[[#This Row],[Medication_Cost_USD]]</f>
        <v>263860.01669999998</v>
      </c>
    </row>
    <row r="2108" spans="1:3" x14ac:dyDescent="0.3">
      <c r="A2108" s="12">
        <f>95.19*Hospital_Operations_Data[[#This Row],[Treatment_Cost_USD]]</f>
        <v>386340.03779999999</v>
      </c>
      <c r="C2108" s="14">
        <f>95.19*Hospital_Operations_Data[[#This Row],[Medication_Cost_USD]]</f>
        <v>143424.67679999999</v>
      </c>
    </row>
    <row r="2109" spans="1:3" x14ac:dyDescent="0.3">
      <c r="A2109" s="11">
        <f>95.19*Hospital_Operations_Data[[#This Row],[Treatment_Cost_USD]]</f>
        <v>282860.89259999996</v>
      </c>
      <c r="C2109" s="13">
        <f>95.19*Hospital_Operations_Data[[#This Row],[Medication_Cost_USD]]</f>
        <v>74423.349600000001</v>
      </c>
    </row>
    <row r="2110" spans="1:3" x14ac:dyDescent="0.3">
      <c r="A2110" s="12">
        <f>95.19*Hospital_Operations_Data[[#This Row],[Treatment_Cost_USD]]</f>
        <v>428580.60029999999</v>
      </c>
      <c r="C2110" s="14">
        <f>95.19*Hospital_Operations_Data[[#This Row],[Medication_Cost_USD]]</f>
        <v>78209.055900000007</v>
      </c>
    </row>
    <row r="2111" spans="1:3" x14ac:dyDescent="0.3">
      <c r="A2111" s="11">
        <f>95.19*Hospital_Operations_Data[[#This Row],[Treatment_Cost_USD]]</f>
        <v>1043369.0229</v>
      </c>
      <c r="C2111" s="13">
        <f>95.19*Hospital_Operations_Data[[#This Row],[Medication_Cost_USD]]</f>
        <v>251685.2157</v>
      </c>
    </row>
    <row r="2112" spans="1:3" x14ac:dyDescent="0.3">
      <c r="A2112" s="12">
        <f>95.19*Hospital_Operations_Data[[#This Row],[Treatment_Cost_USD]]</f>
        <v>590631.10439999995</v>
      </c>
      <c r="C2112" s="14">
        <f>95.19*Hospital_Operations_Data[[#This Row],[Medication_Cost_USD]]</f>
        <v>176932.50870000001</v>
      </c>
    </row>
    <row r="2113" spans="1:3" x14ac:dyDescent="0.3">
      <c r="A2113" s="11">
        <f>95.19*Hospital_Operations_Data[[#This Row],[Treatment_Cost_USD]]</f>
        <v>563330.61239999998</v>
      </c>
      <c r="C2113" s="13">
        <f>95.19*Hospital_Operations_Data[[#This Row],[Medication_Cost_USD]]</f>
        <v>183653.87459999998</v>
      </c>
    </row>
    <row r="2114" spans="1:3" x14ac:dyDescent="0.3">
      <c r="A2114" s="12">
        <f>95.19*Hospital_Operations_Data[[#This Row],[Treatment_Cost_USD]]</f>
        <v>408840.09809999994</v>
      </c>
      <c r="C2114" s="14">
        <f>95.19*Hospital_Operations_Data[[#This Row],[Medication_Cost_USD]]</f>
        <v>121936.4862</v>
      </c>
    </row>
    <row r="2115" spans="1:3" x14ac:dyDescent="0.3">
      <c r="A2115" s="11">
        <f>95.19*Hospital_Operations_Data[[#This Row],[Treatment_Cost_USD]]</f>
        <v>1125023.0048999998</v>
      </c>
      <c r="C2115" s="13">
        <f>95.19*Hospital_Operations_Data[[#This Row],[Medication_Cost_USD]]</f>
        <v>411542.54220000003</v>
      </c>
    </row>
    <row r="2116" spans="1:3" x14ac:dyDescent="0.3">
      <c r="A2116" s="12">
        <f>95.19*Hospital_Operations_Data[[#This Row],[Treatment_Cost_USD]]</f>
        <v>216514.41450000001</v>
      </c>
      <c r="C2116" s="14">
        <f>95.19*Hospital_Operations_Data[[#This Row],[Medication_Cost_USD]]</f>
        <v>32504.529300000002</v>
      </c>
    </row>
    <row r="2117" spans="1:3" x14ac:dyDescent="0.3">
      <c r="A2117" s="11">
        <f>95.19*Hospital_Operations_Data[[#This Row],[Treatment_Cost_USD]]</f>
        <v>903135.11489999993</v>
      </c>
      <c r="C2117" s="13">
        <f>95.19*Hospital_Operations_Data[[#This Row],[Medication_Cost_USD]]</f>
        <v>304205.34629999998</v>
      </c>
    </row>
    <row r="2118" spans="1:3" x14ac:dyDescent="0.3">
      <c r="A2118" s="12">
        <f>95.19*Hospital_Operations_Data[[#This Row],[Treatment_Cost_USD]]</f>
        <v>348420.14939999999</v>
      </c>
      <c r="C2118" s="14">
        <f>95.19*Hospital_Operations_Data[[#This Row],[Medication_Cost_USD]]</f>
        <v>137151.65579999998</v>
      </c>
    </row>
    <row r="2119" spans="1:3" x14ac:dyDescent="0.3">
      <c r="A2119" s="11">
        <f>95.19*Hospital_Operations_Data[[#This Row],[Treatment_Cost_USD]]</f>
        <v>1423161.8925000001</v>
      </c>
      <c r="C2119" s="13">
        <f>95.19*Hospital_Operations_Data[[#This Row],[Medication_Cost_USD]]</f>
        <v>443968.0638</v>
      </c>
    </row>
    <row r="2120" spans="1:3" x14ac:dyDescent="0.3">
      <c r="A2120" s="12">
        <f>95.19*Hospital_Operations_Data[[#This Row],[Treatment_Cost_USD]]</f>
        <v>1420012.0554</v>
      </c>
      <c r="C2120" s="14">
        <f>95.19*Hospital_Operations_Data[[#This Row],[Medication_Cost_USD]]</f>
        <v>335104.02029999997</v>
      </c>
    </row>
    <row r="2121" spans="1:3" x14ac:dyDescent="0.3">
      <c r="A2121" s="11">
        <f>95.19*Hospital_Operations_Data[[#This Row],[Treatment_Cost_USD]]</f>
        <v>1066597.2867000001</v>
      </c>
      <c r="C2121" s="13">
        <f>95.19*Hospital_Operations_Data[[#This Row],[Medication_Cost_USD]]</f>
        <v>356283.7953</v>
      </c>
    </row>
    <row r="2122" spans="1:3" x14ac:dyDescent="0.3">
      <c r="A2122" s="12">
        <f>95.19*Hospital_Operations_Data[[#This Row],[Treatment_Cost_USD]]</f>
        <v>1141027.2996</v>
      </c>
      <c r="C2122" s="14">
        <f>95.19*Hospital_Operations_Data[[#This Row],[Medication_Cost_USD]]</f>
        <v>257527.02600000001</v>
      </c>
    </row>
    <row r="2123" spans="1:3" x14ac:dyDescent="0.3">
      <c r="A2123" s="11">
        <f>95.19*Hospital_Operations_Data[[#This Row],[Treatment_Cost_USD]]</f>
        <v>1149922.8051</v>
      </c>
      <c r="C2123" s="13">
        <f>95.19*Hospital_Operations_Data[[#This Row],[Medication_Cost_USD]]</f>
        <v>397021.3077</v>
      </c>
    </row>
    <row r="2124" spans="1:3" x14ac:dyDescent="0.3">
      <c r="A2124" s="12">
        <f>95.19*Hospital_Operations_Data[[#This Row],[Treatment_Cost_USD]]</f>
        <v>666481.35210000002</v>
      </c>
      <c r="C2124" s="14">
        <f>95.19*Hospital_Operations_Data[[#This Row],[Medication_Cost_USD]]</f>
        <v>166569.1734</v>
      </c>
    </row>
    <row r="2125" spans="1:3" x14ac:dyDescent="0.3">
      <c r="A2125" s="11">
        <f>95.19*Hospital_Operations_Data[[#This Row],[Treatment_Cost_USD]]</f>
        <v>251291.12909999999</v>
      </c>
      <c r="C2125" s="13">
        <f>95.19*Hospital_Operations_Data[[#This Row],[Medication_Cost_USD]]</f>
        <v>49696.7952</v>
      </c>
    </row>
    <row r="2126" spans="1:3" x14ac:dyDescent="0.3">
      <c r="A2126" s="12">
        <f>95.19*Hospital_Operations_Data[[#This Row],[Treatment_Cost_USD]]</f>
        <v>863440.88489999995</v>
      </c>
      <c r="C2126" s="14">
        <f>95.19*Hospital_Operations_Data[[#This Row],[Medication_Cost_USD]]</f>
        <v>237563.77919999999</v>
      </c>
    </row>
    <row r="2127" spans="1:3" x14ac:dyDescent="0.3">
      <c r="A2127" s="11">
        <f>95.19*Hospital_Operations_Data[[#This Row],[Treatment_Cost_USD]]</f>
        <v>371995.8567</v>
      </c>
      <c r="C2127" s="13">
        <f>95.19*Hospital_Operations_Data[[#This Row],[Medication_Cost_USD]]</f>
        <v>94054.383300000001</v>
      </c>
    </row>
    <row r="2128" spans="1:3" x14ac:dyDescent="0.3">
      <c r="A2128" s="12">
        <f>95.19*Hospital_Operations_Data[[#This Row],[Treatment_Cost_USD]]</f>
        <v>1357971.9728999999</v>
      </c>
      <c r="C2128" s="14">
        <f>95.19*Hospital_Operations_Data[[#This Row],[Medication_Cost_USD]]</f>
        <v>275222.84700000001</v>
      </c>
    </row>
    <row r="2129" spans="1:3" x14ac:dyDescent="0.3">
      <c r="A2129" s="11">
        <f>95.19*Hospital_Operations_Data[[#This Row],[Treatment_Cost_USD]]</f>
        <v>294179.93549999996</v>
      </c>
      <c r="C2129" s="13">
        <f>95.19*Hospital_Operations_Data[[#This Row],[Medication_Cost_USD]]</f>
        <v>91113.012299999988</v>
      </c>
    </row>
    <row r="2130" spans="1:3" x14ac:dyDescent="0.3">
      <c r="A2130" s="12">
        <f>95.19*Hospital_Operations_Data[[#This Row],[Treatment_Cost_USD]]</f>
        <v>484558.98359999998</v>
      </c>
      <c r="C2130" s="14">
        <f>95.19*Hospital_Operations_Data[[#This Row],[Medication_Cost_USD]]</f>
        <v>96471.257400000002</v>
      </c>
    </row>
    <row r="2131" spans="1:3" x14ac:dyDescent="0.3">
      <c r="A2131" s="11">
        <f>95.19*Hospital_Operations_Data[[#This Row],[Treatment_Cost_USD]]</f>
        <v>889449.64860000007</v>
      </c>
      <c r="C2131" s="13">
        <f>95.19*Hospital_Operations_Data[[#This Row],[Medication_Cost_USD]]</f>
        <v>138430.0575</v>
      </c>
    </row>
    <row r="2132" spans="1:3" x14ac:dyDescent="0.3">
      <c r="A2132" s="12">
        <f>95.19*Hospital_Operations_Data[[#This Row],[Treatment_Cost_USD]]</f>
        <v>320363.84879999998</v>
      </c>
      <c r="C2132" s="14">
        <f>95.19*Hospital_Operations_Data[[#This Row],[Medication_Cost_USD]]</f>
        <v>104076.93839999998</v>
      </c>
    </row>
    <row r="2133" spans="1:3" x14ac:dyDescent="0.3">
      <c r="A2133" s="11">
        <f>95.19*Hospital_Operations_Data[[#This Row],[Treatment_Cost_USD]]</f>
        <v>255180.5925</v>
      </c>
      <c r="C2133" s="13">
        <f>95.19*Hospital_Operations_Data[[#This Row],[Medication_Cost_USD]]</f>
        <v>76265.276100000003</v>
      </c>
    </row>
    <row r="2134" spans="1:3" x14ac:dyDescent="0.3">
      <c r="A2134" s="12">
        <f>95.19*Hospital_Operations_Data[[#This Row],[Treatment_Cost_USD]]</f>
        <v>486969.19440000004</v>
      </c>
      <c r="C2134" s="14">
        <f>95.19*Hospital_Operations_Data[[#This Row],[Medication_Cost_USD]]</f>
        <v>95495.559900000007</v>
      </c>
    </row>
    <row r="2135" spans="1:3" x14ac:dyDescent="0.3">
      <c r="A2135" s="11">
        <f>95.19*Hospital_Operations_Data[[#This Row],[Treatment_Cost_USD]]</f>
        <v>829995.87840000005</v>
      </c>
      <c r="C2135" s="13">
        <f>95.19*Hospital_Operations_Data[[#This Row],[Medication_Cost_USD]]</f>
        <v>303048.78779999999</v>
      </c>
    </row>
    <row r="2136" spans="1:3" x14ac:dyDescent="0.3">
      <c r="A2136" s="12">
        <f>95.19*Hospital_Operations_Data[[#This Row],[Treatment_Cost_USD]]</f>
        <v>276845.83649999998</v>
      </c>
      <c r="C2136" s="14">
        <f>95.19*Hospital_Operations_Data[[#This Row],[Medication_Cost_USD]]</f>
        <v>57939.297299999991</v>
      </c>
    </row>
    <row r="2137" spans="1:3" x14ac:dyDescent="0.3">
      <c r="A2137" s="11">
        <f>95.19*Hospital_Operations_Data[[#This Row],[Treatment_Cost_USD]]</f>
        <v>469357.14059999998</v>
      </c>
      <c r="C2137" s="13">
        <f>95.19*Hospital_Operations_Data[[#This Row],[Medication_Cost_USD]]</f>
        <v>94095.315000000002</v>
      </c>
    </row>
    <row r="2138" spans="1:3" x14ac:dyDescent="0.3">
      <c r="A2138" s="12">
        <f>95.19*Hospital_Operations_Data[[#This Row],[Treatment_Cost_USD]]</f>
        <v>865536.96869999997</v>
      </c>
      <c r="C2138" s="14">
        <f>95.19*Hospital_Operations_Data[[#This Row],[Medication_Cost_USD]]</f>
        <v>190556.10149999999</v>
      </c>
    </row>
    <row r="2139" spans="1:3" x14ac:dyDescent="0.3">
      <c r="A2139" s="11">
        <f>95.19*Hospital_Operations_Data[[#This Row],[Treatment_Cost_USD]]</f>
        <v>675137.93069999991</v>
      </c>
      <c r="C2139" s="13">
        <f>95.19*Hospital_Operations_Data[[#This Row],[Medication_Cost_USD]]</f>
        <v>248768.59409999999</v>
      </c>
    </row>
    <row r="2140" spans="1:3" x14ac:dyDescent="0.3">
      <c r="A2140" s="12">
        <f>95.19*Hospital_Operations_Data[[#This Row],[Treatment_Cost_USD]]</f>
        <v>1496658.0915000001</v>
      </c>
      <c r="C2140" s="14">
        <f>95.19*Hospital_Operations_Data[[#This Row],[Medication_Cost_USD]]</f>
        <v>348659.07630000002</v>
      </c>
    </row>
    <row r="2141" spans="1:3" x14ac:dyDescent="0.3">
      <c r="A2141" s="11">
        <f>95.19*Hospital_Operations_Data[[#This Row],[Treatment_Cost_USD]]</f>
        <v>350744.68919999996</v>
      </c>
      <c r="C2141" s="13">
        <f>95.19*Hospital_Operations_Data[[#This Row],[Medication_Cost_USD]]</f>
        <v>90351.492299999998</v>
      </c>
    </row>
    <row r="2142" spans="1:3" x14ac:dyDescent="0.3">
      <c r="A2142" s="12">
        <f>95.19*Hospital_Operations_Data[[#This Row],[Treatment_Cost_USD]]</f>
        <v>1652209.9743000001</v>
      </c>
      <c r="C2142" s="14">
        <f>95.19*Hospital_Operations_Data[[#This Row],[Medication_Cost_USD]]</f>
        <v>328673.93580000004</v>
      </c>
    </row>
    <row r="2143" spans="1:3" x14ac:dyDescent="0.3">
      <c r="A2143" s="11">
        <f>95.19*Hospital_Operations_Data[[#This Row],[Treatment_Cost_USD]]</f>
        <v>706548.72690000001</v>
      </c>
      <c r="C2143" s="13">
        <f>95.19*Hospital_Operations_Data[[#This Row],[Medication_Cost_USD]]</f>
        <v>275764.47809999995</v>
      </c>
    </row>
    <row r="2144" spans="1:3" x14ac:dyDescent="0.3">
      <c r="A2144" s="12">
        <f>95.19*Hospital_Operations_Data[[#This Row],[Treatment_Cost_USD]]</f>
        <v>665686.51559999993</v>
      </c>
      <c r="C2144" s="14">
        <f>95.19*Hospital_Operations_Data[[#This Row],[Medication_Cost_USD]]</f>
        <v>258931.0785</v>
      </c>
    </row>
    <row r="2145" spans="1:3" x14ac:dyDescent="0.3">
      <c r="A2145" s="11">
        <f>95.19*Hospital_Operations_Data[[#This Row],[Treatment_Cost_USD]]</f>
        <v>325001.50559999997</v>
      </c>
      <c r="C2145" s="13">
        <f>95.19*Hospital_Operations_Data[[#This Row],[Medication_Cost_USD]]</f>
        <v>122493.34769999998</v>
      </c>
    </row>
    <row r="2146" spans="1:3" x14ac:dyDescent="0.3">
      <c r="A2146" s="12">
        <f>95.19*Hospital_Operations_Data[[#This Row],[Treatment_Cost_USD]]</f>
        <v>683586.04319999996</v>
      </c>
      <c r="C2146" s="14">
        <f>95.19*Hospital_Operations_Data[[#This Row],[Medication_Cost_USD]]</f>
        <v>194258.99249999999</v>
      </c>
    </row>
    <row r="2147" spans="1:3" x14ac:dyDescent="0.3">
      <c r="A2147" s="11">
        <f>95.19*Hospital_Operations_Data[[#This Row],[Treatment_Cost_USD]]</f>
        <v>562193.0919</v>
      </c>
      <c r="C2147" s="13">
        <f>95.19*Hospital_Operations_Data[[#This Row],[Medication_Cost_USD]]</f>
        <v>165926.6409</v>
      </c>
    </row>
    <row r="2148" spans="1:3" x14ac:dyDescent="0.3">
      <c r="A2148" s="12">
        <f>95.19*Hospital_Operations_Data[[#This Row],[Treatment_Cost_USD]]</f>
        <v>269140.20600000001</v>
      </c>
      <c r="C2148" s="14">
        <f>95.19*Hospital_Operations_Data[[#This Row],[Medication_Cost_USD]]</f>
        <v>48597.350699999995</v>
      </c>
    </row>
    <row r="2149" spans="1:3" x14ac:dyDescent="0.3">
      <c r="A2149" s="11">
        <f>95.19*Hospital_Operations_Data[[#This Row],[Treatment_Cost_USD]]</f>
        <v>974228.71829999995</v>
      </c>
      <c r="C2149" s="13">
        <f>95.19*Hospital_Operations_Data[[#This Row],[Medication_Cost_USD]]</f>
        <v>177025.79490000001</v>
      </c>
    </row>
    <row r="2150" spans="1:3" x14ac:dyDescent="0.3">
      <c r="A2150" s="12">
        <f>95.19*Hospital_Operations_Data[[#This Row],[Treatment_Cost_USD]]</f>
        <v>1159244.7618</v>
      </c>
      <c r="C2150" s="14">
        <f>95.19*Hospital_Operations_Data[[#This Row],[Medication_Cost_USD]]</f>
        <v>381995.5662</v>
      </c>
    </row>
    <row r="2151" spans="1:3" x14ac:dyDescent="0.3">
      <c r="A2151" s="11">
        <f>95.19*Hospital_Operations_Data[[#This Row],[Treatment_Cost_USD]]</f>
        <v>797292.40199999989</v>
      </c>
      <c r="C2151" s="13">
        <f>95.19*Hospital_Operations_Data[[#This Row],[Medication_Cost_USD]]</f>
        <v>298718.59470000002</v>
      </c>
    </row>
    <row r="2152" spans="1:3" x14ac:dyDescent="0.3">
      <c r="A2152" s="12">
        <f>95.19*Hospital_Operations_Data[[#This Row],[Treatment_Cost_USD]]</f>
        <v>704446.93169999996</v>
      </c>
      <c r="C2152" s="14">
        <f>95.19*Hospital_Operations_Data[[#This Row],[Medication_Cost_USD]]</f>
        <v>177947.2341</v>
      </c>
    </row>
    <row r="2153" spans="1:3" x14ac:dyDescent="0.3">
      <c r="A2153" s="11">
        <f>95.19*Hospital_Operations_Data[[#This Row],[Treatment_Cost_USD]]</f>
        <v>368187.30479999998</v>
      </c>
      <c r="C2153" s="13">
        <f>95.19*Hospital_Operations_Data[[#This Row],[Medication_Cost_USD]]</f>
        <v>110085.3312</v>
      </c>
    </row>
    <row r="2154" spans="1:3" x14ac:dyDescent="0.3">
      <c r="A2154" s="12">
        <f>95.19*Hospital_Operations_Data[[#This Row],[Treatment_Cost_USD]]</f>
        <v>315710.96159999998</v>
      </c>
      <c r="C2154" s="14">
        <f>95.19*Hospital_Operations_Data[[#This Row],[Medication_Cost_USD]]</f>
        <v>121948.86089999999</v>
      </c>
    </row>
    <row r="2155" spans="1:3" x14ac:dyDescent="0.3">
      <c r="A2155" s="11">
        <f>95.19*Hospital_Operations_Data[[#This Row],[Treatment_Cost_USD]]</f>
        <v>2118684.7617000001</v>
      </c>
      <c r="C2155" s="13">
        <f>95.19*Hospital_Operations_Data[[#This Row],[Medication_Cost_USD]]</f>
        <v>401420.98950000003</v>
      </c>
    </row>
    <row r="2156" spans="1:3" x14ac:dyDescent="0.3">
      <c r="A2156" s="12">
        <f>95.19*Hospital_Operations_Data[[#This Row],[Treatment_Cost_USD]]</f>
        <v>1304162.9696999998</v>
      </c>
      <c r="C2156" s="14">
        <f>95.19*Hospital_Operations_Data[[#This Row],[Medication_Cost_USD]]</f>
        <v>422267.59950000001</v>
      </c>
    </row>
    <row r="2157" spans="1:3" x14ac:dyDescent="0.3">
      <c r="A2157" s="11">
        <f>95.19*Hospital_Operations_Data[[#This Row],[Treatment_Cost_USD]]</f>
        <v>591899.98710000003</v>
      </c>
      <c r="C2157" s="13">
        <f>95.19*Hospital_Operations_Data[[#This Row],[Medication_Cost_USD]]</f>
        <v>113806.30829999999</v>
      </c>
    </row>
    <row r="2158" spans="1:3" x14ac:dyDescent="0.3">
      <c r="A2158" s="12">
        <f>95.19*Hospital_Operations_Data[[#This Row],[Treatment_Cost_USD]]</f>
        <v>237377.20679999999</v>
      </c>
      <c r="C2158" s="14">
        <f>95.19*Hospital_Operations_Data[[#This Row],[Medication_Cost_USD]]</f>
        <v>58213.444499999998</v>
      </c>
    </row>
    <row r="2159" spans="1:3" x14ac:dyDescent="0.3">
      <c r="A2159" s="11">
        <f>95.19*Hospital_Operations_Data[[#This Row],[Treatment_Cost_USD]]</f>
        <v>905731.89809999999</v>
      </c>
      <c r="C2159" s="13">
        <f>95.19*Hospital_Operations_Data[[#This Row],[Medication_Cost_USD]]</f>
        <v>185007.47639999999</v>
      </c>
    </row>
    <row r="2160" spans="1:3" x14ac:dyDescent="0.3">
      <c r="A2160" s="12">
        <f>95.19*Hospital_Operations_Data[[#This Row],[Treatment_Cost_USD]]</f>
        <v>616617.02249999996</v>
      </c>
      <c r="C2160" s="14">
        <f>95.19*Hospital_Operations_Data[[#This Row],[Medication_Cost_USD]]</f>
        <v>125246.24249999999</v>
      </c>
    </row>
    <row r="2161" spans="1:3" x14ac:dyDescent="0.3">
      <c r="A2161" s="11">
        <f>95.19*Hospital_Operations_Data[[#This Row],[Treatment_Cost_USD]]</f>
        <v>510081.32640000002</v>
      </c>
      <c r="C2161" s="13">
        <f>95.19*Hospital_Operations_Data[[#This Row],[Medication_Cost_USD]]</f>
        <v>104302.5387</v>
      </c>
    </row>
    <row r="2162" spans="1:3" x14ac:dyDescent="0.3">
      <c r="A2162" s="12">
        <f>95.19*Hospital_Operations_Data[[#This Row],[Treatment_Cost_USD]]</f>
        <v>1056360.5540999998</v>
      </c>
      <c r="C2162" s="14">
        <f>95.19*Hospital_Operations_Data[[#This Row],[Medication_Cost_USD]]</f>
        <v>163438.3743</v>
      </c>
    </row>
    <row r="2163" spans="1:3" x14ac:dyDescent="0.3">
      <c r="A2163" s="11">
        <f>95.19*Hospital_Operations_Data[[#This Row],[Treatment_Cost_USD]]</f>
        <v>1099162.7376000001</v>
      </c>
      <c r="C2163" s="13">
        <f>95.19*Hospital_Operations_Data[[#This Row],[Medication_Cost_USD]]</f>
        <v>220246.8144</v>
      </c>
    </row>
    <row r="2164" spans="1:3" x14ac:dyDescent="0.3">
      <c r="A2164" s="12">
        <f>95.19*Hospital_Operations_Data[[#This Row],[Treatment_Cost_USD]]</f>
        <v>735733.98089999997</v>
      </c>
      <c r="C2164" s="14">
        <f>95.19*Hospital_Operations_Data[[#This Row],[Medication_Cost_USD]]</f>
        <v>168374.9277</v>
      </c>
    </row>
    <row r="2165" spans="1:3" x14ac:dyDescent="0.3">
      <c r="A2165" s="11">
        <f>95.19*Hospital_Operations_Data[[#This Row],[Treatment_Cost_USD]]</f>
        <v>935047.56239999994</v>
      </c>
      <c r="C2165" s="13">
        <f>95.19*Hospital_Operations_Data[[#This Row],[Medication_Cost_USD]]</f>
        <v>293209.94940000004</v>
      </c>
    </row>
    <row r="2166" spans="1:3" x14ac:dyDescent="0.3">
      <c r="A2166" s="12">
        <f>95.19*Hospital_Operations_Data[[#This Row],[Treatment_Cost_USD]]</f>
        <v>1293278.9451000001</v>
      </c>
      <c r="C2166" s="14">
        <f>95.19*Hospital_Operations_Data[[#This Row],[Medication_Cost_USD]]</f>
        <v>461061.3321</v>
      </c>
    </row>
    <row r="2167" spans="1:3" x14ac:dyDescent="0.3">
      <c r="A2167" s="11">
        <f>95.19*Hospital_Operations_Data[[#This Row],[Treatment_Cost_USD]]</f>
        <v>1438532.2217999999</v>
      </c>
      <c r="C2167" s="13">
        <f>95.19*Hospital_Operations_Data[[#This Row],[Medication_Cost_USD]]</f>
        <v>339126.74969999999</v>
      </c>
    </row>
    <row r="2168" spans="1:3" x14ac:dyDescent="0.3">
      <c r="A2168" s="12">
        <f>95.19*Hospital_Operations_Data[[#This Row],[Treatment_Cost_USD]]</f>
        <v>172758.42720000001</v>
      </c>
      <c r="C2168" s="14">
        <f>95.19*Hospital_Operations_Data[[#This Row],[Medication_Cost_USD]]</f>
        <v>68170.318499999994</v>
      </c>
    </row>
    <row r="2169" spans="1:3" x14ac:dyDescent="0.3">
      <c r="A2169" s="11">
        <f>95.19*Hospital_Operations_Data[[#This Row],[Treatment_Cost_USD]]</f>
        <v>404037.76259999996</v>
      </c>
      <c r="C2169" s="13">
        <f>95.19*Hospital_Operations_Data[[#This Row],[Medication_Cost_USD]]</f>
        <v>68244.566699999996</v>
      </c>
    </row>
    <row r="2170" spans="1:3" x14ac:dyDescent="0.3">
      <c r="A2170" s="12">
        <f>95.19*Hospital_Operations_Data[[#This Row],[Treatment_Cost_USD]]</f>
        <v>555708.74910000002</v>
      </c>
      <c r="C2170" s="14">
        <f>95.19*Hospital_Operations_Data[[#This Row],[Medication_Cost_USD]]</f>
        <v>139275.34470000002</v>
      </c>
    </row>
    <row r="2171" spans="1:3" x14ac:dyDescent="0.3">
      <c r="A2171" s="11">
        <f>95.19*Hospital_Operations_Data[[#This Row],[Treatment_Cost_USD]]</f>
        <v>480829.43940000003</v>
      </c>
      <c r="C2171" s="13">
        <f>95.19*Hospital_Operations_Data[[#This Row],[Medication_Cost_USD]]</f>
        <v>115463.5662</v>
      </c>
    </row>
    <row r="2172" spans="1:3" x14ac:dyDescent="0.3">
      <c r="A2172" s="12">
        <f>95.19*Hospital_Operations_Data[[#This Row],[Treatment_Cost_USD]]</f>
        <v>275114.33039999998</v>
      </c>
      <c r="C2172" s="14">
        <f>95.19*Hospital_Operations_Data[[#This Row],[Medication_Cost_USD]]</f>
        <v>107245.8135</v>
      </c>
    </row>
    <row r="2173" spans="1:3" x14ac:dyDescent="0.3">
      <c r="A2173" s="11">
        <f>95.19*Hospital_Operations_Data[[#This Row],[Treatment_Cost_USD]]</f>
        <v>368204.43899999995</v>
      </c>
      <c r="C2173" s="13">
        <f>95.19*Hospital_Operations_Data[[#This Row],[Medication_Cost_USD]]</f>
        <v>114344.1318</v>
      </c>
    </row>
    <row r="2174" spans="1:3" x14ac:dyDescent="0.3">
      <c r="A2174" s="12">
        <f>95.19*Hospital_Operations_Data[[#This Row],[Treatment_Cost_USD]]</f>
        <v>400138.78019999998</v>
      </c>
      <c r="C2174" s="14">
        <f>95.19*Hospital_Operations_Data[[#This Row],[Medication_Cost_USD]]</f>
        <v>143890.15589999998</v>
      </c>
    </row>
    <row r="2175" spans="1:3" x14ac:dyDescent="0.3">
      <c r="A2175" s="11">
        <f>95.19*Hospital_Operations_Data[[#This Row],[Treatment_Cost_USD]]</f>
        <v>1123344.8052000001</v>
      </c>
      <c r="C2175" s="13">
        <f>95.19*Hospital_Operations_Data[[#This Row],[Medication_Cost_USD]]</f>
        <v>217554.8412</v>
      </c>
    </row>
    <row r="2176" spans="1:3" x14ac:dyDescent="0.3">
      <c r="A2176" s="12">
        <f>95.19*Hospital_Operations_Data[[#This Row],[Treatment_Cost_USD]]</f>
        <v>356074.37729999999</v>
      </c>
      <c r="C2176" s="14">
        <f>95.19*Hospital_Operations_Data[[#This Row],[Medication_Cost_USD]]</f>
        <v>102731.9037</v>
      </c>
    </row>
    <row r="2177" spans="1:3" x14ac:dyDescent="0.3">
      <c r="A2177" s="11">
        <f>95.19*Hospital_Operations_Data[[#This Row],[Treatment_Cost_USD]]</f>
        <v>584421.86069999996</v>
      </c>
      <c r="C2177" s="13">
        <f>95.19*Hospital_Operations_Data[[#This Row],[Medication_Cost_USD]]</f>
        <v>181317.91199999998</v>
      </c>
    </row>
    <row r="2178" spans="1:3" x14ac:dyDescent="0.3">
      <c r="A2178" s="12">
        <f>95.19*Hospital_Operations_Data[[#This Row],[Treatment_Cost_USD]]</f>
        <v>495089.85329999996</v>
      </c>
      <c r="C2178" s="14">
        <f>95.19*Hospital_Operations_Data[[#This Row],[Medication_Cost_USD]]</f>
        <v>108097.764</v>
      </c>
    </row>
    <row r="2179" spans="1:3" x14ac:dyDescent="0.3">
      <c r="A2179" s="11">
        <f>95.19*Hospital_Operations_Data[[#This Row],[Treatment_Cost_USD]]</f>
        <v>297036.58740000002</v>
      </c>
      <c r="C2179" s="13">
        <f>95.19*Hospital_Operations_Data[[#This Row],[Medication_Cost_USD]]</f>
        <v>76388.071200000006</v>
      </c>
    </row>
    <row r="2180" spans="1:3" x14ac:dyDescent="0.3">
      <c r="A2180" s="12">
        <f>95.19*Hospital_Operations_Data[[#This Row],[Treatment_Cost_USD]]</f>
        <v>881625.98249999993</v>
      </c>
      <c r="C2180" s="14">
        <f>95.19*Hospital_Operations_Data[[#This Row],[Medication_Cost_USD]]</f>
        <v>349633.82190000004</v>
      </c>
    </row>
    <row r="2181" spans="1:3" x14ac:dyDescent="0.3">
      <c r="A2181" s="11">
        <f>95.19*Hospital_Operations_Data[[#This Row],[Treatment_Cost_USD]]</f>
        <v>1244436.9561000001</v>
      </c>
      <c r="C2181" s="13">
        <f>95.19*Hospital_Operations_Data[[#This Row],[Medication_Cost_USD]]</f>
        <v>224696.94690000001</v>
      </c>
    </row>
    <row r="2182" spans="1:3" x14ac:dyDescent="0.3">
      <c r="A2182" s="12">
        <f>95.19*Hospital_Operations_Data[[#This Row],[Treatment_Cost_USD]]</f>
        <v>345700.5711</v>
      </c>
      <c r="C2182" s="14">
        <f>95.19*Hospital_Operations_Data[[#This Row],[Medication_Cost_USD]]</f>
        <v>61827.808799999999</v>
      </c>
    </row>
    <row r="2183" spans="1:3" x14ac:dyDescent="0.3">
      <c r="A2183" s="11">
        <f>95.19*Hospital_Operations_Data[[#This Row],[Treatment_Cost_USD]]</f>
        <v>159697.40729999999</v>
      </c>
      <c r="C2183" s="13">
        <f>95.19*Hospital_Operations_Data[[#This Row],[Medication_Cost_USD]]</f>
        <v>53613.863700000002</v>
      </c>
    </row>
    <row r="2184" spans="1:3" x14ac:dyDescent="0.3">
      <c r="A2184" s="12">
        <f>95.19*Hospital_Operations_Data[[#This Row],[Treatment_Cost_USD]]</f>
        <v>964300.40130000003</v>
      </c>
      <c r="C2184" s="14">
        <f>95.19*Hospital_Operations_Data[[#This Row],[Medication_Cost_USD]]</f>
        <v>199977.0558</v>
      </c>
    </row>
    <row r="2185" spans="1:3" x14ac:dyDescent="0.3">
      <c r="A2185" s="11">
        <f>95.19*Hospital_Operations_Data[[#This Row],[Treatment_Cost_USD]]</f>
        <v>1294197.5286000001</v>
      </c>
      <c r="C2185" s="13">
        <f>95.19*Hospital_Operations_Data[[#This Row],[Medication_Cost_USD]]</f>
        <v>504457.50119999994</v>
      </c>
    </row>
    <row r="2186" spans="1:3" x14ac:dyDescent="0.3">
      <c r="A2186" s="12">
        <f>95.19*Hospital_Operations_Data[[#This Row],[Treatment_Cost_USD]]</f>
        <v>2046831.5421</v>
      </c>
      <c r="C2186" s="14">
        <f>95.19*Hospital_Operations_Data[[#This Row],[Medication_Cost_USD]]</f>
        <v>431224.97849999997</v>
      </c>
    </row>
    <row r="2187" spans="1:3" x14ac:dyDescent="0.3">
      <c r="A2187" s="11">
        <f>95.19*Hospital_Operations_Data[[#This Row],[Treatment_Cost_USD]]</f>
        <v>698303.36910000001</v>
      </c>
      <c r="C2187" s="13">
        <f>95.19*Hospital_Operations_Data[[#This Row],[Medication_Cost_USD]]</f>
        <v>110995.34759999999</v>
      </c>
    </row>
    <row r="2188" spans="1:3" x14ac:dyDescent="0.3">
      <c r="A2188" s="12">
        <f>95.19*Hospital_Operations_Data[[#This Row],[Treatment_Cost_USD]]</f>
        <v>186094.54620000001</v>
      </c>
      <c r="C2188" s="14">
        <f>95.19*Hospital_Operations_Data[[#This Row],[Medication_Cost_USD]]</f>
        <v>51728.149799999992</v>
      </c>
    </row>
    <row r="2189" spans="1:3" x14ac:dyDescent="0.3">
      <c r="A2189" s="11">
        <f>95.19*Hospital_Operations_Data[[#This Row],[Treatment_Cost_USD]]</f>
        <v>888658.61969999992</v>
      </c>
      <c r="C2189" s="13">
        <f>95.19*Hospital_Operations_Data[[#This Row],[Medication_Cost_USD]]</f>
        <v>175704.55769999998</v>
      </c>
    </row>
    <row r="2190" spans="1:3" x14ac:dyDescent="0.3">
      <c r="A2190" s="12">
        <f>95.19*Hospital_Operations_Data[[#This Row],[Treatment_Cost_USD]]</f>
        <v>130052.38559999999</v>
      </c>
      <c r="C2190" s="14">
        <f>95.19*Hospital_Operations_Data[[#This Row],[Medication_Cost_USD]]</f>
        <v>41545.675499999998</v>
      </c>
    </row>
    <row r="2191" spans="1:3" x14ac:dyDescent="0.3">
      <c r="A2191" s="11">
        <f>95.19*Hospital_Operations_Data[[#This Row],[Treatment_Cost_USD]]</f>
        <v>672546.85889999999</v>
      </c>
      <c r="C2191" s="13">
        <f>95.19*Hospital_Operations_Data[[#This Row],[Medication_Cost_USD]]</f>
        <v>147950.00940000001</v>
      </c>
    </row>
    <row r="2192" spans="1:3" x14ac:dyDescent="0.3">
      <c r="A2192" s="12">
        <f>95.19*Hospital_Operations_Data[[#This Row],[Treatment_Cost_USD]]</f>
        <v>1725879.4190999998</v>
      </c>
      <c r="C2192" s="14">
        <f>95.19*Hospital_Operations_Data[[#This Row],[Medication_Cost_USD]]</f>
        <v>576489.67799999996</v>
      </c>
    </row>
    <row r="2193" spans="1:3" x14ac:dyDescent="0.3">
      <c r="A2193" s="11">
        <f>95.19*Hospital_Operations_Data[[#This Row],[Treatment_Cost_USD]]</f>
        <v>311167.5429</v>
      </c>
      <c r="C2193" s="13">
        <f>95.19*Hospital_Operations_Data[[#This Row],[Medication_Cost_USD]]</f>
        <v>52419.229199999994</v>
      </c>
    </row>
    <row r="2194" spans="1:3" x14ac:dyDescent="0.3">
      <c r="A2194" s="12">
        <f>95.19*Hospital_Operations_Data[[#This Row],[Treatment_Cost_USD]]</f>
        <v>312443.08889999997</v>
      </c>
      <c r="C2194" s="14">
        <f>95.19*Hospital_Operations_Data[[#This Row],[Medication_Cost_USD]]</f>
        <v>110842.0917</v>
      </c>
    </row>
    <row r="2195" spans="1:3" x14ac:dyDescent="0.3">
      <c r="A2195" s="11">
        <f>95.19*Hospital_Operations_Data[[#This Row],[Treatment_Cost_USD]]</f>
        <v>1344788.1579</v>
      </c>
      <c r="C2195" s="13">
        <f>95.19*Hospital_Operations_Data[[#This Row],[Medication_Cost_USD]]</f>
        <v>254345.77619999999</v>
      </c>
    </row>
    <row r="2196" spans="1:3" x14ac:dyDescent="0.3">
      <c r="A2196" s="12">
        <f>95.19*Hospital_Operations_Data[[#This Row],[Treatment_Cost_USD]]</f>
        <v>382446.76679999998</v>
      </c>
      <c r="C2196" s="14">
        <f>95.19*Hospital_Operations_Data[[#This Row],[Medication_Cost_USD]]</f>
        <v>136361.57879999999</v>
      </c>
    </row>
    <row r="2197" spans="1:3" x14ac:dyDescent="0.3">
      <c r="A2197" s="11">
        <f>95.19*Hospital_Operations_Data[[#This Row],[Treatment_Cost_USD]]</f>
        <v>473506.47269999998</v>
      </c>
      <c r="C2197" s="13">
        <f>95.19*Hospital_Operations_Data[[#This Row],[Medication_Cost_USD]]</f>
        <v>164645.3835</v>
      </c>
    </row>
    <row r="2198" spans="1:3" x14ac:dyDescent="0.3">
      <c r="A2198" s="12">
        <f>95.19*Hospital_Operations_Data[[#This Row],[Treatment_Cost_USD]]</f>
        <v>306437.55179999996</v>
      </c>
      <c r="C2198" s="14">
        <f>95.19*Hospital_Operations_Data[[#This Row],[Medication_Cost_USD]]</f>
        <v>66331.247700000007</v>
      </c>
    </row>
    <row r="2199" spans="1:3" x14ac:dyDescent="0.3">
      <c r="A2199" s="11">
        <f>95.19*Hospital_Operations_Data[[#This Row],[Treatment_Cost_USD]]</f>
        <v>1778488.0764000001</v>
      </c>
      <c r="C2199" s="13">
        <f>95.19*Hospital_Operations_Data[[#This Row],[Medication_Cost_USD]]</f>
        <v>512393.4915</v>
      </c>
    </row>
    <row r="2200" spans="1:3" x14ac:dyDescent="0.3">
      <c r="A2200" s="12">
        <f>95.19*Hospital_Operations_Data[[#This Row],[Treatment_Cost_USD]]</f>
        <v>1846703.1342</v>
      </c>
      <c r="C2200" s="14">
        <f>95.19*Hospital_Operations_Data[[#This Row],[Medication_Cost_USD]]</f>
        <v>415262.5674</v>
      </c>
    </row>
    <row r="2201" spans="1:3" x14ac:dyDescent="0.3">
      <c r="A2201" s="11">
        <f>95.19*Hospital_Operations_Data[[#This Row],[Treatment_Cost_USD]]</f>
        <v>333391.55219999998</v>
      </c>
      <c r="C2201" s="13">
        <f>95.19*Hospital_Operations_Data[[#This Row],[Medication_Cost_USD]]</f>
        <v>83926.167300000001</v>
      </c>
    </row>
    <row r="2202" spans="1:3" x14ac:dyDescent="0.3">
      <c r="A2202" s="12">
        <f>95.19*Hospital_Operations_Data[[#This Row],[Treatment_Cost_USD]]</f>
        <v>776513.37690000003</v>
      </c>
      <c r="C2202" s="14">
        <f>95.19*Hospital_Operations_Data[[#This Row],[Medication_Cost_USD]]</f>
        <v>230601.58259999999</v>
      </c>
    </row>
    <row r="2203" spans="1:3" x14ac:dyDescent="0.3">
      <c r="A2203" s="11">
        <f>95.19*Hospital_Operations_Data[[#This Row],[Treatment_Cost_USD]]</f>
        <v>419959.24200000003</v>
      </c>
      <c r="C2203" s="13">
        <f>95.19*Hospital_Operations_Data[[#This Row],[Medication_Cost_USD]]</f>
        <v>91800.28409999999</v>
      </c>
    </row>
    <row r="2204" spans="1:3" x14ac:dyDescent="0.3">
      <c r="A2204" s="12">
        <f>95.19*Hospital_Operations_Data[[#This Row],[Treatment_Cost_USD]]</f>
        <v>1136489.5922999999</v>
      </c>
      <c r="C2204" s="14">
        <f>95.19*Hospital_Operations_Data[[#This Row],[Medication_Cost_USD]]</f>
        <v>356625.52740000002</v>
      </c>
    </row>
    <row r="2205" spans="1:3" x14ac:dyDescent="0.3">
      <c r="A2205" s="11">
        <f>95.19*Hospital_Operations_Data[[#This Row],[Treatment_Cost_USD]]</f>
        <v>721387.89599999995</v>
      </c>
      <c r="C2205" s="13">
        <f>95.19*Hospital_Operations_Data[[#This Row],[Medication_Cost_USD]]</f>
        <v>121293.9537</v>
      </c>
    </row>
    <row r="2206" spans="1:3" x14ac:dyDescent="0.3">
      <c r="A2206" s="12">
        <f>95.19*Hospital_Operations_Data[[#This Row],[Treatment_Cost_USD]]</f>
        <v>628679.49930000002</v>
      </c>
      <c r="C2206" s="14">
        <f>95.19*Hospital_Operations_Data[[#This Row],[Medication_Cost_USD]]</f>
        <v>112325.1519</v>
      </c>
    </row>
    <row r="2207" spans="1:3" x14ac:dyDescent="0.3">
      <c r="A2207" s="11">
        <f>95.19*Hospital_Operations_Data[[#This Row],[Treatment_Cost_USD]]</f>
        <v>356793.06179999997</v>
      </c>
      <c r="C2207" s="13">
        <f>95.19*Hospital_Operations_Data[[#This Row],[Medication_Cost_USD]]</f>
        <v>132875.72100000002</v>
      </c>
    </row>
    <row r="2208" spans="1:3" x14ac:dyDescent="0.3">
      <c r="A2208" s="12">
        <f>95.19*Hospital_Operations_Data[[#This Row],[Treatment_Cost_USD]]</f>
        <v>468330.99239999999</v>
      </c>
      <c r="C2208" s="14">
        <f>95.19*Hospital_Operations_Data[[#This Row],[Medication_Cost_USD]]</f>
        <v>146817.24839999998</v>
      </c>
    </row>
    <row r="2209" spans="1:3" x14ac:dyDescent="0.3">
      <c r="A2209" s="11">
        <f>95.19*Hospital_Operations_Data[[#This Row],[Treatment_Cost_USD]]</f>
        <v>623648.70779999997</v>
      </c>
      <c r="C2209" s="13">
        <f>95.19*Hospital_Operations_Data[[#This Row],[Medication_Cost_USD]]</f>
        <v>160751.1606</v>
      </c>
    </row>
    <row r="2210" spans="1:3" x14ac:dyDescent="0.3">
      <c r="A2210" s="12">
        <f>95.19*Hospital_Operations_Data[[#This Row],[Treatment_Cost_USD]]</f>
        <v>705415.01399999997</v>
      </c>
      <c r="C2210" s="14">
        <f>95.19*Hospital_Operations_Data[[#This Row],[Medication_Cost_USD]]</f>
        <v>146663.04060000001</v>
      </c>
    </row>
    <row r="2211" spans="1:3" x14ac:dyDescent="0.3">
      <c r="A2211" s="11">
        <f>95.19*Hospital_Operations_Data[[#This Row],[Treatment_Cost_USD]]</f>
        <v>939288.27690000006</v>
      </c>
      <c r="C2211" s="13">
        <f>95.19*Hospital_Operations_Data[[#This Row],[Medication_Cost_USD]]</f>
        <v>356905.386</v>
      </c>
    </row>
    <row r="2212" spans="1:3" x14ac:dyDescent="0.3">
      <c r="A2212" s="12">
        <f>95.19*Hospital_Operations_Data[[#This Row],[Treatment_Cost_USD]]</f>
        <v>290429.44949999999</v>
      </c>
      <c r="C2212" s="14">
        <f>95.19*Hospital_Operations_Data[[#This Row],[Medication_Cost_USD]]</f>
        <v>87372.997199999998</v>
      </c>
    </row>
    <row r="2213" spans="1:3" x14ac:dyDescent="0.3">
      <c r="A2213" s="11">
        <f>95.19*Hospital_Operations_Data[[#This Row],[Treatment_Cost_USD]]</f>
        <v>425167.08689999999</v>
      </c>
      <c r="C2213" s="13">
        <f>95.19*Hospital_Operations_Data[[#This Row],[Medication_Cost_USD]]</f>
        <v>86381.117400000003</v>
      </c>
    </row>
    <row r="2214" spans="1:3" x14ac:dyDescent="0.3">
      <c r="A2214" s="12">
        <f>95.19*Hospital_Operations_Data[[#This Row],[Treatment_Cost_USD]]</f>
        <v>386993.04119999998</v>
      </c>
      <c r="C2214" s="14">
        <f>95.19*Hospital_Operations_Data[[#This Row],[Medication_Cost_USD]]</f>
        <v>80159.498999999996</v>
      </c>
    </row>
    <row r="2215" spans="1:3" x14ac:dyDescent="0.3">
      <c r="A2215" s="11">
        <f>95.19*Hospital_Operations_Data[[#This Row],[Treatment_Cost_USD]]</f>
        <v>182242.20689999999</v>
      </c>
      <c r="C2215" s="13">
        <f>95.19*Hospital_Operations_Data[[#This Row],[Medication_Cost_USD]]</f>
        <v>50432.613899999997</v>
      </c>
    </row>
    <row r="2216" spans="1:3" x14ac:dyDescent="0.3">
      <c r="A2216" s="12">
        <f>95.19*Hospital_Operations_Data[[#This Row],[Treatment_Cost_USD]]</f>
        <v>1298466.8001000001</v>
      </c>
      <c r="C2216" s="14">
        <f>95.19*Hospital_Operations_Data[[#This Row],[Medication_Cost_USD]]</f>
        <v>278790.56820000004</v>
      </c>
    </row>
    <row r="2217" spans="1:3" x14ac:dyDescent="0.3">
      <c r="A2217" s="11">
        <f>95.19*Hospital_Operations_Data[[#This Row],[Treatment_Cost_USD]]</f>
        <v>376516.42979999998</v>
      </c>
      <c r="C2217" s="13">
        <f>95.19*Hospital_Operations_Data[[#This Row],[Medication_Cost_USD]]</f>
        <v>123565.1871</v>
      </c>
    </row>
    <row r="2218" spans="1:3" x14ac:dyDescent="0.3">
      <c r="A2218" s="12">
        <f>95.19*Hospital_Operations_Data[[#This Row],[Treatment_Cost_USD]]</f>
        <v>996125.27399999998</v>
      </c>
      <c r="C2218" s="14">
        <f>95.19*Hospital_Operations_Data[[#This Row],[Medication_Cost_USD]]</f>
        <v>306524.17469999997</v>
      </c>
    </row>
    <row r="2219" spans="1:3" x14ac:dyDescent="0.3">
      <c r="A2219" s="11">
        <f>95.19*Hospital_Operations_Data[[#This Row],[Treatment_Cost_USD]]</f>
        <v>254949.28080000001</v>
      </c>
      <c r="C2219" s="13">
        <f>95.19*Hospital_Operations_Data[[#This Row],[Medication_Cost_USD]]</f>
        <v>50165.13</v>
      </c>
    </row>
    <row r="2220" spans="1:3" x14ac:dyDescent="0.3">
      <c r="A2220" s="12">
        <f>95.19*Hospital_Operations_Data[[#This Row],[Treatment_Cost_USD]]</f>
        <v>535968.24690000003</v>
      </c>
      <c r="C2220" s="14">
        <f>95.19*Hospital_Operations_Data[[#This Row],[Medication_Cost_USD]]</f>
        <v>136477.71059999999</v>
      </c>
    </row>
    <row r="2221" spans="1:3" x14ac:dyDescent="0.3">
      <c r="A2221" s="11">
        <f>95.19*Hospital_Operations_Data[[#This Row],[Treatment_Cost_USD]]</f>
        <v>385671.804</v>
      </c>
      <c r="C2221" s="13">
        <f>95.19*Hospital_Operations_Data[[#This Row],[Medication_Cost_USD]]</f>
        <v>118078.43550000001</v>
      </c>
    </row>
    <row r="2222" spans="1:3" x14ac:dyDescent="0.3">
      <c r="A2222" s="12">
        <f>95.19*Hospital_Operations_Data[[#This Row],[Treatment_Cost_USD]]</f>
        <v>714661.77059999993</v>
      </c>
      <c r="C2222" s="14">
        <f>95.19*Hospital_Operations_Data[[#This Row],[Medication_Cost_USD]]</f>
        <v>191545.1256</v>
      </c>
    </row>
    <row r="2223" spans="1:3" x14ac:dyDescent="0.3">
      <c r="A2223" s="11">
        <f>95.19*Hospital_Operations_Data[[#This Row],[Treatment_Cost_USD]]</f>
        <v>421508.93520000001</v>
      </c>
      <c r="C2223" s="13">
        <f>95.19*Hospital_Operations_Data[[#This Row],[Medication_Cost_USD]]</f>
        <v>159412.7892</v>
      </c>
    </row>
    <row r="2224" spans="1:3" x14ac:dyDescent="0.3">
      <c r="A2224" s="12">
        <f>95.19*Hospital_Operations_Data[[#This Row],[Treatment_Cost_USD]]</f>
        <v>943344.32280000008</v>
      </c>
      <c r="C2224" s="14">
        <f>95.19*Hospital_Operations_Data[[#This Row],[Medication_Cost_USD]]</f>
        <v>340834.4583</v>
      </c>
    </row>
    <row r="2225" spans="1:3" x14ac:dyDescent="0.3">
      <c r="A2225" s="11">
        <f>95.19*Hospital_Operations_Data[[#This Row],[Treatment_Cost_USD]]</f>
        <v>289763.11950000003</v>
      </c>
      <c r="C2225" s="13">
        <f>95.19*Hospital_Operations_Data[[#This Row],[Medication_Cost_USD]]</f>
        <v>73640.887799999997</v>
      </c>
    </row>
    <row r="2226" spans="1:3" x14ac:dyDescent="0.3">
      <c r="A2226" s="12">
        <f>95.19*Hospital_Operations_Data[[#This Row],[Treatment_Cost_USD]]</f>
        <v>990935.51520000002</v>
      </c>
      <c r="C2226" s="14">
        <f>95.19*Hospital_Operations_Data[[#This Row],[Medication_Cost_USD]]</f>
        <v>267435.35309999995</v>
      </c>
    </row>
    <row r="2227" spans="1:3" x14ac:dyDescent="0.3">
      <c r="A2227" s="11">
        <f>95.19*Hospital_Operations_Data[[#This Row],[Treatment_Cost_USD]]</f>
        <v>726934.61730000004</v>
      </c>
      <c r="C2227" s="13">
        <f>95.19*Hospital_Operations_Data[[#This Row],[Medication_Cost_USD]]</f>
        <v>124085.87639999999</v>
      </c>
    </row>
    <row r="2228" spans="1:3" x14ac:dyDescent="0.3">
      <c r="A2228" s="12">
        <f>95.19*Hospital_Operations_Data[[#This Row],[Treatment_Cost_USD]]</f>
        <v>1193524.5845999999</v>
      </c>
      <c r="C2228" s="14">
        <f>95.19*Hospital_Operations_Data[[#This Row],[Medication_Cost_USD]]</f>
        <v>285159.73109999998</v>
      </c>
    </row>
    <row r="2229" spans="1:3" x14ac:dyDescent="0.3">
      <c r="A2229" s="11">
        <f>95.19*Hospital_Operations_Data[[#This Row],[Treatment_Cost_USD]]</f>
        <v>440276.59559999994</v>
      </c>
      <c r="C2229" s="13">
        <f>95.19*Hospital_Operations_Data[[#This Row],[Medication_Cost_USD]]</f>
        <v>110962.03110000001</v>
      </c>
    </row>
    <row r="2230" spans="1:3" x14ac:dyDescent="0.3">
      <c r="A2230" s="12">
        <f>95.19*Hospital_Operations_Data[[#This Row],[Treatment_Cost_USD]]</f>
        <v>322452.3174</v>
      </c>
      <c r="C2230" s="14">
        <f>95.19*Hospital_Operations_Data[[#This Row],[Medication_Cost_USD]]</f>
        <v>85190.290500000003</v>
      </c>
    </row>
    <row r="2231" spans="1:3" x14ac:dyDescent="0.3">
      <c r="A2231" s="11">
        <f>95.19*Hospital_Operations_Data[[#This Row],[Treatment_Cost_USD]]</f>
        <v>286931.217</v>
      </c>
      <c r="C2231" s="13">
        <f>95.19*Hospital_Operations_Data[[#This Row],[Medication_Cost_USD]]</f>
        <v>91925.934900000007</v>
      </c>
    </row>
    <row r="2232" spans="1:3" x14ac:dyDescent="0.3">
      <c r="A2232" s="12">
        <f>95.19*Hospital_Operations_Data[[#This Row],[Treatment_Cost_USD]]</f>
        <v>946972.01369999989</v>
      </c>
      <c r="C2232" s="14">
        <f>95.19*Hospital_Operations_Data[[#This Row],[Medication_Cost_USD]]</f>
        <v>188016.43230000001</v>
      </c>
    </row>
    <row r="2233" spans="1:3" x14ac:dyDescent="0.3">
      <c r="A2233" s="11">
        <f>95.19*Hospital_Operations_Data[[#This Row],[Treatment_Cost_USD]]</f>
        <v>467000.23619999993</v>
      </c>
      <c r="C2233" s="13">
        <f>95.19*Hospital_Operations_Data[[#This Row],[Medication_Cost_USD]]</f>
        <v>109216.24649999999</v>
      </c>
    </row>
    <row r="2234" spans="1:3" x14ac:dyDescent="0.3">
      <c r="A2234" s="12">
        <f>95.19*Hospital_Operations_Data[[#This Row],[Treatment_Cost_USD]]</f>
        <v>1285149.7190999999</v>
      </c>
      <c r="C2234" s="14">
        <f>95.19*Hospital_Operations_Data[[#This Row],[Medication_Cost_USD]]</f>
        <v>268690.90919999999</v>
      </c>
    </row>
    <row r="2235" spans="1:3" x14ac:dyDescent="0.3">
      <c r="A2235" s="11">
        <f>95.19*Hospital_Operations_Data[[#This Row],[Treatment_Cost_USD]]</f>
        <v>1896635.0486999999</v>
      </c>
      <c r="C2235" s="13">
        <f>95.19*Hospital_Operations_Data[[#This Row],[Medication_Cost_USD]]</f>
        <v>754207.50419999997</v>
      </c>
    </row>
    <row r="2236" spans="1:3" x14ac:dyDescent="0.3">
      <c r="A2236" s="12">
        <f>95.19*Hospital_Operations_Data[[#This Row],[Treatment_Cost_USD]]</f>
        <v>357193.81169999996</v>
      </c>
      <c r="C2236" s="14">
        <f>95.19*Hospital_Operations_Data[[#This Row],[Medication_Cost_USD]]</f>
        <v>74160.625199999995</v>
      </c>
    </row>
    <row r="2237" spans="1:3" x14ac:dyDescent="0.3">
      <c r="A2237" s="11">
        <f>95.19*Hospital_Operations_Data[[#This Row],[Treatment_Cost_USD]]</f>
        <v>561860.87880000006</v>
      </c>
      <c r="C2237" s="13">
        <f>95.19*Hospital_Operations_Data[[#This Row],[Medication_Cost_USD]]</f>
        <v>105494.3175</v>
      </c>
    </row>
    <row r="2238" spans="1:3" x14ac:dyDescent="0.3">
      <c r="A2238" s="12">
        <f>95.19*Hospital_Operations_Data[[#This Row],[Treatment_Cost_USD]]</f>
        <v>298246.4523</v>
      </c>
      <c r="C2238" s="14">
        <f>95.19*Hospital_Operations_Data[[#This Row],[Medication_Cost_USD]]</f>
        <v>82204.180200000003</v>
      </c>
    </row>
    <row r="2239" spans="1:3" x14ac:dyDescent="0.3">
      <c r="A2239" s="11">
        <f>95.19*Hospital_Operations_Data[[#This Row],[Treatment_Cost_USD]]</f>
        <v>1051502.0564999999</v>
      </c>
      <c r="C2239" s="13">
        <f>95.19*Hospital_Operations_Data[[#This Row],[Medication_Cost_USD]]</f>
        <v>319324.37400000001</v>
      </c>
    </row>
    <row r="2240" spans="1:3" x14ac:dyDescent="0.3">
      <c r="A2240" s="12">
        <f>95.19*Hospital_Operations_Data[[#This Row],[Treatment_Cost_USD]]</f>
        <v>510967.5453</v>
      </c>
      <c r="C2240" s="14">
        <f>95.19*Hospital_Operations_Data[[#This Row],[Medication_Cost_USD]]</f>
        <v>164951.89529999997</v>
      </c>
    </row>
    <row r="2241" spans="1:3" x14ac:dyDescent="0.3">
      <c r="A2241" s="11">
        <f>95.19*Hospital_Operations_Data[[#This Row],[Treatment_Cost_USD]]</f>
        <v>915403.20209999999</v>
      </c>
      <c r="C2241" s="13">
        <f>95.19*Hospital_Operations_Data[[#This Row],[Medication_Cost_USD]]</f>
        <v>274056.76949999999</v>
      </c>
    </row>
    <row r="2242" spans="1:3" x14ac:dyDescent="0.3">
      <c r="A2242" s="12">
        <f>95.19*Hospital_Operations_Data[[#This Row],[Treatment_Cost_USD]]</f>
        <v>1491938.5713</v>
      </c>
      <c r="C2242" s="14">
        <f>95.19*Hospital_Operations_Data[[#This Row],[Medication_Cost_USD]]</f>
        <v>264073.24229999998</v>
      </c>
    </row>
    <row r="2243" spans="1:3" x14ac:dyDescent="0.3">
      <c r="A2243" s="11">
        <f>95.19*Hospital_Operations_Data[[#This Row],[Treatment_Cost_USD]]</f>
        <v>449210.17710000003</v>
      </c>
      <c r="C2243" s="13">
        <f>95.19*Hospital_Operations_Data[[#This Row],[Medication_Cost_USD]]</f>
        <v>142475.63250000001</v>
      </c>
    </row>
    <row r="2244" spans="1:3" x14ac:dyDescent="0.3">
      <c r="A2244" s="12">
        <f>95.19*Hospital_Operations_Data[[#This Row],[Treatment_Cost_USD]]</f>
        <v>251419.63559999998</v>
      </c>
      <c r="C2244" s="14">
        <f>95.19*Hospital_Operations_Data[[#This Row],[Medication_Cost_USD]]</f>
        <v>94932.986999999994</v>
      </c>
    </row>
    <row r="2245" spans="1:3" x14ac:dyDescent="0.3">
      <c r="A2245" s="11">
        <f>95.19*Hospital_Operations_Data[[#This Row],[Treatment_Cost_USD]]</f>
        <v>860648.01030000008</v>
      </c>
      <c r="C2245" s="13">
        <f>95.19*Hospital_Operations_Data[[#This Row],[Medication_Cost_USD]]</f>
        <v>241082.9535</v>
      </c>
    </row>
    <row r="2246" spans="1:3" x14ac:dyDescent="0.3">
      <c r="A2246" s="12">
        <f>95.19*Hospital_Operations_Data[[#This Row],[Treatment_Cost_USD]]</f>
        <v>1316184.5148</v>
      </c>
      <c r="C2246" s="14">
        <f>95.19*Hospital_Operations_Data[[#This Row],[Medication_Cost_USD]]</f>
        <v>433914.09599999996</v>
      </c>
    </row>
    <row r="2247" spans="1:3" x14ac:dyDescent="0.3">
      <c r="A2247" s="11">
        <f>95.19*Hospital_Operations_Data[[#This Row],[Treatment_Cost_USD]]</f>
        <v>1007326.2813</v>
      </c>
      <c r="C2247" s="13">
        <f>95.19*Hospital_Operations_Data[[#This Row],[Medication_Cost_USD]]</f>
        <v>332157.8898</v>
      </c>
    </row>
    <row r="2248" spans="1:3" x14ac:dyDescent="0.3">
      <c r="A2248" s="12">
        <f>95.19*Hospital_Operations_Data[[#This Row],[Treatment_Cost_USD]]</f>
        <v>342397.47809999995</v>
      </c>
      <c r="C2248" s="14">
        <f>95.19*Hospital_Operations_Data[[#This Row],[Medication_Cost_USD]]</f>
        <v>106306.2882</v>
      </c>
    </row>
    <row r="2249" spans="1:3" x14ac:dyDescent="0.3">
      <c r="A2249" s="11">
        <f>95.19*Hospital_Operations_Data[[#This Row],[Treatment_Cost_USD]]</f>
        <v>997048.61699999985</v>
      </c>
      <c r="C2249" s="13">
        <f>95.19*Hospital_Operations_Data[[#This Row],[Medication_Cost_USD]]</f>
        <v>167662.90649999998</v>
      </c>
    </row>
    <row r="2250" spans="1:3" x14ac:dyDescent="0.3">
      <c r="A2250" s="12">
        <f>95.19*Hospital_Operations_Data[[#This Row],[Treatment_Cost_USD]]</f>
        <v>1063953.8603999999</v>
      </c>
      <c r="C2250" s="14">
        <f>95.19*Hospital_Operations_Data[[#This Row],[Medication_Cost_USD]]</f>
        <v>187751.80410000001</v>
      </c>
    </row>
    <row r="2251" spans="1:3" x14ac:dyDescent="0.3">
      <c r="A2251" s="11">
        <f>95.19*Hospital_Operations_Data[[#This Row],[Treatment_Cost_USD]]</f>
        <v>1835468.8103999998</v>
      </c>
      <c r="C2251" s="13">
        <f>95.19*Hospital_Operations_Data[[#This Row],[Medication_Cost_USD]]</f>
        <v>405553.1874</v>
      </c>
    </row>
    <row r="2252" spans="1:3" x14ac:dyDescent="0.3">
      <c r="A2252" s="12">
        <f>95.19*Hospital_Operations_Data[[#This Row],[Treatment_Cost_USD]]</f>
        <v>654184.70789999992</v>
      </c>
      <c r="C2252" s="14">
        <f>95.19*Hospital_Operations_Data[[#This Row],[Medication_Cost_USD]]</f>
        <v>253853.6439</v>
      </c>
    </row>
    <row r="2253" spans="1:3" x14ac:dyDescent="0.3">
      <c r="A2253" s="11">
        <f>95.19*Hospital_Operations_Data[[#This Row],[Treatment_Cost_USD]]</f>
        <v>327256.55669999996</v>
      </c>
      <c r="C2253" s="13">
        <f>95.19*Hospital_Operations_Data[[#This Row],[Medication_Cost_USD]]</f>
        <v>130518.81660000001</v>
      </c>
    </row>
    <row r="2254" spans="1:3" x14ac:dyDescent="0.3">
      <c r="A2254" s="12">
        <f>95.19*Hospital_Operations_Data[[#This Row],[Treatment_Cost_USD]]</f>
        <v>177581.70449999999</v>
      </c>
      <c r="C2254" s="14">
        <f>95.19*Hospital_Operations_Data[[#This Row],[Medication_Cost_USD]]</f>
        <v>51922.337400000004</v>
      </c>
    </row>
    <row r="2255" spans="1:3" x14ac:dyDescent="0.3">
      <c r="A2255" s="11">
        <f>95.19*Hospital_Operations_Data[[#This Row],[Treatment_Cost_USD]]</f>
        <v>764803.10309999995</v>
      </c>
      <c r="C2255" s="13">
        <f>95.19*Hospital_Operations_Data[[#This Row],[Medication_Cost_USD]]</f>
        <v>184916.09399999998</v>
      </c>
    </row>
    <row r="2256" spans="1:3" x14ac:dyDescent="0.3">
      <c r="A2256" s="12">
        <f>95.19*Hospital_Operations_Data[[#This Row],[Treatment_Cost_USD]]</f>
        <v>723612.48629999999</v>
      </c>
      <c r="C2256" s="14">
        <f>95.19*Hospital_Operations_Data[[#This Row],[Medication_Cost_USD]]</f>
        <v>287006.41710000002</v>
      </c>
    </row>
    <row r="2257" spans="1:3" x14ac:dyDescent="0.3">
      <c r="A2257" s="11">
        <f>95.19*Hospital_Operations_Data[[#This Row],[Treatment_Cost_USD]]</f>
        <v>2249732.8347</v>
      </c>
      <c r="C2257" s="13">
        <f>95.19*Hospital_Operations_Data[[#This Row],[Medication_Cost_USD]]</f>
        <v>696973.56479999993</v>
      </c>
    </row>
    <row r="2258" spans="1:3" x14ac:dyDescent="0.3">
      <c r="A2258" s="12">
        <f>95.19*Hospital_Operations_Data[[#This Row],[Treatment_Cost_USD]]</f>
        <v>565697.98769999994</v>
      </c>
      <c r="C2258" s="14">
        <f>95.19*Hospital_Operations_Data[[#This Row],[Medication_Cost_USD]]</f>
        <v>206460.44669999997</v>
      </c>
    </row>
    <row r="2259" spans="1:3" x14ac:dyDescent="0.3">
      <c r="A2259" s="11">
        <f>95.19*Hospital_Operations_Data[[#This Row],[Treatment_Cost_USD]]</f>
        <v>869188.4571</v>
      </c>
      <c r="C2259" s="13">
        <f>95.19*Hospital_Operations_Data[[#This Row],[Medication_Cost_USD]]</f>
        <v>338429.95889999997</v>
      </c>
    </row>
    <row r="2260" spans="1:3" x14ac:dyDescent="0.3">
      <c r="A2260" s="12">
        <f>95.19*Hospital_Operations_Data[[#This Row],[Treatment_Cost_USD]]</f>
        <v>539562.6213</v>
      </c>
      <c r="C2260" s="14">
        <f>95.19*Hospital_Operations_Data[[#This Row],[Medication_Cost_USD]]</f>
        <v>197920.95179999998</v>
      </c>
    </row>
    <row r="2261" spans="1:3" x14ac:dyDescent="0.3">
      <c r="A2261" s="11">
        <f>95.19*Hospital_Operations_Data[[#This Row],[Treatment_Cost_USD]]</f>
        <v>362357.86919999996</v>
      </c>
      <c r="C2261" s="13">
        <f>95.19*Hospital_Operations_Data[[#This Row],[Medication_Cost_USD]]</f>
        <v>100231.26240000001</v>
      </c>
    </row>
    <row r="2262" spans="1:3" x14ac:dyDescent="0.3">
      <c r="A2262" s="12">
        <f>95.19*Hospital_Operations_Data[[#This Row],[Treatment_Cost_USD]]</f>
        <v>1079287.0655999999</v>
      </c>
      <c r="C2262" s="14">
        <f>95.19*Hospital_Operations_Data[[#This Row],[Medication_Cost_USD]]</f>
        <v>426304.60739999998</v>
      </c>
    </row>
    <row r="2263" spans="1:3" x14ac:dyDescent="0.3">
      <c r="A2263" s="11">
        <f>95.19*Hospital_Operations_Data[[#This Row],[Treatment_Cost_USD]]</f>
        <v>304825.03320000001</v>
      </c>
      <c r="C2263" s="13">
        <f>95.19*Hospital_Operations_Data[[#This Row],[Medication_Cost_USD]]</f>
        <v>117478.73850000001</v>
      </c>
    </row>
    <row r="2264" spans="1:3" x14ac:dyDescent="0.3">
      <c r="A2264" s="12">
        <f>95.19*Hospital_Operations_Data[[#This Row],[Treatment_Cost_USD]]</f>
        <v>693521.02349999989</v>
      </c>
      <c r="C2264" s="14">
        <f>95.19*Hospital_Operations_Data[[#This Row],[Medication_Cost_USD]]</f>
        <v>267996.97409999999</v>
      </c>
    </row>
    <row r="2265" spans="1:3" x14ac:dyDescent="0.3">
      <c r="A2265" s="11">
        <f>95.19*Hospital_Operations_Data[[#This Row],[Treatment_Cost_USD]]</f>
        <v>353887.86299999995</v>
      </c>
      <c r="C2265" s="13">
        <f>95.19*Hospital_Operations_Data[[#This Row],[Medication_Cost_USD]]</f>
        <v>110752.6131</v>
      </c>
    </row>
    <row r="2266" spans="1:3" x14ac:dyDescent="0.3">
      <c r="A2266" s="12">
        <f>95.19*Hospital_Operations_Data[[#This Row],[Treatment_Cost_USD]]</f>
        <v>748441.84589999996</v>
      </c>
      <c r="C2266" s="14">
        <f>95.19*Hospital_Operations_Data[[#This Row],[Medication_Cost_USD]]</f>
        <v>158081.08110000001</v>
      </c>
    </row>
    <row r="2267" spans="1:3" x14ac:dyDescent="0.3">
      <c r="A2267" s="11">
        <f>95.19*Hospital_Operations_Data[[#This Row],[Treatment_Cost_USD]]</f>
        <v>688576.85490000003</v>
      </c>
      <c r="C2267" s="13">
        <f>95.19*Hospital_Operations_Data[[#This Row],[Medication_Cost_USD]]</f>
        <v>183107.484</v>
      </c>
    </row>
    <row r="2268" spans="1:3" x14ac:dyDescent="0.3">
      <c r="A2268" s="12">
        <f>95.19*Hospital_Operations_Data[[#This Row],[Treatment_Cost_USD]]</f>
        <v>1065546.3891</v>
      </c>
      <c r="C2268" s="14">
        <f>95.19*Hospital_Operations_Data[[#This Row],[Medication_Cost_USD]]</f>
        <v>235894.14659999998</v>
      </c>
    </row>
    <row r="2269" spans="1:3" x14ac:dyDescent="0.3">
      <c r="A2269" s="11">
        <f>95.19*Hospital_Operations_Data[[#This Row],[Treatment_Cost_USD]]</f>
        <v>618116.26500000001</v>
      </c>
      <c r="C2269" s="13">
        <f>95.19*Hospital_Operations_Data[[#This Row],[Medication_Cost_USD]]</f>
        <v>103725.68730000001</v>
      </c>
    </row>
    <row r="2270" spans="1:3" x14ac:dyDescent="0.3">
      <c r="A2270" s="12">
        <f>95.19*Hospital_Operations_Data[[#This Row],[Treatment_Cost_USD]]</f>
        <v>227851.5435</v>
      </c>
      <c r="C2270" s="14">
        <f>95.19*Hospital_Operations_Data[[#This Row],[Medication_Cost_USD]]</f>
        <v>84819.049499999994</v>
      </c>
    </row>
    <row r="2271" spans="1:3" x14ac:dyDescent="0.3">
      <c r="A2271" s="11">
        <f>95.19*Hospital_Operations_Data[[#This Row],[Treatment_Cost_USD]]</f>
        <v>676074.60029999993</v>
      </c>
      <c r="C2271" s="13">
        <f>95.19*Hospital_Operations_Data[[#This Row],[Medication_Cost_USD]]</f>
        <v>258153.3762</v>
      </c>
    </row>
    <row r="2272" spans="1:3" x14ac:dyDescent="0.3">
      <c r="A2272" s="12">
        <f>95.19*Hospital_Operations_Data[[#This Row],[Treatment_Cost_USD]]</f>
        <v>871757.63520000002</v>
      </c>
      <c r="C2272" s="14">
        <f>95.19*Hospital_Operations_Data[[#This Row],[Medication_Cost_USD]]</f>
        <v>176643.1311</v>
      </c>
    </row>
    <row r="2273" spans="1:3" x14ac:dyDescent="0.3">
      <c r="A2273" s="11">
        <f>95.19*Hospital_Operations_Data[[#This Row],[Treatment_Cost_USD]]</f>
        <v>1573957.1310000001</v>
      </c>
      <c r="C2273" s="13">
        <f>95.19*Hospital_Operations_Data[[#This Row],[Medication_Cost_USD]]</f>
        <v>608082.28709999996</v>
      </c>
    </row>
    <row r="2274" spans="1:3" x14ac:dyDescent="0.3">
      <c r="A2274" s="12">
        <f>95.19*Hospital_Operations_Data[[#This Row],[Treatment_Cost_USD]]</f>
        <v>382287.79950000002</v>
      </c>
      <c r="C2274" s="14">
        <f>95.19*Hospital_Operations_Data[[#This Row],[Medication_Cost_USD]]</f>
        <v>105273.4767</v>
      </c>
    </row>
    <row r="2275" spans="1:3" x14ac:dyDescent="0.3">
      <c r="A2275" s="11">
        <f>95.19*Hospital_Operations_Data[[#This Row],[Treatment_Cost_USD]]</f>
        <v>548941.69200000004</v>
      </c>
      <c r="C2275" s="13">
        <f>95.19*Hospital_Operations_Data[[#This Row],[Medication_Cost_USD]]</f>
        <v>219094.06349999999</v>
      </c>
    </row>
    <row r="2276" spans="1:3" x14ac:dyDescent="0.3">
      <c r="A2276" s="12">
        <f>95.19*Hospital_Operations_Data[[#This Row],[Treatment_Cost_USD]]</f>
        <v>1010260.0371</v>
      </c>
      <c r="C2276" s="14">
        <f>95.19*Hospital_Operations_Data[[#This Row],[Medication_Cost_USD]]</f>
        <v>202296.83609999999</v>
      </c>
    </row>
    <row r="2277" spans="1:3" x14ac:dyDescent="0.3">
      <c r="A2277" s="11">
        <f>95.19*Hospital_Operations_Data[[#This Row],[Treatment_Cost_USD]]</f>
        <v>1828246.7450999999</v>
      </c>
      <c r="C2277" s="13">
        <f>95.19*Hospital_Operations_Data[[#This Row],[Medication_Cost_USD]]</f>
        <v>510195.55440000002</v>
      </c>
    </row>
    <row r="2278" spans="1:3" x14ac:dyDescent="0.3">
      <c r="A2278" s="12">
        <f>95.19*Hospital_Operations_Data[[#This Row],[Treatment_Cost_USD]]</f>
        <v>994927.78379999998</v>
      </c>
      <c r="C2278" s="14">
        <f>95.19*Hospital_Operations_Data[[#This Row],[Medication_Cost_USD]]</f>
        <v>341374.18559999997</v>
      </c>
    </row>
    <row r="2279" spans="1:3" x14ac:dyDescent="0.3">
      <c r="A2279" s="11">
        <f>95.19*Hospital_Operations_Data[[#This Row],[Treatment_Cost_USD]]</f>
        <v>912611.2794</v>
      </c>
      <c r="C2279" s="13">
        <f>95.19*Hospital_Operations_Data[[#This Row],[Medication_Cost_USD]]</f>
        <v>226528.4025</v>
      </c>
    </row>
    <row r="2280" spans="1:3" x14ac:dyDescent="0.3">
      <c r="A2280" s="12">
        <f>95.19*Hospital_Operations_Data[[#This Row],[Treatment_Cost_USD]]</f>
        <v>170339.64929999999</v>
      </c>
      <c r="C2280" s="14">
        <f>95.19*Hospital_Operations_Data[[#This Row],[Medication_Cost_USD]]</f>
        <v>26188.6728</v>
      </c>
    </row>
    <row r="2281" spans="1:3" x14ac:dyDescent="0.3">
      <c r="A2281" s="11">
        <f>95.19*Hospital_Operations_Data[[#This Row],[Treatment_Cost_USD]]</f>
        <v>828418.58010000002</v>
      </c>
      <c r="C2281" s="13">
        <f>95.19*Hospital_Operations_Data[[#This Row],[Medication_Cost_USD]]</f>
        <v>212746.79429999998</v>
      </c>
    </row>
    <row r="2282" spans="1:3" x14ac:dyDescent="0.3">
      <c r="A2282" s="12">
        <f>95.19*Hospital_Operations_Data[[#This Row],[Treatment_Cost_USD]]</f>
        <v>644554.33559999999</v>
      </c>
      <c r="C2282" s="14">
        <f>95.19*Hospital_Operations_Data[[#This Row],[Medication_Cost_USD]]</f>
        <v>201134.5662</v>
      </c>
    </row>
    <row r="2283" spans="1:3" x14ac:dyDescent="0.3">
      <c r="A2283" s="11">
        <f>95.19*Hospital_Operations_Data[[#This Row],[Treatment_Cost_USD]]</f>
        <v>1256630.7951</v>
      </c>
      <c r="C2283" s="13">
        <f>95.19*Hospital_Operations_Data[[#This Row],[Medication_Cost_USD]]</f>
        <v>369860.745</v>
      </c>
    </row>
    <row r="2284" spans="1:3" x14ac:dyDescent="0.3">
      <c r="A2284" s="12">
        <f>95.19*Hospital_Operations_Data[[#This Row],[Treatment_Cost_USD]]</f>
        <v>1212435.03</v>
      </c>
      <c r="C2284" s="14">
        <f>95.19*Hospital_Operations_Data[[#This Row],[Medication_Cost_USD]]</f>
        <v>326541.67979999998</v>
      </c>
    </row>
    <row r="2285" spans="1:3" x14ac:dyDescent="0.3">
      <c r="A2285" s="11">
        <f>95.19*Hospital_Operations_Data[[#This Row],[Treatment_Cost_USD]]</f>
        <v>992434.75769999996</v>
      </c>
      <c r="C2285" s="13">
        <f>95.19*Hospital_Operations_Data[[#This Row],[Medication_Cost_USD]]</f>
        <v>162180.91440000001</v>
      </c>
    </row>
    <row r="2286" spans="1:3" x14ac:dyDescent="0.3">
      <c r="A2286" s="12">
        <f>95.19*Hospital_Operations_Data[[#This Row],[Treatment_Cost_USD]]</f>
        <v>767760.65639999998</v>
      </c>
      <c r="C2286" s="14">
        <f>95.19*Hospital_Operations_Data[[#This Row],[Medication_Cost_USD]]</f>
        <v>124858.8192</v>
      </c>
    </row>
    <row r="2287" spans="1:3" x14ac:dyDescent="0.3">
      <c r="A2287" s="11">
        <f>95.19*Hospital_Operations_Data[[#This Row],[Treatment_Cost_USD]]</f>
        <v>1004839.9184999999</v>
      </c>
      <c r="C2287" s="13">
        <f>95.19*Hospital_Operations_Data[[#This Row],[Medication_Cost_USD]]</f>
        <v>252865.57169999997</v>
      </c>
    </row>
    <row r="2288" spans="1:3" x14ac:dyDescent="0.3">
      <c r="A2288" s="12">
        <f>95.19*Hospital_Operations_Data[[#This Row],[Treatment_Cost_USD]]</f>
        <v>307548.4191</v>
      </c>
      <c r="C2288" s="14">
        <f>95.19*Hospital_Operations_Data[[#This Row],[Medication_Cost_USD]]</f>
        <v>49218.941399999996</v>
      </c>
    </row>
    <row r="2289" spans="1:3" x14ac:dyDescent="0.3">
      <c r="A2289" s="11">
        <f>95.19*Hospital_Operations_Data[[#This Row],[Treatment_Cost_USD]]</f>
        <v>537539.83380000002</v>
      </c>
      <c r="C2289" s="13">
        <f>95.19*Hospital_Operations_Data[[#This Row],[Medication_Cost_USD]]</f>
        <v>197669.65019999997</v>
      </c>
    </row>
    <row r="2290" spans="1:3" x14ac:dyDescent="0.3">
      <c r="A2290" s="12">
        <f>95.19*Hospital_Operations_Data[[#This Row],[Treatment_Cost_USD]]</f>
        <v>168836.5992</v>
      </c>
      <c r="C2290" s="14">
        <f>95.19*Hospital_Operations_Data[[#This Row],[Medication_Cost_USD]]</f>
        <v>43786.448100000001</v>
      </c>
    </row>
    <row r="2291" spans="1:3" x14ac:dyDescent="0.3">
      <c r="A2291" s="11">
        <f>95.19*Hospital_Operations_Data[[#This Row],[Treatment_Cost_USD]]</f>
        <v>272966.84399999998</v>
      </c>
      <c r="C2291" s="13">
        <f>95.19*Hospital_Operations_Data[[#This Row],[Medication_Cost_USD]]</f>
        <v>65723.935500000007</v>
      </c>
    </row>
    <row r="2292" spans="1:3" x14ac:dyDescent="0.3">
      <c r="A2292" s="12">
        <f>95.19*Hospital_Operations_Data[[#This Row],[Treatment_Cost_USD]]</f>
        <v>154338.21029999998</v>
      </c>
      <c r="C2292" s="14">
        <f>95.19*Hospital_Operations_Data[[#This Row],[Medication_Cost_USD]]</f>
        <v>42196.775099999999</v>
      </c>
    </row>
    <row r="2293" spans="1:3" x14ac:dyDescent="0.3">
      <c r="A2293" s="11">
        <f>95.19*Hospital_Operations_Data[[#This Row],[Treatment_Cost_USD]]</f>
        <v>624143.69579999999</v>
      </c>
      <c r="C2293" s="13">
        <f>95.19*Hospital_Operations_Data[[#This Row],[Medication_Cost_USD]]</f>
        <v>103694.27459999999</v>
      </c>
    </row>
    <row r="2294" spans="1:3" x14ac:dyDescent="0.3">
      <c r="A2294" s="12">
        <f>95.19*Hospital_Operations_Data[[#This Row],[Treatment_Cost_USD]]</f>
        <v>1962231.4295999999</v>
      </c>
      <c r="C2294" s="14">
        <f>95.19*Hospital_Operations_Data[[#This Row],[Medication_Cost_USD]]</f>
        <v>691618.17539999995</v>
      </c>
    </row>
    <row r="2295" spans="1:3" x14ac:dyDescent="0.3">
      <c r="A2295" s="11">
        <f>95.19*Hospital_Operations_Data[[#This Row],[Treatment_Cost_USD]]</f>
        <v>1773219.3098999998</v>
      </c>
      <c r="C2295" s="13">
        <f>95.19*Hospital_Operations_Data[[#This Row],[Medication_Cost_USD]]</f>
        <v>369233.44289999997</v>
      </c>
    </row>
    <row r="2296" spans="1:3" x14ac:dyDescent="0.3">
      <c r="A2296" s="12">
        <f>95.19*Hospital_Operations_Data[[#This Row],[Treatment_Cost_USD]]</f>
        <v>510475.41299999994</v>
      </c>
      <c r="C2296" s="14">
        <f>95.19*Hospital_Operations_Data[[#This Row],[Medication_Cost_USD]]</f>
        <v>101445.88679999999</v>
      </c>
    </row>
    <row r="2297" spans="1:3" x14ac:dyDescent="0.3">
      <c r="A2297" s="11">
        <f>95.19*Hospital_Operations_Data[[#This Row],[Treatment_Cost_USD]]</f>
        <v>749007.27449999994</v>
      </c>
      <c r="C2297" s="13">
        <f>95.19*Hospital_Operations_Data[[#This Row],[Medication_Cost_USD]]</f>
        <v>123899.30399999999</v>
      </c>
    </row>
    <row r="2298" spans="1:3" x14ac:dyDescent="0.3">
      <c r="A2298" s="12">
        <f>95.19*Hospital_Operations_Data[[#This Row],[Treatment_Cost_USD]]</f>
        <v>946378.98</v>
      </c>
      <c r="C2298" s="14">
        <f>95.19*Hospital_Operations_Data[[#This Row],[Medication_Cost_USD]]</f>
        <v>193691.66009999998</v>
      </c>
    </row>
    <row r="2299" spans="1:3" x14ac:dyDescent="0.3">
      <c r="A2299" s="11">
        <f>95.19*Hospital_Operations_Data[[#This Row],[Treatment_Cost_USD]]</f>
        <v>836567.79599999997</v>
      </c>
      <c r="C2299" s="13">
        <f>95.19*Hospital_Operations_Data[[#This Row],[Medication_Cost_USD]]</f>
        <v>211746.3474</v>
      </c>
    </row>
    <row r="2300" spans="1:3" x14ac:dyDescent="0.3">
      <c r="A2300" s="12">
        <f>95.19*Hospital_Operations_Data[[#This Row],[Treatment_Cost_USD]]</f>
        <v>509519.70539999998</v>
      </c>
      <c r="C2300" s="14">
        <f>95.19*Hospital_Operations_Data[[#This Row],[Medication_Cost_USD]]</f>
        <v>161964.83309999999</v>
      </c>
    </row>
    <row r="2301" spans="1:3" x14ac:dyDescent="0.3">
      <c r="A2301" s="11">
        <f>95.19*Hospital_Operations_Data[[#This Row],[Treatment_Cost_USD]]</f>
        <v>306044.41710000002</v>
      </c>
      <c r="C2301" s="13">
        <f>95.19*Hospital_Operations_Data[[#This Row],[Medication_Cost_USD]]</f>
        <v>57598.517100000005</v>
      </c>
    </row>
    <row r="2302" spans="1:3" x14ac:dyDescent="0.3">
      <c r="A2302" s="12">
        <f>95.19*Hospital_Operations_Data[[#This Row],[Treatment_Cost_USD]]</f>
        <v>143724.52529999998</v>
      </c>
      <c r="C2302" s="14">
        <f>95.19*Hospital_Operations_Data[[#This Row],[Medication_Cost_USD]]</f>
        <v>27657.4545</v>
      </c>
    </row>
    <row r="2303" spans="1:3" x14ac:dyDescent="0.3">
      <c r="A2303" s="11">
        <f>95.19*Hospital_Operations_Data[[#This Row],[Treatment_Cost_USD]]</f>
        <v>289063.473</v>
      </c>
      <c r="C2303" s="13">
        <f>95.19*Hospital_Operations_Data[[#This Row],[Medication_Cost_USD]]</f>
        <v>95981.02889999999</v>
      </c>
    </row>
    <row r="2304" spans="1:3" x14ac:dyDescent="0.3">
      <c r="A2304" s="12">
        <f>95.19*Hospital_Operations_Data[[#This Row],[Treatment_Cost_USD]]</f>
        <v>688457.86739999999</v>
      </c>
      <c r="C2304" s="14">
        <f>95.19*Hospital_Operations_Data[[#This Row],[Medication_Cost_USD]]</f>
        <v>233569.60679999998</v>
      </c>
    </row>
    <row r="2305" spans="1:3" x14ac:dyDescent="0.3">
      <c r="A2305" s="11">
        <f>95.19*Hospital_Operations_Data[[#This Row],[Treatment_Cost_USD]]</f>
        <v>435163.94069999998</v>
      </c>
      <c r="C2305" s="13">
        <f>95.19*Hospital_Operations_Data[[#This Row],[Medication_Cost_USD]]</f>
        <v>67804.7889</v>
      </c>
    </row>
    <row r="2306" spans="1:3" x14ac:dyDescent="0.3">
      <c r="A2306" s="12">
        <f>95.19*Hospital_Operations_Data[[#This Row],[Treatment_Cost_USD]]</f>
        <v>564195.88950000005</v>
      </c>
      <c r="C2306" s="14">
        <f>95.19*Hospital_Operations_Data[[#This Row],[Medication_Cost_USD]]</f>
        <v>127234.76160000001</v>
      </c>
    </row>
    <row r="2307" spans="1:3" x14ac:dyDescent="0.3">
      <c r="A2307" s="11">
        <f>95.19*Hospital_Operations_Data[[#This Row],[Treatment_Cost_USD]]</f>
        <v>355900.17960000003</v>
      </c>
      <c r="C2307" s="13">
        <f>95.19*Hospital_Operations_Data[[#This Row],[Medication_Cost_USD]]</f>
        <v>141822.62910000002</v>
      </c>
    </row>
    <row r="2308" spans="1:3" x14ac:dyDescent="0.3">
      <c r="A2308" s="12">
        <f>95.19*Hospital_Operations_Data[[#This Row],[Treatment_Cost_USD]]</f>
        <v>556783.44420000003</v>
      </c>
      <c r="C2308" s="14">
        <f>95.19*Hospital_Operations_Data[[#This Row],[Medication_Cost_USD]]</f>
        <v>158584.63620000001</v>
      </c>
    </row>
    <row r="2309" spans="1:3" x14ac:dyDescent="0.3">
      <c r="A2309" s="11">
        <f>95.19*Hospital_Operations_Data[[#This Row],[Treatment_Cost_USD]]</f>
        <v>564112.12230000005</v>
      </c>
      <c r="C2309" s="13">
        <f>95.19*Hospital_Operations_Data[[#This Row],[Medication_Cost_USD]]</f>
        <v>136556.71829999998</v>
      </c>
    </row>
    <row r="2310" spans="1:3" x14ac:dyDescent="0.3">
      <c r="A2310" s="12">
        <f>95.19*Hospital_Operations_Data[[#This Row],[Treatment_Cost_USD]]</f>
        <v>1246946.1645</v>
      </c>
      <c r="C2310" s="14">
        <f>95.19*Hospital_Operations_Data[[#This Row],[Medication_Cost_USD]]</f>
        <v>373749.25649999996</v>
      </c>
    </row>
    <row r="2311" spans="1:3" x14ac:dyDescent="0.3">
      <c r="A2311" s="11">
        <f>95.19*Hospital_Operations_Data[[#This Row],[Treatment_Cost_USD]]</f>
        <v>824785.17780000006</v>
      </c>
      <c r="C2311" s="13">
        <f>95.19*Hospital_Operations_Data[[#This Row],[Medication_Cost_USD]]</f>
        <v>286690.38630000001</v>
      </c>
    </row>
    <row r="2312" spans="1:3" x14ac:dyDescent="0.3">
      <c r="A2312" s="12">
        <f>95.19*Hospital_Operations_Data[[#This Row],[Treatment_Cost_USD]]</f>
        <v>481885.09650000004</v>
      </c>
      <c r="C2312" s="14">
        <f>95.19*Hospital_Operations_Data[[#This Row],[Medication_Cost_USD]]</f>
        <v>150364.9797</v>
      </c>
    </row>
    <row r="2313" spans="1:3" x14ac:dyDescent="0.3">
      <c r="A2313" s="11">
        <f>95.19*Hospital_Operations_Data[[#This Row],[Treatment_Cost_USD]]</f>
        <v>530357.74829999998</v>
      </c>
      <c r="C2313" s="13">
        <f>95.19*Hospital_Operations_Data[[#This Row],[Medication_Cost_USD]]</f>
        <v>146019.55619999999</v>
      </c>
    </row>
    <row r="2314" spans="1:3" x14ac:dyDescent="0.3">
      <c r="A2314" s="12">
        <f>95.19*Hospital_Operations_Data[[#This Row],[Treatment_Cost_USD]]</f>
        <v>657199.37520000001</v>
      </c>
      <c r="C2314" s="14">
        <f>95.19*Hospital_Operations_Data[[#This Row],[Medication_Cost_USD]]</f>
        <v>218588.60460000002</v>
      </c>
    </row>
    <row r="2315" spans="1:3" x14ac:dyDescent="0.3">
      <c r="A2315" s="11">
        <f>95.19*Hospital_Operations_Data[[#This Row],[Treatment_Cost_USD]]</f>
        <v>1031355.093</v>
      </c>
      <c r="C2315" s="13">
        <f>95.19*Hospital_Operations_Data[[#This Row],[Medication_Cost_USD]]</f>
        <v>327008.11080000002</v>
      </c>
    </row>
    <row r="2316" spans="1:3" x14ac:dyDescent="0.3">
      <c r="A2316" s="12">
        <f>95.19*Hospital_Operations_Data[[#This Row],[Treatment_Cost_USD]]</f>
        <v>503286.6642</v>
      </c>
      <c r="C2316" s="14">
        <f>95.19*Hospital_Operations_Data[[#This Row],[Medication_Cost_USD]]</f>
        <v>90246.783299999996</v>
      </c>
    </row>
    <row r="2317" spans="1:3" x14ac:dyDescent="0.3">
      <c r="A2317" s="11">
        <f>95.19*Hospital_Operations_Data[[#This Row],[Treatment_Cost_USD]]</f>
        <v>220799.8683</v>
      </c>
      <c r="C2317" s="13">
        <f>95.19*Hospital_Operations_Data[[#This Row],[Medication_Cost_USD]]</f>
        <v>39093.581099999996</v>
      </c>
    </row>
    <row r="2318" spans="1:3" x14ac:dyDescent="0.3">
      <c r="A2318" s="12">
        <f>95.19*Hospital_Operations_Data[[#This Row],[Treatment_Cost_USD]]</f>
        <v>1123682.7296999998</v>
      </c>
      <c r="C2318" s="14">
        <f>95.19*Hospital_Operations_Data[[#This Row],[Medication_Cost_USD]]</f>
        <v>195974.31630000001</v>
      </c>
    </row>
    <row r="2319" spans="1:3" x14ac:dyDescent="0.3">
      <c r="A2319" s="11">
        <f>95.19*Hospital_Operations_Data[[#This Row],[Treatment_Cost_USD]]</f>
        <v>250351.60379999998</v>
      </c>
      <c r="C2319" s="13">
        <f>95.19*Hospital_Operations_Data[[#This Row],[Medication_Cost_USD]]</f>
        <v>51879.501899999996</v>
      </c>
    </row>
    <row r="2320" spans="1:3" x14ac:dyDescent="0.3">
      <c r="A2320" s="12">
        <f>95.19*Hospital_Operations_Data[[#This Row],[Treatment_Cost_USD]]</f>
        <v>1627158.8219999999</v>
      </c>
      <c r="C2320" s="14">
        <f>95.19*Hospital_Operations_Data[[#This Row],[Medication_Cost_USD]]</f>
        <v>434517.60059999995</v>
      </c>
    </row>
    <row r="2321" spans="1:3" x14ac:dyDescent="0.3">
      <c r="A2321" s="11">
        <f>95.19*Hospital_Operations_Data[[#This Row],[Treatment_Cost_USD]]</f>
        <v>667022.98320000002</v>
      </c>
      <c r="C2321" s="13">
        <f>95.19*Hospital_Operations_Data[[#This Row],[Medication_Cost_USD]]</f>
        <v>176587.9209</v>
      </c>
    </row>
    <row r="2322" spans="1:3" x14ac:dyDescent="0.3">
      <c r="A2322" s="12">
        <f>95.19*Hospital_Operations_Data[[#This Row],[Treatment_Cost_USD]]</f>
        <v>239816.92649999997</v>
      </c>
      <c r="C2322" s="14">
        <f>95.19*Hospital_Operations_Data[[#This Row],[Medication_Cost_USD]]</f>
        <v>78681.198300000004</v>
      </c>
    </row>
    <row r="2323" spans="1:3" x14ac:dyDescent="0.3">
      <c r="A2323" s="11">
        <f>95.19*Hospital_Operations_Data[[#This Row],[Treatment_Cost_USD]]</f>
        <v>368893.61460000003</v>
      </c>
      <c r="C2323" s="13">
        <f>95.19*Hospital_Operations_Data[[#This Row],[Medication_Cost_USD]]</f>
        <v>90659.907899999991</v>
      </c>
    </row>
    <row r="2324" spans="1:3" x14ac:dyDescent="0.3">
      <c r="A2324" s="12">
        <f>95.19*Hospital_Operations_Data[[#This Row],[Treatment_Cost_USD]]</f>
        <v>1523626.3703999999</v>
      </c>
      <c r="C2324" s="14">
        <f>95.19*Hospital_Operations_Data[[#This Row],[Medication_Cost_USD]]</f>
        <v>238932.61139999999</v>
      </c>
    </row>
    <row r="2325" spans="1:3" x14ac:dyDescent="0.3">
      <c r="A2325" s="11">
        <f>95.19*Hospital_Operations_Data[[#This Row],[Treatment_Cost_USD]]</f>
        <v>775629.06180000002</v>
      </c>
      <c r="C2325" s="13">
        <f>95.19*Hospital_Operations_Data[[#This Row],[Medication_Cost_USD]]</f>
        <v>218765.65799999997</v>
      </c>
    </row>
    <row r="2326" spans="1:3" x14ac:dyDescent="0.3">
      <c r="A2326" s="12">
        <f>95.19*Hospital_Operations_Data[[#This Row],[Treatment_Cost_USD]]</f>
        <v>565891.2233999999</v>
      </c>
      <c r="C2326" s="14">
        <f>95.19*Hospital_Operations_Data[[#This Row],[Medication_Cost_USD]]</f>
        <v>223682.22149999999</v>
      </c>
    </row>
    <row r="2327" spans="1:3" x14ac:dyDescent="0.3">
      <c r="A2327" s="11">
        <f>95.19*Hospital_Operations_Data[[#This Row],[Treatment_Cost_USD]]</f>
        <v>430043.67059999995</v>
      </c>
      <c r="C2327" s="13">
        <f>95.19*Hospital_Operations_Data[[#This Row],[Medication_Cost_USD]]</f>
        <v>114285.11399999999</v>
      </c>
    </row>
    <row r="2328" spans="1:3" x14ac:dyDescent="0.3">
      <c r="A2328" s="12">
        <f>95.19*Hospital_Operations_Data[[#This Row],[Treatment_Cost_USD]]</f>
        <v>488052.45660000003</v>
      </c>
      <c r="C2328" s="14">
        <f>95.19*Hospital_Operations_Data[[#This Row],[Medication_Cost_USD]]</f>
        <v>101148.89399999999</v>
      </c>
    </row>
    <row r="2329" spans="1:3" x14ac:dyDescent="0.3">
      <c r="A2329" s="11">
        <f>95.19*Hospital_Operations_Data[[#This Row],[Treatment_Cost_USD]]</f>
        <v>1959630.8388</v>
      </c>
      <c r="C2329" s="13">
        <f>95.19*Hospital_Operations_Data[[#This Row],[Medication_Cost_USD]]</f>
        <v>680048.78279999993</v>
      </c>
    </row>
    <row r="2330" spans="1:3" x14ac:dyDescent="0.3">
      <c r="A2330" s="12">
        <f>95.19*Hospital_Operations_Data[[#This Row],[Treatment_Cost_USD]]</f>
        <v>107984.48790000001</v>
      </c>
      <c r="C2330" s="14">
        <f>95.19*Hospital_Operations_Data[[#This Row],[Medication_Cost_USD]]</f>
        <v>29281.3959</v>
      </c>
    </row>
    <row r="2331" spans="1:3" x14ac:dyDescent="0.3">
      <c r="A2331" s="11">
        <f>95.19*Hospital_Operations_Data[[#This Row],[Treatment_Cost_USD]]</f>
        <v>776789.42790000001</v>
      </c>
      <c r="C2331" s="13">
        <f>95.19*Hospital_Operations_Data[[#This Row],[Medication_Cost_USD]]</f>
        <v>166049.43600000002</v>
      </c>
    </row>
    <row r="2332" spans="1:3" x14ac:dyDescent="0.3">
      <c r="A2332" s="12">
        <f>95.19*Hospital_Operations_Data[[#This Row],[Treatment_Cost_USD]]</f>
        <v>350842.73489999998</v>
      </c>
      <c r="C2332" s="14">
        <f>95.19*Hospital_Operations_Data[[#This Row],[Medication_Cost_USD]]</f>
        <v>127346.13389999999</v>
      </c>
    </row>
    <row r="2333" spans="1:3" x14ac:dyDescent="0.3">
      <c r="A2333" s="11">
        <f>95.19*Hospital_Operations_Data[[#This Row],[Treatment_Cost_USD]]</f>
        <v>156864.55290000001</v>
      </c>
      <c r="C2333" s="13">
        <f>95.19*Hospital_Operations_Data[[#This Row],[Medication_Cost_USD]]</f>
        <v>40261.562399999995</v>
      </c>
    </row>
    <row r="2334" spans="1:3" x14ac:dyDescent="0.3">
      <c r="A2334" s="12">
        <f>95.19*Hospital_Operations_Data[[#This Row],[Treatment_Cost_USD]]</f>
        <v>2423859.1422000001</v>
      </c>
      <c r="C2334" s="14">
        <f>95.19*Hospital_Operations_Data[[#This Row],[Medication_Cost_USD]]</f>
        <v>624631.0686</v>
      </c>
    </row>
    <row r="2335" spans="1:3" x14ac:dyDescent="0.3">
      <c r="A2335" s="11">
        <f>95.19*Hospital_Operations_Data[[#This Row],[Treatment_Cost_USD]]</f>
        <v>1457410.3026000001</v>
      </c>
      <c r="C2335" s="13">
        <f>95.19*Hospital_Operations_Data[[#This Row],[Medication_Cost_USD]]</f>
        <v>407278.03019999998</v>
      </c>
    </row>
    <row r="2336" spans="1:3" x14ac:dyDescent="0.3">
      <c r="A2336" s="12">
        <f>95.19*Hospital_Operations_Data[[#This Row],[Treatment_Cost_USD]]</f>
        <v>1584777.3783</v>
      </c>
      <c r="C2336" s="14">
        <f>95.19*Hospital_Operations_Data[[#This Row],[Medication_Cost_USD]]</f>
        <v>246461.18849999999</v>
      </c>
    </row>
    <row r="2337" spans="1:3" x14ac:dyDescent="0.3">
      <c r="A2337" s="11">
        <f>95.19*Hospital_Operations_Data[[#This Row],[Treatment_Cost_USD]]</f>
        <v>1241940.1224</v>
      </c>
      <c r="C2337" s="13">
        <f>95.19*Hospital_Operations_Data[[#This Row],[Medication_Cost_USD]]</f>
        <v>207134.39190000002</v>
      </c>
    </row>
    <row r="2338" spans="1:3" x14ac:dyDescent="0.3">
      <c r="A2338" s="12">
        <f>95.19*Hospital_Operations_Data[[#This Row],[Treatment_Cost_USD]]</f>
        <v>444813.35099999997</v>
      </c>
      <c r="C2338" s="14">
        <f>95.19*Hospital_Operations_Data[[#This Row],[Medication_Cost_USD]]</f>
        <v>68365.457999999999</v>
      </c>
    </row>
    <row r="2339" spans="1:3" x14ac:dyDescent="0.3">
      <c r="A2339" s="11">
        <f>95.19*Hospital_Operations_Data[[#This Row],[Treatment_Cost_USD]]</f>
        <v>889360.16999999993</v>
      </c>
      <c r="C2339" s="13">
        <f>95.19*Hospital_Operations_Data[[#This Row],[Medication_Cost_USD]]</f>
        <v>273901.60979999998</v>
      </c>
    </row>
    <row r="2340" spans="1:3" x14ac:dyDescent="0.3">
      <c r="A2340" s="12">
        <f>95.19*Hospital_Operations_Data[[#This Row],[Treatment_Cost_USD]]</f>
        <v>714169.63829999999</v>
      </c>
      <c r="C2340" s="14">
        <f>95.19*Hospital_Operations_Data[[#This Row],[Medication_Cost_USD]]</f>
        <v>248253.61619999999</v>
      </c>
    </row>
    <row r="2341" spans="1:3" x14ac:dyDescent="0.3">
      <c r="A2341" s="11">
        <f>95.19*Hospital_Operations_Data[[#This Row],[Treatment_Cost_USD]]</f>
        <v>159685.03260000001</v>
      </c>
      <c r="C2341" s="13">
        <f>95.19*Hospital_Operations_Data[[#This Row],[Medication_Cost_USD]]</f>
        <v>48130.919699999999</v>
      </c>
    </row>
    <row r="2342" spans="1:3" x14ac:dyDescent="0.3">
      <c r="A2342" s="12">
        <f>95.19*Hospital_Operations_Data[[#This Row],[Treatment_Cost_USD]]</f>
        <v>575631.06420000002</v>
      </c>
      <c r="C2342" s="14">
        <f>95.19*Hospital_Operations_Data[[#This Row],[Medication_Cost_USD]]</f>
        <v>96387.4902</v>
      </c>
    </row>
    <row r="2343" spans="1:3" x14ac:dyDescent="0.3">
      <c r="A2343" s="11">
        <f>95.19*Hospital_Operations_Data[[#This Row],[Treatment_Cost_USD]]</f>
        <v>601267.63500000001</v>
      </c>
      <c r="C2343" s="13">
        <f>95.19*Hospital_Operations_Data[[#This Row],[Medication_Cost_USD]]</f>
        <v>108760.2864</v>
      </c>
    </row>
    <row r="2344" spans="1:3" x14ac:dyDescent="0.3">
      <c r="A2344" s="12">
        <f>95.19*Hospital_Operations_Data[[#This Row],[Treatment_Cost_USD]]</f>
        <v>753237.51809999999</v>
      </c>
      <c r="C2344" s="14">
        <f>95.19*Hospital_Operations_Data[[#This Row],[Medication_Cost_USD]]</f>
        <v>236158.77480000001</v>
      </c>
    </row>
    <row r="2345" spans="1:3" x14ac:dyDescent="0.3">
      <c r="A2345" s="11">
        <f>95.19*Hospital_Operations_Data[[#This Row],[Treatment_Cost_USD]]</f>
        <v>1106044.0226999999</v>
      </c>
      <c r="C2345" s="13">
        <f>95.19*Hospital_Operations_Data[[#This Row],[Medication_Cost_USD]]</f>
        <v>411317.89380000002</v>
      </c>
    </row>
    <row r="2346" spans="1:3" x14ac:dyDescent="0.3">
      <c r="A2346" s="12">
        <f>95.19*Hospital_Operations_Data[[#This Row],[Treatment_Cost_USD]]</f>
        <v>348936.07919999998</v>
      </c>
      <c r="C2346" s="14">
        <f>95.19*Hospital_Operations_Data[[#This Row],[Medication_Cost_USD]]</f>
        <v>126604.6038</v>
      </c>
    </row>
    <row r="2347" spans="1:3" x14ac:dyDescent="0.3">
      <c r="A2347" s="11">
        <f>95.19*Hospital_Operations_Data[[#This Row],[Treatment_Cost_USD]]</f>
        <v>1500161.0834999999</v>
      </c>
      <c r="C2347" s="13">
        <f>95.19*Hospital_Operations_Data[[#This Row],[Medication_Cost_USD]]</f>
        <v>528974.63760000002</v>
      </c>
    </row>
    <row r="2348" spans="1:3" x14ac:dyDescent="0.3">
      <c r="A2348" s="12">
        <f>95.19*Hospital_Operations_Data[[#This Row],[Treatment_Cost_USD]]</f>
        <v>666491.82299999997</v>
      </c>
      <c r="C2348" s="14">
        <f>95.19*Hospital_Operations_Data[[#This Row],[Medication_Cost_USD]]</f>
        <v>132791.95379999999</v>
      </c>
    </row>
    <row r="2349" spans="1:3" x14ac:dyDescent="0.3">
      <c r="A2349" s="11">
        <f>95.19*Hospital_Operations_Data[[#This Row],[Treatment_Cost_USD]]</f>
        <v>593948.47589999996</v>
      </c>
      <c r="C2349" s="13">
        <f>95.19*Hospital_Operations_Data[[#This Row],[Medication_Cost_USD]]</f>
        <v>232946.11230000001</v>
      </c>
    </row>
    <row r="2350" spans="1:3" x14ac:dyDescent="0.3">
      <c r="A2350" s="12">
        <f>95.19*Hospital_Operations_Data[[#This Row],[Treatment_Cost_USD]]</f>
        <v>990244.43579999998</v>
      </c>
      <c r="C2350" s="14">
        <f>95.19*Hospital_Operations_Data[[#This Row],[Medication_Cost_USD]]</f>
        <v>354263.86349999998</v>
      </c>
    </row>
    <row r="2351" spans="1:3" x14ac:dyDescent="0.3">
      <c r="A2351" s="11">
        <f>95.19*Hospital_Operations_Data[[#This Row],[Treatment_Cost_USD]]</f>
        <v>305716.96350000001</v>
      </c>
      <c r="C2351" s="13">
        <f>95.19*Hospital_Operations_Data[[#This Row],[Medication_Cost_USD]]</f>
        <v>59730.773099999999</v>
      </c>
    </row>
    <row r="2352" spans="1:3" x14ac:dyDescent="0.3">
      <c r="A2352" s="12">
        <f>95.19*Hospital_Operations_Data[[#This Row],[Treatment_Cost_USD]]</f>
        <v>330447.32549999998</v>
      </c>
      <c r="C2352" s="14">
        <f>95.19*Hospital_Operations_Data[[#This Row],[Medication_Cost_USD]]</f>
        <v>60523.705800000003</v>
      </c>
    </row>
    <row r="2353" spans="1:3" x14ac:dyDescent="0.3">
      <c r="A2353" s="11">
        <f>95.19*Hospital_Operations_Data[[#This Row],[Treatment_Cost_USD]]</f>
        <v>1034730.5303999999</v>
      </c>
      <c r="C2353" s="13">
        <f>95.19*Hospital_Operations_Data[[#This Row],[Medication_Cost_USD]]</f>
        <v>295024.2708</v>
      </c>
    </row>
    <row r="2354" spans="1:3" x14ac:dyDescent="0.3">
      <c r="A2354" s="12">
        <f>95.19*Hospital_Operations_Data[[#This Row],[Treatment_Cost_USD]]</f>
        <v>252915.07049999997</v>
      </c>
      <c r="C2354" s="14">
        <f>95.19*Hospital_Operations_Data[[#This Row],[Medication_Cost_USD]]</f>
        <v>68375.928899999999</v>
      </c>
    </row>
    <row r="2355" spans="1:3" x14ac:dyDescent="0.3">
      <c r="A2355" s="11">
        <f>95.19*Hospital_Operations_Data[[#This Row],[Treatment_Cost_USD]]</f>
        <v>1313956.1169</v>
      </c>
      <c r="C2355" s="13">
        <f>95.19*Hospital_Operations_Data[[#This Row],[Medication_Cost_USD]]</f>
        <v>345271.26419999998</v>
      </c>
    </row>
    <row r="2356" spans="1:3" x14ac:dyDescent="0.3">
      <c r="A2356" s="12">
        <f>95.19*Hospital_Operations_Data[[#This Row],[Treatment_Cost_USD]]</f>
        <v>1117476.3417</v>
      </c>
      <c r="C2356" s="14">
        <f>95.19*Hospital_Operations_Data[[#This Row],[Medication_Cost_USD]]</f>
        <v>408365.1</v>
      </c>
    </row>
    <row r="2357" spans="1:3" x14ac:dyDescent="0.3">
      <c r="A2357" s="11">
        <f>95.19*Hospital_Operations_Data[[#This Row],[Treatment_Cost_USD]]</f>
        <v>933152.32949999988</v>
      </c>
      <c r="C2357" s="13">
        <f>95.19*Hospital_Operations_Data[[#This Row],[Medication_Cost_USD]]</f>
        <v>224691.23549999998</v>
      </c>
    </row>
    <row r="2358" spans="1:3" x14ac:dyDescent="0.3">
      <c r="A2358" s="12">
        <f>95.19*Hospital_Operations_Data[[#This Row],[Treatment_Cost_USD]]</f>
        <v>618146.72580000001</v>
      </c>
      <c r="C2358" s="14">
        <f>95.19*Hospital_Operations_Data[[#This Row],[Medication_Cost_USD]]</f>
        <v>190493.27609999999</v>
      </c>
    </row>
    <row r="2359" spans="1:3" x14ac:dyDescent="0.3">
      <c r="A2359" s="11">
        <f>95.19*Hospital_Operations_Data[[#This Row],[Treatment_Cost_USD]]</f>
        <v>758260.69440000004</v>
      </c>
      <c r="C2359" s="13">
        <f>95.19*Hospital_Operations_Data[[#This Row],[Medication_Cost_USD]]</f>
        <v>218682.84269999998</v>
      </c>
    </row>
    <row r="2360" spans="1:3" x14ac:dyDescent="0.3">
      <c r="A2360" s="12">
        <f>95.19*Hospital_Operations_Data[[#This Row],[Treatment_Cost_USD]]</f>
        <v>559886.63819999993</v>
      </c>
      <c r="C2360" s="14">
        <f>95.19*Hospital_Operations_Data[[#This Row],[Medication_Cost_USD]]</f>
        <v>100868.08350000001</v>
      </c>
    </row>
    <row r="2361" spans="1:3" x14ac:dyDescent="0.3">
      <c r="A2361" s="11">
        <f>95.19*Hospital_Operations_Data[[#This Row],[Treatment_Cost_USD]]</f>
        <v>317905.09110000002</v>
      </c>
      <c r="C2361" s="13">
        <f>95.19*Hospital_Operations_Data[[#This Row],[Medication_Cost_USD]]</f>
        <v>100998.4938</v>
      </c>
    </row>
    <row r="2362" spans="1:3" x14ac:dyDescent="0.3">
      <c r="A2362" s="12">
        <f>95.19*Hospital_Operations_Data[[#This Row],[Treatment_Cost_USD]]</f>
        <v>782933.94239999994</v>
      </c>
      <c r="C2362" s="14">
        <f>95.19*Hospital_Operations_Data[[#This Row],[Medication_Cost_USD]]</f>
        <v>247339.7922</v>
      </c>
    </row>
    <row r="2363" spans="1:3" x14ac:dyDescent="0.3">
      <c r="A2363" s="11">
        <f>95.19*Hospital_Operations_Data[[#This Row],[Treatment_Cost_USD]]</f>
        <v>830458.50179999997</v>
      </c>
      <c r="C2363" s="13">
        <f>95.19*Hospital_Operations_Data[[#This Row],[Medication_Cost_USD]]</f>
        <v>236125.4583</v>
      </c>
    </row>
    <row r="2364" spans="1:3" x14ac:dyDescent="0.3">
      <c r="A2364" s="12">
        <f>95.19*Hospital_Operations_Data[[#This Row],[Treatment_Cost_USD]]</f>
        <v>1570591.2126</v>
      </c>
      <c r="C2364" s="14">
        <f>95.19*Hospital_Operations_Data[[#This Row],[Medication_Cost_USD]]</f>
        <v>476994.23430000001</v>
      </c>
    </row>
    <row r="2365" spans="1:3" x14ac:dyDescent="0.3">
      <c r="A2365" s="11">
        <f>95.19*Hospital_Operations_Data[[#This Row],[Treatment_Cost_USD]]</f>
        <v>213494.9877</v>
      </c>
      <c r="C2365" s="13">
        <f>95.19*Hospital_Operations_Data[[#This Row],[Medication_Cost_USD]]</f>
        <v>74526.154799999989</v>
      </c>
    </row>
    <row r="2366" spans="1:3" x14ac:dyDescent="0.3">
      <c r="A2366" s="12">
        <f>95.19*Hospital_Operations_Data[[#This Row],[Treatment_Cost_USD]]</f>
        <v>1127746.3907999999</v>
      </c>
      <c r="C2366" s="14">
        <f>95.19*Hospital_Operations_Data[[#This Row],[Medication_Cost_USD]]</f>
        <v>444648.67229999998</v>
      </c>
    </row>
    <row r="2367" spans="1:3" x14ac:dyDescent="0.3">
      <c r="A2367" s="11">
        <f>95.19*Hospital_Operations_Data[[#This Row],[Treatment_Cost_USD]]</f>
        <v>238728.90479999999</v>
      </c>
      <c r="C2367" s="13">
        <f>95.19*Hospital_Operations_Data[[#This Row],[Medication_Cost_USD]]</f>
        <v>54713.308199999999</v>
      </c>
    </row>
    <row r="2368" spans="1:3" x14ac:dyDescent="0.3">
      <c r="A2368" s="12">
        <f>95.19*Hospital_Operations_Data[[#This Row],[Treatment_Cost_USD]]</f>
        <v>581668.01399999997</v>
      </c>
      <c r="C2368" s="14">
        <f>95.19*Hospital_Operations_Data[[#This Row],[Medication_Cost_USD]]</f>
        <v>94160.996100000004</v>
      </c>
    </row>
    <row r="2369" spans="1:3" x14ac:dyDescent="0.3">
      <c r="A2369" s="11">
        <f>95.19*Hospital_Operations_Data[[#This Row],[Treatment_Cost_USD]]</f>
        <v>387658.41929999995</v>
      </c>
      <c r="C2369" s="13">
        <f>95.19*Hospital_Operations_Data[[#This Row],[Medication_Cost_USD]]</f>
        <v>94253.330399999992</v>
      </c>
    </row>
    <row r="2370" spans="1:3" x14ac:dyDescent="0.3">
      <c r="A2370" s="12">
        <f>95.19*Hospital_Operations_Data[[#This Row],[Treatment_Cost_USD]]</f>
        <v>104130.2448</v>
      </c>
      <c r="C2370" s="14">
        <f>95.19*Hospital_Operations_Data[[#This Row],[Medication_Cost_USD]]</f>
        <v>31077.6312</v>
      </c>
    </row>
    <row r="2371" spans="1:3" x14ac:dyDescent="0.3">
      <c r="A2371" s="11">
        <f>95.19*Hospital_Operations_Data[[#This Row],[Treatment_Cost_USD]]</f>
        <v>840075.54749999999</v>
      </c>
      <c r="C2371" s="13">
        <f>95.19*Hospital_Operations_Data[[#This Row],[Medication_Cost_USD]]</f>
        <v>309313.24169999996</v>
      </c>
    </row>
    <row r="2372" spans="1:3" x14ac:dyDescent="0.3">
      <c r="A2372" s="12">
        <f>95.19*Hospital_Operations_Data[[#This Row],[Treatment_Cost_USD]]</f>
        <v>642594.37349999999</v>
      </c>
      <c r="C2372" s="14">
        <f>95.19*Hospital_Operations_Data[[#This Row],[Medication_Cost_USD]]</f>
        <v>120571.46160000001</v>
      </c>
    </row>
    <row r="2373" spans="1:3" x14ac:dyDescent="0.3">
      <c r="A2373" s="11">
        <f>95.19*Hospital_Operations_Data[[#This Row],[Treatment_Cost_USD]]</f>
        <v>1106617.0665</v>
      </c>
      <c r="C2373" s="13">
        <f>95.19*Hospital_Operations_Data[[#This Row],[Medication_Cost_USD]]</f>
        <v>413951.80109999992</v>
      </c>
    </row>
    <row r="2374" spans="1:3" x14ac:dyDescent="0.3">
      <c r="A2374" s="12">
        <f>95.19*Hospital_Operations_Data[[#This Row],[Treatment_Cost_USD]]</f>
        <v>365405.853</v>
      </c>
      <c r="C2374" s="14">
        <f>95.19*Hospital_Operations_Data[[#This Row],[Medication_Cost_USD]]</f>
        <v>87403.457999999999</v>
      </c>
    </row>
    <row r="2375" spans="1:3" x14ac:dyDescent="0.3">
      <c r="A2375" s="11">
        <f>95.19*Hospital_Operations_Data[[#This Row],[Treatment_Cost_USD]]</f>
        <v>1467601.344</v>
      </c>
      <c r="C2375" s="13">
        <f>95.19*Hospital_Operations_Data[[#This Row],[Medication_Cost_USD]]</f>
        <v>413530.10940000002</v>
      </c>
    </row>
    <row r="2376" spans="1:3" x14ac:dyDescent="0.3">
      <c r="A2376" s="12">
        <f>95.19*Hospital_Operations_Data[[#This Row],[Treatment_Cost_USD]]</f>
        <v>606302.2341</v>
      </c>
      <c r="C2376" s="14">
        <f>95.19*Hospital_Operations_Data[[#This Row],[Medication_Cost_USD]]</f>
        <v>137375.3523</v>
      </c>
    </row>
    <row r="2377" spans="1:3" x14ac:dyDescent="0.3">
      <c r="A2377" s="11">
        <f>95.19*Hospital_Operations_Data[[#This Row],[Treatment_Cost_USD]]</f>
        <v>772467.80189999996</v>
      </c>
      <c r="C2377" s="13">
        <f>95.19*Hospital_Operations_Data[[#This Row],[Medication_Cost_USD]]</f>
        <v>235194.5001</v>
      </c>
    </row>
    <row r="2378" spans="1:3" x14ac:dyDescent="0.3">
      <c r="A2378" s="12">
        <f>95.19*Hospital_Operations_Data[[#This Row],[Treatment_Cost_USD]]</f>
        <v>225569.83919999999</v>
      </c>
      <c r="C2378" s="14">
        <f>95.19*Hospital_Operations_Data[[#This Row],[Medication_Cost_USD]]</f>
        <v>34342.648199999996</v>
      </c>
    </row>
    <row r="2379" spans="1:3" x14ac:dyDescent="0.3">
      <c r="A2379" s="11">
        <f>95.19*Hospital_Operations_Data[[#This Row],[Treatment_Cost_USD]]</f>
        <v>953253.60179999995</v>
      </c>
      <c r="C2379" s="13">
        <f>95.19*Hospital_Operations_Data[[#This Row],[Medication_Cost_USD]]</f>
        <v>377672.03639999998</v>
      </c>
    </row>
    <row r="2380" spans="1:3" x14ac:dyDescent="0.3">
      <c r="A2380" s="12">
        <f>95.19*Hospital_Operations_Data[[#This Row],[Treatment_Cost_USD]]</f>
        <v>1151879.9114999999</v>
      </c>
      <c r="C2380" s="14">
        <f>95.19*Hospital_Operations_Data[[#This Row],[Medication_Cost_USD]]</f>
        <v>380936.10149999999</v>
      </c>
    </row>
    <row r="2381" spans="1:3" x14ac:dyDescent="0.3">
      <c r="A2381" s="11">
        <f>95.19*Hospital_Operations_Data[[#This Row],[Treatment_Cost_USD]]</f>
        <v>975632.77079999994</v>
      </c>
      <c r="C2381" s="13">
        <f>95.19*Hospital_Operations_Data[[#This Row],[Medication_Cost_USD]]</f>
        <v>364303.5528</v>
      </c>
    </row>
    <row r="2382" spans="1:3" x14ac:dyDescent="0.3">
      <c r="A2382" s="12">
        <f>95.19*Hospital_Operations_Data[[#This Row],[Treatment_Cost_USD]]</f>
        <v>1946456.5427999999</v>
      </c>
      <c r="C2382" s="14">
        <f>95.19*Hospital_Operations_Data[[#This Row],[Medication_Cost_USD]]</f>
        <v>507837.69809999998</v>
      </c>
    </row>
    <row r="2383" spans="1:3" x14ac:dyDescent="0.3">
      <c r="A2383" s="11">
        <f>95.19*Hospital_Operations_Data[[#This Row],[Treatment_Cost_USD]]</f>
        <v>1060298.5644</v>
      </c>
      <c r="C2383" s="13">
        <f>95.19*Hospital_Operations_Data[[#This Row],[Medication_Cost_USD]]</f>
        <v>224328.56159999999</v>
      </c>
    </row>
    <row r="2384" spans="1:3" x14ac:dyDescent="0.3">
      <c r="A2384" s="12">
        <f>95.19*Hospital_Operations_Data[[#This Row],[Treatment_Cost_USD]]</f>
        <v>985176.52019999991</v>
      </c>
      <c r="C2384" s="14">
        <f>95.19*Hospital_Operations_Data[[#This Row],[Medication_Cost_USD]]</f>
        <v>164643.4797</v>
      </c>
    </row>
    <row r="2385" spans="1:3" x14ac:dyDescent="0.3">
      <c r="A2385" s="11">
        <f>95.19*Hospital_Operations_Data[[#This Row],[Treatment_Cost_USD]]</f>
        <v>712450.50690000004</v>
      </c>
      <c r="C2385" s="13">
        <f>95.19*Hospital_Operations_Data[[#This Row],[Medication_Cost_USD]]</f>
        <v>153508.15350000001</v>
      </c>
    </row>
    <row r="2386" spans="1:3" x14ac:dyDescent="0.3">
      <c r="A2386" s="12">
        <f>95.19*Hospital_Operations_Data[[#This Row],[Treatment_Cost_USD]]</f>
        <v>414488.6727</v>
      </c>
      <c r="C2386" s="14">
        <f>95.19*Hospital_Operations_Data[[#This Row],[Medication_Cost_USD]]</f>
        <v>117416.86499999999</v>
      </c>
    </row>
    <row r="2387" spans="1:3" x14ac:dyDescent="0.3">
      <c r="A2387" s="11">
        <f>95.19*Hospital_Operations_Data[[#This Row],[Treatment_Cost_USD]]</f>
        <v>252544.78139999998</v>
      </c>
      <c r="C2387" s="13">
        <f>95.19*Hospital_Operations_Data[[#This Row],[Medication_Cost_USD]]</f>
        <v>64414.121100000004</v>
      </c>
    </row>
    <row r="2388" spans="1:3" x14ac:dyDescent="0.3">
      <c r="A2388" s="12">
        <f>95.19*Hospital_Operations_Data[[#This Row],[Treatment_Cost_USD]]</f>
        <v>405700.73190000001</v>
      </c>
      <c r="C2388" s="14">
        <f>95.19*Hospital_Operations_Data[[#This Row],[Medication_Cost_USD]]</f>
        <v>81226.578899999993</v>
      </c>
    </row>
    <row r="2389" spans="1:3" x14ac:dyDescent="0.3">
      <c r="A2389" s="11">
        <f>95.19*Hospital_Operations_Data[[#This Row],[Treatment_Cost_USD]]</f>
        <v>368661.35100000002</v>
      </c>
      <c r="C2389" s="13">
        <f>95.19*Hospital_Operations_Data[[#This Row],[Medication_Cost_USD]]</f>
        <v>113277.05189999999</v>
      </c>
    </row>
    <row r="2390" spans="1:3" x14ac:dyDescent="0.3">
      <c r="A2390" s="12">
        <f>95.19*Hospital_Operations_Data[[#This Row],[Treatment_Cost_USD]]</f>
        <v>990929.80379999999</v>
      </c>
      <c r="C2390" s="14">
        <f>95.19*Hospital_Operations_Data[[#This Row],[Medication_Cost_USD]]</f>
        <v>297284.08139999997</v>
      </c>
    </row>
    <row r="2391" spans="1:3" x14ac:dyDescent="0.3">
      <c r="A2391" s="11">
        <f>95.19*Hospital_Operations_Data[[#This Row],[Treatment_Cost_USD]]</f>
        <v>748016.34660000005</v>
      </c>
      <c r="C2391" s="13">
        <f>95.19*Hospital_Operations_Data[[#This Row],[Medication_Cost_USD]]</f>
        <v>291889.66409999999</v>
      </c>
    </row>
    <row r="2392" spans="1:3" x14ac:dyDescent="0.3">
      <c r="A2392" s="12">
        <f>95.19*Hospital_Operations_Data[[#This Row],[Treatment_Cost_USD]]</f>
        <v>489419.38500000001</v>
      </c>
      <c r="C2392" s="14">
        <f>95.19*Hospital_Operations_Data[[#This Row],[Medication_Cost_USD]]</f>
        <v>137155.46339999998</v>
      </c>
    </row>
    <row r="2393" spans="1:3" x14ac:dyDescent="0.3">
      <c r="A2393" s="11">
        <f>95.19*Hospital_Operations_Data[[#This Row],[Treatment_Cost_USD]]</f>
        <v>540567.82770000002</v>
      </c>
      <c r="C2393" s="13">
        <f>95.19*Hospital_Operations_Data[[#This Row],[Medication_Cost_USD]]</f>
        <v>139638.9705</v>
      </c>
    </row>
    <row r="2394" spans="1:3" x14ac:dyDescent="0.3">
      <c r="A2394" s="12">
        <f>95.19*Hospital_Operations_Data[[#This Row],[Treatment_Cost_USD]]</f>
        <v>321206.28029999998</v>
      </c>
      <c r="C2394" s="14">
        <f>95.19*Hospital_Operations_Data[[#This Row],[Medication_Cost_USD]]</f>
        <v>111490.33559999999</v>
      </c>
    </row>
    <row r="2395" spans="1:3" x14ac:dyDescent="0.3">
      <c r="A2395" s="11">
        <f>95.19*Hospital_Operations_Data[[#This Row],[Treatment_Cost_USD]]</f>
        <v>1149967.5444</v>
      </c>
      <c r="C2395" s="13">
        <f>95.19*Hospital_Operations_Data[[#This Row],[Medication_Cost_USD]]</f>
        <v>181172.27129999999</v>
      </c>
    </row>
    <row r="2396" spans="1:3" x14ac:dyDescent="0.3">
      <c r="A2396" s="12">
        <f>95.19*Hospital_Operations_Data[[#This Row],[Treatment_Cost_USD]]</f>
        <v>937712.88239999989</v>
      </c>
      <c r="C2396" s="14">
        <f>95.19*Hospital_Operations_Data[[#This Row],[Medication_Cost_USD]]</f>
        <v>262131.36629999999</v>
      </c>
    </row>
    <row r="2397" spans="1:3" x14ac:dyDescent="0.3">
      <c r="A2397" s="11">
        <f>95.19*Hospital_Operations_Data[[#This Row],[Treatment_Cost_USD]]</f>
        <v>1134116.5056</v>
      </c>
      <c r="C2397" s="13">
        <f>95.19*Hospital_Operations_Data[[#This Row],[Medication_Cost_USD]]</f>
        <v>349258.7733</v>
      </c>
    </row>
    <row r="2398" spans="1:3" x14ac:dyDescent="0.3">
      <c r="A2398" s="12">
        <f>95.19*Hospital_Operations_Data[[#This Row],[Treatment_Cost_USD]]</f>
        <v>863022.04889999994</v>
      </c>
      <c r="C2398" s="14">
        <f>95.19*Hospital_Operations_Data[[#This Row],[Medication_Cost_USD]]</f>
        <v>250061.27429999996</v>
      </c>
    </row>
    <row r="2399" spans="1:3" x14ac:dyDescent="0.3">
      <c r="A2399" s="11">
        <f>95.19*Hospital_Operations_Data[[#This Row],[Treatment_Cost_USD]]</f>
        <v>340612.66559999995</v>
      </c>
      <c r="C2399" s="13">
        <f>95.19*Hospital_Operations_Data[[#This Row],[Medication_Cost_USD]]</f>
        <v>108800.2662</v>
      </c>
    </row>
    <row r="2400" spans="1:3" x14ac:dyDescent="0.3">
      <c r="A2400" s="12">
        <f>95.19*Hospital_Operations_Data[[#This Row],[Treatment_Cost_USD]]</f>
        <v>174473.75100000002</v>
      </c>
      <c r="C2400" s="14">
        <f>95.19*Hospital_Operations_Data[[#This Row],[Medication_Cost_USD]]</f>
        <v>53658.603000000003</v>
      </c>
    </row>
    <row r="2401" spans="1:3" x14ac:dyDescent="0.3">
      <c r="A2401" s="11">
        <f>95.19*Hospital_Operations_Data[[#This Row],[Treatment_Cost_USD]]</f>
        <v>435638.9388</v>
      </c>
      <c r="C2401" s="13">
        <f>95.19*Hospital_Operations_Data[[#This Row],[Medication_Cost_USD]]</f>
        <v>130178.9883</v>
      </c>
    </row>
    <row r="2402" spans="1:3" x14ac:dyDescent="0.3">
      <c r="A2402" s="12">
        <f>95.19*Hospital_Operations_Data[[#This Row],[Treatment_Cost_USD]]</f>
        <v>1765819.2393</v>
      </c>
      <c r="C2402" s="14">
        <f>95.19*Hospital_Operations_Data[[#This Row],[Medication_Cost_USD]]</f>
        <v>422349.46289999998</v>
      </c>
    </row>
    <row r="2403" spans="1:3" x14ac:dyDescent="0.3">
      <c r="A2403" s="11">
        <f>95.19*Hospital_Operations_Data[[#This Row],[Treatment_Cost_USD]]</f>
        <v>204995.47259999998</v>
      </c>
      <c r="C2403" s="13">
        <f>95.19*Hospital_Operations_Data[[#This Row],[Medication_Cost_USD]]</f>
        <v>81490.2552</v>
      </c>
    </row>
    <row r="2404" spans="1:3" x14ac:dyDescent="0.3">
      <c r="A2404" s="12">
        <f>95.19*Hospital_Operations_Data[[#This Row],[Treatment_Cost_USD]]</f>
        <v>2245684.4039999996</v>
      </c>
      <c r="C2404" s="14">
        <f>95.19*Hospital_Operations_Data[[#This Row],[Medication_Cost_USD]]</f>
        <v>364994.63219999999</v>
      </c>
    </row>
    <row r="2405" spans="1:3" x14ac:dyDescent="0.3">
      <c r="A2405" s="11">
        <f>95.19*Hospital_Operations_Data[[#This Row],[Treatment_Cost_USD]]</f>
        <v>710047.91130000004</v>
      </c>
      <c r="C2405" s="13">
        <f>95.19*Hospital_Operations_Data[[#This Row],[Medication_Cost_USD]]</f>
        <v>256296.21929999997</v>
      </c>
    </row>
    <row r="2406" spans="1:3" x14ac:dyDescent="0.3">
      <c r="A2406" s="12">
        <f>95.19*Hospital_Operations_Data[[#This Row],[Treatment_Cost_USD]]</f>
        <v>650265.73560000001</v>
      </c>
      <c r="C2406" s="14">
        <f>95.19*Hospital_Operations_Data[[#This Row],[Medication_Cost_USD]]</f>
        <v>159564.14129999999</v>
      </c>
    </row>
    <row r="2407" spans="1:3" x14ac:dyDescent="0.3">
      <c r="A2407" s="11">
        <f>95.19*Hospital_Operations_Data[[#This Row],[Treatment_Cost_USD]]</f>
        <v>939331.11239999987</v>
      </c>
      <c r="C2407" s="13">
        <f>95.19*Hospital_Operations_Data[[#This Row],[Medication_Cost_USD]]</f>
        <v>258996.75960000002</v>
      </c>
    </row>
    <row r="2408" spans="1:3" x14ac:dyDescent="0.3">
      <c r="A2408" s="12">
        <f>95.19*Hospital_Operations_Data[[#This Row],[Treatment_Cost_USD]]</f>
        <v>867426.4902</v>
      </c>
      <c r="C2408" s="14">
        <f>95.19*Hospital_Operations_Data[[#This Row],[Medication_Cost_USD]]</f>
        <v>278768.67450000002</v>
      </c>
    </row>
    <row r="2409" spans="1:3" x14ac:dyDescent="0.3">
      <c r="A2409" s="11">
        <f>95.19*Hospital_Operations_Data[[#This Row],[Treatment_Cost_USD]]</f>
        <v>366877.49039999995</v>
      </c>
      <c r="C2409" s="13">
        <f>95.19*Hospital_Operations_Data[[#This Row],[Medication_Cost_USD]]</f>
        <v>62991.982499999998</v>
      </c>
    </row>
    <row r="2410" spans="1:3" x14ac:dyDescent="0.3">
      <c r="A2410" s="12">
        <f>95.19*Hospital_Operations_Data[[#This Row],[Treatment_Cost_USD]]</f>
        <v>975805.06469999987</v>
      </c>
      <c r="C2410" s="14">
        <f>95.19*Hospital_Operations_Data[[#This Row],[Medication_Cost_USD]]</f>
        <v>247313.139</v>
      </c>
    </row>
    <row r="2411" spans="1:3" x14ac:dyDescent="0.3">
      <c r="A2411" s="11">
        <f>95.19*Hospital_Operations_Data[[#This Row],[Treatment_Cost_USD]]</f>
        <v>1094524.1288999999</v>
      </c>
      <c r="C2411" s="13">
        <f>95.19*Hospital_Operations_Data[[#This Row],[Medication_Cost_USD]]</f>
        <v>227402.24669999999</v>
      </c>
    </row>
    <row r="2412" spans="1:3" x14ac:dyDescent="0.3">
      <c r="A2412" s="12">
        <f>95.19*Hospital_Operations_Data[[#This Row],[Treatment_Cost_USD]]</f>
        <v>485005.42469999997</v>
      </c>
      <c r="C2412" s="14">
        <f>95.19*Hospital_Operations_Data[[#This Row],[Medication_Cost_USD]]</f>
        <v>91738.410600000003</v>
      </c>
    </row>
    <row r="2413" spans="1:3" x14ac:dyDescent="0.3">
      <c r="A2413" s="11">
        <f>95.19*Hospital_Operations_Data[[#This Row],[Treatment_Cost_USD]]</f>
        <v>252812.26529999997</v>
      </c>
      <c r="C2413" s="13">
        <f>95.19*Hospital_Operations_Data[[#This Row],[Medication_Cost_USD]]</f>
        <v>40299.638400000003</v>
      </c>
    </row>
    <row r="2414" spans="1:3" x14ac:dyDescent="0.3">
      <c r="A2414" s="12">
        <f>95.19*Hospital_Operations_Data[[#This Row],[Treatment_Cost_USD]]</f>
        <v>781114.8615</v>
      </c>
      <c r="C2414" s="14">
        <f>95.19*Hospital_Operations_Data[[#This Row],[Medication_Cost_USD]]</f>
        <v>195786.79200000002</v>
      </c>
    </row>
    <row r="2415" spans="1:3" x14ac:dyDescent="0.3">
      <c r="A2415" s="11">
        <f>95.19*Hospital_Operations_Data[[#This Row],[Treatment_Cost_USD]]</f>
        <v>1135284.4868999999</v>
      </c>
      <c r="C2415" s="13">
        <f>95.19*Hospital_Operations_Data[[#This Row],[Medication_Cost_USD]]</f>
        <v>325672.59509999998</v>
      </c>
    </row>
    <row r="2416" spans="1:3" x14ac:dyDescent="0.3">
      <c r="A2416" s="12">
        <f>95.19*Hospital_Operations_Data[[#This Row],[Treatment_Cost_USD]]</f>
        <v>145414.14779999998</v>
      </c>
      <c r="C2416" s="14">
        <f>95.19*Hospital_Operations_Data[[#This Row],[Medication_Cost_USD]]</f>
        <v>41905.493699999999</v>
      </c>
    </row>
    <row r="2417" spans="1:3" x14ac:dyDescent="0.3">
      <c r="A2417" s="11">
        <f>95.19*Hospital_Operations_Data[[#This Row],[Treatment_Cost_USD]]</f>
        <v>1074710.3303999999</v>
      </c>
      <c r="C2417" s="13">
        <f>95.19*Hospital_Operations_Data[[#This Row],[Medication_Cost_USD]]</f>
        <v>315378.74849999999</v>
      </c>
    </row>
    <row r="2418" spans="1:3" x14ac:dyDescent="0.3">
      <c r="A2418" s="12">
        <f>95.19*Hospital_Operations_Data[[#This Row],[Treatment_Cost_USD]]</f>
        <v>716386.61339999991</v>
      </c>
      <c r="C2418" s="14">
        <f>95.19*Hospital_Operations_Data[[#This Row],[Medication_Cost_USD]]</f>
        <v>155312.00399999999</v>
      </c>
    </row>
    <row r="2419" spans="1:3" x14ac:dyDescent="0.3">
      <c r="A2419" s="11">
        <f>95.19*Hospital_Operations_Data[[#This Row],[Treatment_Cost_USD]]</f>
        <v>1510571.0619000001</v>
      </c>
      <c r="C2419" s="13">
        <f>95.19*Hospital_Operations_Data[[#This Row],[Medication_Cost_USD]]</f>
        <v>341473.18320000003</v>
      </c>
    </row>
    <row r="2420" spans="1:3" x14ac:dyDescent="0.3">
      <c r="A2420" s="12">
        <f>95.19*Hospital_Operations_Data[[#This Row],[Treatment_Cost_USD]]</f>
        <v>1534617.0078</v>
      </c>
      <c r="C2420" s="14">
        <f>95.19*Hospital_Operations_Data[[#This Row],[Medication_Cost_USD]]</f>
        <v>568988.70600000001</v>
      </c>
    </row>
    <row r="2421" spans="1:3" x14ac:dyDescent="0.3">
      <c r="A2421" s="11">
        <f>95.19*Hospital_Operations_Data[[#This Row],[Treatment_Cost_USD]]</f>
        <v>1404027.7505999999</v>
      </c>
      <c r="C2421" s="13">
        <f>95.19*Hospital_Operations_Data[[#This Row],[Medication_Cost_USD]]</f>
        <v>508938.09450000001</v>
      </c>
    </row>
    <row r="2422" spans="1:3" x14ac:dyDescent="0.3">
      <c r="A2422" s="12">
        <f>95.19*Hospital_Operations_Data[[#This Row],[Treatment_Cost_USD]]</f>
        <v>644479.13549999997</v>
      </c>
      <c r="C2422" s="14">
        <f>95.19*Hospital_Operations_Data[[#This Row],[Medication_Cost_USD]]</f>
        <v>119762.3466</v>
      </c>
    </row>
    <row r="2423" spans="1:3" x14ac:dyDescent="0.3">
      <c r="A2423" s="11">
        <f>95.19*Hospital_Operations_Data[[#This Row],[Treatment_Cost_USD]]</f>
        <v>791891.3213999999</v>
      </c>
      <c r="C2423" s="13">
        <f>95.19*Hospital_Operations_Data[[#This Row],[Medication_Cost_USD]]</f>
        <v>187731.81419999999</v>
      </c>
    </row>
    <row r="2424" spans="1:3" x14ac:dyDescent="0.3">
      <c r="A2424" s="12">
        <f>95.19*Hospital_Operations_Data[[#This Row],[Treatment_Cost_USD]]</f>
        <v>463879.908</v>
      </c>
      <c r="C2424" s="14">
        <f>95.19*Hospital_Operations_Data[[#This Row],[Medication_Cost_USD]]</f>
        <v>85910.878799999991</v>
      </c>
    </row>
    <row r="2425" spans="1:3" x14ac:dyDescent="0.3">
      <c r="A2425" s="11">
        <f>95.19*Hospital_Operations_Data[[#This Row],[Treatment_Cost_USD]]</f>
        <v>505393.21890000004</v>
      </c>
      <c r="C2425" s="13">
        <f>95.19*Hospital_Operations_Data[[#This Row],[Medication_Cost_USD]]</f>
        <v>188860.76759999999</v>
      </c>
    </row>
    <row r="2426" spans="1:3" x14ac:dyDescent="0.3">
      <c r="A2426" s="12">
        <f>95.19*Hospital_Operations_Data[[#This Row],[Treatment_Cost_USD]]</f>
        <v>904361.16209999996</v>
      </c>
      <c r="C2426" s="14">
        <f>95.19*Hospital_Operations_Data[[#This Row],[Medication_Cost_USD]]</f>
        <v>217888.0062</v>
      </c>
    </row>
    <row r="2427" spans="1:3" x14ac:dyDescent="0.3">
      <c r="A2427" s="11">
        <f>95.19*Hospital_Operations_Data[[#This Row],[Treatment_Cost_USD]]</f>
        <v>1038207.8211000001</v>
      </c>
      <c r="C2427" s="13">
        <f>95.19*Hospital_Operations_Data[[#This Row],[Medication_Cost_USD]]</f>
        <v>310436.48369999998</v>
      </c>
    </row>
    <row r="2428" spans="1:3" x14ac:dyDescent="0.3">
      <c r="A2428" s="12">
        <f>95.19*Hospital_Operations_Data[[#This Row],[Treatment_Cost_USD]]</f>
        <v>623654.4192</v>
      </c>
      <c r="C2428" s="14">
        <f>95.19*Hospital_Operations_Data[[#This Row],[Medication_Cost_USD]]</f>
        <v>130983.3438</v>
      </c>
    </row>
    <row r="2429" spans="1:3" x14ac:dyDescent="0.3">
      <c r="A2429" s="11">
        <f>95.19*Hospital_Operations_Data[[#This Row],[Treatment_Cost_USD]]</f>
        <v>324701.65710000001</v>
      </c>
      <c r="C2429" s="13">
        <f>95.19*Hospital_Operations_Data[[#This Row],[Medication_Cost_USD]]</f>
        <v>98403.614399999991</v>
      </c>
    </row>
    <row r="2430" spans="1:3" x14ac:dyDescent="0.3">
      <c r="A2430" s="12">
        <f>95.19*Hospital_Operations_Data[[#This Row],[Treatment_Cost_USD]]</f>
        <v>414448.69289999997</v>
      </c>
      <c r="C2430" s="14">
        <f>95.19*Hospital_Operations_Data[[#This Row],[Medication_Cost_USD]]</f>
        <v>77111.515200000009</v>
      </c>
    </row>
    <row r="2431" spans="1:3" x14ac:dyDescent="0.3">
      <c r="A2431" s="11">
        <f>95.19*Hospital_Operations_Data[[#This Row],[Treatment_Cost_USD]]</f>
        <v>1868427.3960000002</v>
      </c>
      <c r="C2431" s="13">
        <f>95.19*Hospital_Operations_Data[[#This Row],[Medication_Cost_USD]]</f>
        <v>396538.69440000004</v>
      </c>
    </row>
    <row r="2432" spans="1:3" x14ac:dyDescent="0.3">
      <c r="A2432" s="12">
        <f>95.19*Hospital_Operations_Data[[#This Row],[Treatment_Cost_USD]]</f>
        <v>1446353.9841</v>
      </c>
      <c r="C2432" s="14">
        <f>95.19*Hospital_Operations_Data[[#This Row],[Medication_Cost_USD]]</f>
        <v>495649.57049999997</v>
      </c>
    </row>
    <row r="2433" spans="1:3" x14ac:dyDescent="0.3">
      <c r="A2433" s="11">
        <f>95.19*Hospital_Operations_Data[[#This Row],[Treatment_Cost_USD]]</f>
        <v>945369.01409999991</v>
      </c>
      <c r="C2433" s="13">
        <f>95.19*Hospital_Operations_Data[[#This Row],[Medication_Cost_USD]]</f>
        <v>149542.53810000001</v>
      </c>
    </row>
    <row r="2434" spans="1:3" x14ac:dyDescent="0.3">
      <c r="A2434" s="12">
        <f>95.19*Hospital_Operations_Data[[#This Row],[Treatment_Cost_USD]]</f>
        <v>577247.39039999992</v>
      </c>
      <c r="C2434" s="14">
        <f>95.19*Hospital_Operations_Data[[#This Row],[Medication_Cost_USD]]</f>
        <v>200319.73980000001</v>
      </c>
    </row>
    <row r="2435" spans="1:3" x14ac:dyDescent="0.3">
      <c r="A2435" s="11">
        <f>95.19*Hospital_Operations_Data[[#This Row],[Treatment_Cost_USD]]</f>
        <v>639734.86589999998</v>
      </c>
      <c r="C2435" s="13">
        <f>95.19*Hospital_Operations_Data[[#This Row],[Medication_Cost_USD]]</f>
        <v>207899.71950000001</v>
      </c>
    </row>
    <row r="2436" spans="1:3" x14ac:dyDescent="0.3">
      <c r="A2436" s="12">
        <f>95.19*Hospital_Operations_Data[[#This Row],[Treatment_Cost_USD]]</f>
        <v>403518.97710000002</v>
      </c>
      <c r="C2436" s="14">
        <f>95.19*Hospital_Operations_Data[[#This Row],[Medication_Cost_USD]]</f>
        <v>89691.825599999996</v>
      </c>
    </row>
    <row r="2437" spans="1:3" x14ac:dyDescent="0.3">
      <c r="A2437" s="11">
        <f>95.19*Hospital_Operations_Data[[#This Row],[Treatment_Cost_USD]]</f>
        <v>623021.4057</v>
      </c>
      <c r="C2437" s="13">
        <f>95.19*Hospital_Operations_Data[[#This Row],[Medication_Cost_USD]]</f>
        <v>131727.72959999999</v>
      </c>
    </row>
    <row r="2438" spans="1:3" x14ac:dyDescent="0.3">
      <c r="A2438" s="12">
        <f>95.19*Hospital_Operations_Data[[#This Row],[Treatment_Cost_USD]]</f>
        <v>1285113.5469</v>
      </c>
      <c r="C2438" s="14">
        <f>95.19*Hospital_Operations_Data[[#This Row],[Medication_Cost_USD]]</f>
        <v>215966.1201</v>
      </c>
    </row>
    <row r="2439" spans="1:3" x14ac:dyDescent="0.3">
      <c r="A2439" s="11">
        <f>95.19*Hospital_Operations_Data[[#This Row],[Treatment_Cost_USD]]</f>
        <v>281773.82279999997</v>
      </c>
      <c r="C2439" s="13">
        <f>95.19*Hospital_Operations_Data[[#This Row],[Medication_Cost_USD]]</f>
        <v>101249.7954</v>
      </c>
    </row>
    <row r="2440" spans="1:3" x14ac:dyDescent="0.3">
      <c r="A2440" s="12">
        <f>95.19*Hospital_Operations_Data[[#This Row],[Treatment_Cost_USD]]</f>
        <v>583000.674</v>
      </c>
      <c r="C2440" s="14">
        <f>95.19*Hospital_Operations_Data[[#This Row],[Medication_Cost_USD]]</f>
        <v>186218.29319999999</v>
      </c>
    </row>
    <row r="2441" spans="1:3" x14ac:dyDescent="0.3">
      <c r="A2441" s="11">
        <f>95.19*Hospital_Operations_Data[[#This Row],[Treatment_Cost_USD]]</f>
        <v>745929.7818</v>
      </c>
      <c r="C2441" s="13">
        <f>95.19*Hospital_Operations_Data[[#This Row],[Medication_Cost_USD]]</f>
        <v>248377.36320000002</v>
      </c>
    </row>
    <row r="2442" spans="1:3" x14ac:dyDescent="0.3">
      <c r="A2442" s="12">
        <f>95.19*Hospital_Operations_Data[[#This Row],[Treatment_Cost_USD]]</f>
        <v>249268.34159999999</v>
      </c>
      <c r="C2442" s="14">
        <f>95.19*Hospital_Operations_Data[[#This Row],[Medication_Cost_USD]]</f>
        <v>79331.34599999999</v>
      </c>
    </row>
    <row r="2443" spans="1:3" x14ac:dyDescent="0.3">
      <c r="A2443" s="11">
        <f>95.19*Hospital_Operations_Data[[#This Row],[Treatment_Cost_USD]]</f>
        <v>391201.39109999995</v>
      </c>
      <c r="C2443" s="13">
        <f>95.19*Hospital_Operations_Data[[#This Row],[Medication_Cost_USD]]</f>
        <v>62668.336499999998</v>
      </c>
    </row>
    <row r="2444" spans="1:3" x14ac:dyDescent="0.3">
      <c r="A2444" s="12">
        <f>95.19*Hospital_Operations_Data[[#This Row],[Treatment_Cost_USD]]</f>
        <v>376395.53850000002</v>
      </c>
      <c r="C2444" s="14">
        <f>95.19*Hospital_Operations_Data[[#This Row],[Medication_Cost_USD]]</f>
        <v>92894.017200000002</v>
      </c>
    </row>
    <row r="2445" spans="1:3" x14ac:dyDescent="0.3">
      <c r="A2445" s="11">
        <f>95.19*Hospital_Operations_Data[[#This Row],[Treatment_Cost_USD]]</f>
        <v>325448.89860000001</v>
      </c>
      <c r="C2445" s="13">
        <f>95.19*Hospital_Operations_Data[[#This Row],[Medication_Cost_USD]]</f>
        <v>106830.78509999999</v>
      </c>
    </row>
    <row r="2446" spans="1:3" x14ac:dyDescent="0.3">
      <c r="A2446" s="12">
        <f>95.19*Hospital_Operations_Data[[#This Row],[Treatment_Cost_USD]]</f>
        <v>1374423.6606000001</v>
      </c>
      <c r="C2446" s="14">
        <f>95.19*Hospital_Operations_Data[[#This Row],[Medication_Cost_USD]]</f>
        <v>445097.0172</v>
      </c>
    </row>
    <row r="2447" spans="1:3" x14ac:dyDescent="0.3">
      <c r="A2447" s="11">
        <f>95.19*Hospital_Operations_Data[[#This Row],[Treatment_Cost_USD]]</f>
        <v>991591.37429999991</v>
      </c>
      <c r="C2447" s="13">
        <f>95.19*Hospital_Operations_Data[[#This Row],[Medication_Cost_USD]]</f>
        <v>246208.935</v>
      </c>
    </row>
    <row r="2448" spans="1:3" x14ac:dyDescent="0.3">
      <c r="A2448" s="12">
        <f>95.19*Hospital_Operations_Data[[#This Row],[Treatment_Cost_USD]]</f>
        <v>578815.16969999997</v>
      </c>
      <c r="C2448" s="14">
        <f>95.19*Hospital_Operations_Data[[#This Row],[Medication_Cost_USD]]</f>
        <v>182619.1593</v>
      </c>
    </row>
    <row r="2449" spans="1:3" x14ac:dyDescent="0.3">
      <c r="A2449" s="11">
        <f>95.19*Hospital_Operations_Data[[#This Row],[Treatment_Cost_USD]]</f>
        <v>1102347.7949999999</v>
      </c>
      <c r="C2449" s="13">
        <f>95.19*Hospital_Operations_Data[[#This Row],[Medication_Cost_USD]]</f>
        <v>238984.96590000001</v>
      </c>
    </row>
    <row r="2450" spans="1:3" x14ac:dyDescent="0.3">
      <c r="A2450" s="12">
        <f>95.19*Hospital_Operations_Data[[#This Row],[Treatment_Cost_USD]]</f>
        <v>630222.52919999999</v>
      </c>
      <c r="C2450" s="14">
        <f>95.19*Hospital_Operations_Data[[#This Row],[Medication_Cost_USD]]</f>
        <v>103286.86139999999</v>
      </c>
    </row>
    <row r="2451" spans="1:3" x14ac:dyDescent="0.3">
      <c r="A2451" s="11">
        <f>95.19*Hospital_Operations_Data[[#This Row],[Treatment_Cost_USD]]</f>
        <v>1509111.7992</v>
      </c>
      <c r="C2451" s="13">
        <f>95.19*Hospital_Operations_Data[[#This Row],[Medication_Cost_USD]]</f>
        <v>423565.0392</v>
      </c>
    </row>
    <row r="2452" spans="1:3" x14ac:dyDescent="0.3">
      <c r="A2452" s="12">
        <f>95.19*Hospital_Operations_Data[[#This Row],[Treatment_Cost_USD]]</f>
        <v>180202.28519999998</v>
      </c>
      <c r="C2452" s="14">
        <f>95.19*Hospital_Operations_Data[[#This Row],[Medication_Cost_USD]]</f>
        <v>70196.9136</v>
      </c>
    </row>
    <row r="2453" spans="1:3" x14ac:dyDescent="0.3">
      <c r="A2453" s="11">
        <f>95.19*Hospital_Operations_Data[[#This Row],[Treatment_Cost_USD]]</f>
        <v>113734.91579999999</v>
      </c>
      <c r="C2453" s="13">
        <f>95.19*Hospital_Operations_Data[[#This Row],[Medication_Cost_USD]]</f>
        <v>38486.268900000003</v>
      </c>
    </row>
    <row r="2454" spans="1:3" x14ac:dyDescent="0.3">
      <c r="A2454" s="12">
        <f>95.19*Hospital_Operations_Data[[#This Row],[Treatment_Cost_USD]]</f>
        <v>1266612.4184999999</v>
      </c>
      <c r="C2454" s="14">
        <f>95.19*Hospital_Operations_Data[[#This Row],[Medication_Cost_USD]]</f>
        <v>228306.55169999998</v>
      </c>
    </row>
    <row r="2455" spans="1:3" x14ac:dyDescent="0.3">
      <c r="A2455" s="11">
        <f>95.19*Hospital_Operations_Data[[#This Row],[Treatment_Cost_USD]]</f>
        <v>1303916.4276000001</v>
      </c>
      <c r="C2455" s="13">
        <f>95.19*Hospital_Operations_Data[[#This Row],[Medication_Cost_USD]]</f>
        <v>346207.9338</v>
      </c>
    </row>
    <row r="2456" spans="1:3" x14ac:dyDescent="0.3">
      <c r="A2456" s="12">
        <f>95.19*Hospital_Operations_Data[[#This Row],[Treatment_Cost_USD]]</f>
        <v>1248551.0678999999</v>
      </c>
      <c r="C2456" s="14">
        <f>95.19*Hospital_Operations_Data[[#This Row],[Medication_Cost_USD]]</f>
        <v>290447.53559999994</v>
      </c>
    </row>
    <row r="2457" spans="1:3" x14ac:dyDescent="0.3">
      <c r="A2457" s="11">
        <f>95.19*Hospital_Operations_Data[[#This Row],[Treatment_Cost_USD]]</f>
        <v>681294.8199</v>
      </c>
      <c r="C2457" s="13">
        <f>95.19*Hospital_Operations_Data[[#This Row],[Medication_Cost_USD]]</f>
        <v>115586.36129999999</v>
      </c>
    </row>
    <row r="2458" spans="1:3" x14ac:dyDescent="0.3">
      <c r="A2458" s="12">
        <f>95.19*Hospital_Operations_Data[[#This Row],[Treatment_Cost_USD]]</f>
        <v>1006465.7636999999</v>
      </c>
      <c r="C2458" s="14">
        <f>95.19*Hospital_Operations_Data[[#This Row],[Medication_Cost_USD]]</f>
        <v>240850.6899</v>
      </c>
    </row>
    <row r="2459" spans="1:3" x14ac:dyDescent="0.3">
      <c r="A2459" s="11">
        <f>95.19*Hospital_Operations_Data[[#This Row],[Treatment_Cost_USD]]</f>
        <v>436935.42660000001</v>
      </c>
      <c r="C2459" s="13">
        <f>95.19*Hospital_Operations_Data[[#This Row],[Medication_Cost_USD]]</f>
        <v>121622.35920000001</v>
      </c>
    </row>
    <row r="2460" spans="1:3" x14ac:dyDescent="0.3">
      <c r="A2460" s="12">
        <f>95.19*Hospital_Operations_Data[[#This Row],[Treatment_Cost_USD]]</f>
        <v>579116.92200000002</v>
      </c>
      <c r="C2460" s="14">
        <f>95.19*Hospital_Operations_Data[[#This Row],[Medication_Cost_USD]]</f>
        <v>132445.46220000001</v>
      </c>
    </row>
    <row r="2461" spans="1:3" x14ac:dyDescent="0.3">
      <c r="A2461" s="11">
        <f>95.19*Hospital_Operations_Data[[#This Row],[Treatment_Cost_USD]]</f>
        <v>273806.41979999997</v>
      </c>
      <c r="C2461" s="13">
        <f>95.19*Hospital_Operations_Data[[#This Row],[Medication_Cost_USD]]</f>
        <v>59252.919300000001</v>
      </c>
    </row>
    <row r="2462" spans="1:3" x14ac:dyDescent="0.3">
      <c r="A2462" s="12">
        <f>95.19*Hospital_Operations_Data[[#This Row],[Treatment_Cost_USD]]</f>
        <v>1155123.0348</v>
      </c>
      <c r="C2462" s="14">
        <f>95.19*Hospital_Operations_Data[[#This Row],[Medication_Cost_USD]]</f>
        <v>339035.36729999998</v>
      </c>
    </row>
    <row r="2463" spans="1:3" x14ac:dyDescent="0.3">
      <c r="A2463" s="11">
        <f>95.19*Hospital_Operations_Data[[#This Row],[Treatment_Cost_USD]]</f>
        <v>332855.63250000001</v>
      </c>
      <c r="C2463" s="13">
        <f>95.19*Hospital_Operations_Data[[#This Row],[Medication_Cost_USD]]</f>
        <v>124518.03899999999</v>
      </c>
    </row>
    <row r="2464" spans="1:3" x14ac:dyDescent="0.3">
      <c r="A2464" s="12">
        <f>95.19*Hospital_Operations_Data[[#This Row],[Treatment_Cost_USD]]</f>
        <v>653574.54</v>
      </c>
      <c r="C2464" s="14">
        <f>95.19*Hospital_Operations_Data[[#This Row],[Medication_Cost_USD]]</f>
        <v>183060.84089999998</v>
      </c>
    </row>
    <row r="2465" spans="1:3" x14ac:dyDescent="0.3">
      <c r="A2465" s="11">
        <f>95.19*Hospital_Operations_Data[[#This Row],[Treatment_Cost_USD]]</f>
        <v>570926.77439999999</v>
      </c>
      <c r="C2465" s="13">
        <f>95.19*Hospital_Operations_Data[[#This Row],[Medication_Cost_USD]]</f>
        <v>216487.76129999998</v>
      </c>
    </row>
    <row r="2466" spans="1:3" x14ac:dyDescent="0.3">
      <c r="A2466" s="12">
        <f>95.19*Hospital_Operations_Data[[#This Row],[Treatment_Cost_USD]]</f>
        <v>956189.26139999996</v>
      </c>
      <c r="C2466" s="14">
        <f>95.19*Hospital_Operations_Data[[#This Row],[Medication_Cost_USD]]</f>
        <v>293144.2683</v>
      </c>
    </row>
    <row r="2467" spans="1:3" x14ac:dyDescent="0.3">
      <c r="A2467" s="11">
        <f>95.19*Hospital_Operations_Data[[#This Row],[Treatment_Cost_USD]]</f>
        <v>680615.1632999999</v>
      </c>
      <c r="C2467" s="13">
        <f>95.19*Hospital_Operations_Data[[#This Row],[Medication_Cost_USD]]</f>
        <v>269011.69949999999</v>
      </c>
    </row>
    <row r="2468" spans="1:3" x14ac:dyDescent="0.3">
      <c r="A2468" s="12">
        <f>95.19*Hospital_Operations_Data[[#This Row],[Treatment_Cost_USD]]</f>
        <v>375440.78279999999</v>
      </c>
      <c r="C2468" s="14">
        <f>95.19*Hospital_Operations_Data[[#This Row],[Medication_Cost_USD]]</f>
        <v>112255.6632</v>
      </c>
    </row>
    <row r="2469" spans="1:3" x14ac:dyDescent="0.3">
      <c r="A2469" s="11">
        <f>95.19*Hospital_Operations_Data[[#This Row],[Treatment_Cost_USD]]</f>
        <v>217192.1673</v>
      </c>
      <c r="C2469" s="13">
        <f>95.19*Hospital_Operations_Data[[#This Row],[Medication_Cost_USD]]</f>
        <v>37639.077900000004</v>
      </c>
    </row>
    <row r="2470" spans="1:3" x14ac:dyDescent="0.3">
      <c r="A2470" s="12">
        <f>95.19*Hospital_Operations_Data[[#This Row],[Treatment_Cost_USD]]</f>
        <v>275462.72580000001</v>
      </c>
      <c r="C2470" s="14">
        <f>95.19*Hospital_Operations_Data[[#This Row],[Medication_Cost_USD]]</f>
        <v>101684.8137</v>
      </c>
    </row>
    <row r="2471" spans="1:3" x14ac:dyDescent="0.3">
      <c r="A2471" s="11">
        <f>95.19*Hospital_Operations_Data[[#This Row],[Treatment_Cost_USD]]</f>
        <v>820551.12659999996</v>
      </c>
      <c r="C2471" s="13">
        <f>95.19*Hospital_Operations_Data[[#This Row],[Medication_Cost_USD]]</f>
        <v>301820.83679999999</v>
      </c>
    </row>
    <row r="2472" spans="1:3" x14ac:dyDescent="0.3">
      <c r="A2472" s="12">
        <f>95.19*Hospital_Operations_Data[[#This Row],[Treatment_Cost_USD]]</f>
        <v>798157.67909999995</v>
      </c>
      <c r="C2472" s="14">
        <f>95.19*Hospital_Operations_Data[[#This Row],[Medication_Cost_USD]]</f>
        <v>164969.98139999999</v>
      </c>
    </row>
    <row r="2473" spans="1:3" x14ac:dyDescent="0.3">
      <c r="A2473" s="11">
        <f>95.19*Hospital_Operations_Data[[#This Row],[Treatment_Cost_USD]]</f>
        <v>2386174.3731</v>
      </c>
      <c r="C2473" s="13">
        <f>95.19*Hospital_Operations_Data[[#This Row],[Medication_Cost_USD]]</f>
        <v>887424.00539999991</v>
      </c>
    </row>
    <row r="2474" spans="1:3" x14ac:dyDescent="0.3">
      <c r="A2474" s="12">
        <f>95.19*Hospital_Operations_Data[[#This Row],[Treatment_Cost_USD]]</f>
        <v>798789.74070000008</v>
      </c>
      <c r="C2474" s="14">
        <f>95.19*Hospital_Operations_Data[[#This Row],[Medication_Cost_USD]]</f>
        <v>163134.7182</v>
      </c>
    </row>
    <row r="2475" spans="1:3" x14ac:dyDescent="0.3">
      <c r="A2475" s="11">
        <f>95.19*Hospital_Operations_Data[[#This Row],[Treatment_Cost_USD]]</f>
        <v>297399.26130000001</v>
      </c>
      <c r="C2475" s="13">
        <f>95.19*Hospital_Operations_Data[[#This Row],[Medication_Cost_USD]]</f>
        <v>93873.522299999997</v>
      </c>
    </row>
    <row r="2476" spans="1:3" x14ac:dyDescent="0.3">
      <c r="A2476" s="12">
        <f>95.19*Hospital_Operations_Data[[#This Row],[Treatment_Cost_USD]]</f>
        <v>208016.80320000002</v>
      </c>
      <c r="C2476" s="14">
        <f>95.19*Hospital_Operations_Data[[#This Row],[Medication_Cost_USD]]</f>
        <v>33632.5308</v>
      </c>
    </row>
    <row r="2477" spans="1:3" x14ac:dyDescent="0.3">
      <c r="A2477" s="11">
        <f>95.19*Hospital_Operations_Data[[#This Row],[Treatment_Cost_USD]]</f>
        <v>492301.73819999996</v>
      </c>
      <c r="C2477" s="13">
        <f>95.19*Hospital_Operations_Data[[#This Row],[Medication_Cost_USD]]</f>
        <v>117504.43980000001</v>
      </c>
    </row>
    <row r="2478" spans="1:3" x14ac:dyDescent="0.3">
      <c r="A2478" s="12">
        <f>95.19*Hospital_Operations_Data[[#This Row],[Treatment_Cost_USD]]</f>
        <v>1062050.0604000001</v>
      </c>
      <c r="C2478" s="14">
        <f>95.19*Hospital_Operations_Data[[#This Row],[Medication_Cost_USD]]</f>
        <v>213473.09399999998</v>
      </c>
    </row>
    <row r="2479" spans="1:3" x14ac:dyDescent="0.3">
      <c r="A2479" s="11">
        <f>95.19*Hospital_Operations_Data[[#This Row],[Treatment_Cost_USD]]</f>
        <v>793289.66249999998</v>
      </c>
      <c r="C2479" s="13">
        <f>95.19*Hospital_Operations_Data[[#This Row],[Medication_Cost_USD]]</f>
        <v>310093.79969999997</v>
      </c>
    </row>
    <row r="2480" spans="1:3" x14ac:dyDescent="0.3">
      <c r="A2480" s="12">
        <f>95.19*Hospital_Operations_Data[[#This Row],[Treatment_Cost_USD]]</f>
        <v>612636.17670000007</v>
      </c>
      <c r="C2480" s="14">
        <f>95.19*Hospital_Operations_Data[[#This Row],[Medication_Cost_USD]]</f>
        <v>143096.27129999999</v>
      </c>
    </row>
    <row r="2481" spans="1:3" x14ac:dyDescent="0.3">
      <c r="A2481" s="11">
        <f>95.19*Hospital_Operations_Data[[#This Row],[Treatment_Cost_USD]]</f>
        <v>474570.69689999998</v>
      </c>
      <c r="C2481" s="13">
        <f>95.19*Hospital_Operations_Data[[#This Row],[Medication_Cost_USD]]</f>
        <v>177731.15279999998</v>
      </c>
    </row>
    <row r="2482" spans="1:3" x14ac:dyDescent="0.3">
      <c r="A2482" s="12">
        <f>95.19*Hospital_Operations_Data[[#This Row],[Treatment_Cost_USD]]</f>
        <v>356276.1801</v>
      </c>
      <c r="C2482" s="14">
        <f>95.19*Hospital_Operations_Data[[#This Row],[Medication_Cost_USD]]</f>
        <v>67563.006299999994</v>
      </c>
    </row>
    <row r="2483" spans="1:3" x14ac:dyDescent="0.3">
      <c r="A2483" s="11">
        <f>95.19*Hospital_Operations_Data[[#This Row],[Treatment_Cost_USD]]</f>
        <v>446281.18079999997</v>
      </c>
      <c r="C2483" s="13">
        <f>95.19*Hospital_Operations_Data[[#This Row],[Medication_Cost_USD]]</f>
        <v>162301.8057</v>
      </c>
    </row>
    <row r="2484" spans="1:3" x14ac:dyDescent="0.3">
      <c r="A2484" s="12">
        <f>95.19*Hospital_Operations_Data[[#This Row],[Treatment_Cost_USD]]</f>
        <v>537561.72750000004</v>
      </c>
      <c r="C2484" s="14">
        <f>95.19*Hospital_Operations_Data[[#This Row],[Medication_Cost_USD]]</f>
        <v>87766.131899999993</v>
      </c>
    </row>
    <row r="2485" spans="1:3" x14ac:dyDescent="0.3">
      <c r="A2485" s="11">
        <f>95.19*Hospital_Operations_Data[[#This Row],[Treatment_Cost_USD]]</f>
        <v>680849.33069999993</v>
      </c>
      <c r="C2485" s="13">
        <f>95.19*Hospital_Operations_Data[[#This Row],[Medication_Cost_USD]]</f>
        <v>193427.98379999999</v>
      </c>
    </row>
    <row r="2486" spans="1:3" x14ac:dyDescent="0.3">
      <c r="A2486" s="12">
        <f>95.19*Hospital_Operations_Data[[#This Row],[Treatment_Cost_USD]]</f>
        <v>210301.36320000002</v>
      </c>
      <c r="C2486" s="14">
        <f>95.19*Hospital_Operations_Data[[#This Row],[Medication_Cost_USD]]</f>
        <v>33311.7405</v>
      </c>
    </row>
    <row r="2487" spans="1:3" x14ac:dyDescent="0.3">
      <c r="A2487" s="11">
        <f>95.19*Hospital_Operations_Data[[#This Row],[Treatment_Cost_USD]]</f>
        <v>531741.81089999992</v>
      </c>
      <c r="C2487" s="13">
        <f>95.19*Hospital_Operations_Data[[#This Row],[Medication_Cost_USD]]</f>
        <v>123889.785</v>
      </c>
    </row>
    <row r="2488" spans="1:3" x14ac:dyDescent="0.3">
      <c r="A2488" s="12">
        <f>95.19*Hospital_Operations_Data[[#This Row],[Treatment_Cost_USD]]</f>
        <v>680218.2209999999</v>
      </c>
      <c r="C2488" s="14">
        <f>95.19*Hospital_Operations_Data[[#This Row],[Medication_Cost_USD]]</f>
        <v>192994.86929999999</v>
      </c>
    </row>
    <row r="2489" spans="1:3" x14ac:dyDescent="0.3">
      <c r="A2489" s="11">
        <f>95.19*Hospital_Operations_Data[[#This Row],[Treatment_Cost_USD]]</f>
        <v>970181.23949999991</v>
      </c>
      <c r="C2489" s="13">
        <f>95.19*Hospital_Operations_Data[[#This Row],[Medication_Cost_USD]]</f>
        <v>279091.36859999999</v>
      </c>
    </row>
    <row r="2490" spans="1:3" x14ac:dyDescent="0.3">
      <c r="A2490" s="12">
        <f>95.19*Hospital_Operations_Data[[#This Row],[Treatment_Cost_USD]]</f>
        <v>525006.16650000005</v>
      </c>
      <c r="C2490" s="14">
        <f>95.19*Hospital_Operations_Data[[#This Row],[Medication_Cost_USD]]</f>
        <v>134851.86540000001</v>
      </c>
    </row>
    <row r="2491" spans="1:3" x14ac:dyDescent="0.3">
      <c r="A2491" s="11">
        <f>95.19*Hospital_Operations_Data[[#This Row],[Treatment_Cost_USD]]</f>
        <v>584131.53119999997</v>
      </c>
      <c r="C2491" s="13">
        <f>95.19*Hospital_Operations_Data[[#This Row],[Medication_Cost_USD]]</f>
        <v>204900.28260000001</v>
      </c>
    </row>
    <row r="2492" spans="1:3" x14ac:dyDescent="0.3">
      <c r="A2492" s="12">
        <f>95.19*Hospital_Operations_Data[[#This Row],[Treatment_Cost_USD]]</f>
        <v>1712223.4617000001</v>
      </c>
      <c r="C2492" s="14">
        <f>95.19*Hospital_Operations_Data[[#This Row],[Medication_Cost_USD]]</f>
        <v>396542.50200000004</v>
      </c>
    </row>
    <row r="2493" spans="1:3" x14ac:dyDescent="0.3">
      <c r="A2493" s="11">
        <f>95.19*Hospital_Operations_Data[[#This Row],[Treatment_Cost_USD]]</f>
        <v>441229.44750000001</v>
      </c>
      <c r="C2493" s="13">
        <f>95.19*Hospital_Operations_Data[[#This Row],[Medication_Cost_USD]]</f>
        <v>175841.63130000001</v>
      </c>
    </row>
    <row r="2494" spans="1:3" x14ac:dyDescent="0.3">
      <c r="A2494" s="12">
        <f>95.19*Hospital_Operations_Data[[#This Row],[Treatment_Cost_USD]]</f>
        <v>1040313.4238999999</v>
      </c>
      <c r="C2494" s="14">
        <f>95.19*Hospital_Operations_Data[[#This Row],[Medication_Cost_USD]]</f>
        <v>291972.47940000001</v>
      </c>
    </row>
    <row r="2495" spans="1:3" x14ac:dyDescent="0.3">
      <c r="A2495" s="11">
        <f>95.19*Hospital_Operations_Data[[#This Row],[Treatment_Cost_USD]]</f>
        <v>670658.28930000006</v>
      </c>
      <c r="C2495" s="13">
        <f>95.19*Hospital_Operations_Data[[#This Row],[Medication_Cost_USD]]</f>
        <v>223958.27249999999</v>
      </c>
    </row>
    <row r="2496" spans="1:3" x14ac:dyDescent="0.3">
      <c r="A2496" s="12">
        <f>95.19*Hospital_Operations_Data[[#This Row],[Treatment_Cost_USD]]</f>
        <v>430216.91640000005</v>
      </c>
      <c r="C2496" s="14">
        <f>95.19*Hospital_Operations_Data[[#This Row],[Medication_Cost_USD]]</f>
        <v>163137.57389999999</v>
      </c>
    </row>
    <row r="2497" spans="1:3" x14ac:dyDescent="0.3">
      <c r="A2497" s="11">
        <f>95.19*Hospital_Operations_Data[[#This Row],[Treatment_Cost_USD]]</f>
        <v>523140.4425</v>
      </c>
      <c r="C2497" s="13">
        <f>95.19*Hospital_Operations_Data[[#This Row],[Medication_Cost_USD]]</f>
        <v>156293.4129</v>
      </c>
    </row>
    <row r="2498" spans="1:3" x14ac:dyDescent="0.3">
      <c r="A2498" s="12">
        <f>95.19*Hospital_Operations_Data[[#This Row],[Treatment_Cost_USD]]</f>
        <v>136794.69329999998</v>
      </c>
      <c r="C2498" s="14">
        <f>95.19*Hospital_Operations_Data[[#This Row],[Medication_Cost_USD]]</f>
        <v>45937.742099999996</v>
      </c>
    </row>
    <row r="2499" spans="1:3" x14ac:dyDescent="0.3">
      <c r="A2499" s="11">
        <f>95.19*Hospital_Operations_Data[[#This Row],[Treatment_Cost_USD]]</f>
        <v>411016.14150000003</v>
      </c>
      <c r="C2499" s="13">
        <f>95.19*Hospital_Operations_Data[[#This Row],[Medication_Cost_USD]]</f>
        <v>97364.139599999995</v>
      </c>
    </row>
    <row r="2500" spans="1:3" x14ac:dyDescent="0.3">
      <c r="A2500" s="12">
        <f>95.19*Hospital_Operations_Data[[#This Row],[Treatment_Cost_USD]]</f>
        <v>1773800.9208</v>
      </c>
      <c r="C2500" s="14">
        <f>95.19*Hospital_Operations_Data[[#This Row],[Medication_Cost_USD]]</f>
        <v>613273.9497</v>
      </c>
    </row>
    <row r="2501" spans="1:3" x14ac:dyDescent="0.3">
      <c r="A2501" s="11">
        <f>95.19*Hospital_Operations_Data[[#This Row],[Treatment_Cost_USD]]</f>
        <v>1457983.3463999999</v>
      </c>
      <c r="C2501" s="13">
        <f>95.19*Hospital_Operations_Data[[#This Row],[Medication_Cost_USD]]</f>
        <v>383280.6312</v>
      </c>
    </row>
    <row r="2502" spans="1:3" x14ac:dyDescent="0.3">
      <c r="A2502" s="12">
        <f>95.19*Hospital_Operations_Data[[#This Row],[Treatment_Cost_USD]]</f>
        <v>672741.99839999992</v>
      </c>
      <c r="C2502" s="14">
        <f>95.19*Hospital_Operations_Data[[#This Row],[Medication_Cost_USD]]</f>
        <v>163030.96110000001</v>
      </c>
    </row>
    <row r="2503" spans="1:3" x14ac:dyDescent="0.3">
      <c r="A2503" s="11">
        <f>95.19*Hospital_Operations_Data[[#This Row],[Treatment_Cost_USD]]</f>
        <v>205428.5871</v>
      </c>
      <c r="C2503" s="13">
        <f>95.19*Hospital_Operations_Data[[#This Row],[Medication_Cost_USD]]</f>
        <v>49339.832700000006</v>
      </c>
    </row>
    <row r="2504" spans="1:3" x14ac:dyDescent="0.3">
      <c r="A2504" s="12">
        <f>95.19*Hospital_Operations_Data[[#This Row],[Treatment_Cost_USD]]</f>
        <v>193473.67499999999</v>
      </c>
      <c r="C2504" s="14">
        <f>95.19*Hospital_Operations_Data[[#This Row],[Medication_Cost_USD]]</f>
        <v>31520.2647</v>
      </c>
    </row>
    <row r="2505" spans="1:3" x14ac:dyDescent="0.3">
      <c r="A2505" s="11">
        <f>95.19*Hospital_Operations_Data[[#This Row],[Treatment_Cost_USD]]</f>
        <v>1039295.8428000001</v>
      </c>
      <c r="C2505" s="13">
        <f>95.19*Hospital_Operations_Data[[#This Row],[Medication_Cost_USD]]</f>
        <v>264289.3236</v>
      </c>
    </row>
    <row r="2506" spans="1:3" x14ac:dyDescent="0.3">
      <c r="A2506" s="12">
        <f>95.19*Hospital_Operations_Data[[#This Row],[Treatment_Cost_USD]]</f>
        <v>477257.91059999994</v>
      </c>
      <c r="C2506" s="14">
        <f>95.19*Hospital_Operations_Data[[#This Row],[Medication_Cost_USD]]</f>
        <v>170134.03889999999</v>
      </c>
    </row>
    <row r="2507" spans="1:3" x14ac:dyDescent="0.3">
      <c r="A2507" s="11">
        <f>95.19*Hospital_Operations_Data[[#This Row],[Treatment_Cost_USD]]</f>
        <v>158849.26439999999</v>
      </c>
      <c r="C2507" s="13">
        <f>95.19*Hospital_Operations_Data[[#This Row],[Medication_Cost_USD]]</f>
        <v>50667.733199999995</v>
      </c>
    </row>
    <row r="2508" spans="1:3" x14ac:dyDescent="0.3">
      <c r="A2508" s="12">
        <f>95.19*Hospital_Operations_Data[[#This Row],[Treatment_Cost_USD]]</f>
        <v>1255149.6387</v>
      </c>
      <c r="C2508" s="14">
        <f>95.19*Hospital_Operations_Data[[#This Row],[Medication_Cost_USD]]</f>
        <v>486492.29249999998</v>
      </c>
    </row>
    <row r="2509" spans="1:3" x14ac:dyDescent="0.3">
      <c r="A2509" s="11">
        <f>95.19*Hospital_Operations_Data[[#This Row],[Treatment_Cost_USD]]</f>
        <v>783587.89769999997</v>
      </c>
      <c r="C2509" s="13">
        <f>95.19*Hospital_Operations_Data[[#This Row],[Medication_Cost_USD]]</f>
        <v>186545.74679999999</v>
      </c>
    </row>
    <row r="2510" spans="1:3" x14ac:dyDescent="0.3">
      <c r="A2510" s="12">
        <f>95.19*Hospital_Operations_Data[[#This Row],[Treatment_Cost_USD]]</f>
        <v>1033617.7592999999</v>
      </c>
      <c r="C2510" s="14">
        <f>95.19*Hospital_Operations_Data[[#This Row],[Medication_Cost_USD]]</f>
        <v>313153.20630000002</v>
      </c>
    </row>
    <row r="2511" spans="1:3" x14ac:dyDescent="0.3">
      <c r="A2511" s="11">
        <f>95.19*Hospital_Operations_Data[[#This Row],[Treatment_Cost_USD]]</f>
        <v>817055.74979999999</v>
      </c>
      <c r="C2511" s="13">
        <f>95.19*Hospital_Operations_Data[[#This Row],[Medication_Cost_USD]]</f>
        <v>258496.06019999998</v>
      </c>
    </row>
    <row r="2512" spans="1:3" x14ac:dyDescent="0.3">
      <c r="A2512" s="12">
        <f>95.19*Hospital_Operations_Data[[#This Row],[Treatment_Cost_USD]]</f>
        <v>499696.09739999997</v>
      </c>
      <c r="C2512" s="14">
        <f>95.19*Hospital_Operations_Data[[#This Row],[Medication_Cost_USD]]</f>
        <v>113702.5512</v>
      </c>
    </row>
    <row r="2513" spans="1:3" x14ac:dyDescent="0.3">
      <c r="A2513" s="11">
        <f>95.19*Hospital_Operations_Data[[#This Row],[Treatment_Cost_USD]]</f>
        <v>1170203.0345999999</v>
      </c>
      <c r="C2513" s="13">
        <f>95.19*Hospital_Operations_Data[[#This Row],[Medication_Cost_USD]]</f>
        <v>261375.55769999998</v>
      </c>
    </row>
    <row r="2514" spans="1:3" x14ac:dyDescent="0.3">
      <c r="A2514" s="12">
        <f>95.19*Hospital_Operations_Data[[#This Row],[Treatment_Cost_USD]]</f>
        <v>674378.31449999998</v>
      </c>
      <c r="C2514" s="14">
        <f>95.19*Hospital_Operations_Data[[#This Row],[Medication_Cost_USD]]</f>
        <v>252330.60389999999</v>
      </c>
    </row>
    <row r="2515" spans="1:3" x14ac:dyDescent="0.3">
      <c r="A2515" s="11">
        <f>95.19*Hospital_Operations_Data[[#This Row],[Treatment_Cost_USD]]</f>
        <v>623842.89539999992</v>
      </c>
      <c r="C2515" s="13">
        <f>95.19*Hospital_Operations_Data[[#This Row],[Medication_Cost_USD]]</f>
        <v>153609.05489999999</v>
      </c>
    </row>
    <row r="2516" spans="1:3" x14ac:dyDescent="0.3">
      <c r="A2516" s="12">
        <f>95.19*Hospital_Operations_Data[[#This Row],[Treatment_Cost_USD]]</f>
        <v>135665.73989999999</v>
      </c>
      <c r="C2516" s="14">
        <f>95.19*Hospital_Operations_Data[[#This Row],[Medication_Cost_USD]]</f>
        <v>44056.787700000001</v>
      </c>
    </row>
    <row r="2517" spans="1:3" x14ac:dyDescent="0.3">
      <c r="A2517" s="11">
        <f>95.19*Hospital_Operations_Data[[#This Row],[Treatment_Cost_USD]]</f>
        <v>1124246.2544999998</v>
      </c>
      <c r="C2517" s="13">
        <f>95.19*Hospital_Operations_Data[[#This Row],[Medication_Cost_USD]]</f>
        <v>312966.63390000002</v>
      </c>
    </row>
    <row r="2518" spans="1:3" x14ac:dyDescent="0.3">
      <c r="A2518" s="12">
        <f>95.19*Hospital_Operations_Data[[#This Row],[Treatment_Cost_USD]]</f>
        <v>785209.93530000001</v>
      </c>
      <c r="C2518" s="14">
        <f>95.19*Hospital_Operations_Data[[#This Row],[Medication_Cost_USD]]</f>
        <v>300741.38219999999</v>
      </c>
    </row>
    <row r="2519" spans="1:3" x14ac:dyDescent="0.3">
      <c r="A2519" s="11">
        <f>95.19*Hospital_Operations_Data[[#This Row],[Treatment_Cost_USD]]</f>
        <v>83788.141799999998</v>
      </c>
      <c r="C2519" s="13">
        <f>95.19*Hospital_Operations_Data[[#This Row],[Medication_Cost_USD]]</f>
        <v>19333.089</v>
      </c>
    </row>
    <row r="2520" spans="1:3" x14ac:dyDescent="0.3">
      <c r="A2520" s="12">
        <f>95.19*Hospital_Operations_Data[[#This Row],[Treatment_Cost_USD]]</f>
        <v>496001.77349999995</v>
      </c>
      <c r="C2520" s="14">
        <f>95.19*Hospital_Operations_Data[[#This Row],[Medication_Cost_USD]]</f>
        <v>172029.27179999999</v>
      </c>
    </row>
    <row r="2521" spans="1:3" x14ac:dyDescent="0.3">
      <c r="A2521" s="11">
        <f>95.19*Hospital_Operations_Data[[#This Row],[Treatment_Cost_USD]]</f>
        <v>745669.91310000001</v>
      </c>
      <c r="C2521" s="13">
        <f>95.19*Hospital_Operations_Data[[#This Row],[Medication_Cost_USD]]</f>
        <v>240188.16749999998</v>
      </c>
    </row>
    <row r="2522" spans="1:3" x14ac:dyDescent="0.3">
      <c r="A2522" s="12">
        <f>95.19*Hospital_Operations_Data[[#This Row],[Treatment_Cost_USD]]</f>
        <v>735500.76539999992</v>
      </c>
      <c r="C2522" s="14">
        <f>95.19*Hospital_Operations_Data[[#This Row],[Medication_Cost_USD]]</f>
        <v>259838.23919999998</v>
      </c>
    </row>
    <row r="2523" spans="1:3" x14ac:dyDescent="0.3">
      <c r="A2523" s="11">
        <f>95.19*Hospital_Operations_Data[[#This Row],[Treatment_Cost_USD]]</f>
        <v>309648.31049999996</v>
      </c>
      <c r="C2523" s="13">
        <f>95.19*Hospital_Operations_Data[[#This Row],[Medication_Cost_USD]]</f>
        <v>68946.116999999998</v>
      </c>
    </row>
    <row r="2524" spans="1:3" x14ac:dyDescent="0.3">
      <c r="A2524" s="12">
        <f>95.19*Hospital_Operations_Data[[#This Row],[Treatment_Cost_USD]]</f>
        <v>863091.53760000004</v>
      </c>
      <c r="C2524" s="14">
        <f>95.19*Hospital_Operations_Data[[#This Row],[Medication_Cost_USD]]</f>
        <v>137559.06899999999</v>
      </c>
    </row>
    <row r="2525" spans="1:3" x14ac:dyDescent="0.3">
      <c r="A2525" s="11">
        <f>95.19*Hospital_Operations_Data[[#This Row],[Treatment_Cost_USD]]</f>
        <v>144033.89279999997</v>
      </c>
      <c r="C2525" s="13">
        <f>95.19*Hospital_Operations_Data[[#This Row],[Medication_Cost_USD]]</f>
        <v>38287.321800000005</v>
      </c>
    </row>
    <row r="2526" spans="1:3" x14ac:dyDescent="0.3">
      <c r="A2526" s="12">
        <f>95.19*Hospital_Operations_Data[[#This Row],[Treatment_Cost_USD]]</f>
        <v>1520060.5530000001</v>
      </c>
      <c r="C2526" s="14">
        <f>95.19*Hospital_Operations_Data[[#This Row],[Medication_Cost_USD]]</f>
        <v>287859.31949999998</v>
      </c>
    </row>
    <row r="2527" spans="1:3" x14ac:dyDescent="0.3">
      <c r="A2527" s="11">
        <f>95.19*Hospital_Operations_Data[[#This Row],[Treatment_Cost_USD]]</f>
        <v>476171.79269999999</v>
      </c>
      <c r="C2527" s="13">
        <f>95.19*Hospital_Operations_Data[[#This Row],[Medication_Cost_USD]]</f>
        <v>93986.7984</v>
      </c>
    </row>
    <row r="2528" spans="1:3" x14ac:dyDescent="0.3">
      <c r="A2528" s="12">
        <f>95.19*Hospital_Operations_Data[[#This Row],[Treatment_Cost_USD]]</f>
        <v>2267568.585</v>
      </c>
      <c r="C2528" s="14">
        <f>95.19*Hospital_Operations_Data[[#This Row],[Medication_Cost_USD]]</f>
        <v>689771.48939999996</v>
      </c>
    </row>
    <row r="2529" spans="1:3" x14ac:dyDescent="0.3">
      <c r="A2529" s="11">
        <f>95.19*Hospital_Operations_Data[[#This Row],[Treatment_Cost_USD]]</f>
        <v>903587.2673999999</v>
      </c>
      <c r="C2529" s="13">
        <f>95.19*Hospital_Operations_Data[[#This Row],[Medication_Cost_USD]]</f>
        <v>295841.95289999997</v>
      </c>
    </row>
    <row r="2530" spans="1:3" x14ac:dyDescent="0.3">
      <c r="A2530" s="12">
        <f>95.19*Hospital_Operations_Data[[#This Row],[Treatment_Cost_USD]]</f>
        <v>950609.22360000003</v>
      </c>
      <c r="C2530" s="14">
        <f>95.19*Hospital_Operations_Data[[#This Row],[Medication_Cost_USD]]</f>
        <v>279301.73849999998</v>
      </c>
    </row>
    <row r="2531" spans="1:3" x14ac:dyDescent="0.3">
      <c r="A2531" s="11">
        <f>95.19*Hospital_Operations_Data[[#This Row],[Treatment_Cost_USD]]</f>
        <v>849504.11699999985</v>
      </c>
      <c r="C2531" s="13">
        <f>95.19*Hospital_Operations_Data[[#This Row],[Medication_Cost_USD]]</f>
        <v>337409.5221</v>
      </c>
    </row>
    <row r="2532" spans="1:3" x14ac:dyDescent="0.3">
      <c r="A2532" s="12">
        <f>95.19*Hospital_Operations_Data[[#This Row],[Treatment_Cost_USD]]</f>
        <v>273346.65210000001</v>
      </c>
      <c r="C2532" s="14">
        <f>95.19*Hospital_Operations_Data[[#This Row],[Medication_Cost_USD]]</f>
        <v>100229.35860000001</v>
      </c>
    </row>
    <row r="2533" spans="1:3" x14ac:dyDescent="0.3">
      <c r="A2533" s="11">
        <f>95.19*Hospital_Operations_Data[[#This Row],[Treatment_Cost_USD]]</f>
        <v>402464.27189999999</v>
      </c>
      <c r="C2533" s="13">
        <f>95.19*Hospital_Operations_Data[[#This Row],[Medication_Cost_USD]]</f>
        <v>150718.13459999999</v>
      </c>
    </row>
    <row r="2534" spans="1:3" x14ac:dyDescent="0.3">
      <c r="A2534" s="12">
        <f>95.19*Hospital_Operations_Data[[#This Row],[Treatment_Cost_USD]]</f>
        <v>752236.11930000002</v>
      </c>
      <c r="C2534" s="14">
        <f>95.19*Hospital_Operations_Data[[#This Row],[Medication_Cost_USD]]</f>
        <v>236781.3174</v>
      </c>
    </row>
    <row r="2535" spans="1:3" x14ac:dyDescent="0.3">
      <c r="A2535" s="11">
        <f>95.19*Hospital_Operations_Data[[#This Row],[Treatment_Cost_USD]]</f>
        <v>728297.73809999996</v>
      </c>
      <c r="C2535" s="13">
        <f>95.19*Hospital_Operations_Data[[#This Row],[Medication_Cost_USD]]</f>
        <v>139490.47409999999</v>
      </c>
    </row>
    <row r="2536" spans="1:3" x14ac:dyDescent="0.3">
      <c r="A2536" s="12">
        <f>95.19*Hospital_Operations_Data[[#This Row],[Treatment_Cost_USD]]</f>
        <v>523641.14189999999</v>
      </c>
      <c r="C2536" s="14">
        <f>95.19*Hospital_Operations_Data[[#This Row],[Medication_Cost_USD]]</f>
        <v>102694.77959999999</v>
      </c>
    </row>
    <row r="2537" spans="1:3" x14ac:dyDescent="0.3">
      <c r="A2537" s="11">
        <f>95.19*Hospital_Operations_Data[[#This Row],[Treatment_Cost_USD]]</f>
        <v>875071.19909999997</v>
      </c>
      <c r="C2537" s="13">
        <f>95.19*Hospital_Operations_Data[[#This Row],[Medication_Cost_USD]]</f>
        <v>244288.95269999999</v>
      </c>
    </row>
    <row r="2538" spans="1:3" x14ac:dyDescent="0.3">
      <c r="A2538" s="12">
        <f>95.19*Hospital_Operations_Data[[#This Row],[Treatment_Cost_USD]]</f>
        <v>1484925.9240000001</v>
      </c>
      <c r="C2538" s="14">
        <f>95.19*Hospital_Operations_Data[[#This Row],[Medication_Cost_USD]]</f>
        <v>357988.6482</v>
      </c>
    </row>
    <row r="2539" spans="1:3" x14ac:dyDescent="0.3">
      <c r="A2539" s="11">
        <f>95.19*Hospital_Operations_Data[[#This Row],[Treatment_Cost_USD]]</f>
        <v>522159.98549999995</v>
      </c>
      <c r="C2539" s="13">
        <f>95.19*Hospital_Operations_Data[[#This Row],[Medication_Cost_USD]]</f>
        <v>190014.47039999999</v>
      </c>
    </row>
    <row r="2540" spans="1:3" x14ac:dyDescent="0.3">
      <c r="A2540" s="12">
        <f>95.19*Hospital_Operations_Data[[#This Row],[Treatment_Cost_USD]]</f>
        <v>482745.61410000001</v>
      </c>
      <c r="C2540" s="14">
        <f>95.19*Hospital_Operations_Data[[#This Row],[Medication_Cost_USD]]</f>
        <v>85939.435800000007</v>
      </c>
    </row>
    <row r="2541" spans="1:3" x14ac:dyDescent="0.3">
      <c r="A2541" s="11">
        <f>95.19*Hospital_Operations_Data[[#This Row],[Treatment_Cost_USD]]</f>
        <v>2233416.3168000001</v>
      </c>
      <c r="C2541" s="13">
        <f>95.19*Hospital_Operations_Data[[#This Row],[Medication_Cost_USD]]</f>
        <v>556194.21809999994</v>
      </c>
    </row>
    <row r="2542" spans="1:3" x14ac:dyDescent="0.3">
      <c r="A2542" s="12">
        <f>95.19*Hospital_Operations_Data[[#This Row],[Treatment_Cost_USD]]</f>
        <v>271086.84149999998</v>
      </c>
      <c r="C2542" s="14">
        <f>95.19*Hospital_Operations_Data[[#This Row],[Medication_Cost_USD]]</f>
        <v>90624.68759999999</v>
      </c>
    </row>
    <row r="2543" spans="1:3" x14ac:dyDescent="0.3">
      <c r="A2543" s="11">
        <f>95.19*Hospital_Operations_Data[[#This Row],[Treatment_Cost_USD]]</f>
        <v>247982.3247</v>
      </c>
      <c r="C2543" s="13">
        <f>95.19*Hospital_Operations_Data[[#This Row],[Medication_Cost_USD]]</f>
        <v>64134.262499999997</v>
      </c>
    </row>
    <row r="2544" spans="1:3" x14ac:dyDescent="0.3">
      <c r="A2544" s="12">
        <f>95.19*Hospital_Operations_Data[[#This Row],[Treatment_Cost_USD]]</f>
        <v>798559.38089999999</v>
      </c>
      <c r="C2544" s="14">
        <f>95.19*Hospital_Operations_Data[[#This Row],[Medication_Cost_USD]]</f>
        <v>277737.76679999998</v>
      </c>
    </row>
    <row r="2545" spans="1:3" x14ac:dyDescent="0.3">
      <c r="A2545" s="11">
        <f>95.19*Hospital_Operations_Data[[#This Row],[Treatment_Cost_USD]]</f>
        <v>846348.56849999994</v>
      </c>
      <c r="C2545" s="13">
        <f>95.19*Hospital_Operations_Data[[#This Row],[Medication_Cost_USD]]</f>
        <v>191046.33</v>
      </c>
    </row>
    <row r="2546" spans="1:3" x14ac:dyDescent="0.3">
      <c r="A2546" s="12">
        <f>95.19*Hospital_Operations_Data[[#This Row],[Treatment_Cost_USD]]</f>
        <v>175208.61779999998</v>
      </c>
      <c r="C2546" s="14">
        <f>95.19*Hospital_Operations_Data[[#This Row],[Medication_Cost_USD]]</f>
        <v>59513.7399</v>
      </c>
    </row>
    <row r="2547" spans="1:3" x14ac:dyDescent="0.3">
      <c r="A2547" s="11">
        <f>95.19*Hospital_Operations_Data[[#This Row],[Treatment_Cost_USD]]</f>
        <v>1399463.3901</v>
      </c>
      <c r="C2547" s="13">
        <f>95.19*Hospital_Operations_Data[[#This Row],[Medication_Cost_USD]]</f>
        <v>337781.71499999997</v>
      </c>
    </row>
    <row r="2548" spans="1:3" x14ac:dyDescent="0.3">
      <c r="A2548" s="12">
        <f>95.19*Hospital_Operations_Data[[#This Row],[Treatment_Cost_USD]]</f>
        <v>295832.4339</v>
      </c>
      <c r="C2548" s="14">
        <f>95.19*Hospital_Operations_Data[[#This Row],[Medication_Cost_USD]]</f>
        <v>116877.13769999999</v>
      </c>
    </row>
    <row r="2549" spans="1:3" x14ac:dyDescent="0.3">
      <c r="A2549" s="11">
        <f>95.19*Hospital_Operations_Data[[#This Row],[Treatment_Cost_USD]]</f>
        <v>304073.9841</v>
      </c>
      <c r="C2549" s="13">
        <f>95.19*Hospital_Operations_Data[[#This Row],[Medication_Cost_USD]]</f>
        <v>56942.658000000003</v>
      </c>
    </row>
    <row r="2550" spans="1:3" x14ac:dyDescent="0.3">
      <c r="A2550" s="12">
        <f>95.19*Hospital_Operations_Data[[#This Row],[Treatment_Cost_USD]]</f>
        <v>225014.88149999999</v>
      </c>
      <c r="C2550" s="14">
        <f>95.19*Hospital_Operations_Data[[#This Row],[Medication_Cost_USD]]</f>
        <v>71018.403300000005</v>
      </c>
    </row>
    <row r="2551" spans="1:3" x14ac:dyDescent="0.3">
      <c r="A2551" s="11">
        <f>95.19*Hospital_Operations_Data[[#This Row],[Treatment_Cost_USD]]</f>
        <v>481407.2427</v>
      </c>
      <c r="C2551" s="13">
        <f>95.19*Hospital_Operations_Data[[#This Row],[Medication_Cost_USD]]</f>
        <v>163403.15399999998</v>
      </c>
    </row>
    <row r="2552" spans="1:3" x14ac:dyDescent="0.3">
      <c r="A2552" s="12">
        <f>95.19*Hospital_Operations_Data[[#This Row],[Treatment_Cost_USD]]</f>
        <v>693004.14179999998</v>
      </c>
      <c r="C2552" s="14">
        <f>95.19*Hospital_Operations_Data[[#This Row],[Medication_Cost_USD]]</f>
        <v>167150.7843</v>
      </c>
    </row>
    <row r="2553" spans="1:3" x14ac:dyDescent="0.3">
      <c r="A2553" s="11">
        <f>95.19*Hospital_Operations_Data[[#This Row],[Treatment_Cost_USD]]</f>
        <v>340973.43570000003</v>
      </c>
      <c r="C2553" s="13">
        <f>95.19*Hospital_Operations_Data[[#This Row],[Medication_Cost_USD]]</f>
        <v>80386.051200000002</v>
      </c>
    </row>
    <row r="2554" spans="1:3" x14ac:dyDescent="0.3">
      <c r="A2554" s="12">
        <f>95.19*Hospital_Operations_Data[[#This Row],[Treatment_Cost_USD]]</f>
        <v>610466.7966</v>
      </c>
      <c r="C2554" s="14">
        <f>95.19*Hospital_Operations_Data[[#This Row],[Medication_Cost_USD]]</f>
        <v>222202.01700000002</v>
      </c>
    </row>
    <row r="2555" spans="1:3" x14ac:dyDescent="0.3">
      <c r="A2555" s="11">
        <f>95.19*Hospital_Operations_Data[[#This Row],[Treatment_Cost_USD]]</f>
        <v>411029.4681</v>
      </c>
      <c r="C2555" s="13">
        <f>95.19*Hospital_Operations_Data[[#This Row],[Medication_Cost_USD]]</f>
        <v>100992.7824</v>
      </c>
    </row>
    <row r="2556" spans="1:3" x14ac:dyDescent="0.3">
      <c r="A2556" s="12">
        <f>95.19*Hospital_Operations_Data[[#This Row],[Treatment_Cost_USD]]</f>
        <v>1016043.7815</v>
      </c>
      <c r="C2556" s="14">
        <f>95.19*Hospital_Operations_Data[[#This Row],[Medication_Cost_USD]]</f>
        <v>274916.33519999997</v>
      </c>
    </row>
    <row r="2557" spans="1:3" x14ac:dyDescent="0.3">
      <c r="A2557" s="11">
        <f>95.19*Hospital_Operations_Data[[#This Row],[Treatment_Cost_USD]]</f>
        <v>413213.12670000002</v>
      </c>
      <c r="C2557" s="13">
        <f>95.19*Hospital_Operations_Data[[#This Row],[Medication_Cost_USD]]</f>
        <v>69958.938600000009</v>
      </c>
    </row>
    <row r="2558" spans="1:3" x14ac:dyDescent="0.3">
      <c r="A2558" s="12">
        <f>95.19*Hospital_Operations_Data[[#This Row],[Treatment_Cost_USD]]</f>
        <v>2389070.0529</v>
      </c>
      <c r="C2558" s="14">
        <f>95.19*Hospital_Operations_Data[[#This Row],[Medication_Cost_USD]]</f>
        <v>587640.23459999997</v>
      </c>
    </row>
    <row r="2559" spans="1:3" x14ac:dyDescent="0.3">
      <c r="A2559" s="11">
        <f>95.19*Hospital_Operations_Data[[#This Row],[Treatment_Cost_USD]]</f>
        <v>769088.55689999997</v>
      </c>
      <c r="C2559" s="13">
        <f>95.19*Hospital_Operations_Data[[#This Row],[Medication_Cost_USD]]</f>
        <v>220107.837</v>
      </c>
    </row>
    <row r="2560" spans="1:3" x14ac:dyDescent="0.3">
      <c r="A2560" s="12">
        <f>95.19*Hospital_Operations_Data[[#This Row],[Treatment_Cost_USD]]</f>
        <v>476808.61380000005</v>
      </c>
      <c r="C2560" s="14">
        <f>95.19*Hospital_Operations_Data[[#This Row],[Medication_Cost_USD]]</f>
        <v>97642.094400000002</v>
      </c>
    </row>
    <row r="2561" spans="1:3" x14ac:dyDescent="0.3">
      <c r="A2561" s="11">
        <f>95.19*Hospital_Operations_Data[[#This Row],[Treatment_Cost_USD]]</f>
        <v>390359.91150000005</v>
      </c>
      <c r="C2561" s="13">
        <f>95.19*Hospital_Operations_Data[[#This Row],[Medication_Cost_USD]]</f>
        <v>133757.18040000001</v>
      </c>
    </row>
    <row r="2562" spans="1:3" x14ac:dyDescent="0.3">
      <c r="A2562" s="12">
        <f>95.19*Hospital_Operations_Data[[#This Row],[Treatment_Cost_USD]]</f>
        <v>331594.36499999999</v>
      </c>
      <c r="C2562" s="14">
        <f>95.19*Hospital_Operations_Data[[#This Row],[Medication_Cost_USD]]</f>
        <v>101448.74249999999</v>
      </c>
    </row>
    <row r="2563" spans="1:3" x14ac:dyDescent="0.3">
      <c r="A2563" s="11">
        <f>95.19*Hospital_Operations_Data[[#This Row],[Treatment_Cost_USD]]</f>
        <v>379452.0894</v>
      </c>
      <c r="C2563" s="13">
        <f>95.19*Hospital_Operations_Data[[#This Row],[Medication_Cost_USD]]</f>
        <v>110762.13209999999</v>
      </c>
    </row>
    <row r="2564" spans="1:3" x14ac:dyDescent="0.3">
      <c r="A2564" s="12">
        <f>95.19*Hospital_Operations_Data[[#This Row],[Treatment_Cost_USD]]</f>
        <v>305412.35549999995</v>
      </c>
      <c r="C2564" s="14">
        <f>95.19*Hospital_Operations_Data[[#This Row],[Medication_Cost_USD]]</f>
        <v>90196.332599999994</v>
      </c>
    </row>
    <row r="2565" spans="1:3" x14ac:dyDescent="0.3">
      <c r="A2565" s="11">
        <f>95.19*Hospital_Operations_Data[[#This Row],[Treatment_Cost_USD]]</f>
        <v>910108.73429999989</v>
      </c>
      <c r="C2565" s="13">
        <f>95.19*Hospital_Operations_Data[[#This Row],[Medication_Cost_USD]]</f>
        <v>230502.58499999999</v>
      </c>
    </row>
    <row r="2566" spans="1:3" x14ac:dyDescent="0.3">
      <c r="A2566" s="12">
        <f>95.19*Hospital_Operations_Data[[#This Row],[Treatment_Cost_USD]]</f>
        <v>781835.44979999994</v>
      </c>
      <c r="C2566" s="14">
        <f>95.19*Hospital_Operations_Data[[#This Row],[Medication_Cost_USD]]</f>
        <v>202307.307</v>
      </c>
    </row>
    <row r="2567" spans="1:3" x14ac:dyDescent="0.3">
      <c r="A2567" s="11">
        <f>95.19*Hospital_Operations_Data[[#This Row],[Treatment_Cost_USD]]</f>
        <v>864897.29189999995</v>
      </c>
      <c r="C2567" s="13">
        <f>95.19*Hospital_Operations_Data[[#This Row],[Medication_Cost_USD]]</f>
        <v>294443.61179999996</v>
      </c>
    </row>
    <row r="2568" spans="1:3" x14ac:dyDescent="0.3">
      <c r="A2568" s="12">
        <f>95.19*Hospital_Operations_Data[[#This Row],[Treatment_Cost_USD]]</f>
        <v>1564394.3435999998</v>
      </c>
      <c r="C2568" s="14">
        <f>95.19*Hospital_Operations_Data[[#This Row],[Medication_Cost_USD]]</f>
        <v>336087.33299999998</v>
      </c>
    </row>
    <row r="2569" spans="1:3" x14ac:dyDescent="0.3">
      <c r="A2569" s="11">
        <f>95.19*Hospital_Operations_Data[[#This Row],[Treatment_Cost_USD]]</f>
        <v>152647.63589999999</v>
      </c>
      <c r="C2569" s="13">
        <f>95.19*Hospital_Operations_Data[[#This Row],[Medication_Cost_USD]]</f>
        <v>52542.024300000005</v>
      </c>
    </row>
    <row r="2570" spans="1:3" x14ac:dyDescent="0.3">
      <c r="A2570" s="12">
        <f>95.19*Hospital_Operations_Data[[#This Row],[Treatment_Cost_USD]]</f>
        <v>1286460.4853999999</v>
      </c>
      <c r="C2570" s="14">
        <f>95.19*Hospital_Operations_Data[[#This Row],[Medication_Cost_USD]]</f>
        <v>455262.35729999997</v>
      </c>
    </row>
    <row r="2571" spans="1:3" x14ac:dyDescent="0.3">
      <c r="A2571" s="11">
        <f>95.19*Hospital_Operations_Data[[#This Row],[Treatment_Cost_USD]]</f>
        <v>194315.15459999998</v>
      </c>
      <c r="C2571" s="13">
        <f>95.19*Hospital_Operations_Data[[#This Row],[Medication_Cost_USD]]</f>
        <v>32186.594699999998</v>
      </c>
    </row>
    <row r="2572" spans="1:3" x14ac:dyDescent="0.3">
      <c r="A2572" s="12">
        <f>95.19*Hospital_Operations_Data[[#This Row],[Treatment_Cost_USD]]</f>
        <v>1323141.9519</v>
      </c>
      <c r="C2572" s="14">
        <f>95.19*Hospital_Operations_Data[[#This Row],[Medication_Cost_USD]]</f>
        <v>453340.47119999997</v>
      </c>
    </row>
    <row r="2573" spans="1:3" x14ac:dyDescent="0.3">
      <c r="A2573" s="11">
        <f>95.19*Hospital_Operations_Data[[#This Row],[Treatment_Cost_USD]]</f>
        <v>688803.40709999995</v>
      </c>
      <c r="C2573" s="13">
        <f>95.19*Hospital_Operations_Data[[#This Row],[Medication_Cost_USD]]</f>
        <v>140829.79740000001</v>
      </c>
    </row>
    <row r="2574" spans="1:3" x14ac:dyDescent="0.3">
      <c r="A2574" s="12">
        <f>95.19*Hospital_Operations_Data[[#This Row],[Treatment_Cost_USD]]</f>
        <v>584195.30849999993</v>
      </c>
      <c r="C2574" s="14">
        <f>95.19*Hospital_Operations_Data[[#This Row],[Medication_Cost_USD]]</f>
        <v>183810.9381</v>
      </c>
    </row>
    <row r="2575" spans="1:3" x14ac:dyDescent="0.3">
      <c r="A2575" s="11">
        <f>95.19*Hospital_Operations_Data[[#This Row],[Treatment_Cost_USD]]</f>
        <v>607614.90419999999</v>
      </c>
      <c r="C2575" s="13">
        <f>95.19*Hospital_Operations_Data[[#This Row],[Medication_Cost_USD]]</f>
        <v>123974.50410000001</v>
      </c>
    </row>
    <row r="2576" spans="1:3" x14ac:dyDescent="0.3">
      <c r="A2576" s="12">
        <f>95.19*Hospital_Operations_Data[[#This Row],[Treatment_Cost_USD]]</f>
        <v>536704.06559999997</v>
      </c>
      <c r="C2576" s="14">
        <f>95.19*Hospital_Operations_Data[[#This Row],[Medication_Cost_USD]]</f>
        <v>92117.266799999998</v>
      </c>
    </row>
    <row r="2577" spans="1:3" x14ac:dyDescent="0.3">
      <c r="A2577" s="11">
        <f>95.19*Hospital_Operations_Data[[#This Row],[Treatment_Cost_USD]]</f>
        <v>1240045.8414</v>
      </c>
      <c r="C2577" s="13">
        <f>95.19*Hospital_Operations_Data[[#This Row],[Medication_Cost_USD]]</f>
        <v>245681.58239999998</v>
      </c>
    </row>
    <row r="2578" spans="1:3" x14ac:dyDescent="0.3">
      <c r="A2578" s="12">
        <f>95.19*Hospital_Operations_Data[[#This Row],[Treatment_Cost_USD]]</f>
        <v>255124.43039999998</v>
      </c>
      <c r="C2578" s="14">
        <f>95.19*Hospital_Operations_Data[[#This Row],[Medication_Cost_USD]]</f>
        <v>39039.322800000002</v>
      </c>
    </row>
    <row r="2579" spans="1:3" x14ac:dyDescent="0.3">
      <c r="A2579" s="11">
        <f>95.19*Hospital_Operations_Data[[#This Row],[Treatment_Cost_USD]]</f>
        <v>1304589.4209</v>
      </c>
      <c r="C2579" s="13">
        <f>95.19*Hospital_Operations_Data[[#This Row],[Medication_Cost_USD]]</f>
        <v>452373.34079999995</v>
      </c>
    </row>
    <row r="2580" spans="1:3" x14ac:dyDescent="0.3">
      <c r="A2580" s="12">
        <f>95.19*Hospital_Operations_Data[[#This Row],[Treatment_Cost_USD]]</f>
        <v>1157618.9165999999</v>
      </c>
      <c r="C2580" s="14">
        <f>95.19*Hospital_Operations_Data[[#This Row],[Medication_Cost_USD]]</f>
        <v>284026.01819999999</v>
      </c>
    </row>
    <row r="2581" spans="1:3" x14ac:dyDescent="0.3">
      <c r="A2581" s="11">
        <f>95.19*Hospital_Operations_Data[[#This Row],[Treatment_Cost_USD]]</f>
        <v>430353.03809999995</v>
      </c>
      <c r="C2581" s="13">
        <f>95.19*Hospital_Operations_Data[[#This Row],[Medication_Cost_USD]]</f>
        <v>170758.48529999997</v>
      </c>
    </row>
    <row r="2582" spans="1:3" x14ac:dyDescent="0.3">
      <c r="A2582" s="12">
        <f>95.19*Hospital_Operations_Data[[#This Row],[Treatment_Cost_USD]]</f>
        <v>152318.27850000001</v>
      </c>
      <c r="C2582" s="14">
        <f>95.19*Hospital_Operations_Data[[#This Row],[Medication_Cost_USD]]</f>
        <v>48918.140999999996</v>
      </c>
    </row>
    <row r="2583" spans="1:3" x14ac:dyDescent="0.3">
      <c r="A2583" s="11">
        <f>95.19*Hospital_Operations_Data[[#This Row],[Treatment_Cost_USD]]</f>
        <v>427476.39630000002</v>
      </c>
      <c r="C2583" s="13">
        <f>95.19*Hospital_Operations_Data[[#This Row],[Medication_Cost_USD]]</f>
        <v>81974.772299999997</v>
      </c>
    </row>
    <row r="2584" spans="1:3" x14ac:dyDescent="0.3">
      <c r="A2584" s="12">
        <f>95.19*Hospital_Operations_Data[[#This Row],[Treatment_Cost_USD]]</f>
        <v>940127.85269999993</v>
      </c>
      <c r="C2584" s="14">
        <f>95.19*Hospital_Operations_Data[[#This Row],[Medication_Cost_USD]]</f>
        <v>227723.9889</v>
      </c>
    </row>
    <row r="2585" spans="1:3" x14ac:dyDescent="0.3">
      <c r="A2585" s="11">
        <f>95.19*Hospital_Operations_Data[[#This Row],[Treatment_Cost_USD]]</f>
        <v>614451.44999999995</v>
      </c>
      <c r="C2585" s="13">
        <f>95.19*Hospital_Operations_Data[[#This Row],[Medication_Cost_USD]]</f>
        <v>202220.68409999998</v>
      </c>
    </row>
    <row r="2586" spans="1:3" x14ac:dyDescent="0.3">
      <c r="A2586" s="12">
        <f>95.19*Hospital_Operations_Data[[#This Row],[Treatment_Cost_USD]]</f>
        <v>116006.1492</v>
      </c>
      <c r="C2586" s="14">
        <f>95.19*Hospital_Operations_Data[[#This Row],[Medication_Cost_USD]]</f>
        <v>42007.347000000002</v>
      </c>
    </row>
    <row r="2587" spans="1:3" x14ac:dyDescent="0.3">
      <c r="A2587" s="11">
        <f>95.19*Hospital_Operations_Data[[#This Row],[Treatment_Cost_USD]]</f>
        <v>1150010.3798999998</v>
      </c>
      <c r="C2587" s="13">
        <f>95.19*Hospital_Operations_Data[[#This Row],[Medication_Cost_USD]]</f>
        <v>341705.44679999998</v>
      </c>
    </row>
    <row r="2588" spans="1:3" x14ac:dyDescent="0.3">
      <c r="A2588" s="12">
        <f>95.19*Hospital_Operations_Data[[#This Row],[Treatment_Cost_USD]]</f>
        <v>410306.02410000004</v>
      </c>
      <c r="C2588" s="14">
        <f>95.19*Hospital_Operations_Data[[#This Row],[Medication_Cost_USD]]</f>
        <v>105286.80329999999</v>
      </c>
    </row>
    <row r="2589" spans="1:3" x14ac:dyDescent="0.3">
      <c r="A2589" s="11">
        <f>95.19*Hospital_Operations_Data[[#This Row],[Treatment_Cost_USD]]</f>
        <v>469550.3763</v>
      </c>
      <c r="C2589" s="13">
        <f>95.19*Hospital_Operations_Data[[#This Row],[Medication_Cost_USD]]</f>
        <v>97208.028000000006</v>
      </c>
    </row>
    <row r="2590" spans="1:3" x14ac:dyDescent="0.3">
      <c r="A2590" s="12">
        <f>95.19*Hospital_Operations_Data[[#This Row],[Treatment_Cost_USD]]</f>
        <v>634732.63140000007</v>
      </c>
      <c r="C2590" s="14">
        <f>95.19*Hospital_Operations_Data[[#This Row],[Medication_Cost_USD]]</f>
        <v>180722.0226</v>
      </c>
    </row>
    <row r="2591" spans="1:3" x14ac:dyDescent="0.3">
      <c r="A2591" s="11">
        <f>95.19*Hospital_Operations_Data[[#This Row],[Treatment_Cost_USD]]</f>
        <v>815157.66119999997</v>
      </c>
      <c r="C2591" s="13">
        <f>95.19*Hospital_Operations_Data[[#This Row],[Medication_Cost_USD]]</f>
        <v>141306.69930000001</v>
      </c>
    </row>
    <row r="2592" spans="1:3" x14ac:dyDescent="0.3">
      <c r="A2592" s="12">
        <f>95.19*Hospital_Operations_Data[[#This Row],[Treatment_Cost_USD]]</f>
        <v>511200.76079999999</v>
      </c>
      <c r="C2592" s="14">
        <f>95.19*Hospital_Operations_Data[[#This Row],[Medication_Cost_USD]]</f>
        <v>83732.931599999996</v>
      </c>
    </row>
    <row r="2593" spans="1:3" x14ac:dyDescent="0.3">
      <c r="A2593" s="11">
        <f>95.19*Hospital_Operations_Data[[#This Row],[Treatment_Cost_USD]]</f>
        <v>522884.38140000001</v>
      </c>
      <c r="C2593" s="13">
        <f>95.19*Hospital_Operations_Data[[#This Row],[Medication_Cost_USD]]</f>
        <v>194122.87079999998</v>
      </c>
    </row>
    <row r="2594" spans="1:3" x14ac:dyDescent="0.3">
      <c r="A2594" s="12">
        <f>95.19*Hospital_Operations_Data[[#This Row],[Treatment_Cost_USD]]</f>
        <v>1252511.9238</v>
      </c>
      <c r="C2594" s="14">
        <f>95.19*Hospital_Operations_Data[[#This Row],[Medication_Cost_USD]]</f>
        <v>200772.84419999999</v>
      </c>
    </row>
    <row r="2595" spans="1:3" x14ac:dyDescent="0.3">
      <c r="A2595" s="11">
        <f>95.19*Hospital_Operations_Data[[#This Row],[Treatment_Cost_USD]]</f>
        <v>224621.74679999996</v>
      </c>
      <c r="C2595" s="13">
        <f>95.19*Hospital_Operations_Data[[#This Row],[Medication_Cost_USD]]</f>
        <v>41855.042999999998</v>
      </c>
    </row>
    <row r="2596" spans="1:3" x14ac:dyDescent="0.3">
      <c r="A2596" s="12">
        <f>95.19*Hospital_Operations_Data[[#This Row],[Treatment_Cost_USD]]</f>
        <v>801558.81780000008</v>
      </c>
      <c r="C2596" s="14">
        <f>95.19*Hospital_Operations_Data[[#This Row],[Medication_Cost_USD]]</f>
        <v>287106.36660000001</v>
      </c>
    </row>
    <row r="2597" spans="1:3" x14ac:dyDescent="0.3">
      <c r="A2597" s="11">
        <f>95.19*Hospital_Operations_Data[[#This Row],[Treatment_Cost_USD]]</f>
        <v>455534.60069999995</v>
      </c>
      <c r="C2597" s="13">
        <f>95.19*Hospital_Operations_Data[[#This Row],[Medication_Cost_USD]]</f>
        <v>155028.33779999998</v>
      </c>
    </row>
    <row r="2598" spans="1:3" x14ac:dyDescent="0.3">
      <c r="A2598" s="12">
        <f>95.19*Hospital_Operations_Data[[#This Row],[Treatment_Cost_USD]]</f>
        <v>1547528.5793999999</v>
      </c>
      <c r="C2598" s="14">
        <f>95.19*Hospital_Operations_Data[[#This Row],[Medication_Cost_USD]]</f>
        <v>285550.01010000001</v>
      </c>
    </row>
    <row r="2599" spans="1:3" x14ac:dyDescent="0.3">
      <c r="A2599" s="11">
        <f>95.19*Hospital_Operations_Data[[#This Row],[Treatment_Cost_USD]]</f>
        <v>1425940.4886</v>
      </c>
      <c r="C2599" s="13">
        <f>95.19*Hospital_Operations_Data[[#This Row],[Medication_Cost_USD]]</f>
        <v>552341.87880000006</v>
      </c>
    </row>
    <row r="2600" spans="1:3" x14ac:dyDescent="0.3">
      <c r="A2600" s="12">
        <f>95.19*Hospital_Operations_Data[[#This Row],[Treatment_Cost_USD]]</f>
        <v>1086355.875</v>
      </c>
      <c r="C2600" s="14">
        <f>95.19*Hospital_Operations_Data[[#This Row],[Medication_Cost_USD]]</f>
        <v>243263.75639999998</v>
      </c>
    </row>
    <row r="2601" spans="1:3" x14ac:dyDescent="0.3">
      <c r="A2601" s="11">
        <f>95.19*Hospital_Operations_Data[[#This Row],[Treatment_Cost_USD]]</f>
        <v>1722649.6223999998</v>
      </c>
      <c r="C2601" s="13">
        <f>95.19*Hospital_Operations_Data[[#This Row],[Medication_Cost_USD]]</f>
        <v>537282.82079999999</v>
      </c>
    </row>
    <row r="2602" spans="1:3" x14ac:dyDescent="0.3">
      <c r="A2602" s="12">
        <f>95.19*Hospital_Operations_Data[[#This Row],[Treatment_Cost_USD]]</f>
        <v>556764.40619999997</v>
      </c>
      <c r="C2602" s="14">
        <f>95.19*Hospital_Operations_Data[[#This Row],[Medication_Cost_USD]]</f>
        <v>137134.52160000001</v>
      </c>
    </row>
    <row r="2603" spans="1:3" x14ac:dyDescent="0.3">
      <c r="A2603" s="11">
        <f>95.19*Hospital_Operations_Data[[#This Row],[Treatment_Cost_USD]]</f>
        <v>534594.65520000004</v>
      </c>
      <c r="C2603" s="13">
        <f>95.19*Hospital_Operations_Data[[#This Row],[Medication_Cost_USD]]</f>
        <v>139635.1629</v>
      </c>
    </row>
    <row r="2604" spans="1:3" x14ac:dyDescent="0.3">
      <c r="A2604" s="12">
        <f>95.19*Hospital_Operations_Data[[#This Row],[Treatment_Cost_USD]]</f>
        <v>354253.39259999996</v>
      </c>
      <c r="C2604" s="14">
        <f>95.19*Hospital_Operations_Data[[#This Row],[Medication_Cost_USD]]</f>
        <v>97890.540299999993</v>
      </c>
    </row>
    <row r="2605" spans="1:3" x14ac:dyDescent="0.3">
      <c r="A2605" s="11">
        <f>95.19*Hospital_Operations_Data[[#This Row],[Treatment_Cost_USD]]</f>
        <v>873723.30869999994</v>
      </c>
      <c r="C2605" s="13">
        <f>95.19*Hospital_Operations_Data[[#This Row],[Medication_Cost_USD]]</f>
        <v>184429.67309999999</v>
      </c>
    </row>
    <row r="2606" spans="1:3" x14ac:dyDescent="0.3">
      <c r="A2606" s="12">
        <f>95.19*Hospital_Operations_Data[[#This Row],[Treatment_Cost_USD]]</f>
        <v>121330.12589999998</v>
      </c>
      <c r="C2606" s="14">
        <f>95.19*Hospital_Operations_Data[[#This Row],[Medication_Cost_USD]]</f>
        <v>48364.135199999997</v>
      </c>
    </row>
    <row r="2607" spans="1:3" x14ac:dyDescent="0.3">
      <c r="A2607" s="11">
        <f>95.19*Hospital_Operations_Data[[#This Row],[Treatment_Cost_USD]]</f>
        <v>1226030.0658</v>
      </c>
      <c r="C2607" s="13">
        <f>95.19*Hospital_Operations_Data[[#This Row],[Medication_Cost_USD]]</f>
        <v>448627.61430000002</v>
      </c>
    </row>
    <row r="2608" spans="1:3" x14ac:dyDescent="0.3">
      <c r="A2608" s="12">
        <f>95.19*Hospital_Operations_Data[[#This Row],[Treatment_Cost_USD]]</f>
        <v>738979.00799999991</v>
      </c>
      <c r="C2608" s="14">
        <f>95.19*Hospital_Operations_Data[[#This Row],[Medication_Cost_USD]]</f>
        <v>183989.89529999997</v>
      </c>
    </row>
    <row r="2609" spans="1:3" x14ac:dyDescent="0.3">
      <c r="A2609" s="11">
        <f>95.19*Hospital_Operations_Data[[#This Row],[Treatment_Cost_USD]]</f>
        <v>588902.45400000003</v>
      </c>
      <c r="C2609" s="13">
        <f>95.19*Hospital_Operations_Data[[#This Row],[Medication_Cost_USD]]</f>
        <v>145182.83610000001</v>
      </c>
    </row>
    <row r="2610" spans="1:3" x14ac:dyDescent="0.3">
      <c r="A2610" s="12">
        <f>95.19*Hospital_Operations_Data[[#This Row],[Treatment_Cost_USD]]</f>
        <v>410865.74130000005</v>
      </c>
      <c r="C2610" s="14">
        <f>95.19*Hospital_Operations_Data[[#This Row],[Medication_Cost_USD]]</f>
        <v>143421.8211</v>
      </c>
    </row>
    <row r="2611" spans="1:3" x14ac:dyDescent="0.3">
      <c r="A2611" s="11">
        <f>95.19*Hospital_Operations_Data[[#This Row],[Treatment_Cost_USD]]</f>
        <v>315368.27759999997</v>
      </c>
      <c r="C2611" s="13">
        <f>95.19*Hospital_Operations_Data[[#This Row],[Medication_Cost_USD]]</f>
        <v>48793.4421</v>
      </c>
    </row>
    <row r="2612" spans="1:3" x14ac:dyDescent="0.3">
      <c r="A2612" s="12">
        <f>95.19*Hospital_Operations_Data[[#This Row],[Treatment_Cost_USD]]</f>
        <v>2005724.6924999999</v>
      </c>
      <c r="C2612" s="14">
        <f>95.19*Hospital_Operations_Data[[#This Row],[Medication_Cost_USD]]</f>
        <v>718275.18299999996</v>
      </c>
    </row>
    <row r="2613" spans="1:3" x14ac:dyDescent="0.3">
      <c r="A2613" s="11">
        <f>95.19*Hospital_Operations_Data[[#This Row],[Treatment_Cost_USD]]</f>
        <v>1028718.33</v>
      </c>
      <c r="C2613" s="13">
        <f>95.19*Hospital_Operations_Data[[#This Row],[Medication_Cost_USD]]</f>
        <v>399996.94709999999</v>
      </c>
    </row>
    <row r="2614" spans="1:3" x14ac:dyDescent="0.3">
      <c r="A2614" s="12">
        <f>95.19*Hospital_Operations_Data[[#This Row],[Treatment_Cost_USD]]</f>
        <v>1257121.9754999999</v>
      </c>
      <c r="C2614" s="14">
        <f>95.19*Hospital_Operations_Data[[#This Row],[Medication_Cost_USD]]</f>
        <v>469419.01410000003</v>
      </c>
    </row>
    <row r="2615" spans="1:3" x14ac:dyDescent="0.3">
      <c r="A2615" s="11">
        <f>95.19*Hospital_Operations_Data[[#This Row],[Treatment_Cost_USD]]</f>
        <v>993300.03480000002</v>
      </c>
      <c r="C2615" s="13">
        <f>95.19*Hospital_Operations_Data[[#This Row],[Medication_Cost_USD]]</f>
        <v>334827.01740000001</v>
      </c>
    </row>
    <row r="2616" spans="1:3" x14ac:dyDescent="0.3">
      <c r="A2616" s="12">
        <f>95.19*Hospital_Operations_Data[[#This Row],[Treatment_Cost_USD]]</f>
        <v>619565.05680000002</v>
      </c>
      <c r="C2616" s="14">
        <f>95.19*Hospital_Operations_Data[[#This Row],[Medication_Cost_USD]]</f>
        <v>170364.39869999999</v>
      </c>
    </row>
    <row r="2617" spans="1:3" x14ac:dyDescent="0.3">
      <c r="A2617" s="11">
        <f>95.19*Hospital_Operations_Data[[#This Row],[Treatment_Cost_USD]]</f>
        <v>396953.72279999999</v>
      </c>
      <c r="C2617" s="13">
        <f>95.19*Hospital_Operations_Data[[#This Row],[Medication_Cost_USD]]</f>
        <v>92431.393799999991</v>
      </c>
    </row>
    <row r="2618" spans="1:3" x14ac:dyDescent="0.3">
      <c r="A2618" s="12">
        <f>95.19*Hospital_Operations_Data[[#This Row],[Treatment_Cost_USD]]</f>
        <v>1380444.4280999999</v>
      </c>
      <c r="C2618" s="14">
        <f>95.19*Hospital_Operations_Data[[#This Row],[Medication_Cost_USD]]</f>
        <v>443763.40529999998</v>
      </c>
    </row>
    <row r="2619" spans="1:3" x14ac:dyDescent="0.3">
      <c r="A2619" s="11">
        <f>95.19*Hospital_Operations_Data[[#This Row],[Treatment_Cost_USD]]</f>
        <v>417082.60019999999</v>
      </c>
      <c r="C2619" s="13">
        <f>95.19*Hospital_Operations_Data[[#This Row],[Medication_Cost_USD]]</f>
        <v>138375.79920000001</v>
      </c>
    </row>
    <row r="2620" spans="1:3" x14ac:dyDescent="0.3">
      <c r="A2620" s="12">
        <f>95.19*Hospital_Operations_Data[[#This Row],[Treatment_Cost_USD]]</f>
        <v>354455.19539999997</v>
      </c>
      <c r="C2620" s="14">
        <f>95.19*Hospital_Operations_Data[[#This Row],[Medication_Cost_USD]]</f>
        <v>112071.94649999999</v>
      </c>
    </row>
    <row r="2621" spans="1:3" x14ac:dyDescent="0.3">
      <c r="A2621" s="11">
        <f>95.19*Hospital_Operations_Data[[#This Row],[Treatment_Cost_USD]]</f>
        <v>690885.21239999996</v>
      </c>
      <c r="C2621" s="13">
        <f>95.19*Hospital_Operations_Data[[#This Row],[Medication_Cost_USD]]</f>
        <v>254939.76179999998</v>
      </c>
    </row>
    <row r="2622" spans="1:3" x14ac:dyDescent="0.3">
      <c r="A2622" s="12">
        <f>95.19*Hospital_Operations_Data[[#This Row],[Treatment_Cost_USD]]</f>
        <v>1272113.4486</v>
      </c>
      <c r="C2622" s="14">
        <f>95.19*Hospital_Operations_Data[[#This Row],[Medication_Cost_USD]]</f>
        <v>440095.73460000003</v>
      </c>
    </row>
    <row r="2623" spans="1:3" x14ac:dyDescent="0.3">
      <c r="A2623" s="11">
        <f>95.19*Hospital_Operations_Data[[#This Row],[Treatment_Cost_USD]]</f>
        <v>1165554.9069000001</v>
      </c>
      <c r="C2623" s="13">
        <f>95.19*Hospital_Operations_Data[[#This Row],[Medication_Cost_USD]]</f>
        <v>228100.94130000001</v>
      </c>
    </row>
    <row r="2624" spans="1:3" x14ac:dyDescent="0.3">
      <c r="A2624" s="12">
        <f>95.19*Hospital_Operations_Data[[#This Row],[Treatment_Cost_USD]]</f>
        <v>1886339.2982999999</v>
      </c>
      <c r="C2624" s="14">
        <f>95.19*Hospital_Operations_Data[[#This Row],[Medication_Cost_USD]]</f>
        <v>342527.8884</v>
      </c>
    </row>
    <row r="2625" spans="1:3" x14ac:dyDescent="0.3">
      <c r="A2625" s="11">
        <f>95.19*Hospital_Operations_Data[[#This Row],[Treatment_Cost_USD]]</f>
        <v>1268605.6971</v>
      </c>
      <c r="C2625" s="13">
        <f>95.19*Hospital_Operations_Data[[#This Row],[Medication_Cost_USD]]</f>
        <v>439751.14679999999</v>
      </c>
    </row>
    <row r="2626" spans="1:3" x14ac:dyDescent="0.3">
      <c r="A2626" s="12">
        <f>95.19*Hospital_Operations_Data[[#This Row],[Treatment_Cost_USD]]</f>
        <v>1446800.4251999999</v>
      </c>
      <c r="C2626" s="14">
        <f>95.19*Hospital_Operations_Data[[#This Row],[Medication_Cost_USD]]</f>
        <v>271155.37829999998</v>
      </c>
    </row>
    <row r="2627" spans="1:3" x14ac:dyDescent="0.3">
      <c r="A2627" s="11">
        <f>95.19*Hospital_Operations_Data[[#This Row],[Treatment_Cost_USD]]</f>
        <v>1045821.1172999999</v>
      </c>
      <c r="C2627" s="13">
        <f>95.19*Hospital_Operations_Data[[#This Row],[Medication_Cost_USD]]</f>
        <v>292949.12880000001</v>
      </c>
    </row>
    <row r="2628" spans="1:3" x14ac:dyDescent="0.3">
      <c r="A2628" s="12">
        <f>95.19*Hospital_Operations_Data[[#This Row],[Treatment_Cost_USD]]</f>
        <v>711490.03980000003</v>
      </c>
      <c r="C2628" s="14">
        <f>95.19*Hospital_Operations_Data[[#This Row],[Medication_Cost_USD]]</f>
        <v>215107.50629999998</v>
      </c>
    </row>
    <row r="2629" spans="1:3" x14ac:dyDescent="0.3">
      <c r="A2629" s="11">
        <f>95.19*Hospital_Operations_Data[[#This Row],[Treatment_Cost_USD]]</f>
        <v>507944.31089999998</v>
      </c>
      <c r="C2629" s="13">
        <f>95.19*Hospital_Operations_Data[[#This Row],[Medication_Cost_USD]]</f>
        <v>159362.33850000001</v>
      </c>
    </row>
    <row r="2630" spans="1:3" x14ac:dyDescent="0.3">
      <c r="A2630" s="12">
        <f>95.19*Hospital_Operations_Data[[#This Row],[Treatment_Cost_USD]]</f>
        <v>249491.08619999999</v>
      </c>
      <c r="C2630" s="14">
        <f>95.19*Hospital_Operations_Data[[#This Row],[Medication_Cost_USD]]</f>
        <v>77355.2016</v>
      </c>
    </row>
    <row r="2631" spans="1:3" x14ac:dyDescent="0.3">
      <c r="A2631" s="11">
        <f>95.19*Hospital_Operations_Data[[#This Row],[Treatment_Cost_USD]]</f>
        <v>1115370.7389</v>
      </c>
      <c r="C2631" s="13">
        <f>95.19*Hospital_Operations_Data[[#This Row],[Medication_Cost_USD]]</f>
        <v>415564.31969999999</v>
      </c>
    </row>
    <row r="2632" spans="1:3" x14ac:dyDescent="0.3">
      <c r="A2632" s="12">
        <f>95.19*Hospital_Operations_Data[[#This Row],[Treatment_Cost_USD]]</f>
        <v>1083491.6078999999</v>
      </c>
      <c r="C2632" s="14">
        <f>95.19*Hospital_Operations_Data[[#This Row],[Medication_Cost_USD]]</f>
        <v>254507.59919999997</v>
      </c>
    </row>
    <row r="2633" spans="1:3" x14ac:dyDescent="0.3">
      <c r="A2633" s="11">
        <f>95.19*Hospital_Operations_Data[[#This Row],[Treatment_Cost_USD]]</f>
        <v>286408.62390000001</v>
      </c>
      <c r="C2633" s="13">
        <f>95.19*Hospital_Operations_Data[[#This Row],[Medication_Cost_USD]]</f>
        <v>108539.44559999999</v>
      </c>
    </row>
    <row r="2634" spans="1:3" x14ac:dyDescent="0.3">
      <c r="A2634" s="12">
        <f>95.19*Hospital_Operations_Data[[#This Row],[Treatment_Cost_USD]]</f>
        <v>896586.99479999999</v>
      </c>
      <c r="C2634" s="14">
        <f>95.19*Hospital_Operations_Data[[#This Row],[Medication_Cost_USD]]</f>
        <v>278174.68890000001</v>
      </c>
    </row>
    <row r="2635" spans="1:3" x14ac:dyDescent="0.3">
      <c r="A2635" s="11">
        <f>95.19*Hospital_Operations_Data[[#This Row],[Treatment_Cost_USD]]</f>
        <v>184522.0074</v>
      </c>
      <c r="C2635" s="13">
        <f>95.19*Hospital_Operations_Data[[#This Row],[Medication_Cost_USD]]</f>
        <v>70591.000199999995</v>
      </c>
    </row>
    <row r="2636" spans="1:3" x14ac:dyDescent="0.3">
      <c r="A2636" s="12">
        <f>95.19*Hospital_Operations_Data[[#This Row],[Treatment_Cost_USD]]</f>
        <v>653495.53229999996</v>
      </c>
      <c r="C2636" s="14">
        <f>95.19*Hospital_Operations_Data[[#This Row],[Medication_Cost_USD]]</f>
        <v>167522.97719999999</v>
      </c>
    </row>
    <row r="2637" spans="1:3" x14ac:dyDescent="0.3">
      <c r="A2637" s="11">
        <f>95.19*Hospital_Operations_Data[[#This Row],[Treatment_Cost_USD]]</f>
        <v>814782.61260000011</v>
      </c>
      <c r="C2637" s="13">
        <f>95.19*Hospital_Operations_Data[[#This Row],[Medication_Cost_USD]]</f>
        <v>155427.1839</v>
      </c>
    </row>
    <row r="2638" spans="1:3" x14ac:dyDescent="0.3">
      <c r="A2638" s="12">
        <f>95.19*Hospital_Operations_Data[[#This Row],[Treatment_Cost_USD]]</f>
        <v>124452.3579</v>
      </c>
      <c r="C2638" s="14">
        <f>95.19*Hospital_Operations_Data[[#This Row],[Medication_Cost_USD]]</f>
        <v>29094.823499999999</v>
      </c>
    </row>
    <row r="2639" spans="1:3" x14ac:dyDescent="0.3">
      <c r="A2639" s="11">
        <f>95.19*Hospital_Operations_Data[[#This Row],[Treatment_Cost_USD]]</f>
        <v>962611.73070000007</v>
      </c>
      <c r="C2639" s="13">
        <f>95.19*Hospital_Operations_Data[[#This Row],[Medication_Cost_USD]]</f>
        <v>256441.86</v>
      </c>
    </row>
    <row r="2640" spans="1:3" x14ac:dyDescent="0.3">
      <c r="A2640" s="12">
        <f>95.19*Hospital_Operations_Data[[#This Row],[Treatment_Cost_USD]]</f>
        <v>380053.69020000001</v>
      </c>
      <c r="C2640" s="14">
        <f>95.19*Hospital_Operations_Data[[#This Row],[Medication_Cost_USD]]</f>
        <v>74113.982100000008</v>
      </c>
    </row>
    <row r="2641" spans="1:3" x14ac:dyDescent="0.3">
      <c r="A2641" s="11">
        <f>95.19*Hospital_Operations_Data[[#This Row],[Treatment_Cost_USD]]</f>
        <v>557385.99690000003</v>
      </c>
      <c r="C2641" s="13">
        <f>95.19*Hospital_Operations_Data[[#This Row],[Medication_Cost_USD]]</f>
        <v>90631.350900000005</v>
      </c>
    </row>
    <row r="2642" spans="1:3" x14ac:dyDescent="0.3">
      <c r="A2642" s="12">
        <f>95.19*Hospital_Operations_Data[[#This Row],[Treatment_Cost_USD]]</f>
        <v>528115.07189999998</v>
      </c>
      <c r="C2642" s="14">
        <f>95.19*Hospital_Operations_Data[[#This Row],[Medication_Cost_USD]]</f>
        <v>101072.742</v>
      </c>
    </row>
    <row r="2643" spans="1:3" x14ac:dyDescent="0.3">
      <c r="A2643" s="11">
        <f>95.19*Hospital_Operations_Data[[#This Row],[Treatment_Cost_USD]]</f>
        <v>879647.93429999996</v>
      </c>
      <c r="C2643" s="13">
        <f>95.19*Hospital_Operations_Data[[#This Row],[Medication_Cost_USD]]</f>
        <v>213656.8107</v>
      </c>
    </row>
    <row r="2644" spans="1:3" x14ac:dyDescent="0.3">
      <c r="A2644" s="12">
        <f>95.19*Hospital_Operations_Data[[#This Row],[Treatment_Cost_USD]]</f>
        <v>1076170.5449999999</v>
      </c>
      <c r="C2644" s="14">
        <f>95.19*Hospital_Operations_Data[[#This Row],[Medication_Cost_USD]]</f>
        <v>386384.77710000001</v>
      </c>
    </row>
    <row r="2645" spans="1:3" x14ac:dyDescent="0.3">
      <c r="A2645" s="11">
        <f>95.19*Hospital_Operations_Data[[#This Row],[Treatment_Cost_USD]]</f>
        <v>988610.9754</v>
      </c>
      <c r="C2645" s="13">
        <f>95.19*Hospital_Operations_Data[[#This Row],[Medication_Cost_USD]]</f>
        <v>212264.18100000001</v>
      </c>
    </row>
    <row r="2646" spans="1:3" x14ac:dyDescent="0.3">
      <c r="A2646" s="12">
        <f>95.19*Hospital_Operations_Data[[#This Row],[Treatment_Cost_USD]]</f>
        <v>832217.61300000001</v>
      </c>
      <c r="C2646" s="14">
        <f>95.19*Hospital_Operations_Data[[#This Row],[Medication_Cost_USD]]</f>
        <v>288814.07519999996</v>
      </c>
    </row>
    <row r="2647" spans="1:3" x14ac:dyDescent="0.3">
      <c r="A2647" s="11">
        <f>95.19*Hospital_Operations_Data[[#This Row],[Treatment_Cost_USD]]</f>
        <v>1104174.4911</v>
      </c>
      <c r="C2647" s="13">
        <f>95.19*Hospital_Operations_Data[[#This Row],[Medication_Cost_USD]]</f>
        <v>167323.07819999999</v>
      </c>
    </row>
    <row r="2648" spans="1:3" x14ac:dyDescent="0.3">
      <c r="A2648" s="12">
        <f>95.19*Hospital_Operations_Data[[#This Row],[Treatment_Cost_USD]]</f>
        <v>1201913.6793</v>
      </c>
      <c r="C2648" s="14">
        <f>95.19*Hospital_Operations_Data[[#This Row],[Medication_Cost_USD]]</f>
        <v>312241.28610000003</v>
      </c>
    </row>
    <row r="2649" spans="1:3" x14ac:dyDescent="0.3">
      <c r="A2649" s="11">
        <f>95.19*Hospital_Operations_Data[[#This Row],[Treatment_Cost_USD]]</f>
        <v>185895.59909999999</v>
      </c>
      <c r="C2649" s="13">
        <f>95.19*Hospital_Operations_Data[[#This Row],[Medication_Cost_USD]]</f>
        <v>67905.690300000002</v>
      </c>
    </row>
    <row r="2650" spans="1:3" x14ac:dyDescent="0.3">
      <c r="A2650" s="12">
        <f>95.19*Hospital_Operations_Data[[#This Row],[Treatment_Cost_USD]]</f>
        <v>810463.84230000002</v>
      </c>
      <c r="C2650" s="14">
        <f>95.19*Hospital_Operations_Data[[#This Row],[Medication_Cost_USD]]</f>
        <v>319607.0883</v>
      </c>
    </row>
    <row r="2651" spans="1:3" x14ac:dyDescent="0.3">
      <c r="A2651" s="11">
        <f>95.19*Hospital_Operations_Data[[#This Row],[Treatment_Cost_USD]]</f>
        <v>440644.02900000004</v>
      </c>
      <c r="C2651" s="13">
        <f>95.19*Hospital_Operations_Data[[#This Row],[Medication_Cost_USD]]</f>
        <v>175093.43789999999</v>
      </c>
    </row>
    <row r="2652" spans="1:3" x14ac:dyDescent="0.3">
      <c r="A2652" s="12">
        <f>95.19*Hospital_Operations_Data[[#This Row],[Treatment_Cost_USD]]</f>
        <v>787842.89069999999</v>
      </c>
      <c r="C2652" s="14">
        <f>95.19*Hospital_Operations_Data[[#This Row],[Medication_Cost_USD]]</f>
        <v>270719.4081</v>
      </c>
    </row>
    <row r="2653" spans="1:3" x14ac:dyDescent="0.3">
      <c r="A2653" s="11">
        <f>95.19*Hospital_Operations_Data[[#This Row],[Treatment_Cost_USD]]</f>
        <v>1077039.6296999999</v>
      </c>
      <c r="C2653" s="13">
        <f>95.19*Hospital_Operations_Data[[#This Row],[Medication_Cost_USD]]</f>
        <v>341693.07209999999</v>
      </c>
    </row>
    <row r="2654" spans="1:3" x14ac:dyDescent="0.3">
      <c r="A2654" s="12">
        <f>95.19*Hospital_Operations_Data[[#This Row],[Treatment_Cost_USD]]</f>
        <v>114202.2987</v>
      </c>
      <c r="C2654" s="14">
        <f>95.19*Hospital_Operations_Data[[#This Row],[Medication_Cost_USD]]</f>
        <v>23706.117599999998</v>
      </c>
    </row>
    <row r="2655" spans="1:3" x14ac:dyDescent="0.3">
      <c r="A2655" s="11">
        <f>95.19*Hospital_Operations_Data[[#This Row],[Treatment_Cost_USD]]</f>
        <v>364410.16559999995</v>
      </c>
      <c r="C2655" s="13">
        <f>95.19*Hospital_Operations_Data[[#This Row],[Medication_Cost_USD]]</f>
        <v>58719.855299999996</v>
      </c>
    </row>
    <row r="2656" spans="1:3" x14ac:dyDescent="0.3">
      <c r="A2656" s="12">
        <f>95.19*Hospital_Operations_Data[[#This Row],[Treatment_Cost_USD]]</f>
        <v>1222379.5292999998</v>
      </c>
      <c r="C2656" s="14">
        <f>95.19*Hospital_Operations_Data[[#This Row],[Medication_Cost_USD]]</f>
        <v>308137.64519999997</v>
      </c>
    </row>
    <row r="2657" spans="1:3" x14ac:dyDescent="0.3">
      <c r="A2657" s="11">
        <f>95.19*Hospital_Operations_Data[[#This Row],[Treatment_Cost_USD]]</f>
        <v>1360384.0874999999</v>
      </c>
      <c r="C2657" s="13">
        <f>95.19*Hospital_Operations_Data[[#This Row],[Medication_Cost_USD]]</f>
        <v>220398.16649999999</v>
      </c>
    </row>
    <row r="2658" spans="1:3" x14ac:dyDescent="0.3">
      <c r="A2658" s="12">
        <f>95.19*Hospital_Operations_Data[[#This Row],[Treatment_Cost_USD]]</f>
        <v>591079.44929999998</v>
      </c>
      <c r="C2658" s="14">
        <f>95.19*Hospital_Operations_Data[[#This Row],[Medication_Cost_USD]]</f>
        <v>179450.28419999999</v>
      </c>
    </row>
    <row r="2659" spans="1:3" x14ac:dyDescent="0.3">
      <c r="A2659" s="11">
        <f>95.19*Hospital_Operations_Data[[#This Row],[Treatment_Cost_USD]]</f>
        <v>526726.24979999999</v>
      </c>
      <c r="C2659" s="13">
        <f>95.19*Hospital_Operations_Data[[#This Row],[Medication_Cost_USD]]</f>
        <v>90819.827099999995</v>
      </c>
    </row>
    <row r="2660" spans="1:3" x14ac:dyDescent="0.3">
      <c r="A2660" s="12">
        <f>95.19*Hospital_Operations_Data[[#This Row],[Treatment_Cost_USD]]</f>
        <v>257268.10919999998</v>
      </c>
      <c r="C2660" s="14">
        <f>95.19*Hospital_Operations_Data[[#This Row],[Medication_Cost_USD]]</f>
        <v>57154.931699999994</v>
      </c>
    </row>
    <row r="2661" spans="1:3" x14ac:dyDescent="0.3">
      <c r="A2661" s="11">
        <f>95.19*Hospital_Operations_Data[[#This Row],[Treatment_Cost_USD]]</f>
        <v>223956.36869999999</v>
      </c>
      <c r="C2661" s="13">
        <f>95.19*Hospital_Operations_Data[[#This Row],[Medication_Cost_USD]]</f>
        <v>56262.049499999994</v>
      </c>
    </row>
    <row r="2662" spans="1:3" x14ac:dyDescent="0.3">
      <c r="A2662" s="12">
        <f>95.19*Hospital_Operations_Data[[#This Row],[Treatment_Cost_USD]]</f>
        <v>1169663.3073</v>
      </c>
      <c r="C2662" s="14">
        <f>95.19*Hospital_Operations_Data[[#This Row],[Medication_Cost_USD]]</f>
        <v>430939.40849999996</v>
      </c>
    </row>
    <row r="2663" spans="1:3" x14ac:dyDescent="0.3">
      <c r="A2663" s="11">
        <f>95.19*Hospital_Operations_Data[[#This Row],[Treatment_Cost_USD]]</f>
        <v>1002472.5432000001</v>
      </c>
      <c r="C2663" s="13">
        <f>95.19*Hospital_Operations_Data[[#This Row],[Medication_Cost_USD]]</f>
        <v>296698.6629</v>
      </c>
    </row>
    <row r="2664" spans="1:3" x14ac:dyDescent="0.3">
      <c r="A2664" s="12">
        <f>95.19*Hospital_Operations_Data[[#This Row],[Treatment_Cost_USD]]</f>
        <v>809237.7951000001</v>
      </c>
      <c r="C2664" s="14">
        <f>95.19*Hospital_Operations_Data[[#This Row],[Medication_Cost_USD]]</f>
        <v>141925.43429999999</v>
      </c>
    </row>
    <row r="2665" spans="1:3" x14ac:dyDescent="0.3">
      <c r="A2665" s="11">
        <f>95.19*Hospital_Operations_Data[[#This Row],[Treatment_Cost_USD]]</f>
        <v>366903.19169999997</v>
      </c>
      <c r="C2665" s="13">
        <f>95.19*Hospital_Operations_Data[[#This Row],[Medication_Cost_USD]]</f>
        <v>132309.34049999999</v>
      </c>
    </row>
    <row r="2666" spans="1:3" x14ac:dyDescent="0.3">
      <c r="A2666" s="12">
        <f>95.19*Hospital_Operations_Data[[#This Row],[Treatment_Cost_USD]]</f>
        <v>560889.94079999998</v>
      </c>
      <c r="C2666" s="14">
        <f>95.19*Hospital_Operations_Data[[#This Row],[Medication_Cost_USD]]</f>
        <v>216102.24179999999</v>
      </c>
    </row>
    <row r="2667" spans="1:3" x14ac:dyDescent="0.3">
      <c r="A2667" s="11">
        <f>95.19*Hospital_Operations_Data[[#This Row],[Treatment_Cost_USD]]</f>
        <v>799927.26119999995</v>
      </c>
      <c r="C2667" s="13">
        <f>95.19*Hospital_Operations_Data[[#This Row],[Medication_Cost_USD]]</f>
        <v>263722.94309999997</v>
      </c>
    </row>
    <row r="2668" spans="1:3" x14ac:dyDescent="0.3">
      <c r="A2668" s="12">
        <f>95.19*Hospital_Operations_Data[[#This Row],[Treatment_Cost_USD]]</f>
        <v>672665.84640000004</v>
      </c>
      <c r="C2668" s="14">
        <f>95.19*Hospital_Operations_Data[[#This Row],[Medication_Cost_USD]]</f>
        <v>149992.7868</v>
      </c>
    </row>
    <row r="2669" spans="1:3" x14ac:dyDescent="0.3">
      <c r="A2669" s="11">
        <f>95.19*Hospital_Operations_Data[[#This Row],[Treatment_Cost_USD]]</f>
        <v>812808.37199999986</v>
      </c>
      <c r="C2669" s="13">
        <f>95.19*Hospital_Operations_Data[[#This Row],[Medication_Cost_USD]]</f>
        <v>177430.3524</v>
      </c>
    </row>
    <row r="2670" spans="1:3" x14ac:dyDescent="0.3">
      <c r="A2670" s="12">
        <f>95.19*Hospital_Operations_Data[[#This Row],[Treatment_Cost_USD]]</f>
        <v>579484.3554</v>
      </c>
      <c r="C2670" s="14">
        <f>95.19*Hospital_Operations_Data[[#This Row],[Medication_Cost_USD]]</f>
        <v>205015.46249999999</v>
      </c>
    </row>
    <row r="2671" spans="1:3" x14ac:dyDescent="0.3">
      <c r="A2671" s="11">
        <f>95.19*Hospital_Operations_Data[[#This Row],[Treatment_Cost_USD]]</f>
        <v>257667.90720000002</v>
      </c>
      <c r="C2671" s="13">
        <f>95.19*Hospital_Operations_Data[[#This Row],[Medication_Cost_USD]]</f>
        <v>78157.653300000005</v>
      </c>
    </row>
    <row r="2672" spans="1:3" x14ac:dyDescent="0.3">
      <c r="A2672" s="12">
        <f>95.19*Hospital_Operations_Data[[#This Row],[Treatment_Cost_USD]]</f>
        <v>474608.77289999998</v>
      </c>
      <c r="C2672" s="14">
        <f>95.19*Hospital_Operations_Data[[#This Row],[Medication_Cost_USD]]</f>
        <v>166354.04399999999</v>
      </c>
    </row>
    <row r="2673" spans="1:3" x14ac:dyDescent="0.3">
      <c r="A2673" s="11">
        <f>95.19*Hospital_Operations_Data[[#This Row],[Treatment_Cost_USD]]</f>
        <v>611948.90489999996</v>
      </c>
      <c r="C2673" s="13">
        <f>95.19*Hospital_Operations_Data[[#This Row],[Medication_Cost_USD]]</f>
        <v>135580.06889999998</v>
      </c>
    </row>
    <row r="2674" spans="1:3" x14ac:dyDescent="0.3">
      <c r="A2674" s="12">
        <f>95.19*Hospital_Operations_Data[[#This Row],[Treatment_Cost_USD]]</f>
        <v>691131.75450000004</v>
      </c>
      <c r="C2674" s="14">
        <f>95.19*Hospital_Operations_Data[[#This Row],[Medication_Cost_USD]]</f>
        <v>266910.85619999998</v>
      </c>
    </row>
    <row r="2675" spans="1:3" x14ac:dyDescent="0.3">
      <c r="A2675" s="11">
        <f>95.19*Hospital_Operations_Data[[#This Row],[Treatment_Cost_USD]]</f>
        <v>430850.88180000003</v>
      </c>
      <c r="C2675" s="13">
        <f>95.19*Hospital_Operations_Data[[#This Row],[Medication_Cost_USD]]</f>
        <v>97174.711500000005</v>
      </c>
    </row>
    <row r="2676" spans="1:3" x14ac:dyDescent="0.3">
      <c r="A2676" s="12">
        <f>95.19*Hospital_Operations_Data[[#This Row],[Treatment_Cost_USD]]</f>
        <v>168038.90699999998</v>
      </c>
      <c r="C2676" s="14">
        <f>95.19*Hospital_Operations_Data[[#This Row],[Medication_Cost_USD]]</f>
        <v>40450.0386</v>
      </c>
    </row>
    <row r="2677" spans="1:3" x14ac:dyDescent="0.3">
      <c r="A2677" s="11">
        <f>95.19*Hospital_Operations_Data[[#This Row],[Treatment_Cost_USD]]</f>
        <v>531226.83299999998</v>
      </c>
      <c r="C2677" s="13">
        <f>95.19*Hospital_Operations_Data[[#This Row],[Medication_Cost_USD]]</f>
        <v>191943.01980000001</v>
      </c>
    </row>
    <row r="2678" spans="1:3" x14ac:dyDescent="0.3">
      <c r="A2678" s="12">
        <f>95.19*Hospital_Operations_Data[[#This Row],[Treatment_Cost_USD]]</f>
        <v>839678.60519999999</v>
      </c>
      <c r="C2678" s="14">
        <f>95.19*Hospital_Operations_Data[[#This Row],[Medication_Cost_USD]]</f>
        <v>232988.94779999999</v>
      </c>
    </row>
    <row r="2679" spans="1:3" x14ac:dyDescent="0.3">
      <c r="A2679" s="11">
        <f>95.19*Hospital_Operations_Data[[#This Row],[Treatment_Cost_USD]]</f>
        <v>1373557.4316</v>
      </c>
      <c r="C2679" s="13">
        <f>95.19*Hospital_Operations_Data[[#This Row],[Medication_Cost_USD]]</f>
        <v>344702.97989999998</v>
      </c>
    </row>
    <row r="2680" spans="1:3" x14ac:dyDescent="0.3">
      <c r="A2680" s="12">
        <f>95.19*Hospital_Operations_Data[[#This Row],[Treatment_Cost_USD]]</f>
        <v>919217.46539999999</v>
      </c>
      <c r="C2680" s="14">
        <f>95.19*Hospital_Operations_Data[[#This Row],[Medication_Cost_USD]]</f>
        <v>157316.70540000001</v>
      </c>
    </row>
    <row r="2681" spans="1:3" x14ac:dyDescent="0.3">
      <c r="A2681" s="11">
        <f>95.19*Hospital_Operations_Data[[#This Row],[Treatment_Cost_USD]]</f>
        <v>743505.29249999998</v>
      </c>
      <c r="C2681" s="13">
        <f>95.19*Hospital_Operations_Data[[#This Row],[Medication_Cost_USD]]</f>
        <v>263764.82669999998</v>
      </c>
    </row>
    <row r="2682" spans="1:3" x14ac:dyDescent="0.3">
      <c r="A2682" s="12">
        <f>95.19*Hospital_Operations_Data[[#This Row],[Treatment_Cost_USD]]</f>
        <v>626002.75650000002</v>
      </c>
      <c r="C2682" s="14">
        <f>95.19*Hospital_Operations_Data[[#This Row],[Medication_Cost_USD]]</f>
        <v>152558.15729999999</v>
      </c>
    </row>
    <row r="2683" spans="1:3" x14ac:dyDescent="0.3">
      <c r="A2683" s="11">
        <f>95.19*Hospital_Operations_Data[[#This Row],[Treatment_Cost_USD]]</f>
        <v>1169140.7142</v>
      </c>
      <c r="C2683" s="13">
        <f>95.19*Hospital_Operations_Data[[#This Row],[Medication_Cost_USD]]</f>
        <v>453487.0638</v>
      </c>
    </row>
    <row r="2684" spans="1:3" x14ac:dyDescent="0.3">
      <c r="A2684" s="12">
        <f>95.19*Hospital_Operations_Data[[#This Row],[Treatment_Cost_USD]]</f>
        <v>80533.595699999991</v>
      </c>
      <c r="C2684" s="14">
        <f>95.19*Hospital_Operations_Data[[#This Row],[Medication_Cost_USD]]</f>
        <v>26632.258199999997</v>
      </c>
    </row>
    <row r="2685" spans="1:3" x14ac:dyDescent="0.3">
      <c r="A2685" s="11">
        <f>95.19*Hospital_Operations_Data[[#This Row],[Treatment_Cost_USD]]</f>
        <v>64976.694000000003</v>
      </c>
      <c r="C2685" s="13">
        <f>95.19*Hospital_Operations_Data[[#This Row],[Medication_Cost_USD]]</f>
        <v>20709.536400000001</v>
      </c>
    </row>
    <row r="2686" spans="1:3" x14ac:dyDescent="0.3">
      <c r="A2686" s="12">
        <f>95.19*Hospital_Operations_Data[[#This Row],[Treatment_Cost_USD]]</f>
        <v>1325483.6259000001</v>
      </c>
      <c r="C2686" s="14">
        <f>95.19*Hospital_Operations_Data[[#This Row],[Medication_Cost_USD]]</f>
        <v>343565.45939999999</v>
      </c>
    </row>
    <row r="2687" spans="1:3" x14ac:dyDescent="0.3">
      <c r="A2687" s="11">
        <f>95.19*Hospital_Operations_Data[[#This Row],[Treatment_Cost_USD]]</f>
        <v>1003401.5976000001</v>
      </c>
      <c r="C2687" s="13">
        <f>95.19*Hospital_Operations_Data[[#This Row],[Medication_Cost_USD]]</f>
        <v>235987.43279999998</v>
      </c>
    </row>
    <row r="2688" spans="1:3" x14ac:dyDescent="0.3">
      <c r="A2688" s="12">
        <f>95.19*Hospital_Operations_Data[[#This Row],[Treatment_Cost_USD]]</f>
        <v>674198.40539999993</v>
      </c>
      <c r="C2688" s="14">
        <f>95.19*Hospital_Operations_Data[[#This Row],[Medication_Cost_USD]]</f>
        <v>156677.98050000001</v>
      </c>
    </row>
    <row r="2689" spans="1:3" x14ac:dyDescent="0.3">
      <c r="A2689" s="11">
        <f>95.19*Hospital_Operations_Data[[#This Row],[Treatment_Cost_USD]]</f>
        <v>482865.55349999998</v>
      </c>
      <c r="C2689" s="13">
        <f>95.19*Hospital_Operations_Data[[#This Row],[Medication_Cost_USD]]</f>
        <v>186113.58420000001</v>
      </c>
    </row>
    <row r="2690" spans="1:3" x14ac:dyDescent="0.3">
      <c r="A2690" s="12">
        <f>95.19*Hospital_Operations_Data[[#This Row],[Treatment_Cost_USD]]</f>
        <v>1418147.2833</v>
      </c>
      <c r="C2690" s="14">
        <f>95.19*Hospital_Operations_Data[[#This Row],[Medication_Cost_USD]]</f>
        <v>275744.48820000002</v>
      </c>
    </row>
    <row r="2691" spans="1:3" x14ac:dyDescent="0.3">
      <c r="A2691" s="11">
        <f>95.19*Hospital_Operations_Data[[#This Row],[Treatment_Cost_USD]]</f>
        <v>2303306.7185999998</v>
      </c>
      <c r="C2691" s="13">
        <f>95.19*Hospital_Operations_Data[[#This Row],[Medication_Cost_USD]]</f>
        <v>881667.86609999998</v>
      </c>
    </row>
    <row r="2692" spans="1:3" x14ac:dyDescent="0.3">
      <c r="A2692" s="12">
        <f>95.19*Hospital_Operations_Data[[#This Row],[Treatment_Cost_USD]]</f>
        <v>247940.4411</v>
      </c>
      <c r="C2692" s="14">
        <f>95.19*Hospital_Operations_Data[[#This Row],[Medication_Cost_USD]]</f>
        <v>79456.044900000008</v>
      </c>
    </row>
    <row r="2693" spans="1:3" x14ac:dyDescent="0.3">
      <c r="A2693" s="11">
        <f>95.19*Hospital_Operations_Data[[#This Row],[Treatment_Cost_USD]]</f>
        <v>751598.34629999998</v>
      </c>
      <c r="C2693" s="13">
        <f>95.19*Hospital_Operations_Data[[#This Row],[Medication_Cost_USD]]</f>
        <v>175455.1599</v>
      </c>
    </row>
    <row r="2694" spans="1:3" x14ac:dyDescent="0.3">
      <c r="A2694" s="12">
        <f>95.19*Hospital_Operations_Data[[#This Row],[Treatment_Cost_USD]]</f>
        <v>585770.70299999998</v>
      </c>
      <c r="C2694" s="14">
        <f>95.19*Hospital_Operations_Data[[#This Row],[Medication_Cost_USD]]</f>
        <v>207689.34960000002</v>
      </c>
    </row>
    <row r="2695" spans="1:3" x14ac:dyDescent="0.3">
      <c r="A2695" s="11">
        <f>95.19*Hospital_Operations_Data[[#This Row],[Treatment_Cost_USD]]</f>
        <v>1740751.9047000001</v>
      </c>
      <c r="C2695" s="13">
        <f>95.19*Hospital_Operations_Data[[#This Row],[Medication_Cost_USD]]</f>
        <v>554864.41379999998</v>
      </c>
    </row>
    <row r="2696" spans="1:3" x14ac:dyDescent="0.3">
      <c r="A2696" s="12">
        <f>95.19*Hospital_Operations_Data[[#This Row],[Treatment_Cost_USD]]</f>
        <v>1151263.0803</v>
      </c>
      <c r="C2696" s="14">
        <f>95.19*Hospital_Operations_Data[[#This Row],[Medication_Cost_USD]]</f>
        <v>419429.98559999996</v>
      </c>
    </row>
    <row r="2697" spans="1:3" x14ac:dyDescent="0.3">
      <c r="A2697" s="11">
        <f>95.19*Hospital_Operations_Data[[#This Row],[Treatment_Cost_USD]]</f>
        <v>777046.44089999993</v>
      </c>
      <c r="C2697" s="13">
        <f>95.19*Hospital_Operations_Data[[#This Row],[Medication_Cost_USD]]</f>
        <v>160180.9725</v>
      </c>
    </row>
    <row r="2698" spans="1:3" x14ac:dyDescent="0.3">
      <c r="A2698" s="12">
        <f>95.19*Hospital_Operations_Data[[#This Row],[Treatment_Cost_USD]]</f>
        <v>306028.23479999998</v>
      </c>
      <c r="C2698" s="14">
        <f>95.19*Hospital_Operations_Data[[#This Row],[Medication_Cost_USD]]</f>
        <v>59441.395500000006</v>
      </c>
    </row>
    <row r="2699" spans="1:3" x14ac:dyDescent="0.3">
      <c r="A2699" s="11">
        <f>95.19*Hospital_Operations_Data[[#This Row],[Treatment_Cost_USD]]</f>
        <v>1109429.9309999999</v>
      </c>
      <c r="C2699" s="13">
        <f>95.19*Hospital_Operations_Data[[#This Row],[Medication_Cost_USD]]</f>
        <v>278160.41039999999</v>
      </c>
    </row>
    <row r="2700" spans="1:3" x14ac:dyDescent="0.3">
      <c r="A2700" s="12">
        <f>95.19*Hospital_Operations_Data[[#This Row],[Treatment_Cost_USD]]</f>
        <v>946974.86939999997</v>
      </c>
      <c r="C2700" s="14">
        <f>95.19*Hospital_Operations_Data[[#This Row],[Medication_Cost_USD]]</f>
        <v>160212.38519999999</v>
      </c>
    </row>
    <row r="2701" spans="1:3" x14ac:dyDescent="0.3">
      <c r="A2701" s="11">
        <f>95.19*Hospital_Operations_Data[[#This Row],[Treatment_Cost_USD]]</f>
        <v>1914482.2218000002</v>
      </c>
      <c r="C2701" s="13">
        <f>95.19*Hospital_Operations_Data[[#This Row],[Medication_Cost_USD]]</f>
        <v>562907.96880000003</v>
      </c>
    </row>
    <row r="2702" spans="1:3" x14ac:dyDescent="0.3">
      <c r="A2702" s="12">
        <f>95.19*Hospital_Operations_Data[[#This Row],[Treatment_Cost_USD]]</f>
        <v>214479.25229999999</v>
      </c>
      <c r="C2702" s="14">
        <f>95.19*Hospital_Operations_Data[[#This Row],[Medication_Cost_USD]]</f>
        <v>53579.595300000001</v>
      </c>
    </row>
    <row r="2703" spans="1:3" x14ac:dyDescent="0.3">
      <c r="A2703" s="11">
        <f>95.19*Hospital_Operations_Data[[#This Row],[Treatment_Cost_USD]]</f>
        <v>794213.95739999996</v>
      </c>
      <c r="C2703" s="13">
        <f>95.19*Hospital_Operations_Data[[#This Row],[Medication_Cost_USD]]</f>
        <v>316385.85869999998</v>
      </c>
    </row>
    <row r="2704" spans="1:3" x14ac:dyDescent="0.3">
      <c r="A2704" s="12">
        <f>95.19*Hospital_Operations_Data[[#This Row],[Treatment_Cost_USD]]</f>
        <v>1290967.7319</v>
      </c>
      <c r="C2704" s="14">
        <f>95.19*Hospital_Operations_Data[[#This Row],[Medication_Cost_USD]]</f>
        <v>330572.02439999999</v>
      </c>
    </row>
    <row r="2705" spans="1:3" x14ac:dyDescent="0.3">
      <c r="A2705" s="11">
        <f>95.19*Hospital_Operations_Data[[#This Row],[Treatment_Cost_USD]]</f>
        <v>706824.77789999999</v>
      </c>
      <c r="C2705" s="13">
        <f>95.19*Hospital_Operations_Data[[#This Row],[Medication_Cost_USD]]</f>
        <v>259840.14299999998</v>
      </c>
    </row>
    <row r="2706" spans="1:3" x14ac:dyDescent="0.3">
      <c r="A2706" s="12">
        <f>95.19*Hospital_Operations_Data[[#This Row],[Treatment_Cost_USD]]</f>
        <v>675345.4449</v>
      </c>
      <c r="C2706" s="14">
        <f>95.19*Hospital_Operations_Data[[#This Row],[Medication_Cost_USD]]</f>
        <v>119222.61930000001</v>
      </c>
    </row>
    <row r="2707" spans="1:3" x14ac:dyDescent="0.3">
      <c r="A2707" s="11">
        <f>95.19*Hospital_Operations_Data[[#This Row],[Treatment_Cost_USD]]</f>
        <v>715977.29639999999</v>
      </c>
      <c r="C2707" s="13">
        <f>95.19*Hospital_Operations_Data[[#This Row],[Medication_Cost_USD]]</f>
        <v>182237.4474</v>
      </c>
    </row>
    <row r="2708" spans="1:3" x14ac:dyDescent="0.3">
      <c r="A2708" s="12">
        <f>95.19*Hospital_Operations_Data[[#This Row],[Treatment_Cost_USD]]</f>
        <v>124143.94230000001</v>
      </c>
      <c r="C2708" s="14">
        <f>95.19*Hospital_Operations_Data[[#This Row],[Medication_Cost_USD]]</f>
        <v>22111.685099999999</v>
      </c>
    </row>
    <row r="2709" spans="1:3" x14ac:dyDescent="0.3">
      <c r="A2709" s="11">
        <f>95.19*Hospital_Operations_Data[[#This Row],[Treatment_Cost_USD]]</f>
        <v>786501.66360000009</v>
      </c>
      <c r="C2709" s="13">
        <f>95.19*Hospital_Operations_Data[[#This Row],[Medication_Cost_USD]]</f>
        <v>267089.81339999998</v>
      </c>
    </row>
    <row r="2710" spans="1:3" x14ac:dyDescent="0.3">
      <c r="A2710" s="12">
        <f>95.19*Hospital_Operations_Data[[#This Row],[Treatment_Cost_USD]]</f>
        <v>523934.32709999999</v>
      </c>
      <c r="C2710" s="14">
        <f>95.19*Hospital_Operations_Data[[#This Row],[Medication_Cost_USD]]</f>
        <v>102658.60740000001</v>
      </c>
    </row>
    <row r="2711" spans="1:3" x14ac:dyDescent="0.3">
      <c r="A2711" s="11">
        <f>95.19*Hospital_Operations_Data[[#This Row],[Treatment_Cost_USD]]</f>
        <v>253863.16289999997</v>
      </c>
      <c r="C2711" s="13">
        <f>95.19*Hospital_Operations_Data[[#This Row],[Medication_Cost_USD]]</f>
        <v>45925.367399999996</v>
      </c>
    </row>
    <row r="2712" spans="1:3" x14ac:dyDescent="0.3">
      <c r="A2712" s="12">
        <f>95.19*Hospital_Operations_Data[[#This Row],[Treatment_Cost_USD]]</f>
        <v>859540.95059999998</v>
      </c>
      <c r="C2712" s="14">
        <f>95.19*Hospital_Operations_Data[[#This Row],[Medication_Cost_USD]]</f>
        <v>239010.6672</v>
      </c>
    </row>
    <row r="2713" spans="1:3" x14ac:dyDescent="0.3">
      <c r="A2713" s="11">
        <f>95.19*Hospital_Operations_Data[[#This Row],[Treatment_Cost_USD]]</f>
        <v>685800.16259999992</v>
      </c>
      <c r="C2713" s="13">
        <f>95.19*Hospital_Operations_Data[[#This Row],[Medication_Cost_USD]]</f>
        <v>259444.1526</v>
      </c>
    </row>
    <row r="2714" spans="1:3" x14ac:dyDescent="0.3">
      <c r="A2714" s="12">
        <f>95.19*Hospital_Operations_Data[[#This Row],[Treatment_Cost_USD]]</f>
        <v>388206.71369999996</v>
      </c>
      <c r="C2714" s="14">
        <f>95.19*Hospital_Operations_Data[[#This Row],[Medication_Cost_USD]]</f>
        <v>68152.232400000008</v>
      </c>
    </row>
    <row r="2715" spans="1:3" x14ac:dyDescent="0.3">
      <c r="A2715" s="11">
        <f>95.19*Hospital_Operations_Data[[#This Row],[Treatment_Cost_USD]]</f>
        <v>351712.77149999997</v>
      </c>
      <c r="C2715" s="13">
        <f>95.19*Hospital_Operations_Data[[#This Row],[Medication_Cost_USD]]</f>
        <v>73631.368799999997</v>
      </c>
    </row>
    <row r="2716" spans="1:3" x14ac:dyDescent="0.3">
      <c r="A2716" s="12">
        <f>95.19*Hospital_Operations_Data[[#This Row],[Treatment_Cost_USD]]</f>
        <v>1507003.3407000001</v>
      </c>
      <c r="C2716" s="14">
        <f>95.19*Hospital_Operations_Data[[#This Row],[Medication_Cost_USD]]</f>
        <v>271613.24219999998</v>
      </c>
    </row>
    <row r="2717" spans="1:3" x14ac:dyDescent="0.3">
      <c r="A2717" s="11">
        <f>95.19*Hospital_Operations_Data[[#This Row],[Treatment_Cost_USD]]</f>
        <v>825800.85510000004</v>
      </c>
      <c r="C2717" s="13">
        <f>95.19*Hospital_Operations_Data[[#This Row],[Medication_Cost_USD]]</f>
        <v>276141.43049999996</v>
      </c>
    </row>
    <row r="2718" spans="1:3" x14ac:dyDescent="0.3">
      <c r="A2718" s="12">
        <f>95.19*Hospital_Operations_Data[[#This Row],[Treatment_Cost_USD]]</f>
        <v>752391.27899999998</v>
      </c>
      <c r="C2718" s="14">
        <f>95.19*Hospital_Operations_Data[[#This Row],[Medication_Cost_USD]]</f>
        <v>180631.59209999998</v>
      </c>
    </row>
    <row r="2719" spans="1:3" x14ac:dyDescent="0.3">
      <c r="A2719" s="11">
        <f>95.19*Hospital_Operations_Data[[#This Row],[Treatment_Cost_USD]]</f>
        <v>343303.68690000003</v>
      </c>
      <c r="C2719" s="13">
        <f>95.19*Hospital_Operations_Data[[#This Row],[Medication_Cost_USD]]</f>
        <v>135313.53690000001</v>
      </c>
    </row>
    <row r="2720" spans="1:3" x14ac:dyDescent="0.3">
      <c r="A2720" s="12">
        <f>95.19*Hospital_Operations_Data[[#This Row],[Treatment_Cost_USD]]</f>
        <v>920224.57559999998</v>
      </c>
      <c r="C2720" s="14">
        <f>95.19*Hospital_Operations_Data[[#This Row],[Medication_Cost_USD]]</f>
        <v>309503.62169999996</v>
      </c>
    </row>
    <row r="2721" spans="1:3" x14ac:dyDescent="0.3">
      <c r="A2721" s="11">
        <f>95.19*Hospital_Operations_Data[[#This Row],[Treatment_Cost_USD]]</f>
        <v>624883.32209999999</v>
      </c>
      <c r="C2721" s="13">
        <f>95.19*Hospital_Operations_Data[[#This Row],[Medication_Cost_USD]]</f>
        <v>147124.71209999998</v>
      </c>
    </row>
    <row r="2722" spans="1:3" x14ac:dyDescent="0.3">
      <c r="A2722" s="12">
        <f>95.19*Hospital_Operations_Data[[#This Row],[Treatment_Cost_USD]]</f>
        <v>2549267.2077000001</v>
      </c>
      <c r="C2722" s="14">
        <f>95.19*Hospital_Operations_Data[[#This Row],[Medication_Cost_USD]]</f>
        <v>903929.9513999999</v>
      </c>
    </row>
    <row r="2723" spans="1:3" x14ac:dyDescent="0.3">
      <c r="A2723" s="11">
        <f>95.19*Hospital_Operations_Data[[#This Row],[Treatment_Cost_USD]]</f>
        <v>477489.22230000002</v>
      </c>
      <c r="C2723" s="13">
        <f>95.19*Hospital_Operations_Data[[#This Row],[Medication_Cost_USD]]</f>
        <v>118737.15029999999</v>
      </c>
    </row>
    <row r="2724" spans="1:3" x14ac:dyDescent="0.3">
      <c r="A2724" s="12">
        <f>95.19*Hospital_Operations_Data[[#This Row],[Treatment_Cost_USD]]</f>
        <v>862680.31679999991</v>
      </c>
      <c r="C2724" s="14">
        <f>95.19*Hospital_Operations_Data[[#This Row],[Medication_Cost_USD]]</f>
        <v>220985.48879999999</v>
      </c>
    </row>
    <row r="2725" spans="1:3" x14ac:dyDescent="0.3">
      <c r="A2725" s="11">
        <f>95.19*Hospital_Operations_Data[[#This Row],[Treatment_Cost_USD]]</f>
        <v>426242.73390000005</v>
      </c>
      <c r="C2725" s="13">
        <f>95.19*Hospital_Operations_Data[[#This Row],[Medication_Cost_USD]]</f>
        <v>83541.599699999992</v>
      </c>
    </row>
    <row r="2726" spans="1:3" x14ac:dyDescent="0.3">
      <c r="A2726" s="12">
        <f>95.19*Hospital_Operations_Data[[#This Row],[Treatment_Cost_USD]]</f>
        <v>306369.01500000001</v>
      </c>
      <c r="C2726" s="14">
        <f>95.19*Hospital_Operations_Data[[#This Row],[Medication_Cost_USD]]</f>
        <v>60652.212299999992</v>
      </c>
    </row>
    <row r="2727" spans="1:3" x14ac:dyDescent="0.3">
      <c r="A2727" s="11">
        <f>95.19*Hospital_Operations_Data[[#This Row],[Treatment_Cost_USD]]</f>
        <v>891248.73959999997</v>
      </c>
      <c r="C2727" s="13">
        <f>95.19*Hospital_Operations_Data[[#This Row],[Medication_Cost_USD]]</f>
        <v>334000.76819999999</v>
      </c>
    </row>
    <row r="2728" spans="1:3" x14ac:dyDescent="0.3">
      <c r="A2728" s="12">
        <f>95.19*Hospital_Operations_Data[[#This Row],[Treatment_Cost_USD]]</f>
        <v>1548333.8868</v>
      </c>
      <c r="C2728" s="14">
        <f>95.19*Hospital_Operations_Data[[#This Row],[Medication_Cost_USD]]</f>
        <v>604337.51249999995</v>
      </c>
    </row>
    <row r="2729" spans="1:3" x14ac:dyDescent="0.3">
      <c r="A2729" s="11">
        <f>95.19*Hospital_Operations_Data[[#This Row],[Treatment_Cost_USD]]</f>
        <v>418524.72869999992</v>
      </c>
      <c r="C2729" s="13">
        <f>95.19*Hospital_Operations_Data[[#This Row],[Medication_Cost_USD]]</f>
        <v>136766.13629999998</v>
      </c>
    </row>
    <row r="2730" spans="1:3" x14ac:dyDescent="0.3">
      <c r="A2730" s="12">
        <f>95.19*Hospital_Operations_Data[[#This Row],[Treatment_Cost_USD]]</f>
        <v>659019.40799999994</v>
      </c>
      <c r="C2730" s="14">
        <f>95.19*Hospital_Operations_Data[[#This Row],[Medication_Cost_USD]]</f>
        <v>190833.10439999998</v>
      </c>
    </row>
    <row r="2731" spans="1:3" x14ac:dyDescent="0.3">
      <c r="A2731" s="11">
        <f>95.19*Hospital_Operations_Data[[#This Row],[Treatment_Cost_USD]]</f>
        <v>189740.32319999998</v>
      </c>
      <c r="C2731" s="13">
        <f>95.19*Hospital_Operations_Data[[#This Row],[Medication_Cost_USD]]</f>
        <v>59211.035699999993</v>
      </c>
    </row>
    <row r="2732" spans="1:3" x14ac:dyDescent="0.3">
      <c r="A2732" s="12">
        <f>95.19*Hospital_Operations_Data[[#This Row],[Treatment_Cost_USD]]</f>
        <v>1020552.9317999999</v>
      </c>
      <c r="C2732" s="14">
        <f>95.19*Hospital_Operations_Data[[#This Row],[Medication_Cost_USD]]</f>
        <v>162764.42910000001</v>
      </c>
    </row>
    <row r="2733" spans="1:3" x14ac:dyDescent="0.3">
      <c r="A2733" s="11">
        <f>95.19*Hospital_Operations_Data[[#This Row],[Treatment_Cost_USD]]</f>
        <v>1016956.6536000001</v>
      </c>
      <c r="C2733" s="13">
        <f>95.19*Hospital_Operations_Data[[#This Row],[Medication_Cost_USD]]</f>
        <v>333790.3983</v>
      </c>
    </row>
    <row r="2734" spans="1:3" x14ac:dyDescent="0.3">
      <c r="A2734" s="12">
        <f>95.19*Hospital_Operations_Data[[#This Row],[Treatment_Cost_USD]]</f>
        <v>200183.61809999996</v>
      </c>
      <c r="C2734" s="14">
        <f>95.19*Hospital_Operations_Data[[#This Row],[Medication_Cost_USD]]</f>
        <v>69323.069399999993</v>
      </c>
    </row>
    <row r="2735" spans="1:3" x14ac:dyDescent="0.3">
      <c r="A2735" s="11">
        <f>95.19*Hospital_Operations_Data[[#This Row],[Treatment_Cost_USD]]</f>
        <v>1030312.7625</v>
      </c>
      <c r="C2735" s="13">
        <f>95.19*Hospital_Operations_Data[[#This Row],[Medication_Cost_USD]]</f>
        <v>362585.37330000004</v>
      </c>
    </row>
    <row r="2736" spans="1:3" x14ac:dyDescent="0.3">
      <c r="A2736" s="12">
        <f>95.19*Hospital_Operations_Data[[#This Row],[Treatment_Cost_USD]]</f>
        <v>423056.72460000002</v>
      </c>
      <c r="C2736" s="14">
        <f>95.19*Hospital_Operations_Data[[#This Row],[Medication_Cost_USD]]</f>
        <v>77485.611900000004</v>
      </c>
    </row>
    <row r="2737" spans="1:3" x14ac:dyDescent="0.3">
      <c r="A2737" s="11">
        <f>95.19*Hospital_Operations_Data[[#This Row],[Treatment_Cost_USD]]</f>
        <v>520412.29710000003</v>
      </c>
      <c r="C2737" s="13">
        <f>95.19*Hospital_Operations_Data[[#This Row],[Medication_Cost_USD]]</f>
        <v>92283.849300000002</v>
      </c>
    </row>
    <row r="2738" spans="1:3" x14ac:dyDescent="0.3">
      <c r="A2738" s="12">
        <f>95.19*Hospital_Operations_Data[[#This Row],[Treatment_Cost_USD]]</f>
        <v>306482.29109999997</v>
      </c>
      <c r="C2738" s="14">
        <f>95.19*Hospital_Operations_Data[[#This Row],[Medication_Cost_USD]]</f>
        <v>74297.698799999998</v>
      </c>
    </row>
    <row r="2739" spans="1:3" x14ac:dyDescent="0.3">
      <c r="A2739" s="11">
        <f>95.19*Hospital_Operations_Data[[#This Row],[Treatment_Cost_USD]]</f>
        <v>1308058.1444999999</v>
      </c>
      <c r="C2739" s="13">
        <f>95.19*Hospital_Operations_Data[[#This Row],[Medication_Cost_USD]]</f>
        <v>399188.78400000004</v>
      </c>
    </row>
    <row r="2740" spans="1:3" x14ac:dyDescent="0.3">
      <c r="A2740" s="12">
        <f>95.19*Hospital_Operations_Data[[#This Row],[Treatment_Cost_USD]]</f>
        <v>500008.32059999998</v>
      </c>
      <c r="C2740" s="14">
        <f>95.19*Hospital_Operations_Data[[#This Row],[Medication_Cost_USD]]</f>
        <v>119231.18639999999</v>
      </c>
    </row>
    <row r="2741" spans="1:3" x14ac:dyDescent="0.3">
      <c r="A2741" s="11">
        <f>95.19*Hospital_Operations_Data[[#This Row],[Treatment_Cost_USD]]</f>
        <v>445404.48089999997</v>
      </c>
      <c r="C2741" s="13">
        <f>95.19*Hospital_Operations_Data[[#This Row],[Medication_Cost_USD]]</f>
        <v>72384.379799999995</v>
      </c>
    </row>
    <row r="2742" spans="1:3" x14ac:dyDescent="0.3">
      <c r="A2742" s="12">
        <f>95.19*Hospital_Operations_Data[[#This Row],[Treatment_Cost_USD]]</f>
        <v>1194726.8343</v>
      </c>
      <c r="C2742" s="14">
        <f>95.19*Hospital_Operations_Data[[#This Row],[Medication_Cost_USD]]</f>
        <v>442082.34989999997</v>
      </c>
    </row>
    <row r="2743" spans="1:3" x14ac:dyDescent="0.3">
      <c r="A2743" s="11">
        <f>95.19*Hospital_Operations_Data[[#This Row],[Treatment_Cost_USD]]</f>
        <v>597591.39720000001</v>
      </c>
      <c r="C2743" s="13">
        <f>95.19*Hospital_Operations_Data[[#This Row],[Medication_Cost_USD]]</f>
        <v>208492.75320000001</v>
      </c>
    </row>
    <row r="2744" spans="1:3" x14ac:dyDescent="0.3">
      <c r="A2744" s="12">
        <f>95.19*Hospital_Operations_Data[[#This Row],[Treatment_Cost_USD]]</f>
        <v>770489.75369999988</v>
      </c>
      <c r="C2744" s="14">
        <f>95.19*Hospital_Operations_Data[[#This Row],[Medication_Cost_USD]]</f>
        <v>160101.96480000002</v>
      </c>
    </row>
    <row r="2745" spans="1:3" x14ac:dyDescent="0.3">
      <c r="A2745" s="11">
        <f>95.19*Hospital_Operations_Data[[#This Row],[Treatment_Cost_USD]]</f>
        <v>372698.35889999999</v>
      </c>
      <c r="C2745" s="13">
        <f>95.19*Hospital_Operations_Data[[#This Row],[Medication_Cost_USD]]</f>
        <v>66784.352100000004</v>
      </c>
    </row>
    <row r="2746" spans="1:3" x14ac:dyDescent="0.3">
      <c r="A2746" s="12">
        <f>95.19*Hospital_Operations_Data[[#This Row],[Treatment_Cost_USD]]</f>
        <v>939080.76269999996</v>
      </c>
      <c r="C2746" s="14">
        <f>95.19*Hospital_Operations_Data[[#This Row],[Medication_Cost_USD]]</f>
        <v>149035.17540000001</v>
      </c>
    </row>
    <row r="2747" spans="1:3" x14ac:dyDescent="0.3">
      <c r="A2747" s="11">
        <f>95.19*Hospital_Operations_Data[[#This Row],[Treatment_Cost_USD]]</f>
        <v>483573.7671</v>
      </c>
      <c r="C2747" s="13">
        <f>95.19*Hospital_Operations_Data[[#This Row],[Medication_Cost_USD]]</f>
        <v>181810.04430000001</v>
      </c>
    </row>
    <row r="2748" spans="1:3" x14ac:dyDescent="0.3">
      <c r="A2748" s="12">
        <f>95.19*Hospital_Operations_Data[[#This Row],[Treatment_Cost_USD]]</f>
        <v>340764.96960000001</v>
      </c>
      <c r="C2748" s="14">
        <f>95.19*Hospital_Operations_Data[[#This Row],[Medication_Cost_USD]]</f>
        <v>71262.089699999997</v>
      </c>
    </row>
    <row r="2749" spans="1:3" x14ac:dyDescent="0.3">
      <c r="A2749" s="11">
        <f>95.19*Hospital_Operations_Data[[#This Row],[Treatment_Cost_USD]]</f>
        <v>952107.51419999998</v>
      </c>
      <c r="C2749" s="13">
        <f>95.19*Hospital_Operations_Data[[#This Row],[Medication_Cost_USD]]</f>
        <v>358387.49429999996</v>
      </c>
    </row>
    <row r="2750" spans="1:3" x14ac:dyDescent="0.3">
      <c r="A2750" s="12">
        <f>95.19*Hospital_Operations_Data[[#This Row],[Treatment_Cost_USD]]</f>
        <v>522770.15339999995</v>
      </c>
      <c r="C2750" s="14">
        <f>95.19*Hospital_Operations_Data[[#This Row],[Medication_Cost_USD]]</f>
        <v>107617.0545</v>
      </c>
    </row>
    <row r="2751" spans="1:3" x14ac:dyDescent="0.3">
      <c r="A2751" s="11">
        <f>95.19*Hospital_Operations_Data[[#This Row],[Treatment_Cost_USD]]</f>
        <v>536352.81449999998</v>
      </c>
      <c r="C2751" s="13">
        <f>95.19*Hospital_Operations_Data[[#This Row],[Medication_Cost_USD]]</f>
        <v>193555.53839999999</v>
      </c>
    </row>
    <row r="2752" spans="1:3" x14ac:dyDescent="0.3">
      <c r="A2752" s="12">
        <f>95.19*Hospital_Operations_Data[[#This Row],[Treatment_Cost_USD]]</f>
        <v>105953.13329999999</v>
      </c>
      <c r="C2752" s="14">
        <f>95.19*Hospital_Operations_Data[[#This Row],[Medication_Cost_USD]]</f>
        <v>34757.676599999999</v>
      </c>
    </row>
    <row r="2753" spans="1:3" x14ac:dyDescent="0.3">
      <c r="A2753" s="11">
        <f>95.19*Hospital_Operations_Data[[#This Row],[Treatment_Cost_USD]]</f>
        <v>701515.0797</v>
      </c>
      <c r="C2753" s="13">
        <f>95.19*Hospital_Operations_Data[[#This Row],[Medication_Cost_USD]]</f>
        <v>129262.3086</v>
      </c>
    </row>
    <row r="2754" spans="1:3" x14ac:dyDescent="0.3">
      <c r="A2754" s="12">
        <f>95.19*Hospital_Operations_Data[[#This Row],[Treatment_Cost_USD]]</f>
        <v>1163790.0843</v>
      </c>
      <c r="C2754" s="14">
        <f>95.19*Hospital_Operations_Data[[#This Row],[Medication_Cost_USD]]</f>
        <v>321767.90129999997</v>
      </c>
    </row>
    <row r="2755" spans="1:3" x14ac:dyDescent="0.3">
      <c r="A2755" s="11">
        <f>95.19*Hospital_Operations_Data[[#This Row],[Treatment_Cost_USD]]</f>
        <v>301874.14319999999</v>
      </c>
      <c r="C2755" s="13">
        <f>95.19*Hospital_Operations_Data[[#This Row],[Medication_Cost_USD]]</f>
        <v>100705.3086</v>
      </c>
    </row>
    <row r="2756" spans="1:3" x14ac:dyDescent="0.3">
      <c r="A2756" s="12">
        <f>95.19*Hospital_Operations_Data[[#This Row],[Treatment_Cost_USD]]</f>
        <v>307556.98619999998</v>
      </c>
      <c r="C2756" s="14">
        <f>95.19*Hospital_Operations_Data[[#This Row],[Medication_Cost_USD]]</f>
        <v>68377.832699999999</v>
      </c>
    </row>
    <row r="2757" spans="1:3" x14ac:dyDescent="0.3">
      <c r="A2757" s="11">
        <f>95.19*Hospital_Operations_Data[[#This Row],[Treatment_Cost_USD]]</f>
        <v>386867.39039999997</v>
      </c>
      <c r="C2757" s="13">
        <f>95.19*Hospital_Operations_Data[[#This Row],[Medication_Cost_USD]]</f>
        <v>82554.479399999997</v>
      </c>
    </row>
    <row r="2758" spans="1:3" x14ac:dyDescent="0.3">
      <c r="A2758" s="12">
        <f>95.19*Hospital_Operations_Data[[#This Row],[Treatment_Cost_USD]]</f>
        <v>1204279.1507999999</v>
      </c>
      <c r="C2758" s="14">
        <f>95.19*Hospital_Operations_Data[[#This Row],[Medication_Cost_USD]]</f>
        <v>252087.86940000003</v>
      </c>
    </row>
    <row r="2759" spans="1:3" x14ac:dyDescent="0.3">
      <c r="A2759" s="11">
        <f>95.19*Hospital_Operations_Data[[#This Row],[Treatment_Cost_USD]]</f>
        <v>1081913.3577000001</v>
      </c>
      <c r="C2759" s="13">
        <f>95.19*Hospital_Operations_Data[[#This Row],[Medication_Cost_USD]]</f>
        <v>354622.72979999997</v>
      </c>
    </row>
    <row r="2760" spans="1:3" x14ac:dyDescent="0.3">
      <c r="A2760" s="12">
        <f>95.19*Hospital_Operations_Data[[#This Row],[Treatment_Cost_USD]]</f>
        <v>647446.20779999997</v>
      </c>
      <c r="C2760" s="14">
        <f>95.19*Hospital_Operations_Data[[#This Row],[Medication_Cost_USD]]</f>
        <v>157440.45240000001</v>
      </c>
    </row>
    <row r="2761" spans="1:3" x14ac:dyDescent="0.3">
      <c r="A2761" s="11">
        <f>95.19*Hospital_Operations_Data[[#This Row],[Treatment_Cost_USD]]</f>
        <v>399214.4853</v>
      </c>
      <c r="C2761" s="13">
        <f>95.19*Hospital_Operations_Data[[#This Row],[Medication_Cost_USD]]</f>
        <v>101832.35819999999</v>
      </c>
    </row>
    <row r="2762" spans="1:3" x14ac:dyDescent="0.3">
      <c r="A2762" s="12">
        <f>95.19*Hospital_Operations_Data[[#This Row],[Treatment_Cost_USD]]</f>
        <v>510279.32160000002</v>
      </c>
      <c r="C2762" s="14">
        <f>95.19*Hospital_Operations_Data[[#This Row],[Medication_Cost_USD]]</f>
        <v>174420.44459999999</v>
      </c>
    </row>
    <row r="2763" spans="1:3" x14ac:dyDescent="0.3">
      <c r="A2763" s="11">
        <f>95.19*Hospital_Operations_Data[[#This Row],[Treatment_Cost_USD]]</f>
        <v>579082.65359999996</v>
      </c>
      <c r="C2763" s="13">
        <f>95.19*Hospital_Operations_Data[[#This Row],[Medication_Cost_USD]]</f>
        <v>108266.25029999999</v>
      </c>
    </row>
    <row r="2764" spans="1:3" x14ac:dyDescent="0.3">
      <c r="A2764" s="12">
        <f>95.19*Hospital_Operations_Data[[#This Row],[Treatment_Cost_USD]]</f>
        <v>666779.29680000001</v>
      </c>
      <c r="C2764" s="14">
        <f>95.19*Hospital_Operations_Data[[#This Row],[Medication_Cost_USD]]</f>
        <v>113196.1404</v>
      </c>
    </row>
    <row r="2765" spans="1:3" x14ac:dyDescent="0.3">
      <c r="A2765" s="11">
        <f>95.19*Hospital_Operations_Data[[#This Row],[Treatment_Cost_USD]]</f>
        <v>1122512.8446</v>
      </c>
      <c r="C2765" s="13">
        <f>95.19*Hospital_Operations_Data[[#This Row],[Medication_Cost_USD]]</f>
        <v>168525.3279</v>
      </c>
    </row>
    <row r="2766" spans="1:3" x14ac:dyDescent="0.3">
      <c r="A2766" s="12">
        <f>95.19*Hospital_Operations_Data[[#This Row],[Treatment_Cost_USD]]</f>
        <v>2172646.0689000003</v>
      </c>
      <c r="C2766" s="14">
        <f>95.19*Hospital_Operations_Data[[#This Row],[Medication_Cost_USD]]</f>
        <v>469817.8602</v>
      </c>
    </row>
    <row r="2767" spans="1:3" x14ac:dyDescent="0.3">
      <c r="A2767" s="11">
        <f>95.19*Hospital_Operations_Data[[#This Row],[Treatment_Cost_USD]]</f>
        <v>1846531.7922</v>
      </c>
      <c r="C2767" s="13">
        <f>95.19*Hospital_Operations_Data[[#This Row],[Medication_Cost_USD]]</f>
        <v>433638.99690000003</v>
      </c>
    </row>
    <row r="2768" spans="1:3" x14ac:dyDescent="0.3">
      <c r="A2768" s="12">
        <f>95.19*Hospital_Operations_Data[[#This Row],[Treatment_Cost_USD]]</f>
        <v>741608.15579999995</v>
      </c>
      <c r="C2768" s="14">
        <f>95.19*Hospital_Operations_Data[[#This Row],[Medication_Cost_USD]]</f>
        <v>275985.31890000001</v>
      </c>
    </row>
    <row r="2769" spans="1:3" x14ac:dyDescent="0.3">
      <c r="A2769" s="11">
        <f>95.19*Hospital_Operations_Data[[#This Row],[Treatment_Cost_USD]]</f>
        <v>310375.56209999998</v>
      </c>
      <c r="C2769" s="13">
        <f>95.19*Hospital_Operations_Data[[#This Row],[Medication_Cost_USD]]</f>
        <v>81136.148400000005</v>
      </c>
    </row>
    <row r="2770" spans="1:3" x14ac:dyDescent="0.3">
      <c r="A2770" s="12">
        <f>95.19*Hospital_Operations_Data[[#This Row],[Treatment_Cost_USD]]</f>
        <v>1541096.5911000001</v>
      </c>
      <c r="C2770" s="14">
        <f>95.19*Hospital_Operations_Data[[#This Row],[Medication_Cost_USD]]</f>
        <v>428123.68829999998</v>
      </c>
    </row>
    <row r="2771" spans="1:3" x14ac:dyDescent="0.3">
      <c r="A2771" s="11">
        <f>95.19*Hospital_Operations_Data[[#This Row],[Treatment_Cost_USD]]</f>
        <v>159443.25</v>
      </c>
      <c r="C2771" s="13">
        <f>95.19*Hospital_Operations_Data[[#This Row],[Medication_Cost_USD]]</f>
        <v>36803.309699999998</v>
      </c>
    </row>
    <row r="2772" spans="1:3" x14ac:dyDescent="0.3">
      <c r="A2772" s="12">
        <f>95.19*Hospital_Operations_Data[[#This Row],[Treatment_Cost_USD]]</f>
        <v>432349.17239999998</v>
      </c>
      <c r="C2772" s="14">
        <f>95.19*Hospital_Operations_Data[[#This Row],[Medication_Cost_USD]]</f>
        <v>90654.196500000005</v>
      </c>
    </row>
    <row r="2773" spans="1:3" x14ac:dyDescent="0.3">
      <c r="A2773" s="11">
        <f>95.19*Hospital_Operations_Data[[#This Row],[Treatment_Cost_USD]]</f>
        <v>174131.06699999998</v>
      </c>
      <c r="C2773" s="13">
        <f>95.19*Hospital_Operations_Data[[#This Row],[Medication_Cost_USD]]</f>
        <v>68186.500800000009</v>
      </c>
    </row>
    <row r="2774" spans="1:3" x14ac:dyDescent="0.3">
      <c r="A2774" s="12">
        <f>95.19*Hospital_Operations_Data[[#This Row],[Treatment_Cost_USD]]</f>
        <v>162856.7634</v>
      </c>
      <c r="C2774" s="14">
        <f>95.19*Hospital_Operations_Data[[#This Row],[Medication_Cost_USD]]</f>
        <v>41955.9444</v>
      </c>
    </row>
    <row r="2775" spans="1:3" x14ac:dyDescent="0.3">
      <c r="A2775" s="11">
        <f>95.19*Hospital_Operations_Data[[#This Row],[Treatment_Cost_USD]]</f>
        <v>137734.21859999999</v>
      </c>
      <c r="C2775" s="13">
        <f>95.19*Hospital_Operations_Data[[#This Row],[Medication_Cost_USD]]</f>
        <v>43376.179199999999</v>
      </c>
    </row>
    <row r="2776" spans="1:3" x14ac:dyDescent="0.3">
      <c r="A2776" s="12">
        <f>95.19*Hospital_Operations_Data[[#This Row],[Treatment_Cost_USD]]</f>
        <v>320444.76029999997</v>
      </c>
      <c r="C2776" s="14">
        <f>95.19*Hospital_Operations_Data[[#This Row],[Medication_Cost_USD]]</f>
        <v>121805.12399999998</v>
      </c>
    </row>
    <row r="2777" spans="1:3" x14ac:dyDescent="0.3">
      <c r="A2777" s="11">
        <f>95.19*Hospital_Operations_Data[[#This Row],[Treatment_Cost_USD]]</f>
        <v>1070635.2465000001</v>
      </c>
      <c r="C2777" s="13">
        <f>95.19*Hospital_Operations_Data[[#This Row],[Medication_Cost_USD]]</f>
        <v>340401.34379999997</v>
      </c>
    </row>
    <row r="2778" spans="1:3" x14ac:dyDescent="0.3">
      <c r="A2778" s="12">
        <f>95.19*Hospital_Operations_Data[[#This Row],[Treatment_Cost_USD]]</f>
        <v>665287.66949999996</v>
      </c>
      <c r="C2778" s="14">
        <f>95.19*Hospital_Operations_Data[[#This Row],[Medication_Cost_USD]]</f>
        <v>139701.7959</v>
      </c>
    </row>
    <row r="2779" spans="1:3" x14ac:dyDescent="0.3">
      <c r="A2779" s="11">
        <f>95.19*Hospital_Operations_Data[[#This Row],[Treatment_Cost_USD]]</f>
        <v>357035.79629999999</v>
      </c>
      <c r="C2779" s="13">
        <f>95.19*Hospital_Operations_Data[[#This Row],[Medication_Cost_USD]]</f>
        <v>76448.992799999993</v>
      </c>
    </row>
    <row r="2780" spans="1:3" x14ac:dyDescent="0.3">
      <c r="A2780" s="12">
        <f>95.19*Hospital_Operations_Data[[#This Row],[Treatment_Cost_USD]]</f>
        <v>560015.14469999995</v>
      </c>
      <c r="C2780" s="14">
        <f>95.19*Hospital_Operations_Data[[#This Row],[Medication_Cost_USD]]</f>
        <v>220219.20929999999</v>
      </c>
    </row>
    <row r="2781" spans="1:3" x14ac:dyDescent="0.3">
      <c r="A2781" s="11">
        <f>95.19*Hospital_Operations_Data[[#This Row],[Treatment_Cost_USD]]</f>
        <v>407298.02009999997</v>
      </c>
      <c r="C2781" s="13">
        <f>95.19*Hospital_Operations_Data[[#This Row],[Medication_Cost_USD]]</f>
        <v>156010.6986</v>
      </c>
    </row>
    <row r="2782" spans="1:3" x14ac:dyDescent="0.3">
      <c r="A2782" s="12">
        <f>95.19*Hospital_Operations_Data[[#This Row],[Treatment_Cost_USD]]</f>
        <v>1015071.8916</v>
      </c>
      <c r="C2782" s="14">
        <f>95.19*Hospital_Operations_Data[[#This Row],[Medication_Cost_USD]]</f>
        <v>289473.74190000002</v>
      </c>
    </row>
    <row r="2783" spans="1:3" x14ac:dyDescent="0.3">
      <c r="A2783" s="11">
        <f>95.19*Hospital_Operations_Data[[#This Row],[Treatment_Cost_USD]]</f>
        <v>522027.67140000005</v>
      </c>
      <c r="C2783" s="13">
        <f>95.19*Hospital_Operations_Data[[#This Row],[Medication_Cost_USD]]</f>
        <v>119217.85980000001</v>
      </c>
    </row>
    <row r="2784" spans="1:3" x14ac:dyDescent="0.3">
      <c r="A2784" s="12">
        <f>95.19*Hospital_Operations_Data[[#This Row],[Treatment_Cost_USD]]</f>
        <v>713509.97160000005</v>
      </c>
      <c r="C2784" s="14">
        <f>95.19*Hospital_Operations_Data[[#This Row],[Medication_Cost_USD]]</f>
        <v>194481.7371</v>
      </c>
    </row>
    <row r="2785" spans="1:3" x14ac:dyDescent="0.3">
      <c r="A2785" s="11">
        <f>95.19*Hospital_Operations_Data[[#This Row],[Treatment_Cost_USD]]</f>
        <v>676912.27229999995</v>
      </c>
      <c r="C2785" s="13">
        <f>95.19*Hospital_Operations_Data[[#This Row],[Medication_Cost_USD]]</f>
        <v>205119.21960000001</v>
      </c>
    </row>
    <row r="2786" spans="1:3" x14ac:dyDescent="0.3">
      <c r="A2786" s="12">
        <f>95.19*Hospital_Operations_Data[[#This Row],[Treatment_Cost_USD]]</f>
        <v>329736.2562</v>
      </c>
      <c r="C2786" s="14">
        <f>95.19*Hospital_Operations_Data[[#This Row],[Medication_Cost_USD]]</f>
        <v>108907.83089999999</v>
      </c>
    </row>
    <row r="2787" spans="1:3" x14ac:dyDescent="0.3">
      <c r="A2787" s="11">
        <f>95.19*Hospital_Operations_Data[[#This Row],[Treatment_Cost_USD]]</f>
        <v>607960.44390000007</v>
      </c>
      <c r="C2787" s="13">
        <f>95.19*Hospital_Operations_Data[[#This Row],[Medication_Cost_USD]]</f>
        <v>100298.84730000001</v>
      </c>
    </row>
    <row r="2788" spans="1:3" x14ac:dyDescent="0.3">
      <c r="A2788" s="12">
        <f>95.19*Hospital_Operations_Data[[#This Row],[Treatment_Cost_USD]]</f>
        <v>320169.66119999997</v>
      </c>
      <c r="C2788" s="14">
        <f>95.19*Hospital_Operations_Data[[#This Row],[Medication_Cost_USD]]</f>
        <v>97250.863499999992</v>
      </c>
    </row>
    <row r="2789" spans="1:3" x14ac:dyDescent="0.3">
      <c r="A2789" s="11">
        <f>95.19*Hospital_Operations_Data[[#This Row],[Treatment_Cost_USD]]</f>
        <v>341536.96049999999</v>
      </c>
      <c r="C2789" s="13">
        <f>95.19*Hospital_Operations_Data[[#This Row],[Medication_Cost_USD]]</f>
        <v>115965.2175</v>
      </c>
    </row>
    <row r="2790" spans="1:3" x14ac:dyDescent="0.3">
      <c r="A2790" s="12">
        <f>95.19*Hospital_Operations_Data[[#This Row],[Treatment_Cost_USD]]</f>
        <v>539641.62900000007</v>
      </c>
      <c r="C2790" s="14">
        <f>95.19*Hospital_Operations_Data[[#This Row],[Medication_Cost_USD]]</f>
        <v>101768.58089999999</v>
      </c>
    </row>
    <row r="2791" spans="1:3" x14ac:dyDescent="0.3">
      <c r="A2791" s="11">
        <f>95.19*Hospital_Operations_Data[[#This Row],[Treatment_Cost_USD]]</f>
        <v>1140403.8051</v>
      </c>
      <c r="C2791" s="13">
        <f>95.19*Hospital_Operations_Data[[#This Row],[Medication_Cost_USD]]</f>
        <v>190614.16740000001</v>
      </c>
    </row>
    <row r="2792" spans="1:3" x14ac:dyDescent="0.3">
      <c r="A2792" s="12">
        <f>95.19*Hospital_Operations_Data[[#This Row],[Treatment_Cost_USD]]</f>
        <v>2014531.6713</v>
      </c>
      <c r="C2792" s="14">
        <f>95.19*Hospital_Operations_Data[[#This Row],[Medication_Cost_USD]]</f>
        <v>789535.36889999988</v>
      </c>
    </row>
    <row r="2793" spans="1:3" x14ac:dyDescent="0.3">
      <c r="A2793" s="11">
        <f>95.19*Hospital_Operations_Data[[#This Row],[Treatment_Cost_USD]]</f>
        <v>1162846.7514</v>
      </c>
      <c r="C2793" s="13">
        <f>95.19*Hospital_Operations_Data[[#This Row],[Medication_Cost_USD]]</f>
        <v>220327.72590000002</v>
      </c>
    </row>
    <row r="2794" spans="1:3" x14ac:dyDescent="0.3">
      <c r="A2794" s="12">
        <f>95.19*Hospital_Operations_Data[[#This Row],[Treatment_Cost_USD]]</f>
        <v>941335.8138</v>
      </c>
      <c r="C2794" s="14">
        <f>95.19*Hospital_Operations_Data[[#This Row],[Medication_Cost_USD]]</f>
        <v>205856.94210000001</v>
      </c>
    </row>
    <row r="2795" spans="1:3" x14ac:dyDescent="0.3">
      <c r="A2795" s="11">
        <f>95.19*Hospital_Operations_Data[[#This Row],[Treatment_Cost_USD]]</f>
        <v>1317735.1598999999</v>
      </c>
      <c r="C2795" s="13">
        <f>95.19*Hospital_Operations_Data[[#This Row],[Medication_Cost_USD]]</f>
        <v>332815.65269999998</v>
      </c>
    </row>
    <row r="2796" spans="1:3" x14ac:dyDescent="0.3">
      <c r="A2796" s="12">
        <f>95.19*Hospital_Operations_Data[[#This Row],[Treatment_Cost_USD]]</f>
        <v>535798.80869999994</v>
      </c>
      <c r="C2796" s="14">
        <f>95.19*Hospital_Operations_Data[[#This Row],[Medication_Cost_USD]]</f>
        <v>175829.25659999999</v>
      </c>
    </row>
    <row r="2797" spans="1:3" x14ac:dyDescent="0.3">
      <c r="A2797" s="11">
        <f>95.19*Hospital_Operations_Data[[#This Row],[Treatment_Cost_USD]]</f>
        <v>826104.51119999995</v>
      </c>
      <c r="C2797" s="13">
        <f>95.19*Hospital_Operations_Data[[#This Row],[Medication_Cost_USD]]</f>
        <v>157199.62169999999</v>
      </c>
    </row>
    <row r="2798" spans="1:3" x14ac:dyDescent="0.3">
      <c r="A2798" s="12">
        <f>95.19*Hospital_Operations_Data[[#This Row],[Treatment_Cost_USD]]</f>
        <v>833321.81699999992</v>
      </c>
      <c r="C2798" s="14">
        <f>95.19*Hospital_Operations_Data[[#This Row],[Medication_Cost_USD]]</f>
        <v>323735.47859999997</v>
      </c>
    </row>
    <row r="2799" spans="1:3" x14ac:dyDescent="0.3">
      <c r="A2799" s="11">
        <f>95.19*Hospital_Operations_Data[[#This Row],[Treatment_Cost_USD]]</f>
        <v>218509.5969</v>
      </c>
      <c r="C2799" s="13">
        <f>95.19*Hospital_Operations_Data[[#This Row],[Medication_Cost_USD]]</f>
        <v>75296.241899999994</v>
      </c>
    </row>
    <row r="2800" spans="1:3" x14ac:dyDescent="0.3">
      <c r="A2800" s="12">
        <f>95.19*Hospital_Operations_Data[[#This Row],[Treatment_Cost_USD]]</f>
        <v>1253877.9003000001</v>
      </c>
      <c r="C2800" s="14">
        <f>95.19*Hospital_Operations_Data[[#This Row],[Medication_Cost_USD]]</f>
        <v>444826.6776</v>
      </c>
    </row>
    <row r="2801" spans="1:3" x14ac:dyDescent="0.3">
      <c r="A2801" s="11">
        <f>95.19*Hospital_Operations_Data[[#This Row],[Treatment_Cost_USD]]</f>
        <v>904203.14670000004</v>
      </c>
      <c r="C2801" s="13">
        <f>95.19*Hospital_Operations_Data[[#This Row],[Medication_Cost_USD]]</f>
        <v>237284.8725</v>
      </c>
    </row>
    <row r="2802" spans="1:3" x14ac:dyDescent="0.3">
      <c r="A2802" s="12">
        <f>95.19*Hospital_Operations_Data[[#This Row],[Treatment_Cost_USD]]</f>
        <v>360073.30919999996</v>
      </c>
      <c r="C2802" s="14">
        <f>95.19*Hospital_Operations_Data[[#This Row],[Medication_Cost_USD]]</f>
        <v>111014.38559999999</v>
      </c>
    </row>
    <row r="2803" spans="1:3" x14ac:dyDescent="0.3">
      <c r="A2803" s="11">
        <f>95.19*Hospital_Operations_Data[[#This Row],[Treatment_Cost_USD]]</f>
        <v>497827.51769999997</v>
      </c>
      <c r="C2803" s="13">
        <f>95.19*Hospital_Operations_Data[[#This Row],[Medication_Cost_USD]]</f>
        <v>118496.31959999999</v>
      </c>
    </row>
    <row r="2804" spans="1:3" x14ac:dyDescent="0.3">
      <c r="A2804" s="12">
        <f>95.19*Hospital_Operations_Data[[#This Row],[Treatment_Cost_USD]]</f>
        <v>928167.22920000006</v>
      </c>
      <c r="C2804" s="14">
        <f>95.19*Hospital_Operations_Data[[#This Row],[Medication_Cost_USD]]</f>
        <v>203666.62019999998</v>
      </c>
    </row>
    <row r="2805" spans="1:3" x14ac:dyDescent="0.3">
      <c r="A2805" s="11">
        <f>95.19*Hospital_Operations_Data[[#This Row],[Treatment_Cost_USD]]</f>
        <v>694953.63299999991</v>
      </c>
      <c r="C2805" s="13">
        <f>95.19*Hospital_Operations_Data[[#This Row],[Medication_Cost_USD]]</f>
        <v>142391.86529999998</v>
      </c>
    </row>
    <row r="2806" spans="1:3" x14ac:dyDescent="0.3">
      <c r="A2806" s="12">
        <f>95.19*Hospital_Operations_Data[[#This Row],[Treatment_Cost_USD]]</f>
        <v>575531.11470000003</v>
      </c>
      <c r="C2806" s="14">
        <f>95.19*Hospital_Operations_Data[[#This Row],[Medication_Cost_USD]]</f>
        <v>223082.5245</v>
      </c>
    </row>
    <row r="2807" spans="1:3" x14ac:dyDescent="0.3">
      <c r="A2807" s="11">
        <f>95.19*Hospital_Operations_Data[[#This Row],[Treatment_Cost_USD]]</f>
        <v>1104348.6888000001</v>
      </c>
      <c r="C2807" s="13">
        <f>95.19*Hospital_Operations_Data[[#This Row],[Medication_Cost_USD]]</f>
        <v>229375.53539999999</v>
      </c>
    </row>
    <row r="2808" spans="1:3" x14ac:dyDescent="0.3">
      <c r="A2808" s="12">
        <f>95.19*Hospital_Operations_Data[[#This Row],[Treatment_Cost_USD]]</f>
        <v>1153377.2501999999</v>
      </c>
      <c r="C2808" s="14">
        <f>95.19*Hospital_Operations_Data[[#This Row],[Medication_Cost_USD]]</f>
        <v>276982.91009999998</v>
      </c>
    </row>
    <row r="2809" spans="1:3" x14ac:dyDescent="0.3">
      <c r="A2809" s="11">
        <f>95.19*Hospital_Operations_Data[[#This Row],[Treatment_Cost_USD]]</f>
        <v>724171.25159999996</v>
      </c>
      <c r="C2809" s="13">
        <f>95.19*Hospital_Operations_Data[[#This Row],[Medication_Cost_USD]]</f>
        <v>252672.33600000001</v>
      </c>
    </row>
    <row r="2810" spans="1:3" x14ac:dyDescent="0.3">
      <c r="A2810" s="12">
        <f>95.19*Hospital_Operations_Data[[#This Row],[Treatment_Cost_USD]]</f>
        <v>1049867.6442</v>
      </c>
      <c r="C2810" s="14">
        <f>95.19*Hospital_Operations_Data[[#This Row],[Medication_Cost_USD]]</f>
        <v>348673.35479999997</v>
      </c>
    </row>
    <row r="2811" spans="1:3" x14ac:dyDescent="0.3">
      <c r="A2811" s="11">
        <f>95.19*Hospital_Operations_Data[[#This Row],[Treatment_Cost_USD]]</f>
        <v>952153.20539999998</v>
      </c>
      <c r="C2811" s="13">
        <f>95.19*Hospital_Operations_Data[[#This Row],[Medication_Cost_USD]]</f>
        <v>373398.00539999997</v>
      </c>
    </row>
    <row r="2812" spans="1:3" x14ac:dyDescent="0.3">
      <c r="A2812" s="12">
        <f>95.19*Hospital_Operations_Data[[#This Row],[Treatment_Cost_USD]]</f>
        <v>662800.35479999997</v>
      </c>
      <c r="C2812" s="14">
        <f>95.19*Hospital_Operations_Data[[#This Row],[Medication_Cost_USD]]</f>
        <v>173427.61290000001</v>
      </c>
    </row>
    <row r="2813" spans="1:3" x14ac:dyDescent="0.3">
      <c r="A2813" s="11">
        <f>95.19*Hospital_Operations_Data[[#This Row],[Treatment_Cost_USD]]</f>
        <v>716309.50950000004</v>
      </c>
      <c r="C2813" s="13">
        <f>95.19*Hospital_Operations_Data[[#This Row],[Medication_Cost_USD]]</f>
        <v>151612.92059999998</v>
      </c>
    </row>
    <row r="2814" spans="1:3" x14ac:dyDescent="0.3">
      <c r="A2814" s="12">
        <f>95.19*Hospital_Operations_Data[[#This Row],[Treatment_Cost_USD]]</f>
        <v>294437.90039999998</v>
      </c>
      <c r="C2814" s="14">
        <f>95.19*Hospital_Operations_Data[[#This Row],[Medication_Cost_USD]]</f>
        <v>88224.947700000004</v>
      </c>
    </row>
    <row r="2815" spans="1:3" x14ac:dyDescent="0.3">
      <c r="A2815" s="11">
        <f>95.19*Hospital_Operations_Data[[#This Row],[Treatment_Cost_USD]]</f>
        <v>579761.35829999996</v>
      </c>
      <c r="C2815" s="13">
        <f>95.19*Hospital_Operations_Data[[#This Row],[Medication_Cost_USD]]</f>
        <v>214601.09549999997</v>
      </c>
    </row>
    <row r="2816" spans="1:3" x14ac:dyDescent="0.3">
      <c r="A2816" s="12">
        <f>95.19*Hospital_Operations_Data[[#This Row],[Treatment_Cost_USD]]</f>
        <v>1012193.3459999999</v>
      </c>
      <c r="C2816" s="14">
        <f>95.19*Hospital_Operations_Data[[#This Row],[Medication_Cost_USD]]</f>
        <v>360422.65649999998</v>
      </c>
    </row>
    <row r="2817" spans="1:3" x14ac:dyDescent="0.3">
      <c r="A2817" s="11">
        <f>95.19*Hospital_Operations_Data[[#This Row],[Treatment_Cost_USD]]</f>
        <v>1113723.9519</v>
      </c>
      <c r="C2817" s="13">
        <f>95.19*Hospital_Operations_Data[[#This Row],[Medication_Cost_USD]]</f>
        <v>385602.31529999996</v>
      </c>
    </row>
    <row r="2818" spans="1:3" x14ac:dyDescent="0.3">
      <c r="A2818" s="12">
        <f>95.19*Hospital_Operations_Data[[#This Row],[Treatment_Cost_USD]]</f>
        <v>348994.14509999997</v>
      </c>
      <c r="C2818" s="14">
        <f>95.19*Hospital_Operations_Data[[#This Row],[Medication_Cost_USD]]</f>
        <v>57786.993300000002</v>
      </c>
    </row>
    <row r="2819" spans="1:3" x14ac:dyDescent="0.3">
      <c r="A2819" s="11">
        <f>95.19*Hospital_Operations_Data[[#This Row],[Treatment_Cost_USD]]</f>
        <v>745384.34309999994</v>
      </c>
      <c r="C2819" s="13">
        <f>95.19*Hospital_Operations_Data[[#This Row],[Medication_Cost_USD]]</f>
        <v>145172.3652</v>
      </c>
    </row>
    <row r="2820" spans="1:3" x14ac:dyDescent="0.3">
      <c r="A2820" s="12">
        <f>95.19*Hospital_Operations_Data[[#This Row],[Treatment_Cost_USD]]</f>
        <v>790722.38820000004</v>
      </c>
      <c r="C2820" s="14">
        <f>95.19*Hospital_Operations_Data[[#This Row],[Medication_Cost_USD]]</f>
        <v>285121.65509999997</v>
      </c>
    </row>
    <row r="2821" spans="1:3" x14ac:dyDescent="0.3">
      <c r="A2821" s="11">
        <f>95.19*Hospital_Operations_Data[[#This Row],[Treatment_Cost_USD]]</f>
        <v>1309308.9410999999</v>
      </c>
      <c r="C2821" s="13">
        <f>95.19*Hospital_Operations_Data[[#This Row],[Medication_Cost_USD]]</f>
        <v>374490.78659999999</v>
      </c>
    </row>
    <row r="2822" spans="1:3" x14ac:dyDescent="0.3">
      <c r="A2822" s="12">
        <f>95.19*Hospital_Operations_Data[[#This Row],[Treatment_Cost_USD]]</f>
        <v>265700.99129999999</v>
      </c>
      <c r="C2822" s="14">
        <f>95.19*Hospital_Operations_Data[[#This Row],[Medication_Cost_USD]]</f>
        <v>102624.33899999999</v>
      </c>
    </row>
    <row r="2823" spans="1:3" x14ac:dyDescent="0.3">
      <c r="A2823" s="11">
        <f>95.19*Hospital_Operations_Data[[#This Row],[Treatment_Cost_USD]]</f>
        <v>1319187.7592999998</v>
      </c>
      <c r="C2823" s="13">
        <f>95.19*Hospital_Operations_Data[[#This Row],[Medication_Cost_USD]]</f>
        <v>281793.81270000001</v>
      </c>
    </row>
    <row r="2824" spans="1:3" x14ac:dyDescent="0.3">
      <c r="A2824" s="12">
        <f>95.19*Hospital_Operations_Data[[#This Row],[Treatment_Cost_USD]]</f>
        <v>1310221.8132</v>
      </c>
      <c r="C2824" s="14">
        <f>95.19*Hospital_Operations_Data[[#This Row],[Medication_Cost_USD]]</f>
        <v>341996.72820000001</v>
      </c>
    </row>
    <row r="2825" spans="1:3" x14ac:dyDescent="0.3">
      <c r="A2825" s="11">
        <f>95.19*Hospital_Operations_Data[[#This Row],[Treatment_Cost_USD]]</f>
        <v>853288.87139999995</v>
      </c>
      <c r="C2825" s="13">
        <f>95.19*Hospital_Operations_Data[[#This Row],[Medication_Cost_USD]]</f>
        <v>165067.07519999999</v>
      </c>
    </row>
    <row r="2826" spans="1:3" x14ac:dyDescent="0.3">
      <c r="A2826" s="12">
        <f>95.19*Hospital_Operations_Data[[#This Row],[Treatment_Cost_USD]]</f>
        <v>899637.83429999987</v>
      </c>
      <c r="C2826" s="14">
        <f>95.19*Hospital_Operations_Data[[#This Row],[Medication_Cost_USD]]</f>
        <v>227247.087</v>
      </c>
    </row>
    <row r="2827" spans="1:3" x14ac:dyDescent="0.3">
      <c r="A2827" s="11">
        <f>95.19*Hospital_Operations_Data[[#This Row],[Treatment_Cost_USD]]</f>
        <v>474181.36979999999</v>
      </c>
      <c r="C2827" s="13">
        <f>95.19*Hospital_Operations_Data[[#This Row],[Medication_Cost_USD]]</f>
        <v>170468.15579999998</v>
      </c>
    </row>
    <row r="2828" spans="1:3" x14ac:dyDescent="0.3">
      <c r="A2828" s="12">
        <f>95.19*Hospital_Operations_Data[[#This Row],[Treatment_Cost_USD]]</f>
        <v>413695.74</v>
      </c>
      <c r="C2828" s="14">
        <f>95.19*Hospital_Operations_Data[[#This Row],[Medication_Cost_USD]]</f>
        <v>125964.927</v>
      </c>
    </row>
    <row r="2829" spans="1:3" x14ac:dyDescent="0.3">
      <c r="A2829" s="11">
        <f>95.19*Hospital_Operations_Data[[#This Row],[Treatment_Cost_USD]]</f>
        <v>660262.58940000006</v>
      </c>
      <c r="C2829" s="13">
        <f>95.19*Hospital_Operations_Data[[#This Row],[Medication_Cost_USD]]</f>
        <v>114593.52959999999</v>
      </c>
    </row>
    <row r="2830" spans="1:3" x14ac:dyDescent="0.3">
      <c r="A2830" s="12">
        <f>95.19*Hospital_Operations_Data[[#This Row],[Treatment_Cost_USD]]</f>
        <v>603238.06799999997</v>
      </c>
      <c r="C2830" s="14">
        <f>95.19*Hospital_Operations_Data[[#This Row],[Medication_Cost_USD]]</f>
        <v>126597.9405</v>
      </c>
    </row>
    <row r="2831" spans="1:3" x14ac:dyDescent="0.3">
      <c r="A2831" s="11">
        <f>95.19*Hospital_Operations_Data[[#This Row],[Treatment_Cost_USD]]</f>
        <v>1650676.4634</v>
      </c>
      <c r="C2831" s="13">
        <f>95.19*Hospital_Operations_Data[[#This Row],[Medication_Cost_USD]]</f>
        <v>428276.94420000003</v>
      </c>
    </row>
    <row r="2832" spans="1:3" x14ac:dyDescent="0.3">
      <c r="A2832" s="12">
        <f>95.19*Hospital_Operations_Data[[#This Row],[Treatment_Cost_USD]]</f>
        <v>494313.1029</v>
      </c>
      <c r="C2832" s="14">
        <f>95.19*Hospital_Operations_Data[[#This Row],[Medication_Cost_USD]]</f>
        <v>141899.73300000001</v>
      </c>
    </row>
    <row r="2833" spans="1:3" x14ac:dyDescent="0.3">
      <c r="A2833" s="11">
        <f>95.19*Hospital_Operations_Data[[#This Row],[Treatment_Cost_USD]]</f>
        <v>373840.63889999996</v>
      </c>
      <c r="C2833" s="13">
        <f>95.19*Hospital_Operations_Data[[#This Row],[Medication_Cost_USD]]</f>
        <v>90288.666899999997</v>
      </c>
    </row>
    <row r="2834" spans="1:3" x14ac:dyDescent="0.3">
      <c r="A2834" s="12">
        <f>95.19*Hospital_Operations_Data[[#This Row],[Treatment_Cost_USD]]</f>
        <v>95727.823499999999</v>
      </c>
      <c r="C2834" s="14">
        <f>95.19*Hospital_Operations_Data[[#This Row],[Medication_Cost_USD]]</f>
        <v>27231.955199999997</v>
      </c>
    </row>
    <row r="2835" spans="1:3" x14ac:dyDescent="0.3">
      <c r="A2835" s="11">
        <f>95.19*Hospital_Operations_Data[[#This Row],[Treatment_Cost_USD]]</f>
        <v>1150337.8334999999</v>
      </c>
      <c r="C2835" s="13">
        <f>95.19*Hospital_Operations_Data[[#This Row],[Medication_Cost_USD]]</f>
        <v>202757.55570000003</v>
      </c>
    </row>
    <row r="2836" spans="1:3" x14ac:dyDescent="0.3">
      <c r="A2836" s="12">
        <f>95.19*Hospital_Operations_Data[[#This Row],[Treatment_Cost_USD]]</f>
        <v>852309.36629999999</v>
      </c>
      <c r="C2836" s="14">
        <f>95.19*Hospital_Operations_Data[[#This Row],[Medication_Cost_USD]]</f>
        <v>128757.80160000001</v>
      </c>
    </row>
    <row r="2837" spans="1:3" x14ac:dyDescent="0.3">
      <c r="A2837" s="11">
        <f>95.19*Hospital_Operations_Data[[#This Row],[Treatment_Cost_USD]]</f>
        <v>630459.55229999998</v>
      </c>
      <c r="C2837" s="13">
        <f>95.19*Hospital_Operations_Data[[#This Row],[Medication_Cost_USD]]</f>
        <v>103349.6868</v>
      </c>
    </row>
    <row r="2838" spans="1:3" x14ac:dyDescent="0.3">
      <c r="A2838" s="12">
        <f>95.19*Hospital_Operations_Data[[#This Row],[Treatment_Cost_USD]]</f>
        <v>347381.62649999995</v>
      </c>
      <c r="C2838" s="14">
        <f>95.19*Hospital_Operations_Data[[#This Row],[Medication_Cost_USD]]</f>
        <v>83452.121100000004</v>
      </c>
    </row>
    <row r="2839" spans="1:3" x14ac:dyDescent="0.3">
      <c r="A2839" s="11">
        <f>95.19*Hospital_Operations_Data[[#This Row],[Treatment_Cost_USD]]</f>
        <v>272949.70980000001</v>
      </c>
      <c r="C2839" s="13">
        <f>95.19*Hospital_Operations_Data[[#This Row],[Medication_Cost_USD]]</f>
        <v>91643.220600000001</v>
      </c>
    </row>
    <row r="2840" spans="1:3" x14ac:dyDescent="0.3">
      <c r="A2840" s="12">
        <f>95.19*Hospital_Operations_Data[[#This Row],[Treatment_Cost_USD]]</f>
        <v>635076.26729999995</v>
      </c>
      <c r="C2840" s="14">
        <f>95.19*Hospital_Operations_Data[[#This Row],[Medication_Cost_USD]]</f>
        <v>114958.1073</v>
      </c>
    </row>
    <row r="2841" spans="1:3" x14ac:dyDescent="0.3">
      <c r="A2841" s="11">
        <f>95.19*Hospital_Operations_Data[[#This Row],[Treatment_Cost_USD]]</f>
        <v>353381.4522</v>
      </c>
      <c r="C2841" s="13">
        <f>95.19*Hospital_Operations_Data[[#This Row],[Medication_Cost_USD]]</f>
        <v>53096.030099999996</v>
      </c>
    </row>
    <row r="2842" spans="1:3" x14ac:dyDescent="0.3">
      <c r="A2842" s="12">
        <f>95.19*Hospital_Operations_Data[[#This Row],[Treatment_Cost_USD]]</f>
        <v>473823.45539999998</v>
      </c>
      <c r="C2842" s="14">
        <f>95.19*Hospital_Operations_Data[[#This Row],[Medication_Cost_USD]]</f>
        <v>181081.84079999998</v>
      </c>
    </row>
    <row r="2843" spans="1:3" x14ac:dyDescent="0.3">
      <c r="A2843" s="11">
        <f>95.19*Hospital_Operations_Data[[#This Row],[Treatment_Cost_USD]]</f>
        <v>350956.011</v>
      </c>
      <c r="C2843" s="13">
        <f>95.19*Hospital_Operations_Data[[#This Row],[Medication_Cost_USD]]</f>
        <v>128044.8285</v>
      </c>
    </row>
    <row r="2844" spans="1:3" x14ac:dyDescent="0.3">
      <c r="A2844" s="12">
        <f>95.19*Hospital_Operations_Data[[#This Row],[Treatment_Cost_USD]]</f>
        <v>266497.7316</v>
      </c>
      <c r="C2844" s="14">
        <f>95.19*Hospital_Operations_Data[[#This Row],[Medication_Cost_USD]]</f>
        <v>105607.59360000001</v>
      </c>
    </row>
    <row r="2845" spans="1:3" x14ac:dyDescent="0.3">
      <c r="A2845" s="11">
        <f>95.19*Hospital_Operations_Data[[#This Row],[Treatment_Cost_USD]]</f>
        <v>947528.87520000001</v>
      </c>
      <c r="C2845" s="13">
        <f>95.19*Hospital_Operations_Data[[#This Row],[Medication_Cost_USD]]</f>
        <v>203281.10070000001</v>
      </c>
    </row>
    <row r="2846" spans="1:3" x14ac:dyDescent="0.3">
      <c r="A2846" s="12">
        <f>95.19*Hospital_Operations_Data[[#This Row],[Treatment_Cost_USD]]</f>
        <v>1328844.7848</v>
      </c>
      <c r="C2846" s="14">
        <f>95.19*Hospital_Operations_Data[[#This Row],[Medication_Cost_USD]]</f>
        <v>356444.66639999999</v>
      </c>
    </row>
    <row r="2847" spans="1:3" x14ac:dyDescent="0.3">
      <c r="A2847" s="11">
        <f>95.19*Hospital_Operations_Data[[#This Row],[Treatment_Cost_USD]]</f>
        <v>324344.69459999999</v>
      </c>
      <c r="C2847" s="13">
        <f>95.19*Hospital_Operations_Data[[#This Row],[Medication_Cost_USD]]</f>
        <v>74312.929199999999</v>
      </c>
    </row>
    <row r="2848" spans="1:3" x14ac:dyDescent="0.3">
      <c r="A2848" s="12">
        <f>95.19*Hospital_Operations_Data[[#This Row],[Treatment_Cost_USD]]</f>
        <v>215813.8161</v>
      </c>
      <c r="C2848" s="14">
        <f>95.19*Hospital_Operations_Data[[#This Row],[Medication_Cost_USD]]</f>
        <v>57445.261200000001</v>
      </c>
    </row>
    <row r="2849" spans="1:3" x14ac:dyDescent="0.3">
      <c r="A2849" s="11">
        <f>95.19*Hospital_Operations_Data[[#This Row],[Treatment_Cost_USD]]</f>
        <v>346703.8737</v>
      </c>
      <c r="C2849" s="13">
        <f>95.19*Hospital_Operations_Data[[#This Row],[Medication_Cost_USD]]</f>
        <v>110418.49619999999</v>
      </c>
    </row>
    <row r="2850" spans="1:3" x14ac:dyDescent="0.3">
      <c r="A2850" s="12">
        <f>95.19*Hospital_Operations_Data[[#This Row],[Treatment_Cost_USD]]</f>
        <v>237224.90279999998</v>
      </c>
      <c r="C2850" s="14">
        <f>95.19*Hospital_Operations_Data[[#This Row],[Medication_Cost_USD]]</f>
        <v>40371.982799999998</v>
      </c>
    </row>
    <row r="2851" spans="1:3" x14ac:dyDescent="0.3">
      <c r="A2851" s="11">
        <f>95.19*Hospital_Operations_Data[[#This Row],[Treatment_Cost_USD]]</f>
        <v>580891.26359999995</v>
      </c>
      <c r="C2851" s="13">
        <f>95.19*Hospital_Operations_Data[[#This Row],[Medication_Cost_USD]]</f>
        <v>134791.89569999999</v>
      </c>
    </row>
    <row r="2852" spans="1:3" x14ac:dyDescent="0.3">
      <c r="A2852" s="12">
        <f>95.19*Hospital_Operations_Data[[#This Row],[Treatment_Cost_USD]]</f>
        <v>487794.49170000001</v>
      </c>
      <c r="C2852" s="14">
        <f>95.19*Hospital_Operations_Data[[#This Row],[Medication_Cost_USD]]</f>
        <v>142153.8903</v>
      </c>
    </row>
    <row r="2853" spans="1:3" x14ac:dyDescent="0.3">
      <c r="A2853" s="11">
        <f>95.19*Hospital_Operations_Data[[#This Row],[Treatment_Cost_USD]]</f>
        <v>323794.4964</v>
      </c>
      <c r="C2853" s="13">
        <f>95.19*Hospital_Operations_Data[[#This Row],[Medication_Cost_USD]]</f>
        <v>74608.970099999991</v>
      </c>
    </row>
    <row r="2854" spans="1:3" x14ac:dyDescent="0.3">
      <c r="A2854" s="12">
        <f>95.19*Hospital_Operations_Data[[#This Row],[Treatment_Cost_USD]]</f>
        <v>797964.44339999999</v>
      </c>
      <c r="C2854" s="14">
        <f>95.19*Hospital_Operations_Data[[#This Row],[Medication_Cost_USD]]</f>
        <v>206457.59100000001</v>
      </c>
    </row>
    <row r="2855" spans="1:3" x14ac:dyDescent="0.3">
      <c r="A2855" s="11">
        <f>95.19*Hospital_Operations_Data[[#This Row],[Treatment_Cost_USD]]</f>
        <v>329127.99210000003</v>
      </c>
      <c r="C2855" s="13">
        <f>95.19*Hospital_Operations_Data[[#This Row],[Medication_Cost_USD]]</f>
        <v>70484.387400000007</v>
      </c>
    </row>
    <row r="2856" spans="1:3" x14ac:dyDescent="0.3">
      <c r="A2856" s="12">
        <f>95.19*Hospital_Operations_Data[[#This Row],[Treatment_Cost_USD]]</f>
        <v>436459.47659999999</v>
      </c>
      <c r="C2856" s="14">
        <f>95.19*Hospital_Operations_Data[[#This Row],[Medication_Cost_USD]]</f>
        <v>99461.175299999988</v>
      </c>
    </row>
    <row r="2857" spans="1:3" x14ac:dyDescent="0.3">
      <c r="A2857" s="11">
        <f>95.19*Hospital_Operations_Data[[#This Row],[Treatment_Cost_USD]]</f>
        <v>120467.70449999999</v>
      </c>
      <c r="C2857" s="13">
        <f>95.19*Hospital_Operations_Data[[#This Row],[Medication_Cost_USD]]</f>
        <v>44613.6492</v>
      </c>
    </row>
    <row r="2858" spans="1:3" x14ac:dyDescent="0.3">
      <c r="A2858" s="12">
        <f>95.19*Hospital_Operations_Data[[#This Row],[Treatment_Cost_USD]]</f>
        <v>224199.10320000001</v>
      </c>
      <c r="C2858" s="14">
        <f>95.19*Hospital_Operations_Data[[#This Row],[Medication_Cost_USD]]</f>
        <v>55153.085999999996</v>
      </c>
    </row>
    <row r="2859" spans="1:3" x14ac:dyDescent="0.3">
      <c r="A2859" s="11">
        <f>95.19*Hospital_Operations_Data[[#This Row],[Treatment_Cost_USD]]</f>
        <v>805706.24609999999</v>
      </c>
      <c r="C2859" s="13">
        <f>95.19*Hospital_Operations_Data[[#This Row],[Medication_Cost_USD]]</f>
        <v>147951.91319999998</v>
      </c>
    </row>
    <row r="2860" spans="1:3" x14ac:dyDescent="0.3">
      <c r="A2860" s="12">
        <f>95.19*Hospital_Operations_Data[[#This Row],[Treatment_Cost_USD]]</f>
        <v>968626.78679999989</v>
      </c>
      <c r="C2860" s="14">
        <f>95.19*Hospital_Operations_Data[[#This Row],[Medication_Cost_USD]]</f>
        <v>261981.91799999998</v>
      </c>
    </row>
    <row r="2861" spans="1:3" x14ac:dyDescent="0.3">
      <c r="A2861" s="11">
        <f>95.19*Hospital_Operations_Data[[#This Row],[Treatment_Cost_USD]]</f>
        <v>681503.28599999996</v>
      </c>
      <c r="C2861" s="13">
        <f>95.19*Hospital_Operations_Data[[#This Row],[Medication_Cost_USD]]</f>
        <v>271360.0368</v>
      </c>
    </row>
    <row r="2862" spans="1:3" x14ac:dyDescent="0.3">
      <c r="A2862" s="12">
        <f>95.19*Hospital_Operations_Data[[#This Row],[Treatment_Cost_USD]]</f>
        <v>949264.18889999995</v>
      </c>
      <c r="C2862" s="14">
        <f>95.19*Hospital_Operations_Data[[#This Row],[Medication_Cost_USD]]</f>
        <v>264240.77669999999</v>
      </c>
    </row>
    <row r="2863" spans="1:3" x14ac:dyDescent="0.3">
      <c r="A2863" s="11">
        <f>95.19*Hospital_Operations_Data[[#This Row],[Treatment_Cost_USD]]</f>
        <v>476912.37089999998</v>
      </c>
      <c r="C2863" s="13">
        <f>95.19*Hospital_Operations_Data[[#This Row],[Medication_Cost_USD]]</f>
        <v>77872.083299999998</v>
      </c>
    </row>
    <row r="2864" spans="1:3" x14ac:dyDescent="0.3">
      <c r="A2864" s="12">
        <f>95.19*Hospital_Operations_Data[[#This Row],[Treatment_Cost_USD]]</f>
        <v>1059817.8548999999</v>
      </c>
      <c r="C2864" s="14">
        <f>95.19*Hospital_Operations_Data[[#This Row],[Medication_Cost_USD]]</f>
        <v>369474.27360000001</v>
      </c>
    </row>
    <row r="2865" spans="1:3" x14ac:dyDescent="0.3">
      <c r="A2865" s="11">
        <f>95.19*Hospital_Operations_Data[[#This Row],[Treatment_Cost_USD]]</f>
        <v>1073034.0344999998</v>
      </c>
      <c r="C2865" s="13">
        <f>95.19*Hospital_Operations_Data[[#This Row],[Medication_Cost_USD]]</f>
        <v>173673.20309999998</v>
      </c>
    </row>
    <row r="2866" spans="1:3" x14ac:dyDescent="0.3">
      <c r="A2866" s="12">
        <f>95.19*Hospital_Operations_Data[[#This Row],[Treatment_Cost_USD]]</f>
        <v>800366.0871</v>
      </c>
      <c r="C2866" s="14">
        <f>95.19*Hospital_Operations_Data[[#This Row],[Medication_Cost_USD]]</f>
        <v>271888.34129999997</v>
      </c>
    </row>
    <row r="2867" spans="1:3" x14ac:dyDescent="0.3">
      <c r="A2867" s="11">
        <f>95.19*Hospital_Operations_Data[[#This Row],[Treatment_Cost_USD]]</f>
        <v>1016092.3284</v>
      </c>
      <c r="C2867" s="13">
        <f>95.19*Hospital_Operations_Data[[#This Row],[Medication_Cost_USD]]</f>
        <v>303751.28999999998</v>
      </c>
    </row>
    <row r="2868" spans="1:3" x14ac:dyDescent="0.3">
      <c r="A2868" s="12">
        <f>95.19*Hospital_Operations_Data[[#This Row],[Treatment_Cost_USD]]</f>
        <v>347829.97139999998</v>
      </c>
      <c r="C2868" s="14">
        <f>95.19*Hospital_Operations_Data[[#This Row],[Medication_Cost_USD]]</f>
        <v>73970.245200000005</v>
      </c>
    </row>
    <row r="2869" spans="1:3" x14ac:dyDescent="0.3">
      <c r="A2869" s="11">
        <f>95.19*Hospital_Operations_Data[[#This Row],[Treatment_Cost_USD]]</f>
        <v>572113.79369999992</v>
      </c>
      <c r="C2869" s="13">
        <f>95.19*Hospital_Operations_Data[[#This Row],[Medication_Cost_USD]]</f>
        <v>171443.85329999999</v>
      </c>
    </row>
    <row r="2870" spans="1:3" x14ac:dyDescent="0.3">
      <c r="A2870" s="12">
        <f>95.19*Hospital_Operations_Data[[#This Row],[Treatment_Cost_USD]]</f>
        <v>642649.58369999996</v>
      </c>
      <c r="C2870" s="14">
        <f>95.19*Hospital_Operations_Data[[#This Row],[Medication_Cost_USD]]</f>
        <v>253356.75210000001</v>
      </c>
    </row>
    <row r="2871" spans="1:3" x14ac:dyDescent="0.3">
      <c r="A2871" s="11">
        <f>95.19*Hospital_Operations_Data[[#This Row],[Treatment_Cost_USD]]</f>
        <v>1475995.1982</v>
      </c>
      <c r="C2871" s="13">
        <f>95.19*Hospital_Operations_Data[[#This Row],[Medication_Cost_USD]]</f>
        <v>401811.26849999995</v>
      </c>
    </row>
    <row r="2872" spans="1:3" x14ac:dyDescent="0.3">
      <c r="A2872" s="12">
        <f>95.19*Hospital_Operations_Data[[#This Row],[Treatment_Cost_USD]]</f>
        <v>523544.04809999996</v>
      </c>
      <c r="C2872" s="14">
        <f>95.19*Hospital_Operations_Data[[#This Row],[Medication_Cost_USD]]</f>
        <v>144403.23000000001</v>
      </c>
    </row>
    <row r="2873" spans="1:3" x14ac:dyDescent="0.3">
      <c r="A2873" s="11">
        <f>95.19*Hospital_Operations_Data[[#This Row],[Treatment_Cost_USD]]</f>
        <v>154958.84909999999</v>
      </c>
      <c r="C2873" s="13">
        <f>95.19*Hospital_Operations_Data[[#This Row],[Medication_Cost_USD]]</f>
        <v>48993.341100000005</v>
      </c>
    </row>
    <row r="2874" spans="1:3" x14ac:dyDescent="0.3">
      <c r="A2874" s="12">
        <f>95.19*Hospital_Operations_Data[[#This Row],[Treatment_Cost_USD]]</f>
        <v>1846036.8041999999</v>
      </c>
      <c r="C2874" s="14">
        <f>95.19*Hospital_Operations_Data[[#This Row],[Medication_Cost_USD]]</f>
        <v>706895.21849999996</v>
      </c>
    </row>
    <row r="2875" spans="1:3" x14ac:dyDescent="0.3">
      <c r="A2875" s="11">
        <f>95.19*Hospital_Operations_Data[[#This Row],[Treatment_Cost_USD]]</f>
        <v>814151.50289999996</v>
      </c>
      <c r="C2875" s="13">
        <f>95.19*Hospital_Operations_Data[[#This Row],[Medication_Cost_USD]]</f>
        <v>188641.83059999999</v>
      </c>
    </row>
    <row r="2876" spans="1:3" x14ac:dyDescent="0.3">
      <c r="A2876" s="12">
        <f>95.19*Hospital_Operations_Data[[#This Row],[Treatment_Cost_USD]]</f>
        <v>189866.92589999997</v>
      </c>
      <c r="C2876" s="14">
        <f>95.19*Hospital_Operations_Data[[#This Row],[Medication_Cost_USD]]</f>
        <v>43442.8122</v>
      </c>
    </row>
    <row r="2877" spans="1:3" x14ac:dyDescent="0.3">
      <c r="A2877" s="11">
        <f>95.19*Hospital_Operations_Data[[#This Row],[Treatment_Cost_USD]]</f>
        <v>336916.43789999996</v>
      </c>
      <c r="C2877" s="13">
        <f>95.19*Hospital_Operations_Data[[#This Row],[Medication_Cost_USD]]</f>
        <v>71386.7886</v>
      </c>
    </row>
    <row r="2878" spans="1:3" x14ac:dyDescent="0.3">
      <c r="A2878" s="12">
        <f>95.19*Hospital_Operations_Data[[#This Row],[Treatment_Cost_USD]]</f>
        <v>765259.06319999998</v>
      </c>
      <c r="C2878" s="14">
        <f>95.19*Hospital_Operations_Data[[#This Row],[Medication_Cost_USD]]</f>
        <v>157778.3769</v>
      </c>
    </row>
    <row r="2879" spans="1:3" x14ac:dyDescent="0.3">
      <c r="A2879" s="11">
        <f>95.19*Hospital_Operations_Data[[#This Row],[Treatment_Cost_USD]]</f>
        <v>426984.26400000002</v>
      </c>
      <c r="C2879" s="13">
        <f>95.19*Hospital_Operations_Data[[#This Row],[Medication_Cost_USD]]</f>
        <v>108482.3316</v>
      </c>
    </row>
    <row r="2880" spans="1:3" x14ac:dyDescent="0.3">
      <c r="A2880" s="12">
        <f>95.19*Hospital_Operations_Data[[#This Row],[Treatment_Cost_USD]]</f>
        <v>1572700.6230000001</v>
      </c>
      <c r="C2880" s="14">
        <f>95.19*Hospital_Operations_Data[[#This Row],[Medication_Cost_USD]]</f>
        <v>359028.12299999996</v>
      </c>
    </row>
    <row r="2881" spans="1:3" x14ac:dyDescent="0.3">
      <c r="A2881" s="11">
        <f>95.19*Hospital_Operations_Data[[#This Row],[Treatment_Cost_USD]]</f>
        <v>807305.43809999991</v>
      </c>
      <c r="C2881" s="13">
        <f>95.19*Hospital_Operations_Data[[#This Row],[Medication_Cost_USD]]</f>
        <v>125840.22809999999</v>
      </c>
    </row>
    <row r="2882" spans="1:3" x14ac:dyDescent="0.3">
      <c r="A2882" s="12">
        <f>95.19*Hospital_Operations_Data[[#This Row],[Treatment_Cost_USD]]</f>
        <v>2071418.1672</v>
      </c>
      <c r="C2882" s="14">
        <f>95.19*Hospital_Operations_Data[[#This Row],[Medication_Cost_USD]]</f>
        <v>800999.10060000001</v>
      </c>
    </row>
    <row r="2883" spans="1:3" x14ac:dyDescent="0.3">
      <c r="A2883" s="11">
        <f>95.19*Hospital_Operations_Data[[#This Row],[Treatment_Cost_USD]]</f>
        <v>387749.80169999995</v>
      </c>
      <c r="C2883" s="13">
        <f>95.19*Hospital_Operations_Data[[#This Row],[Medication_Cost_USD]]</f>
        <v>140083.50779999999</v>
      </c>
    </row>
    <row r="2884" spans="1:3" x14ac:dyDescent="0.3">
      <c r="A2884" s="12">
        <f>95.19*Hospital_Operations_Data[[#This Row],[Treatment_Cost_USD]]</f>
        <v>1302123.9998999999</v>
      </c>
      <c r="C2884" s="14">
        <f>95.19*Hospital_Operations_Data[[#This Row],[Medication_Cost_USD]]</f>
        <v>385666.09259999997</v>
      </c>
    </row>
    <row r="2885" spans="1:3" x14ac:dyDescent="0.3">
      <c r="A2885" s="11">
        <f>95.19*Hospital_Operations_Data[[#This Row],[Treatment_Cost_USD]]</f>
        <v>968313.61170000001</v>
      </c>
      <c r="C2885" s="13">
        <f>95.19*Hospital_Operations_Data[[#This Row],[Medication_Cost_USD]]</f>
        <v>157465.20180000001</v>
      </c>
    </row>
    <row r="2886" spans="1:3" x14ac:dyDescent="0.3">
      <c r="A2886" s="12">
        <f>95.19*Hospital_Operations_Data[[#This Row],[Treatment_Cost_USD]]</f>
        <v>500998.2966</v>
      </c>
      <c r="C2886" s="14">
        <f>95.19*Hospital_Operations_Data[[#This Row],[Medication_Cost_USD]]</f>
        <v>127693.57739999999</v>
      </c>
    </row>
    <row r="2887" spans="1:3" x14ac:dyDescent="0.3">
      <c r="A2887" s="11">
        <f>95.19*Hospital_Operations_Data[[#This Row],[Treatment_Cost_USD]]</f>
        <v>433343.90789999999</v>
      </c>
      <c r="C2887" s="13">
        <f>95.19*Hospital_Operations_Data[[#This Row],[Medication_Cost_USD]]</f>
        <v>168812.80170000001</v>
      </c>
    </row>
    <row r="2888" spans="1:3" x14ac:dyDescent="0.3">
      <c r="A2888" s="12">
        <f>95.19*Hospital_Operations_Data[[#This Row],[Treatment_Cost_USD]]</f>
        <v>134709.08040000001</v>
      </c>
      <c r="C2888" s="14">
        <f>95.19*Hospital_Operations_Data[[#This Row],[Medication_Cost_USD]]</f>
        <v>29982.946200000002</v>
      </c>
    </row>
    <row r="2889" spans="1:3" x14ac:dyDescent="0.3">
      <c r="A2889" s="11">
        <f>95.19*Hospital_Operations_Data[[#This Row],[Treatment_Cost_USD]]</f>
        <v>340994.3775</v>
      </c>
      <c r="C2889" s="13">
        <f>95.19*Hospital_Operations_Data[[#This Row],[Medication_Cost_USD]]</f>
        <v>110295.70110000001</v>
      </c>
    </row>
    <row r="2890" spans="1:3" x14ac:dyDescent="0.3">
      <c r="A2890" s="12">
        <f>95.19*Hospital_Operations_Data[[#This Row],[Treatment_Cost_USD]]</f>
        <v>1264146.9975000001</v>
      </c>
      <c r="C2890" s="14">
        <f>95.19*Hospital_Operations_Data[[#This Row],[Medication_Cost_USD]]</f>
        <v>434835.53519999998</v>
      </c>
    </row>
    <row r="2891" spans="1:3" x14ac:dyDescent="0.3">
      <c r="A2891" s="11">
        <f>95.19*Hospital_Operations_Data[[#This Row],[Treatment_Cost_USD]]</f>
        <v>1205745.0767999999</v>
      </c>
      <c r="C2891" s="13">
        <f>95.19*Hospital_Operations_Data[[#This Row],[Medication_Cost_USD]]</f>
        <v>265359.25919999997</v>
      </c>
    </row>
    <row r="2892" spans="1:3" x14ac:dyDescent="0.3">
      <c r="A2892" s="12">
        <f>95.19*Hospital_Operations_Data[[#This Row],[Treatment_Cost_USD]]</f>
        <v>587114.78579999995</v>
      </c>
      <c r="C2892" s="14">
        <f>95.19*Hospital_Operations_Data[[#This Row],[Medication_Cost_USD]]</f>
        <v>186661.8786</v>
      </c>
    </row>
    <row r="2893" spans="1:3" x14ac:dyDescent="0.3">
      <c r="A2893" s="11">
        <f>95.19*Hospital_Operations_Data[[#This Row],[Treatment_Cost_USD]]</f>
        <v>256993.01009999998</v>
      </c>
      <c r="C2893" s="13">
        <f>95.19*Hospital_Operations_Data[[#This Row],[Medication_Cost_USD]]</f>
        <v>46573.611299999997</v>
      </c>
    </row>
    <row r="2894" spans="1:3" x14ac:dyDescent="0.3">
      <c r="A2894" s="12">
        <f>95.19*Hospital_Operations_Data[[#This Row],[Treatment_Cost_USD]]</f>
        <v>894745.06829999993</v>
      </c>
      <c r="C2894" s="14">
        <f>95.19*Hospital_Operations_Data[[#This Row],[Medication_Cost_USD]]</f>
        <v>269321.06700000004</v>
      </c>
    </row>
    <row r="2895" spans="1:3" x14ac:dyDescent="0.3">
      <c r="A2895" s="11">
        <f>95.19*Hospital_Operations_Data[[#This Row],[Treatment_Cost_USD]]</f>
        <v>1496469.6152999999</v>
      </c>
      <c r="C2895" s="13">
        <f>95.19*Hospital_Operations_Data[[#This Row],[Medication_Cost_USD]]</f>
        <v>417772.72769999999</v>
      </c>
    </row>
    <row r="2896" spans="1:3" x14ac:dyDescent="0.3">
      <c r="A2896" s="12">
        <f>95.19*Hospital_Operations_Data[[#This Row],[Treatment_Cost_USD]]</f>
        <v>1361652.0182999999</v>
      </c>
      <c r="C2896" s="14">
        <f>95.19*Hospital_Operations_Data[[#This Row],[Medication_Cost_USD]]</f>
        <v>370099.67190000002</v>
      </c>
    </row>
    <row r="2897" spans="1:3" x14ac:dyDescent="0.3">
      <c r="A2897" s="11">
        <f>95.19*Hospital_Operations_Data[[#This Row],[Treatment_Cost_USD]]</f>
        <v>1037268.2958</v>
      </c>
      <c r="C2897" s="13">
        <f>95.19*Hospital_Operations_Data[[#This Row],[Medication_Cost_USD]]</f>
        <v>221026.42049999998</v>
      </c>
    </row>
    <row r="2898" spans="1:3" x14ac:dyDescent="0.3">
      <c r="A2898" s="12">
        <f>95.19*Hospital_Operations_Data[[#This Row],[Treatment_Cost_USD]]</f>
        <v>799477.96440000006</v>
      </c>
      <c r="C2898" s="14">
        <f>95.19*Hospital_Operations_Data[[#This Row],[Medication_Cost_USD]]</f>
        <v>284687.58870000002</v>
      </c>
    </row>
    <row r="2899" spans="1:3" x14ac:dyDescent="0.3">
      <c r="A2899" s="11">
        <f>95.19*Hospital_Operations_Data[[#This Row],[Treatment_Cost_USD]]</f>
        <v>254814.111</v>
      </c>
      <c r="C2899" s="13">
        <f>95.19*Hospital_Operations_Data[[#This Row],[Medication_Cost_USD]]</f>
        <v>96298.963499999998</v>
      </c>
    </row>
    <row r="2900" spans="1:3" x14ac:dyDescent="0.3">
      <c r="A2900" s="12">
        <f>95.19*Hospital_Operations_Data[[#This Row],[Treatment_Cost_USD]]</f>
        <v>352343.8812</v>
      </c>
      <c r="C2900" s="14">
        <f>95.19*Hospital_Operations_Data[[#This Row],[Medication_Cost_USD]]</f>
        <v>104377.73879999999</v>
      </c>
    </row>
    <row r="2901" spans="1:3" x14ac:dyDescent="0.3">
      <c r="A2901" s="11">
        <f>95.19*Hospital_Operations_Data[[#This Row],[Treatment_Cost_USD]]</f>
        <v>1424220.4053</v>
      </c>
      <c r="C2901" s="13">
        <f>95.19*Hospital_Operations_Data[[#This Row],[Medication_Cost_USD]]</f>
        <v>306187.20209999999</v>
      </c>
    </row>
    <row r="2902" spans="1:3" x14ac:dyDescent="0.3">
      <c r="A2902" s="12">
        <f>95.19*Hospital_Operations_Data[[#This Row],[Treatment_Cost_USD]]</f>
        <v>551914.47569999995</v>
      </c>
      <c r="C2902" s="14">
        <f>95.19*Hospital_Operations_Data[[#This Row],[Medication_Cost_USD]]</f>
        <v>94979.630099999995</v>
      </c>
    </row>
    <row r="2903" spans="1:3" x14ac:dyDescent="0.3">
      <c r="A2903" s="11">
        <f>95.19*Hospital_Operations_Data[[#This Row],[Treatment_Cost_USD]]</f>
        <v>201738.07080000002</v>
      </c>
      <c r="C2903" s="13">
        <f>95.19*Hospital_Operations_Data[[#This Row],[Medication_Cost_USD]]</f>
        <v>56620.915800000002</v>
      </c>
    </row>
    <row r="2904" spans="1:3" x14ac:dyDescent="0.3">
      <c r="A2904" s="12">
        <f>95.19*Hospital_Operations_Data[[#This Row],[Treatment_Cost_USD]]</f>
        <v>1143261.4088999999</v>
      </c>
      <c r="C2904" s="14">
        <f>95.19*Hospital_Operations_Data[[#This Row],[Medication_Cost_USD]]</f>
        <v>191378.54310000001</v>
      </c>
    </row>
    <row r="2905" spans="1:3" x14ac:dyDescent="0.3">
      <c r="A2905" s="11">
        <f>95.19*Hospital_Operations_Data[[#This Row],[Treatment_Cost_USD]]</f>
        <v>257650.77299999999</v>
      </c>
      <c r="C2905" s="13">
        <f>95.19*Hospital_Operations_Data[[#This Row],[Medication_Cost_USD]]</f>
        <v>68394.966899999999</v>
      </c>
    </row>
    <row r="2906" spans="1:3" x14ac:dyDescent="0.3">
      <c r="A2906" s="12">
        <f>95.19*Hospital_Operations_Data[[#This Row],[Treatment_Cost_USD]]</f>
        <v>209208.58200000002</v>
      </c>
      <c r="C2906" s="14">
        <f>95.19*Hospital_Operations_Data[[#This Row],[Medication_Cost_USD]]</f>
        <v>70950.818400000004</v>
      </c>
    </row>
    <row r="2907" spans="1:3" x14ac:dyDescent="0.3">
      <c r="A2907" s="11">
        <f>95.19*Hospital_Operations_Data[[#This Row],[Treatment_Cost_USD]]</f>
        <v>701471.29229999997</v>
      </c>
      <c r="C2907" s="13">
        <f>95.19*Hospital_Operations_Data[[#This Row],[Medication_Cost_USD]]</f>
        <v>255958.2948</v>
      </c>
    </row>
    <row r="2908" spans="1:3" x14ac:dyDescent="0.3">
      <c r="A2908" s="12">
        <f>95.19*Hospital_Operations_Data[[#This Row],[Treatment_Cost_USD]]</f>
        <v>217742.36549999999</v>
      </c>
      <c r="C2908" s="14">
        <f>95.19*Hospital_Operations_Data[[#This Row],[Medication_Cost_USD]]</f>
        <v>55351.081200000001</v>
      </c>
    </row>
    <row r="2909" spans="1:3" x14ac:dyDescent="0.3">
      <c r="A2909" s="11">
        <f>95.19*Hospital_Operations_Data[[#This Row],[Treatment_Cost_USD]]</f>
        <v>437061.07740000001</v>
      </c>
      <c r="C2909" s="13">
        <f>95.19*Hospital_Operations_Data[[#This Row],[Medication_Cost_USD]]</f>
        <v>99839.079599999983</v>
      </c>
    </row>
    <row r="2910" spans="1:3" x14ac:dyDescent="0.3">
      <c r="A2910" s="12">
        <f>95.19*Hospital_Operations_Data[[#This Row],[Treatment_Cost_USD]]</f>
        <v>530261.60640000005</v>
      </c>
      <c r="C2910" s="14">
        <f>95.19*Hospital_Operations_Data[[#This Row],[Medication_Cost_USD]]</f>
        <v>198758.6238</v>
      </c>
    </row>
    <row r="2911" spans="1:3" x14ac:dyDescent="0.3">
      <c r="A2911" s="11">
        <f>95.19*Hospital_Operations_Data[[#This Row],[Treatment_Cost_USD]]</f>
        <v>1314505.3632</v>
      </c>
      <c r="C2911" s="13">
        <f>95.19*Hospital_Operations_Data[[#This Row],[Medication_Cost_USD]]</f>
        <v>368378.63669999997</v>
      </c>
    </row>
    <row r="2912" spans="1:3" x14ac:dyDescent="0.3">
      <c r="A2912" s="12">
        <f>95.19*Hospital_Operations_Data[[#This Row],[Treatment_Cost_USD]]</f>
        <v>2448639.9548999998</v>
      </c>
      <c r="C2912" s="14">
        <f>95.19*Hospital_Operations_Data[[#This Row],[Medication_Cost_USD]]</f>
        <v>457131.88890000002</v>
      </c>
    </row>
    <row r="2913" spans="1:3" x14ac:dyDescent="0.3">
      <c r="A2913" s="11">
        <f>95.19*Hospital_Operations_Data[[#This Row],[Treatment_Cost_USD]]</f>
        <v>552628.4007</v>
      </c>
      <c r="C2913" s="13">
        <f>95.19*Hospital_Operations_Data[[#This Row],[Medication_Cost_USD]]</f>
        <v>188562.8229</v>
      </c>
    </row>
    <row r="2914" spans="1:3" x14ac:dyDescent="0.3">
      <c r="A2914" s="12">
        <f>95.19*Hospital_Operations_Data[[#This Row],[Treatment_Cost_USD]]</f>
        <v>1193894.8736999999</v>
      </c>
      <c r="C2914" s="14">
        <f>95.19*Hospital_Operations_Data[[#This Row],[Medication_Cost_USD]]</f>
        <v>255318.61799999999</v>
      </c>
    </row>
    <row r="2915" spans="1:3" x14ac:dyDescent="0.3">
      <c r="A2915" s="11">
        <f>95.19*Hospital_Operations_Data[[#This Row],[Treatment_Cost_USD]]</f>
        <v>748715.99309999996</v>
      </c>
      <c r="C2915" s="13">
        <f>95.19*Hospital_Operations_Data[[#This Row],[Medication_Cost_USD]]</f>
        <v>243160.95120000001</v>
      </c>
    </row>
    <row r="2916" spans="1:3" x14ac:dyDescent="0.3">
      <c r="A2916" s="12">
        <f>95.19*Hospital_Operations_Data[[#This Row],[Treatment_Cost_USD]]</f>
        <v>281902.32929999998</v>
      </c>
      <c r="C2916" s="14">
        <f>95.19*Hospital_Operations_Data[[#This Row],[Medication_Cost_USD]]</f>
        <v>75859.766699999993</v>
      </c>
    </row>
    <row r="2917" spans="1:3" x14ac:dyDescent="0.3">
      <c r="A2917" s="11">
        <f>95.19*Hospital_Operations_Data[[#This Row],[Treatment_Cost_USD]]</f>
        <v>1206649.3817999999</v>
      </c>
      <c r="C2917" s="13">
        <f>95.19*Hospital_Operations_Data[[#This Row],[Medication_Cost_USD]]</f>
        <v>440446.03380000003</v>
      </c>
    </row>
    <row r="2918" spans="1:3" x14ac:dyDescent="0.3">
      <c r="A2918" s="12">
        <f>95.19*Hospital_Operations_Data[[#This Row],[Treatment_Cost_USD]]</f>
        <v>624573.95460000006</v>
      </c>
      <c r="C2918" s="14">
        <f>95.19*Hospital_Operations_Data[[#This Row],[Medication_Cost_USD]]</f>
        <v>110005.37160000001</v>
      </c>
    </row>
    <row r="2919" spans="1:3" x14ac:dyDescent="0.3">
      <c r="A2919" s="11">
        <f>95.19*Hospital_Operations_Data[[#This Row],[Treatment_Cost_USD]]</f>
        <v>397899.91140000004</v>
      </c>
      <c r="C2919" s="13">
        <f>95.19*Hospital_Operations_Data[[#This Row],[Medication_Cost_USD]]</f>
        <v>63226.149900000004</v>
      </c>
    </row>
    <row r="2920" spans="1:3" x14ac:dyDescent="0.3">
      <c r="A2920" s="12">
        <f>95.19*Hospital_Operations_Data[[#This Row],[Treatment_Cost_USD]]</f>
        <v>283066.50299999997</v>
      </c>
      <c r="C2920" s="14">
        <f>95.19*Hospital_Operations_Data[[#This Row],[Medication_Cost_USD]]</f>
        <v>60425.660099999994</v>
      </c>
    </row>
    <row r="2921" spans="1:3" x14ac:dyDescent="0.3">
      <c r="A2921" s="11">
        <f>95.19*Hospital_Operations_Data[[#This Row],[Treatment_Cost_USD]]</f>
        <v>1029238.0673999999</v>
      </c>
      <c r="C2921" s="13">
        <f>95.19*Hospital_Operations_Data[[#This Row],[Medication_Cost_USD]]</f>
        <v>391462.21170000004</v>
      </c>
    </row>
    <row r="2922" spans="1:3" x14ac:dyDescent="0.3">
      <c r="A2922" s="12">
        <f>95.19*Hospital_Operations_Data[[#This Row],[Treatment_Cost_USD]]</f>
        <v>515513.81969999999</v>
      </c>
      <c r="C2922" s="14">
        <f>95.19*Hospital_Operations_Data[[#This Row],[Medication_Cost_USD]]</f>
        <v>170068.3578</v>
      </c>
    </row>
    <row r="2923" spans="1:3" x14ac:dyDescent="0.3">
      <c r="A2923" s="11">
        <f>95.19*Hospital_Operations_Data[[#This Row],[Treatment_Cost_USD]]</f>
        <v>1208366.6094</v>
      </c>
      <c r="C2923" s="13">
        <f>95.19*Hospital_Operations_Data[[#This Row],[Medication_Cost_USD]]</f>
        <v>386920.69679999998</v>
      </c>
    </row>
    <row r="2924" spans="1:3" x14ac:dyDescent="0.3">
      <c r="A2924" s="12">
        <f>95.19*Hospital_Operations_Data[[#This Row],[Treatment_Cost_USD]]</f>
        <v>419717.45939999999</v>
      </c>
      <c r="C2924" s="14">
        <f>95.19*Hospital_Operations_Data[[#This Row],[Medication_Cost_USD]]</f>
        <v>106050.22709999999</v>
      </c>
    </row>
    <row r="2925" spans="1:3" x14ac:dyDescent="0.3">
      <c r="A2925" s="11">
        <f>95.19*Hospital_Operations_Data[[#This Row],[Treatment_Cost_USD]]</f>
        <v>360378.86909999995</v>
      </c>
      <c r="C2925" s="13">
        <f>95.19*Hospital_Operations_Data[[#This Row],[Medication_Cost_USD]]</f>
        <v>119714.7516</v>
      </c>
    </row>
    <row r="2926" spans="1:3" x14ac:dyDescent="0.3">
      <c r="A2926" s="12">
        <f>95.19*Hospital_Operations_Data[[#This Row],[Treatment_Cost_USD]]</f>
        <v>311336.98109999998</v>
      </c>
      <c r="C2926" s="14">
        <f>95.19*Hospital_Operations_Data[[#This Row],[Medication_Cost_USD]]</f>
        <v>67223.178</v>
      </c>
    </row>
    <row r="2927" spans="1:3" x14ac:dyDescent="0.3">
      <c r="A2927" s="11">
        <f>95.19*Hospital_Operations_Data[[#This Row],[Treatment_Cost_USD]]</f>
        <v>308743.05359999998</v>
      </c>
      <c r="C2927" s="13">
        <f>95.19*Hospital_Operations_Data[[#This Row],[Medication_Cost_USD]]</f>
        <v>96445.556100000002</v>
      </c>
    </row>
    <row r="2928" spans="1:3" x14ac:dyDescent="0.3">
      <c r="A2928" s="12">
        <f>95.19*Hospital_Operations_Data[[#This Row],[Treatment_Cost_USD]]</f>
        <v>167537.25569999998</v>
      </c>
      <c r="C2928" s="14">
        <f>95.19*Hospital_Operations_Data[[#This Row],[Medication_Cost_USD]]</f>
        <v>42715.560599999997</v>
      </c>
    </row>
    <row r="2929" spans="1:3" x14ac:dyDescent="0.3">
      <c r="A2929" s="11">
        <f>95.19*Hospital_Operations_Data[[#This Row],[Treatment_Cost_USD]]</f>
        <v>647234.88599999994</v>
      </c>
      <c r="C2929" s="13">
        <f>95.19*Hospital_Operations_Data[[#This Row],[Medication_Cost_USD]]</f>
        <v>150720.03839999999</v>
      </c>
    </row>
    <row r="2930" spans="1:3" x14ac:dyDescent="0.3">
      <c r="A2930" s="12">
        <f>95.19*Hospital_Operations_Data[[#This Row],[Treatment_Cost_USD]]</f>
        <v>478158.408</v>
      </c>
      <c r="C2930" s="14">
        <f>95.19*Hospital_Operations_Data[[#This Row],[Medication_Cost_USD]]</f>
        <v>118988.4519</v>
      </c>
    </row>
    <row r="2931" spans="1:3" x14ac:dyDescent="0.3">
      <c r="A2931" s="11">
        <f>95.19*Hospital_Operations_Data[[#This Row],[Treatment_Cost_USD]]</f>
        <v>294495.96629999997</v>
      </c>
      <c r="C2931" s="13">
        <f>95.19*Hospital_Operations_Data[[#This Row],[Medication_Cost_USD]]</f>
        <v>49359.822599999992</v>
      </c>
    </row>
    <row r="2932" spans="1:3" x14ac:dyDescent="0.3">
      <c r="A2932" s="12">
        <f>95.19*Hospital_Operations_Data[[#This Row],[Treatment_Cost_USD]]</f>
        <v>1203758.4615</v>
      </c>
      <c r="C2932" s="14">
        <f>95.19*Hospital_Operations_Data[[#This Row],[Medication_Cost_USD]]</f>
        <v>352636.11450000003</v>
      </c>
    </row>
    <row r="2933" spans="1:3" x14ac:dyDescent="0.3">
      <c r="A2933" s="11">
        <f>95.19*Hospital_Operations_Data[[#This Row],[Treatment_Cost_USD]]</f>
        <v>298660.52879999997</v>
      </c>
      <c r="C2933" s="13">
        <f>95.19*Hospital_Operations_Data[[#This Row],[Medication_Cost_USD]]</f>
        <v>92955.890699999989</v>
      </c>
    </row>
    <row r="2934" spans="1:3" x14ac:dyDescent="0.3">
      <c r="A2934" s="12">
        <f>95.19*Hospital_Operations_Data[[#This Row],[Treatment_Cost_USD]]</f>
        <v>695792.25690000004</v>
      </c>
      <c r="C2934" s="14">
        <f>95.19*Hospital_Operations_Data[[#This Row],[Medication_Cost_USD]]</f>
        <v>143616.00870000001</v>
      </c>
    </row>
    <row r="2935" spans="1:3" x14ac:dyDescent="0.3">
      <c r="A2935" s="11">
        <f>95.19*Hospital_Operations_Data[[#This Row],[Treatment_Cost_USD]]</f>
        <v>352389.5724</v>
      </c>
      <c r="C2935" s="13">
        <f>95.19*Hospital_Operations_Data[[#This Row],[Medication_Cost_USD]]</f>
        <v>77717.875500000009</v>
      </c>
    </row>
    <row r="2936" spans="1:3" x14ac:dyDescent="0.3">
      <c r="A2936" s="12">
        <f>95.19*Hospital_Operations_Data[[#This Row],[Treatment_Cost_USD]]</f>
        <v>350521.94459999999</v>
      </c>
      <c r="C2936" s="14">
        <f>95.19*Hospital_Operations_Data[[#This Row],[Medication_Cost_USD]]</f>
        <v>131898.11970000001</v>
      </c>
    </row>
    <row r="2937" spans="1:3" x14ac:dyDescent="0.3">
      <c r="A2937" s="11">
        <f>95.19*Hospital_Operations_Data[[#This Row],[Treatment_Cost_USD]]</f>
        <v>826009.32119999989</v>
      </c>
      <c r="C2937" s="13">
        <f>95.19*Hospital_Operations_Data[[#This Row],[Medication_Cost_USD]]</f>
        <v>174979.20989999999</v>
      </c>
    </row>
    <row r="2938" spans="1:3" x14ac:dyDescent="0.3">
      <c r="A2938" s="12">
        <f>95.19*Hospital_Operations_Data[[#This Row],[Treatment_Cost_USD]]</f>
        <v>591264.11789999995</v>
      </c>
      <c r="C2938" s="14">
        <f>95.19*Hospital_Operations_Data[[#This Row],[Medication_Cost_USD]]</f>
        <v>123641.33910000001</v>
      </c>
    </row>
    <row r="2939" spans="1:3" x14ac:dyDescent="0.3">
      <c r="A2939" s="11">
        <f>95.19*Hospital_Operations_Data[[#This Row],[Treatment_Cost_USD]]</f>
        <v>1010234.3358</v>
      </c>
      <c r="C2939" s="13">
        <f>95.19*Hospital_Operations_Data[[#This Row],[Medication_Cost_USD]]</f>
        <v>322985.38140000001</v>
      </c>
    </row>
    <row r="2940" spans="1:3" x14ac:dyDescent="0.3">
      <c r="A2940" s="12">
        <f>95.19*Hospital_Operations_Data[[#This Row],[Treatment_Cost_USD]]</f>
        <v>546551.47109999997</v>
      </c>
      <c r="C2940" s="14">
        <f>95.19*Hospital_Operations_Data[[#This Row],[Medication_Cost_USD]]</f>
        <v>191039.6667</v>
      </c>
    </row>
    <row r="2941" spans="1:3" x14ac:dyDescent="0.3">
      <c r="A2941" s="11">
        <f>95.19*Hospital_Operations_Data[[#This Row],[Treatment_Cost_USD]]</f>
        <v>405616.01279999997</v>
      </c>
      <c r="C2941" s="13">
        <f>95.19*Hospital_Operations_Data[[#This Row],[Medication_Cost_USD]]</f>
        <v>113129.5074</v>
      </c>
    </row>
    <row r="2942" spans="1:3" x14ac:dyDescent="0.3">
      <c r="A2942" s="12">
        <f>95.19*Hospital_Operations_Data[[#This Row],[Treatment_Cost_USD]]</f>
        <v>820222.72110000008</v>
      </c>
      <c r="C2942" s="14">
        <f>95.19*Hospital_Operations_Data[[#This Row],[Medication_Cost_USD]]</f>
        <v>173405.71919999999</v>
      </c>
    </row>
    <row r="2943" spans="1:3" x14ac:dyDescent="0.3">
      <c r="A2943" s="11">
        <f>95.19*Hospital_Operations_Data[[#This Row],[Treatment_Cost_USD]]</f>
        <v>926925.95159999991</v>
      </c>
      <c r="C2943" s="13">
        <f>95.19*Hospital_Operations_Data[[#This Row],[Medication_Cost_USD]]</f>
        <v>171037.39199999999</v>
      </c>
    </row>
    <row r="2944" spans="1:3" x14ac:dyDescent="0.3">
      <c r="A2944" s="12">
        <f>95.19*Hospital_Operations_Data[[#This Row],[Treatment_Cost_USD]]</f>
        <v>1045288.0532999999</v>
      </c>
      <c r="C2944" s="14">
        <f>95.19*Hospital_Operations_Data[[#This Row],[Medication_Cost_USD]]</f>
        <v>197087.08739999999</v>
      </c>
    </row>
    <row r="2945" spans="1:3" x14ac:dyDescent="0.3">
      <c r="A2945" s="11">
        <f>95.19*Hospital_Operations_Data[[#This Row],[Treatment_Cost_USD]]</f>
        <v>254422.88009999998</v>
      </c>
      <c r="C2945" s="13">
        <f>95.19*Hospital_Operations_Data[[#This Row],[Medication_Cost_USD]]</f>
        <v>71502.920399999988</v>
      </c>
    </row>
    <row r="2946" spans="1:3" x14ac:dyDescent="0.3">
      <c r="A2946" s="12">
        <f>95.19*Hospital_Operations_Data[[#This Row],[Treatment_Cost_USD]]</f>
        <v>468515.66099999996</v>
      </c>
      <c r="C2946" s="14">
        <f>95.19*Hospital_Operations_Data[[#This Row],[Medication_Cost_USD]]</f>
        <v>147415.99350000001</v>
      </c>
    </row>
    <row r="2947" spans="1:3" x14ac:dyDescent="0.3">
      <c r="A2947" s="11">
        <f>95.19*Hospital_Operations_Data[[#This Row],[Treatment_Cost_USD]]</f>
        <v>641406.40229999996</v>
      </c>
      <c r="C2947" s="13">
        <f>95.19*Hospital_Operations_Data[[#This Row],[Medication_Cost_USD]]</f>
        <v>211464.58499999999</v>
      </c>
    </row>
    <row r="2948" spans="1:3" x14ac:dyDescent="0.3">
      <c r="A2948" s="12">
        <f>95.19*Hospital_Operations_Data[[#This Row],[Treatment_Cost_USD]]</f>
        <v>190788.3651</v>
      </c>
      <c r="C2948" s="14">
        <f>95.19*Hospital_Operations_Data[[#This Row],[Medication_Cost_USD]]</f>
        <v>53591.97</v>
      </c>
    </row>
    <row r="2949" spans="1:3" x14ac:dyDescent="0.3">
      <c r="A2949" s="11">
        <f>95.19*Hospital_Operations_Data[[#This Row],[Treatment_Cost_USD]]</f>
        <v>1046687.3463</v>
      </c>
      <c r="C2949" s="13">
        <f>95.19*Hospital_Operations_Data[[#This Row],[Medication_Cost_USD]]</f>
        <v>223757.42159999997</v>
      </c>
    </row>
    <row r="2950" spans="1:3" x14ac:dyDescent="0.3">
      <c r="A2950" s="12">
        <f>95.19*Hospital_Operations_Data[[#This Row],[Treatment_Cost_USD]]</f>
        <v>276803.95289999997</v>
      </c>
      <c r="C2950" s="14">
        <f>95.19*Hospital_Operations_Data[[#This Row],[Medication_Cost_USD]]</f>
        <v>44131.987800000003</v>
      </c>
    </row>
    <row r="2951" spans="1:3" x14ac:dyDescent="0.3">
      <c r="A2951" s="11">
        <f>95.19*Hospital_Operations_Data[[#This Row],[Treatment_Cost_USD]]</f>
        <v>287205.36419999995</v>
      </c>
      <c r="C2951" s="13">
        <f>95.19*Hospital_Operations_Data[[#This Row],[Medication_Cost_USD]]</f>
        <v>93154.837799999994</v>
      </c>
    </row>
    <row r="2952" spans="1:3" x14ac:dyDescent="0.3">
      <c r="A2952" s="12">
        <f>95.19*Hospital_Operations_Data[[#This Row],[Treatment_Cost_USD]]</f>
        <v>1241158.6125</v>
      </c>
      <c r="C2952" s="14">
        <f>95.19*Hospital_Operations_Data[[#This Row],[Medication_Cost_USD]]</f>
        <v>294039.05429999996</v>
      </c>
    </row>
    <row r="2953" spans="1:3" x14ac:dyDescent="0.3">
      <c r="A2953" s="11">
        <f>95.19*Hospital_Operations_Data[[#This Row],[Treatment_Cost_USD]]</f>
        <v>333109.78980000003</v>
      </c>
      <c r="C2953" s="13">
        <f>95.19*Hospital_Operations_Data[[#This Row],[Medication_Cost_USD]]</f>
        <v>109686.48509999999</v>
      </c>
    </row>
    <row r="2954" spans="1:3" x14ac:dyDescent="0.3">
      <c r="A2954" s="12">
        <f>95.19*Hospital_Operations_Data[[#This Row],[Treatment_Cost_USD]]</f>
        <v>553665.97169999999</v>
      </c>
      <c r="C2954" s="14">
        <f>95.19*Hospital_Operations_Data[[#This Row],[Medication_Cost_USD]]</f>
        <v>129102.3894</v>
      </c>
    </row>
    <row r="2955" spans="1:3" x14ac:dyDescent="0.3">
      <c r="A2955" s="11">
        <f>95.19*Hospital_Operations_Data[[#This Row],[Treatment_Cost_USD]]</f>
        <v>104651.88600000001</v>
      </c>
      <c r="C2955" s="13">
        <f>95.19*Hospital_Operations_Data[[#This Row],[Medication_Cost_USD]]</f>
        <v>23198.7549</v>
      </c>
    </row>
    <row r="2956" spans="1:3" x14ac:dyDescent="0.3">
      <c r="A2956" s="12">
        <f>95.19*Hospital_Operations_Data[[#This Row],[Treatment_Cost_USD]]</f>
        <v>285260.63250000001</v>
      </c>
      <c r="C2956" s="14">
        <f>95.19*Hospital_Operations_Data[[#This Row],[Medication_Cost_USD]]</f>
        <v>97287.035699999993</v>
      </c>
    </row>
    <row r="2957" spans="1:3" x14ac:dyDescent="0.3">
      <c r="A2957" s="11">
        <f>95.19*Hospital_Operations_Data[[#This Row],[Treatment_Cost_USD]]</f>
        <v>302278.70069999999</v>
      </c>
      <c r="C2957" s="13">
        <f>95.19*Hospital_Operations_Data[[#This Row],[Medication_Cost_USD]]</f>
        <v>108723.16230000001</v>
      </c>
    </row>
    <row r="2958" spans="1:3" x14ac:dyDescent="0.3">
      <c r="A2958" s="12">
        <f>95.19*Hospital_Operations_Data[[#This Row],[Treatment_Cost_USD]]</f>
        <v>947366.10030000005</v>
      </c>
      <c r="C2958" s="14">
        <f>95.19*Hospital_Operations_Data[[#This Row],[Medication_Cost_USD]]</f>
        <v>341164.76759999996</v>
      </c>
    </row>
    <row r="2959" spans="1:3" x14ac:dyDescent="0.3">
      <c r="A2959" s="11">
        <f>95.19*Hospital_Operations_Data[[#This Row],[Treatment_Cost_USD]]</f>
        <v>286374.35549999995</v>
      </c>
      <c r="C2959" s="13">
        <f>95.19*Hospital_Operations_Data[[#This Row],[Medication_Cost_USD]]</f>
        <v>93536.549700000003</v>
      </c>
    </row>
    <row r="2960" spans="1:3" x14ac:dyDescent="0.3">
      <c r="A2960" s="12">
        <f>95.19*Hospital_Operations_Data[[#This Row],[Treatment_Cost_USD]]</f>
        <v>768763.95900000003</v>
      </c>
      <c r="C2960" s="14">
        <f>95.19*Hospital_Operations_Data[[#This Row],[Medication_Cost_USD]]</f>
        <v>287047.34879999998</v>
      </c>
    </row>
    <row r="2961" spans="1:3" x14ac:dyDescent="0.3">
      <c r="A2961" s="11">
        <f>95.19*Hospital_Operations_Data[[#This Row],[Treatment_Cost_USD]]</f>
        <v>1525250.3117999998</v>
      </c>
      <c r="C2961" s="13">
        <f>95.19*Hospital_Operations_Data[[#This Row],[Medication_Cost_USD]]</f>
        <v>229432.64940000002</v>
      </c>
    </row>
    <row r="2962" spans="1:3" x14ac:dyDescent="0.3">
      <c r="A2962" s="12">
        <f>95.19*Hospital_Operations_Data[[#This Row],[Treatment_Cost_USD]]</f>
        <v>1058540.4051000001</v>
      </c>
      <c r="C2962" s="14">
        <f>95.19*Hospital_Operations_Data[[#This Row],[Medication_Cost_USD]]</f>
        <v>311198.0037</v>
      </c>
    </row>
    <row r="2963" spans="1:3" x14ac:dyDescent="0.3">
      <c r="A2963" s="11">
        <f>95.19*Hospital_Operations_Data[[#This Row],[Treatment_Cost_USD]]</f>
        <v>164505.45420000001</v>
      </c>
      <c r="C2963" s="13">
        <f>95.19*Hospital_Operations_Data[[#This Row],[Medication_Cost_USD]]</f>
        <v>48425.056799999998</v>
      </c>
    </row>
    <row r="2964" spans="1:3" x14ac:dyDescent="0.3">
      <c r="A2964" s="12">
        <f>95.19*Hospital_Operations_Data[[#This Row],[Treatment_Cost_USD]]</f>
        <v>468061.60470000003</v>
      </c>
      <c r="C2964" s="14">
        <f>95.19*Hospital_Operations_Data[[#This Row],[Medication_Cost_USD]]</f>
        <v>100511.121</v>
      </c>
    </row>
    <row r="2965" spans="1:3" x14ac:dyDescent="0.3">
      <c r="A2965" s="11">
        <f>95.19*Hospital_Operations_Data[[#This Row],[Treatment_Cost_USD]]</f>
        <v>1053259.2638999999</v>
      </c>
      <c r="C2965" s="13">
        <f>95.19*Hospital_Operations_Data[[#This Row],[Medication_Cost_USD]]</f>
        <v>294466.45740000001</v>
      </c>
    </row>
    <row r="2966" spans="1:3" x14ac:dyDescent="0.3">
      <c r="A2966" s="12">
        <f>95.19*Hospital_Operations_Data[[#This Row],[Treatment_Cost_USD]]</f>
        <v>748848.30720000004</v>
      </c>
      <c r="C2966" s="14">
        <f>95.19*Hospital_Operations_Data[[#This Row],[Medication_Cost_USD]]</f>
        <v>135185.9823</v>
      </c>
    </row>
    <row r="2967" spans="1:3" x14ac:dyDescent="0.3">
      <c r="A2967" s="11">
        <f>95.19*Hospital_Operations_Data[[#This Row],[Treatment_Cost_USD]]</f>
        <v>381979.38389999996</v>
      </c>
      <c r="C2967" s="13">
        <f>95.19*Hospital_Operations_Data[[#This Row],[Medication_Cost_USD]]</f>
        <v>101700.04410000001</v>
      </c>
    </row>
    <row r="2968" spans="1:3" x14ac:dyDescent="0.3">
      <c r="A2968" s="12">
        <f>95.19*Hospital_Operations_Data[[#This Row],[Treatment_Cost_USD]]</f>
        <v>1253566.629</v>
      </c>
      <c r="C2968" s="14">
        <f>95.19*Hospital_Operations_Data[[#This Row],[Medication_Cost_USD]]</f>
        <v>218822.77200000003</v>
      </c>
    </row>
    <row r="2969" spans="1:3" x14ac:dyDescent="0.3">
      <c r="A2969" s="11">
        <f>95.19*Hospital_Operations_Data[[#This Row],[Treatment_Cost_USD]]</f>
        <v>540706.8051</v>
      </c>
      <c r="C2969" s="13">
        <f>95.19*Hospital_Operations_Data[[#This Row],[Medication_Cost_USD]]</f>
        <v>140671.78200000001</v>
      </c>
    </row>
    <row r="2970" spans="1:3" x14ac:dyDescent="0.3">
      <c r="A2970" s="12">
        <f>95.19*Hospital_Operations_Data[[#This Row],[Treatment_Cost_USD]]</f>
        <v>777207.31200000003</v>
      </c>
      <c r="C2970" s="14">
        <f>95.19*Hospital_Operations_Data[[#This Row],[Medication_Cost_USD]]</f>
        <v>156459.0435</v>
      </c>
    </row>
    <row r="2971" spans="1:3" x14ac:dyDescent="0.3">
      <c r="A2971" s="11">
        <f>95.19*Hospital_Operations_Data[[#This Row],[Treatment_Cost_USD]]</f>
        <v>732443.26260000002</v>
      </c>
      <c r="C2971" s="13">
        <f>95.19*Hospital_Operations_Data[[#This Row],[Medication_Cost_USD]]</f>
        <v>166792.86989999999</v>
      </c>
    </row>
    <row r="2972" spans="1:3" x14ac:dyDescent="0.3">
      <c r="A2972" s="12">
        <f>95.19*Hospital_Operations_Data[[#This Row],[Treatment_Cost_USD]]</f>
        <v>452714.12099999993</v>
      </c>
      <c r="C2972" s="14">
        <f>95.19*Hospital_Operations_Data[[#This Row],[Medication_Cost_USD]]</f>
        <v>165883.80540000001</v>
      </c>
    </row>
    <row r="2973" spans="1:3" x14ac:dyDescent="0.3">
      <c r="A2973" s="11">
        <f>95.19*Hospital_Operations_Data[[#This Row],[Treatment_Cost_USD]]</f>
        <v>213900.49710000001</v>
      </c>
      <c r="C2973" s="13">
        <f>95.19*Hospital_Operations_Data[[#This Row],[Medication_Cost_USD]]</f>
        <v>84580.122599999988</v>
      </c>
    </row>
    <row r="2974" spans="1:3" x14ac:dyDescent="0.3">
      <c r="A2974" s="12">
        <f>95.19*Hospital_Operations_Data[[#This Row],[Treatment_Cost_USD]]</f>
        <v>1241225.2455</v>
      </c>
      <c r="C2974" s="14">
        <f>95.19*Hospital_Operations_Data[[#This Row],[Medication_Cost_USD]]</f>
        <v>319359.5943</v>
      </c>
    </row>
    <row r="2975" spans="1:3" x14ac:dyDescent="0.3">
      <c r="A2975" s="11">
        <f>95.19*Hospital_Operations_Data[[#This Row],[Treatment_Cost_USD]]</f>
        <v>844009.75020000001</v>
      </c>
      <c r="C2975" s="13">
        <f>95.19*Hospital_Operations_Data[[#This Row],[Medication_Cost_USD]]</f>
        <v>255347.17499999999</v>
      </c>
    </row>
    <row r="2976" spans="1:3" x14ac:dyDescent="0.3">
      <c r="A2976" s="12">
        <f>95.19*Hospital_Operations_Data[[#This Row],[Treatment_Cost_USD]]</f>
        <v>391473.63449999999</v>
      </c>
      <c r="C2976" s="14">
        <f>95.19*Hospital_Operations_Data[[#This Row],[Medication_Cost_USD]]</f>
        <v>142420.42230000001</v>
      </c>
    </row>
    <row r="2977" spans="1:3" x14ac:dyDescent="0.3">
      <c r="A2977" s="11">
        <f>95.19*Hospital_Operations_Data[[#This Row],[Treatment_Cost_USD]]</f>
        <v>145402.72500000001</v>
      </c>
      <c r="C2977" s="13">
        <f>95.19*Hospital_Operations_Data[[#This Row],[Medication_Cost_USD]]</f>
        <v>51340.726500000004</v>
      </c>
    </row>
    <row r="2978" spans="1:3" x14ac:dyDescent="0.3">
      <c r="A2978" s="12">
        <f>95.19*Hospital_Operations_Data[[#This Row],[Treatment_Cost_USD]]</f>
        <v>640703.90009999997</v>
      </c>
      <c r="C2978" s="14">
        <f>95.19*Hospital_Operations_Data[[#This Row],[Medication_Cost_USD]]</f>
        <v>218423.9259</v>
      </c>
    </row>
    <row r="2979" spans="1:3" x14ac:dyDescent="0.3">
      <c r="A2979" s="11">
        <f>95.19*Hospital_Operations_Data[[#This Row],[Treatment_Cost_USD]]</f>
        <v>1173617.4998999999</v>
      </c>
      <c r="C2979" s="13">
        <f>95.19*Hospital_Operations_Data[[#This Row],[Medication_Cost_USD]]</f>
        <v>195295.61159999997</v>
      </c>
    </row>
    <row r="2980" spans="1:3" x14ac:dyDescent="0.3">
      <c r="A2980" s="12">
        <f>95.19*Hospital_Operations_Data[[#This Row],[Treatment_Cost_USD]]</f>
        <v>538743.03539999994</v>
      </c>
      <c r="C2980" s="14">
        <f>95.19*Hospital_Operations_Data[[#This Row],[Medication_Cost_USD]]</f>
        <v>189416.67720000001</v>
      </c>
    </row>
    <row r="2981" spans="1:3" x14ac:dyDescent="0.3">
      <c r="A2981" s="11">
        <f>95.19*Hospital_Operations_Data[[#This Row],[Treatment_Cost_USD]]</f>
        <v>360834.82919999998</v>
      </c>
      <c r="C2981" s="13">
        <f>95.19*Hospital_Operations_Data[[#This Row],[Medication_Cost_USD]]</f>
        <v>94476.074999999997</v>
      </c>
    </row>
    <row r="2982" spans="1:3" x14ac:dyDescent="0.3">
      <c r="A2982" s="12">
        <f>95.19*Hospital_Operations_Data[[#This Row],[Treatment_Cost_USD]]</f>
        <v>430026.53640000004</v>
      </c>
      <c r="C2982" s="14">
        <f>95.19*Hospital_Operations_Data[[#This Row],[Medication_Cost_USD]]</f>
        <v>119161.69769999999</v>
      </c>
    </row>
    <row r="2983" spans="1:3" x14ac:dyDescent="0.3">
      <c r="A2983" s="11">
        <f>95.19*Hospital_Operations_Data[[#This Row],[Treatment_Cost_USD]]</f>
        <v>419310.04619999992</v>
      </c>
      <c r="C2983" s="13">
        <f>95.19*Hospital_Operations_Data[[#This Row],[Medication_Cost_USD]]</f>
        <v>132196.0644</v>
      </c>
    </row>
    <row r="2984" spans="1:3" x14ac:dyDescent="0.3">
      <c r="A2984" s="12">
        <f>95.19*Hospital_Operations_Data[[#This Row],[Treatment_Cost_USD]]</f>
        <v>686225.66189999995</v>
      </c>
      <c r="C2984" s="14">
        <f>95.19*Hospital_Operations_Data[[#This Row],[Medication_Cost_USD]]</f>
        <v>120202.1244</v>
      </c>
    </row>
    <row r="2985" spans="1:3" x14ac:dyDescent="0.3">
      <c r="A2985" s="11">
        <f>95.19*Hospital_Operations_Data[[#This Row],[Treatment_Cost_USD]]</f>
        <v>1385261.9939999999</v>
      </c>
      <c r="C2985" s="13">
        <f>95.19*Hospital_Operations_Data[[#This Row],[Medication_Cost_USD]]</f>
        <v>266760.45600000001</v>
      </c>
    </row>
    <row r="2986" spans="1:3" x14ac:dyDescent="0.3">
      <c r="A2986" s="12">
        <f>95.19*Hospital_Operations_Data[[#This Row],[Treatment_Cost_USD]]</f>
        <v>1198972.3082999999</v>
      </c>
      <c r="C2986" s="14">
        <f>95.19*Hospital_Operations_Data[[#This Row],[Medication_Cost_USD]]</f>
        <v>455843.96819999994</v>
      </c>
    </row>
    <row r="2987" spans="1:3" x14ac:dyDescent="0.3">
      <c r="A2987" s="11">
        <f>95.19*Hospital_Operations_Data[[#This Row],[Treatment_Cost_USD]]</f>
        <v>866020.53389999992</v>
      </c>
      <c r="C2987" s="13">
        <f>95.19*Hospital_Operations_Data[[#This Row],[Medication_Cost_USD]]</f>
        <v>204084.50429999997</v>
      </c>
    </row>
    <row r="2988" spans="1:3" x14ac:dyDescent="0.3">
      <c r="A2988" s="12">
        <f>95.19*Hospital_Operations_Data[[#This Row],[Treatment_Cost_USD]]</f>
        <v>211891.98809999999</v>
      </c>
      <c r="C2988" s="14">
        <f>95.19*Hospital_Operations_Data[[#This Row],[Medication_Cost_USD]]</f>
        <v>53764.263899999991</v>
      </c>
    </row>
    <row r="2989" spans="1:3" x14ac:dyDescent="0.3">
      <c r="A2989" s="11">
        <f>95.19*Hospital_Operations_Data[[#This Row],[Treatment_Cost_USD]]</f>
        <v>1417598.9889</v>
      </c>
      <c r="C2989" s="13">
        <f>95.19*Hospital_Operations_Data[[#This Row],[Medication_Cost_USD]]</f>
        <v>400816.533</v>
      </c>
    </row>
    <row r="2990" spans="1:3" x14ac:dyDescent="0.3">
      <c r="A2990" s="12">
        <f>95.19*Hospital_Operations_Data[[#This Row],[Treatment_Cost_USD]]</f>
        <v>2450749.3652999997</v>
      </c>
      <c r="C2990" s="14">
        <f>95.19*Hospital_Operations_Data[[#This Row],[Medication_Cost_USD]]</f>
        <v>386705.5674</v>
      </c>
    </row>
    <row r="2991" spans="1:3" x14ac:dyDescent="0.3">
      <c r="A2991" s="11">
        <f>95.19*Hospital_Operations_Data[[#This Row],[Treatment_Cost_USD]]</f>
        <v>349976.50589999999</v>
      </c>
      <c r="C2991" s="13">
        <f>95.19*Hospital_Operations_Data[[#This Row],[Medication_Cost_USD]]</f>
        <v>122273.45879999999</v>
      </c>
    </row>
    <row r="2992" spans="1:3" x14ac:dyDescent="0.3">
      <c r="A2992" s="12">
        <f>95.19*Hospital_Operations_Data[[#This Row],[Treatment_Cost_USD]]</f>
        <v>203890.31669999997</v>
      </c>
      <c r="C2992" s="14">
        <f>95.19*Hospital_Operations_Data[[#This Row],[Medication_Cost_USD]]</f>
        <v>32208.488400000002</v>
      </c>
    </row>
    <row r="2993" spans="1:3" x14ac:dyDescent="0.3">
      <c r="A2993" s="11">
        <f>95.19*Hospital_Operations_Data[[#This Row],[Treatment_Cost_USD]]</f>
        <v>462715.73430000001</v>
      </c>
      <c r="C2993" s="13">
        <f>95.19*Hospital_Operations_Data[[#This Row],[Medication_Cost_USD]]</f>
        <v>136845.144</v>
      </c>
    </row>
    <row r="2994" spans="1:3" x14ac:dyDescent="0.3">
      <c r="A2994" s="12">
        <f>95.19*Hospital_Operations_Data[[#This Row],[Treatment_Cost_USD]]</f>
        <v>808624.77150000003</v>
      </c>
      <c r="C2994" s="14">
        <f>95.19*Hospital_Operations_Data[[#This Row],[Medication_Cost_USD]]</f>
        <v>290835.91080000001</v>
      </c>
    </row>
    <row r="2995" spans="1:3" x14ac:dyDescent="0.3">
      <c r="A2995" s="11">
        <f>95.19*Hospital_Operations_Data[[#This Row],[Treatment_Cost_USD]]</f>
        <v>337585.62359999999</v>
      </c>
      <c r="C2995" s="13">
        <f>95.19*Hospital_Operations_Data[[#This Row],[Medication_Cost_USD]]</f>
        <v>64757.756999999991</v>
      </c>
    </row>
    <row r="2996" spans="1:3" x14ac:dyDescent="0.3">
      <c r="A2996" s="12">
        <f>95.19*Hospital_Operations_Data[[#This Row],[Treatment_Cost_USD]]</f>
        <v>534720.30599999998</v>
      </c>
      <c r="C2996" s="14">
        <f>95.19*Hospital_Operations_Data[[#This Row],[Medication_Cost_USD]]</f>
        <v>119936.54429999999</v>
      </c>
    </row>
    <row r="2997" spans="1:3" x14ac:dyDescent="0.3">
      <c r="A2997" s="11">
        <f>95.19*Hospital_Operations_Data[[#This Row],[Treatment_Cost_USD]]</f>
        <v>386201.06039999996</v>
      </c>
      <c r="C2997" s="13">
        <f>95.19*Hospital_Operations_Data[[#This Row],[Medication_Cost_USD]]</f>
        <v>137149.75199999998</v>
      </c>
    </row>
    <row r="2998" spans="1:3" x14ac:dyDescent="0.3">
      <c r="A2998" s="12">
        <f>95.19*Hospital_Operations_Data[[#This Row],[Treatment_Cost_USD]]</f>
        <v>295961.89230000001</v>
      </c>
      <c r="C2998" s="14">
        <f>95.19*Hospital_Operations_Data[[#This Row],[Medication_Cost_USD]]</f>
        <v>48002.413199999995</v>
      </c>
    </row>
    <row r="2999" spans="1:3" x14ac:dyDescent="0.3">
      <c r="A2999" s="11">
        <f>95.19*Hospital_Operations_Data[[#This Row],[Treatment_Cost_USD]]</f>
        <v>904605.80039999995</v>
      </c>
      <c r="C2999" s="13">
        <f>95.19*Hospital_Operations_Data[[#This Row],[Medication_Cost_USD]]</f>
        <v>245884.3371</v>
      </c>
    </row>
    <row r="3000" spans="1:3" x14ac:dyDescent="0.3">
      <c r="A3000" s="12">
        <f>95.19*Hospital_Operations_Data[[#This Row],[Treatment_Cost_USD]]</f>
        <v>1463366.3409</v>
      </c>
      <c r="C3000" s="14">
        <f>95.19*Hospital_Operations_Data[[#This Row],[Medication_Cost_USD]]</f>
        <v>523457.4252</v>
      </c>
    </row>
    <row r="3001" spans="1:3" x14ac:dyDescent="0.3">
      <c r="A3001" s="11">
        <f>95.19*Hospital_Operations_Data[[#This Row],[Treatment_Cost_USD]]</f>
        <v>360833.87729999999</v>
      </c>
      <c r="C3001" s="13">
        <f>95.19*Hospital_Operations_Data[[#This Row],[Medication_Cost_USD]]</f>
        <v>62981.511599999998</v>
      </c>
    </row>
    <row r="3002" spans="1:3" x14ac:dyDescent="0.3">
      <c r="A3002" s="12">
        <f>95.19*Hospital_Operations_Data[[#This Row],[Treatment_Cost_USD]]</f>
        <v>332045.56559999997</v>
      </c>
      <c r="C3002" s="14">
        <f>95.19*Hospital_Operations_Data[[#This Row],[Medication_Cost_USD]]</f>
        <v>68627.230500000005</v>
      </c>
    </row>
    <row r="3003" spans="1:3" x14ac:dyDescent="0.3">
      <c r="A3003" s="11">
        <f>95.19*Hospital_Operations_Data[[#This Row],[Treatment_Cost_USD]]</f>
        <v>920656.73820000002</v>
      </c>
      <c r="C3003" s="13">
        <f>95.19*Hospital_Operations_Data[[#This Row],[Medication_Cost_USD]]</f>
        <v>354850.23389999999</v>
      </c>
    </row>
    <row r="3004" spans="1:3" x14ac:dyDescent="0.3">
      <c r="A3004" s="12">
        <f>95.19*Hospital_Operations_Data[[#This Row],[Treatment_Cost_USD]]</f>
        <v>602172.89190000005</v>
      </c>
      <c r="C3004" s="14">
        <f>95.19*Hospital_Operations_Data[[#This Row],[Medication_Cost_USD]]</f>
        <v>142517.51610000001</v>
      </c>
    </row>
    <row r="3005" spans="1:3" x14ac:dyDescent="0.3">
      <c r="A3005" s="11">
        <f>95.19*Hospital_Operations_Data[[#This Row],[Treatment_Cost_USD]]</f>
        <v>593490.61199999996</v>
      </c>
      <c r="C3005" s="13">
        <f>95.19*Hospital_Operations_Data[[#This Row],[Medication_Cost_USD]]</f>
        <v>99967.5861</v>
      </c>
    </row>
    <row r="3006" spans="1:3" x14ac:dyDescent="0.3">
      <c r="A3006" s="12">
        <f>95.19*Hospital_Operations_Data[[#This Row],[Treatment_Cost_USD]]</f>
        <v>1241731.6562999999</v>
      </c>
      <c r="C3006" s="14">
        <f>95.19*Hospital_Operations_Data[[#This Row],[Medication_Cost_USD]]</f>
        <v>482737.04700000002</v>
      </c>
    </row>
    <row r="3007" spans="1:3" x14ac:dyDescent="0.3">
      <c r="A3007" s="11">
        <f>95.19*Hospital_Operations_Data[[#This Row],[Treatment_Cost_USD]]</f>
        <v>1110557.9324999999</v>
      </c>
      <c r="C3007" s="13">
        <f>95.19*Hospital_Operations_Data[[#This Row],[Medication_Cost_USD]]</f>
        <v>236996.44679999998</v>
      </c>
    </row>
    <row r="3008" spans="1:3" x14ac:dyDescent="0.3">
      <c r="A3008" s="12">
        <f>95.19*Hospital_Operations_Data[[#This Row],[Treatment_Cost_USD]]</f>
        <v>463563.87719999999</v>
      </c>
      <c r="C3008" s="14">
        <f>95.19*Hospital_Operations_Data[[#This Row],[Medication_Cost_USD]]</f>
        <v>140759.35680000001</v>
      </c>
    </row>
    <row r="3009" spans="1:3" x14ac:dyDescent="0.3">
      <c r="A3009" s="11">
        <f>95.19*Hospital_Operations_Data[[#This Row],[Treatment_Cost_USD]]</f>
        <v>427761.96630000003</v>
      </c>
      <c r="C3009" s="13">
        <f>95.19*Hospital_Operations_Data[[#This Row],[Medication_Cost_USD]]</f>
        <v>112983.8667</v>
      </c>
    </row>
    <row r="3010" spans="1:3" x14ac:dyDescent="0.3">
      <c r="A3010" s="12">
        <f>95.19*Hospital_Operations_Data[[#This Row],[Treatment_Cost_USD]]</f>
        <v>1033170.3663</v>
      </c>
      <c r="C3010" s="14">
        <f>95.19*Hospital_Operations_Data[[#This Row],[Medication_Cost_USD]]</f>
        <v>258545.55899999998</v>
      </c>
    </row>
    <row r="3011" spans="1:3" x14ac:dyDescent="0.3">
      <c r="A3011" s="11">
        <f>95.19*Hospital_Operations_Data[[#This Row],[Treatment_Cost_USD]]</f>
        <v>380374.48049999995</v>
      </c>
      <c r="C3011" s="13">
        <f>95.19*Hospital_Operations_Data[[#This Row],[Medication_Cost_USD]]</f>
        <v>139504.75260000001</v>
      </c>
    </row>
    <row r="3012" spans="1:3" x14ac:dyDescent="0.3">
      <c r="A3012" s="12">
        <f>95.19*Hospital_Operations_Data[[#This Row],[Treatment_Cost_USD]]</f>
        <v>111378.01139999999</v>
      </c>
      <c r="C3012" s="14">
        <f>95.19*Hospital_Operations_Data[[#This Row],[Medication_Cost_USD]]</f>
        <v>30625.4787</v>
      </c>
    </row>
    <row r="3013" spans="1:3" x14ac:dyDescent="0.3">
      <c r="A3013" s="11">
        <f>95.19*Hospital_Operations_Data[[#This Row],[Treatment_Cost_USD]]</f>
        <v>1189526.6046</v>
      </c>
      <c r="C3013" s="13">
        <f>95.19*Hospital_Operations_Data[[#This Row],[Medication_Cost_USD]]</f>
        <v>191434.7052</v>
      </c>
    </row>
    <row r="3014" spans="1:3" x14ac:dyDescent="0.3">
      <c r="A3014" s="12">
        <f>95.19*Hospital_Operations_Data[[#This Row],[Treatment_Cost_USD]]</f>
        <v>937070.34989999991</v>
      </c>
      <c r="C3014" s="14">
        <f>95.19*Hospital_Operations_Data[[#This Row],[Medication_Cost_USD]]</f>
        <v>255894.51749999999</v>
      </c>
    </row>
    <row r="3015" spans="1:3" x14ac:dyDescent="0.3">
      <c r="A3015" s="11">
        <f>95.19*Hospital_Operations_Data[[#This Row],[Treatment_Cost_USD]]</f>
        <v>1008467.6094</v>
      </c>
      <c r="C3015" s="13">
        <f>95.19*Hospital_Operations_Data[[#This Row],[Medication_Cost_USD]]</f>
        <v>160078.1673</v>
      </c>
    </row>
    <row r="3016" spans="1:3" x14ac:dyDescent="0.3">
      <c r="A3016" s="12">
        <f>95.19*Hospital_Operations_Data[[#This Row],[Treatment_Cost_USD]]</f>
        <v>1153173.5436</v>
      </c>
      <c r="C3016" s="14">
        <f>95.19*Hospital_Operations_Data[[#This Row],[Medication_Cost_USD]]</f>
        <v>449650.9068</v>
      </c>
    </row>
    <row r="3017" spans="1:3" x14ac:dyDescent="0.3">
      <c r="A3017" s="11">
        <f>95.19*Hospital_Operations_Data[[#This Row],[Treatment_Cost_USD]]</f>
        <v>321494.70600000001</v>
      </c>
      <c r="C3017" s="13">
        <f>95.19*Hospital_Operations_Data[[#This Row],[Medication_Cost_USD]]</f>
        <v>77421.834600000002</v>
      </c>
    </row>
    <row r="3018" spans="1:3" x14ac:dyDescent="0.3">
      <c r="A3018" s="12">
        <f>95.19*Hospital_Operations_Data[[#This Row],[Treatment_Cost_USD]]</f>
        <v>893049.73439999996</v>
      </c>
      <c r="C3018" s="14">
        <f>95.19*Hospital_Operations_Data[[#This Row],[Medication_Cost_USD]]</f>
        <v>230197.97700000001</v>
      </c>
    </row>
    <row r="3019" spans="1:3" x14ac:dyDescent="0.3">
      <c r="A3019" s="11">
        <f>95.19*Hospital_Operations_Data[[#This Row],[Treatment_Cost_USD]]</f>
        <v>348058.42739999999</v>
      </c>
      <c r="C3019" s="13">
        <f>95.19*Hospital_Operations_Data[[#This Row],[Medication_Cost_USD]]</f>
        <v>94378.981199999995</v>
      </c>
    </row>
    <row r="3020" spans="1:3" x14ac:dyDescent="0.3">
      <c r="A3020" s="12">
        <f>95.19*Hospital_Operations_Data[[#This Row],[Treatment_Cost_USD]]</f>
        <v>1875836.0337</v>
      </c>
      <c r="C3020" s="14">
        <f>95.19*Hospital_Operations_Data[[#This Row],[Medication_Cost_USD]]</f>
        <v>334063.59360000002</v>
      </c>
    </row>
    <row r="3021" spans="1:3" x14ac:dyDescent="0.3">
      <c r="A3021" s="11">
        <f>95.19*Hospital_Operations_Data[[#This Row],[Treatment_Cost_USD]]</f>
        <v>1395400.6809</v>
      </c>
      <c r="C3021" s="13">
        <f>95.19*Hospital_Operations_Data[[#This Row],[Medication_Cost_USD]]</f>
        <v>419550.87690000003</v>
      </c>
    </row>
    <row r="3022" spans="1:3" x14ac:dyDescent="0.3">
      <c r="A3022" s="12">
        <f>95.19*Hospital_Operations_Data[[#This Row],[Treatment_Cost_USD]]</f>
        <v>1104193.5290999999</v>
      </c>
      <c r="C3022" s="14">
        <f>95.19*Hospital_Operations_Data[[#This Row],[Medication_Cost_USD]]</f>
        <v>417407.19809999998</v>
      </c>
    </row>
    <row r="3023" spans="1:3" x14ac:dyDescent="0.3">
      <c r="A3023" s="11">
        <f>95.19*Hospital_Operations_Data[[#This Row],[Treatment_Cost_USD]]</f>
        <v>449619.49410000001</v>
      </c>
      <c r="C3023" s="13">
        <f>95.19*Hospital_Operations_Data[[#This Row],[Medication_Cost_USD]]</f>
        <v>128311.3605</v>
      </c>
    </row>
    <row r="3024" spans="1:3" x14ac:dyDescent="0.3">
      <c r="A3024" s="12">
        <f>95.19*Hospital_Operations_Data[[#This Row],[Treatment_Cost_USD]]</f>
        <v>141371.42850000001</v>
      </c>
      <c r="C3024" s="14">
        <f>95.19*Hospital_Operations_Data[[#This Row],[Medication_Cost_USD]]</f>
        <v>23367.241199999997</v>
      </c>
    </row>
    <row r="3025" spans="1:3" x14ac:dyDescent="0.3">
      <c r="A3025" s="11">
        <f>95.19*Hospital_Operations_Data[[#This Row],[Treatment_Cost_USD]]</f>
        <v>359997.15720000002</v>
      </c>
      <c r="C3025" s="13">
        <f>95.19*Hospital_Operations_Data[[#This Row],[Medication_Cost_USD]]</f>
        <v>57606.132299999997</v>
      </c>
    </row>
    <row r="3026" spans="1:3" x14ac:dyDescent="0.3">
      <c r="A3026" s="12">
        <f>95.19*Hospital_Operations_Data[[#This Row],[Treatment_Cost_USD]]</f>
        <v>754016.17229999998</v>
      </c>
      <c r="C3026" s="14">
        <f>95.19*Hospital_Operations_Data[[#This Row],[Medication_Cost_USD]]</f>
        <v>253926.94019999998</v>
      </c>
    </row>
    <row r="3027" spans="1:3" x14ac:dyDescent="0.3">
      <c r="A3027" s="11">
        <f>95.19*Hospital_Operations_Data[[#This Row],[Treatment_Cost_USD]]</f>
        <v>1618474.6383</v>
      </c>
      <c r="C3027" s="13">
        <f>95.19*Hospital_Operations_Data[[#This Row],[Medication_Cost_USD]]</f>
        <v>378746.73149999999</v>
      </c>
    </row>
    <row r="3028" spans="1:3" x14ac:dyDescent="0.3">
      <c r="A3028" s="12">
        <f>95.19*Hospital_Operations_Data[[#This Row],[Treatment_Cost_USD]]</f>
        <v>1266693.33</v>
      </c>
      <c r="C3028" s="14">
        <f>95.19*Hospital_Operations_Data[[#This Row],[Medication_Cost_USD]]</f>
        <v>349431.06719999999</v>
      </c>
    </row>
    <row r="3029" spans="1:3" x14ac:dyDescent="0.3">
      <c r="A3029" s="11">
        <f>95.19*Hospital_Operations_Data[[#This Row],[Treatment_Cost_USD]]</f>
        <v>304080.64740000002</v>
      </c>
      <c r="C3029" s="13">
        <f>95.19*Hospital_Operations_Data[[#This Row],[Medication_Cost_USD]]</f>
        <v>96276.117899999997</v>
      </c>
    </row>
    <row r="3030" spans="1:3" x14ac:dyDescent="0.3">
      <c r="A3030" s="12">
        <f>95.19*Hospital_Operations_Data[[#This Row],[Treatment_Cost_USD]]</f>
        <v>755982.7977</v>
      </c>
      <c r="C3030" s="14">
        <f>95.19*Hospital_Operations_Data[[#This Row],[Medication_Cost_USD]]</f>
        <v>296394.05489999999</v>
      </c>
    </row>
    <row r="3031" spans="1:3" x14ac:dyDescent="0.3">
      <c r="A3031" s="11">
        <f>95.19*Hospital_Operations_Data[[#This Row],[Treatment_Cost_USD]]</f>
        <v>1262715.3398999998</v>
      </c>
      <c r="C3031" s="13">
        <f>95.19*Hospital_Operations_Data[[#This Row],[Medication_Cost_USD]]</f>
        <v>480317.31719999999</v>
      </c>
    </row>
    <row r="3032" spans="1:3" x14ac:dyDescent="0.3">
      <c r="A3032" s="12">
        <f>95.19*Hospital_Operations_Data[[#This Row],[Treatment_Cost_USD]]</f>
        <v>148558.27350000001</v>
      </c>
      <c r="C3032" s="14">
        <f>95.19*Hospital_Operations_Data[[#This Row],[Medication_Cost_USD]]</f>
        <v>28762.610400000001</v>
      </c>
    </row>
    <row r="3033" spans="1:3" x14ac:dyDescent="0.3">
      <c r="A3033" s="11">
        <f>95.19*Hospital_Operations_Data[[#This Row],[Treatment_Cost_USD]]</f>
        <v>520705.48229999997</v>
      </c>
      <c r="C3033" s="13">
        <f>95.19*Hospital_Operations_Data[[#This Row],[Medication_Cost_USD]]</f>
        <v>156322.92180000001</v>
      </c>
    </row>
    <row r="3034" spans="1:3" x14ac:dyDescent="0.3">
      <c r="A3034" s="12">
        <f>95.19*Hospital_Operations_Data[[#This Row],[Treatment_Cost_USD]]</f>
        <v>223572.75299999997</v>
      </c>
      <c r="C3034" s="14">
        <f>95.19*Hospital_Operations_Data[[#This Row],[Medication_Cost_USD]]</f>
        <v>83508.283199999991</v>
      </c>
    </row>
    <row r="3035" spans="1:3" x14ac:dyDescent="0.3">
      <c r="A3035" s="11">
        <f>95.19*Hospital_Operations_Data[[#This Row],[Treatment_Cost_USD]]</f>
        <v>771267.45599999989</v>
      </c>
      <c r="C3035" s="13">
        <f>95.19*Hospital_Operations_Data[[#This Row],[Medication_Cost_USD]]</f>
        <v>217261.65600000002</v>
      </c>
    </row>
    <row r="3036" spans="1:3" x14ac:dyDescent="0.3">
      <c r="A3036" s="12">
        <f>95.19*Hospital_Operations_Data[[#This Row],[Treatment_Cost_USD]]</f>
        <v>1001397.8480999999</v>
      </c>
      <c r="C3036" s="14">
        <f>95.19*Hospital_Operations_Data[[#This Row],[Medication_Cost_USD]]</f>
        <v>319863.14939999999</v>
      </c>
    </row>
    <row r="3037" spans="1:3" x14ac:dyDescent="0.3">
      <c r="A3037" s="11">
        <f>95.19*Hospital_Operations_Data[[#This Row],[Treatment_Cost_USD]]</f>
        <v>1205938.3125</v>
      </c>
      <c r="C3037" s="13">
        <f>95.19*Hospital_Operations_Data[[#This Row],[Medication_Cost_USD]]</f>
        <v>310930.51980000001</v>
      </c>
    </row>
    <row r="3038" spans="1:3" x14ac:dyDescent="0.3">
      <c r="A3038" s="12">
        <f>95.19*Hospital_Operations_Data[[#This Row],[Treatment_Cost_USD]]</f>
        <v>966693.47789999994</v>
      </c>
      <c r="C3038" s="14">
        <f>95.19*Hospital_Operations_Data[[#This Row],[Medication_Cost_USD]]</f>
        <v>339496.08689999999</v>
      </c>
    </row>
    <row r="3039" spans="1:3" x14ac:dyDescent="0.3">
      <c r="A3039" s="11">
        <f>95.19*Hospital_Operations_Data[[#This Row],[Treatment_Cost_USD]]</f>
        <v>971255.93460000004</v>
      </c>
      <c r="C3039" s="13">
        <f>95.19*Hospital_Operations_Data[[#This Row],[Medication_Cost_USD]]</f>
        <v>378090.87239999999</v>
      </c>
    </row>
    <row r="3040" spans="1:3" x14ac:dyDescent="0.3">
      <c r="A3040" s="12">
        <f>95.19*Hospital_Operations_Data[[#This Row],[Treatment_Cost_USD]]</f>
        <v>259830.62399999998</v>
      </c>
      <c r="C3040" s="14">
        <f>95.19*Hospital_Operations_Data[[#This Row],[Medication_Cost_USD]]</f>
        <v>103400.1375</v>
      </c>
    </row>
    <row r="3041" spans="1:3" x14ac:dyDescent="0.3">
      <c r="A3041" s="11">
        <f>95.19*Hospital_Operations_Data[[#This Row],[Treatment_Cost_USD]]</f>
        <v>413651.95259999996</v>
      </c>
      <c r="C3041" s="13">
        <f>95.19*Hospital_Operations_Data[[#This Row],[Medication_Cost_USD]]</f>
        <v>108096.8121</v>
      </c>
    </row>
    <row r="3042" spans="1:3" x14ac:dyDescent="0.3">
      <c r="A3042" s="12">
        <f>95.19*Hospital_Operations_Data[[#This Row],[Treatment_Cost_USD]]</f>
        <v>1226303.2611</v>
      </c>
      <c r="C3042" s="14">
        <f>95.19*Hospital_Operations_Data[[#This Row],[Medication_Cost_USD]]</f>
        <v>363741.93179999996</v>
      </c>
    </row>
    <row r="3043" spans="1:3" x14ac:dyDescent="0.3">
      <c r="A3043" s="11">
        <f>95.19*Hospital_Operations_Data[[#This Row],[Treatment_Cost_USD]]</f>
        <v>866183.3088</v>
      </c>
      <c r="C3043" s="13">
        <f>95.19*Hospital_Operations_Data[[#This Row],[Medication_Cost_USD]]</f>
        <v>199946.595</v>
      </c>
    </row>
    <row r="3044" spans="1:3" x14ac:dyDescent="0.3">
      <c r="A3044" s="12">
        <f>95.19*Hospital_Operations_Data[[#This Row],[Treatment_Cost_USD]]</f>
        <v>222915.94200000001</v>
      </c>
      <c r="C3044" s="14">
        <f>95.19*Hospital_Operations_Data[[#This Row],[Medication_Cost_USD]]</f>
        <v>74707.967700000008</v>
      </c>
    </row>
    <row r="3045" spans="1:3" x14ac:dyDescent="0.3">
      <c r="A3045" s="11">
        <f>95.19*Hospital_Operations_Data[[#This Row],[Treatment_Cost_USD]]</f>
        <v>808414.40159999998</v>
      </c>
      <c r="C3045" s="13">
        <f>95.19*Hospital_Operations_Data[[#This Row],[Medication_Cost_USD]]</f>
        <v>274800.2034</v>
      </c>
    </row>
    <row r="3046" spans="1:3" x14ac:dyDescent="0.3">
      <c r="A3046" s="12">
        <f>95.19*Hospital_Operations_Data[[#This Row],[Treatment_Cost_USD]]</f>
        <v>927616.07909999997</v>
      </c>
      <c r="C3046" s="14">
        <f>95.19*Hospital_Operations_Data[[#This Row],[Medication_Cost_USD]]</f>
        <v>144849.67110000001</v>
      </c>
    </row>
    <row r="3047" spans="1:3" x14ac:dyDescent="0.3">
      <c r="A3047" s="11">
        <f>95.19*Hospital_Operations_Data[[#This Row],[Treatment_Cost_USD]]</f>
        <v>850311.32819999999</v>
      </c>
      <c r="C3047" s="13">
        <f>95.19*Hospital_Operations_Data[[#This Row],[Medication_Cost_USD]]</f>
        <v>307297.11749999999</v>
      </c>
    </row>
    <row r="3048" spans="1:3" x14ac:dyDescent="0.3">
      <c r="A3048" s="12">
        <f>95.19*Hospital_Operations_Data[[#This Row],[Treatment_Cost_USD]]</f>
        <v>786856.72230000002</v>
      </c>
      <c r="C3048" s="14">
        <f>95.19*Hospital_Operations_Data[[#This Row],[Medication_Cost_USD]]</f>
        <v>242921.0724</v>
      </c>
    </row>
    <row r="3049" spans="1:3" x14ac:dyDescent="0.3">
      <c r="A3049" s="11">
        <f>95.19*Hospital_Operations_Data[[#This Row],[Treatment_Cost_USD]]</f>
        <v>187958.3664</v>
      </c>
      <c r="C3049" s="13">
        <f>95.19*Hospital_Operations_Data[[#This Row],[Medication_Cost_USD]]</f>
        <v>68106.541200000007</v>
      </c>
    </row>
    <row r="3050" spans="1:3" x14ac:dyDescent="0.3">
      <c r="A3050" s="12">
        <f>95.19*Hospital_Operations_Data[[#This Row],[Treatment_Cost_USD]]</f>
        <v>1197181.7844</v>
      </c>
      <c r="C3050" s="14">
        <f>95.19*Hospital_Operations_Data[[#This Row],[Medication_Cost_USD]]</f>
        <v>309259.93529999995</v>
      </c>
    </row>
    <row r="3051" spans="1:3" x14ac:dyDescent="0.3">
      <c r="A3051" s="11">
        <f>95.19*Hospital_Operations_Data[[#This Row],[Treatment_Cost_USD]]</f>
        <v>819591.61139999994</v>
      </c>
      <c r="C3051" s="13">
        <f>95.19*Hospital_Operations_Data[[#This Row],[Medication_Cost_USD]]</f>
        <v>218952.23039999997</v>
      </c>
    </row>
    <row r="3052" spans="1:3" x14ac:dyDescent="0.3">
      <c r="A3052" s="12">
        <f>95.19*Hospital_Operations_Data[[#This Row],[Treatment_Cost_USD]]</f>
        <v>231741.00690000001</v>
      </c>
      <c r="C3052" s="14">
        <f>95.19*Hospital_Operations_Data[[#This Row],[Medication_Cost_USD]]</f>
        <v>88783.713000000003</v>
      </c>
    </row>
    <row r="3053" spans="1:3" x14ac:dyDescent="0.3">
      <c r="A3053" s="11">
        <f>95.19*Hospital_Operations_Data[[#This Row],[Treatment_Cost_USD]]</f>
        <v>1077924.8966999999</v>
      </c>
      <c r="C3053" s="13">
        <f>95.19*Hospital_Operations_Data[[#This Row],[Medication_Cost_USD]]</f>
        <v>428885.20829999994</v>
      </c>
    </row>
    <row r="3054" spans="1:3" x14ac:dyDescent="0.3">
      <c r="A3054" s="12">
        <f>95.19*Hospital_Operations_Data[[#This Row],[Treatment_Cost_USD]]</f>
        <v>343020.02069999999</v>
      </c>
      <c r="C3054" s="14">
        <f>95.19*Hospital_Operations_Data[[#This Row],[Medication_Cost_USD]]</f>
        <v>52273.588499999998</v>
      </c>
    </row>
    <row r="3055" spans="1:3" x14ac:dyDescent="0.3">
      <c r="A3055" s="11">
        <f>95.19*Hospital_Operations_Data[[#This Row],[Treatment_Cost_USD]]</f>
        <v>604103.34510000004</v>
      </c>
      <c r="C3055" s="13">
        <f>95.19*Hospital_Operations_Data[[#This Row],[Medication_Cost_USD]]</f>
        <v>229205.14529999997</v>
      </c>
    </row>
    <row r="3056" spans="1:3" x14ac:dyDescent="0.3">
      <c r="A3056" s="12">
        <f>95.19*Hospital_Operations_Data[[#This Row],[Treatment_Cost_USD]]</f>
        <v>951706.76429999992</v>
      </c>
      <c r="C3056" s="14">
        <f>95.19*Hospital_Operations_Data[[#This Row],[Medication_Cost_USD]]</f>
        <v>380543.91869999998</v>
      </c>
    </row>
    <row r="3057" spans="1:3" x14ac:dyDescent="0.3">
      <c r="A3057" s="11">
        <f>95.19*Hospital_Operations_Data[[#This Row],[Treatment_Cost_USD]]</f>
        <v>551547.99419999996</v>
      </c>
      <c r="C3057" s="13">
        <f>95.19*Hospital_Operations_Data[[#This Row],[Medication_Cost_USD]]</f>
        <v>178648.7844</v>
      </c>
    </row>
    <row r="3058" spans="1:3" x14ac:dyDescent="0.3">
      <c r="A3058" s="12">
        <f>95.19*Hospital_Operations_Data[[#This Row],[Treatment_Cost_USD]]</f>
        <v>297007.0785</v>
      </c>
      <c r="C3058" s="14">
        <f>95.19*Hospital_Operations_Data[[#This Row],[Medication_Cost_USD]]</f>
        <v>83956.628100000002</v>
      </c>
    </row>
    <row r="3059" spans="1:3" x14ac:dyDescent="0.3">
      <c r="A3059" s="11">
        <f>95.19*Hospital_Operations_Data[[#This Row],[Treatment_Cost_USD]]</f>
        <v>888191.23679999996</v>
      </c>
      <c r="C3059" s="13">
        <f>95.19*Hospital_Operations_Data[[#This Row],[Medication_Cost_USD]]</f>
        <v>314113.67340000003</v>
      </c>
    </row>
    <row r="3060" spans="1:3" x14ac:dyDescent="0.3">
      <c r="A3060" s="12">
        <f>95.19*Hospital_Operations_Data[[#This Row],[Treatment_Cost_USD]]</f>
        <v>875688.0303000001</v>
      </c>
      <c r="C3060" s="14">
        <f>95.19*Hospital_Operations_Data[[#This Row],[Medication_Cost_USD]]</f>
        <v>289220.53649999999</v>
      </c>
    </row>
    <row r="3061" spans="1:3" x14ac:dyDescent="0.3">
      <c r="A3061" s="11">
        <f>95.19*Hospital_Operations_Data[[#This Row],[Treatment_Cost_USD]]</f>
        <v>2068763.3181</v>
      </c>
      <c r="C3061" s="13">
        <f>95.19*Hospital_Operations_Data[[#This Row],[Medication_Cost_USD]]</f>
        <v>396894.70500000002</v>
      </c>
    </row>
    <row r="3062" spans="1:3" x14ac:dyDescent="0.3">
      <c r="A3062" s="12">
        <f>95.19*Hospital_Operations_Data[[#This Row],[Treatment_Cost_USD]]</f>
        <v>148510.67850000001</v>
      </c>
      <c r="C3062" s="14">
        <f>95.19*Hospital_Operations_Data[[#This Row],[Medication_Cost_USD]]</f>
        <v>26576.096099999999</v>
      </c>
    </row>
    <row r="3063" spans="1:3" x14ac:dyDescent="0.3">
      <c r="A3063" s="11">
        <f>95.19*Hospital_Operations_Data[[#This Row],[Treatment_Cost_USD]]</f>
        <v>307514.1507</v>
      </c>
      <c r="C3063" s="13">
        <f>95.19*Hospital_Operations_Data[[#This Row],[Medication_Cost_USD]]</f>
        <v>117186.50519999999</v>
      </c>
    </row>
    <row r="3064" spans="1:3" x14ac:dyDescent="0.3">
      <c r="A3064" s="12">
        <f>95.19*Hospital_Operations_Data[[#This Row],[Treatment_Cost_USD]]</f>
        <v>1371870.6647999999</v>
      </c>
      <c r="C3064" s="14">
        <f>95.19*Hospital_Operations_Data[[#This Row],[Medication_Cost_USD]]</f>
        <v>222270.55379999999</v>
      </c>
    </row>
    <row r="3065" spans="1:3" x14ac:dyDescent="0.3">
      <c r="A3065" s="11">
        <f>95.19*Hospital_Operations_Data[[#This Row],[Treatment_Cost_USD]]</f>
        <v>844573.27500000002</v>
      </c>
      <c r="C3065" s="13">
        <f>95.19*Hospital_Operations_Data[[#This Row],[Medication_Cost_USD]]</f>
        <v>321796.4583</v>
      </c>
    </row>
    <row r="3066" spans="1:3" x14ac:dyDescent="0.3">
      <c r="A3066" s="12">
        <f>95.19*Hospital_Operations_Data[[#This Row],[Treatment_Cost_USD]]</f>
        <v>423174.76019999996</v>
      </c>
      <c r="C3066" s="14">
        <f>95.19*Hospital_Operations_Data[[#This Row],[Medication_Cost_USD]]</f>
        <v>117596.77410000001</v>
      </c>
    </row>
    <row r="3067" spans="1:3" x14ac:dyDescent="0.3">
      <c r="A3067" s="11">
        <f>95.19*Hospital_Operations_Data[[#This Row],[Treatment_Cost_USD]]</f>
        <v>234655.72469999999</v>
      </c>
      <c r="C3067" s="13">
        <f>95.19*Hospital_Operations_Data[[#This Row],[Medication_Cost_USD]]</f>
        <v>61198.602899999998</v>
      </c>
    </row>
    <row r="3068" spans="1:3" x14ac:dyDescent="0.3">
      <c r="A3068" s="12">
        <f>95.19*Hospital_Operations_Data[[#This Row],[Treatment_Cost_USD]]</f>
        <v>489476.49900000001</v>
      </c>
      <c r="C3068" s="14">
        <f>95.19*Hospital_Operations_Data[[#This Row],[Medication_Cost_USD]]</f>
        <v>153722.33100000001</v>
      </c>
    </row>
    <row r="3069" spans="1:3" x14ac:dyDescent="0.3">
      <c r="A3069" s="11">
        <f>95.19*Hospital_Operations_Data[[#This Row],[Treatment_Cost_USD]]</f>
        <v>878668.42920000001</v>
      </c>
      <c r="C3069" s="13">
        <f>95.19*Hospital_Operations_Data[[#This Row],[Medication_Cost_USD]]</f>
        <v>191689.8144</v>
      </c>
    </row>
    <row r="3070" spans="1:3" x14ac:dyDescent="0.3">
      <c r="A3070" s="12">
        <f>95.19*Hospital_Operations_Data[[#This Row],[Treatment_Cost_USD]]</f>
        <v>491228.94689999998</v>
      </c>
      <c r="C3070" s="14">
        <f>95.19*Hospital_Operations_Data[[#This Row],[Medication_Cost_USD]]</f>
        <v>119894.66069999999</v>
      </c>
    </row>
    <row r="3071" spans="1:3" x14ac:dyDescent="0.3">
      <c r="A3071" s="11">
        <f>95.19*Hospital_Operations_Data[[#This Row],[Treatment_Cost_USD]]</f>
        <v>883370.81519999995</v>
      </c>
      <c r="C3071" s="13">
        <f>95.19*Hospital_Operations_Data[[#This Row],[Medication_Cost_USD]]</f>
        <v>175837.82370000001</v>
      </c>
    </row>
    <row r="3072" spans="1:3" x14ac:dyDescent="0.3">
      <c r="A3072" s="12">
        <f>95.19*Hospital_Operations_Data[[#This Row],[Treatment_Cost_USD]]</f>
        <v>353491.8726</v>
      </c>
      <c r="C3072" s="14">
        <f>95.19*Hospital_Operations_Data[[#This Row],[Medication_Cost_USD]]</f>
        <v>107582.7861</v>
      </c>
    </row>
    <row r="3073" spans="1:3" x14ac:dyDescent="0.3">
      <c r="A3073" s="11">
        <f>95.19*Hospital_Operations_Data[[#This Row],[Treatment_Cost_USD]]</f>
        <v>968020.42650000006</v>
      </c>
      <c r="C3073" s="13">
        <f>95.19*Hospital_Operations_Data[[#This Row],[Medication_Cost_USD]]</f>
        <v>308809.68659999996</v>
      </c>
    </row>
    <row r="3074" spans="1:3" x14ac:dyDescent="0.3">
      <c r="A3074" s="12">
        <f>95.19*Hospital_Operations_Data[[#This Row],[Treatment_Cost_USD]]</f>
        <v>853952.34570000006</v>
      </c>
      <c r="C3074" s="14">
        <f>95.19*Hospital_Operations_Data[[#This Row],[Medication_Cost_USD]]</f>
        <v>267710.4522</v>
      </c>
    </row>
    <row r="3075" spans="1:3" x14ac:dyDescent="0.3">
      <c r="A3075" s="11">
        <f>95.19*Hospital_Operations_Data[[#This Row],[Treatment_Cost_USD]]</f>
        <v>305943.51569999999</v>
      </c>
      <c r="C3075" s="13">
        <f>95.19*Hospital_Operations_Data[[#This Row],[Medication_Cost_USD]]</f>
        <v>77199.09</v>
      </c>
    </row>
    <row r="3076" spans="1:3" x14ac:dyDescent="0.3">
      <c r="A3076" s="12">
        <f>95.19*Hospital_Operations_Data[[#This Row],[Treatment_Cost_USD]]</f>
        <v>257358.53969999999</v>
      </c>
      <c r="C3076" s="14">
        <f>95.19*Hospital_Operations_Data[[#This Row],[Medication_Cost_USD]]</f>
        <v>47700.660900000003</v>
      </c>
    </row>
    <row r="3077" spans="1:3" x14ac:dyDescent="0.3">
      <c r="A3077" s="11">
        <f>95.19*Hospital_Operations_Data[[#This Row],[Treatment_Cost_USD]]</f>
        <v>860587.08869999996</v>
      </c>
      <c r="C3077" s="13">
        <f>95.19*Hospital_Operations_Data[[#This Row],[Medication_Cost_USD]]</f>
        <v>199516.33619999999</v>
      </c>
    </row>
    <row r="3078" spans="1:3" x14ac:dyDescent="0.3">
      <c r="A3078" s="12">
        <f>95.19*Hospital_Operations_Data[[#This Row],[Treatment_Cost_USD]]</f>
        <v>368109.24900000001</v>
      </c>
      <c r="C3078" s="14">
        <f>95.19*Hospital_Operations_Data[[#This Row],[Medication_Cost_USD]]</f>
        <v>142626.03269999998</v>
      </c>
    </row>
    <row r="3079" spans="1:3" x14ac:dyDescent="0.3">
      <c r="A3079" s="11">
        <f>95.19*Hospital_Operations_Data[[#This Row],[Treatment_Cost_USD]]</f>
        <v>867231.35070000007</v>
      </c>
      <c r="C3079" s="13">
        <f>95.19*Hospital_Operations_Data[[#This Row],[Medication_Cost_USD]]</f>
        <v>193114.80869999999</v>
      </c>
    </row>
    <row r="3080" spans="1:3" x14ac:dyDescent="0.3">
      <c r="A3080" s="12">
        <f>95.19*Hospital_Operations_Data[[#This Row],[Treatment_Cost_USD]]</f>
        <v>611458.6764</v>
      </c>
      <c r="C3080" s="14">
        <f>95.19*Hospital_Operations_Data[[#This Row],[Medication_Cost_USD]]</f>
        <v>94094.363100000002</v>
      </c>
    </row>
    <row r="3081" spans="1:3" x14ac:dyDescent="0.3">
      <c r="A3081" s="11">
        <f>95.19*Hospital_Operations_Data[[#This Row],[Treatment_Cost_USD]]</f>
        <v>877217.73360000004</v>
      </c>
      <c r="C3081" s="13">
        <f>95.19*Hospital_Operations_Data[[#This Row],[Medication_Cost_USD]]</f>
        <v>138279.65729999999</v>
      </c>
    </row>
    <row r="3082" spans="1:3" x14ac:dyDescent="0.3">
      <c r="A3082" s="12">
        <f>95.19*Hospital_Operations_Data[[#This Row],[Treatment_Cost_USD]]</f>
        <v>1012315.1892</v>
      </c>
      <c r="C3082" s="14">
        <f>95.19*Hospital_Operations_Data[[#This Row],[Medication_Cost_USD]]</f>
        <v>295237.4964</v>
      </c>
    </row>
    <row r="3083" spans="1:3" x14ac:dyDescent="0.3">
      <c r="A3083" s="11">
        <f>95.19*Hospital_Operations_Data[[#This Row],[Treatment_Cost_USD]]</f>
        <v>376671.5895</v>
      </c>
      <c r="C3083" s="13">
        <f>95.19*Hospital_Operations_Data[[#This Row],[Medication_Cost_USD]]</f>
        <v>150428.75699999998</v>
      </c>
    </row>
    <row r="3084" spans="1:3" x14ac:dyDescent="0.3">
      <c r="A3084" s="12">
        <f>95.19*Hospital_Operations_Data[[#This Row],[Treatment_Cost_USD]]</f>
        <v>388000.15139999997</v>
      </c>
      <c r="C3084" s="14">
        <f>95.19*Hospital_Operations_Data[[#This Row],[Medication_Cost_USD]]</f>
        <v>145763.4951</v>
      </c>
    </row>
    <row r="3085" spans="1:3" x14ac:dyDescent="0.3">
      <c r="A3085" s="11">
        <f>95.19*Hospital_Operations_Data[[#This Row],[Treatment_Cost_USD]]</f>
        <v>519782.13930000004</v>
      </c>
      <c r="C3085" s="13">
        <f>95.19*Hospital_Operations_Data[[#This Row],[Medication_Cost_USD]]</f>
        <v>93818.312099999996</v>
      </c>
    </row>
    <row r="3086" spans="1:3" x14ac:dyDescent="0.3">
      <c r="A3086" s="12">
        <f>95.19*Hospital_Operations_Data[[#This Row],[Treatment_Cost_USD]]</f>
        <v>1991264.3795999999</v>
      </c>
      <c r="C3086" s="14">
        <f>95.19*Hospital_Operations_Data[[#This Row],[Medication_Cost_USD]]</f>
        <v>422620.75440000003</v>
      </c>
    </row>
    <row r="3087" spans="1:3" x14ac:dyDescent="0.3">
      <c r="A3087" s="11">
        <f>95.19*Hospital_Operations_Data[[#This Row],[Treatment_Cost_USD]]</f>
        <v>338013.97859999997</v>
      </c>
      <c r="C3087" s="13">
        <f>95.19*Hospital_Operations_Data[[#This Row],[Medication_Cost_USD]]</f>
        <v>91524.233099999998</v>
      </c>
    </row>
    <row r="3088" spans="1:3" x14ac:dyDescent="0.3">
      <c r="A3088" s="12">
        <f>95.19*Hospital_Operations_Data[[#This Row],[Treatment_Cost_USD]]</f>
        <v>1287305.7726</v>
      </c>
      <c r="C3088" s="14">
        <f>95.19*Hospital_Operations_Data[[#This Row],[Medication_Cost_USD]]</f>
        <v>274886.82630000002</v>
      </c>
    </row>
    <row r="3089" spans="1:3" x14ac:dyDescent="0.3">
      <c r="A3089" s="11">
        <f>95.19*Hospital_Operations_Data[[#This Row],[Treatment_Cost_USD]]</f>
        <v>395028.02910000004</v>
      </c>
      <c r="C3089" s="13">
        <f>95.19*Hospital_Operations_Data[[#This Row],[Medication_Cost_USD]]</f>
        <v>104289.21209999999</v>
      </c>
    </row>
    <row r="3090" spans="1:3" x14ac:dyDescent="0.3">
      <c r="A3090" s="12">
        <f>95.19*Hospital_Operations_Data[[#This Row],[Treatment_Cost_USD]]</f>
        <v>465727.54589999997</v>
      </c>
      <c r="C3090" s="14">
        <f>95.19*Hospital_Operations_Data[[#This Row],[Medication_Cost_USD]]</f>
        <v>157396.66500000001</v>
      </c>
    </row>
    <row r="3091" spans="1:3" x14ac:dyDescent="0.3">
      <c r="A3091" s="11">
        <f>95.19*Hospital_Operations_Data[[#This Row],[Treatment_Cost_USD]]</f>
        <v>675176.9585999999</v>
      </c>
      <c r="C3091" s="13">
        <f>95.19*Hospital_Operations_Data[[#This Row],[Medication_Cost_USD]]</f>
        <v>166958.50049999999</v>
      </c>
    </row>
    <row r="3092" spans="1:3" x14ac:dyDescent="0.3">
      <c r="A3092" s="12">
        <f>95.19*Hospital_Operations_Data[[#This Row],[Treatment_Cost_USD]]</f>
        <v>811195.85340000002</v>
      </c>
      <c r="C3092" s="14">
        <f>95.19*Hospital_Operations_Data[[#This Row],[Medication_Cost_USD]]</f>
        <v>152422.0356</v>
      </c>
    </row>
    <row r="3093" spans="1:3" x14ac:dyDescent="0.3">
      <c r="A3093" s="11">
        <f>95.19*Hospital_Operations_Data[[#This Row],[Treatment_Cost_USD]]</f>
        <v>645497.66849999991</v>
      </c>
      <c r="C3093" s="13">
        <f>95.19*Hospital_Operations_Data[[#This Row],[Medication_Cost_USD]]</f>
        <v>120646.6617</v>
      </c>
    </row>
    <row r="3094" spans="1:3" x14ac:dyDescent="0.3">
      <c r="A3094" s="12">
        <f>95.19*Hospital_Operations_Data[[#This Row],[Treatment_Cost_USD]]</f>
        <v>727634.26380000007</v>
      </c>
      <c r="C3094" s="14">
        <f>95.19*Hospital_Operations_Data[[#This Row],[Medication_Cost_USD]]</f>
        <v>132818.60699999999</v>
      </c>
    </row>
    <row r="3095" spans="1:3" x14ac:dyDescent="0.3">
      <c r="A3095" s="11">
        <f>95.19*Hospital_Operations_Data[[#This Row],[Treatment_Cost_USD]]</f>
        <v>349490.08499999996</v>
      </c>
      <c r="C3095" s="13">
        <f>95.19*Hospital_Operations_Data[[#This Row],[Medication_Cost_USD]]</f>
        <v>65096.633399999999</v>
      </c>
    </row>
    <row r="3096" spans="1:3" x14ac:dyDescent="0.3">
      <c r="A3096" s="12">
        <f>95.19*Hospital_Operations_Data[[#This Row],[Treatment_Cost_USD]]</f>
        <v>998450.76569999999</v>
      </c>
      <c r="C3096" s="14">
        <f>95.19*Hospital_Operations_Data[[#This Row],[Medication_Cost_USD]]</f>
        <v>209181.92879999999</v>
      </c>
    </row>
    <row r="3097" spans="1:3" x14ac:dyDescent="0.3">
      <c r="A3097" s="11">
        <f>95.19*Hospital_Operations_Data[[#This Row],[Treatment_Cost_USD]]</f>
        <v>422223.81209999998</v>
      </c>
      <c r="C3097" s="13">
        <f>95.19*Hospital_Operations_Data[[#This Row],[Medication_Cost_USD]]</f>
        <v>159017.7507</v>
      </c>
    </row>
    <row r="3098" spans="1:3" x14ac:dyDescent="0.3">
      <c r="A3098" s="12">
        <f>95.19*Hospital_Operations_Data[[#This Row],[Treatment_Cost_USD]]</f>
        <v>147421.70490000001</v>
      </c>
      <c r="C3098" s="14">
        <f>95.19*Hospital_Operations_Data[[#This Row],[Medication_Cost_USD]]</f>
        <v>48006.220799999996</v>
      </c>
    </row>
    <row r="3099" spans="1:3" x14ac:dyDescent="0.3">
      <c r="A3099" s="11">
        <f>95.19*Hospital_Operations_Data[[#This Row],[Treatment_Cost_USD]]</f>
        <v>256294.31549999997</v>
      </c>
      <c r="C3099" s="13">
        <f>95.19*Hospital_Operations_Data[[#This Row],[Medication_Cost_USD]]</f>
        <v>93889.704599999997</v>
      </c>
    </row>
    <row r="3100" spans="1:3" x14ac:dyDescent="0.3">
      <c r="A3100" s="12">
        <f>95.19*Hospital_Operations_Data[[#This Row],[Treatment_Cost_USD]]</f>
        <v>728735.61210000003</v>
      </c>
      <c r="C3100" s="14">
        <f>95.19*Hospital_Operations_Data[[#This Row],[Medication_Cost_USD]]</f>
        <v>254100.18600000002</v>
      </c>
    </row>
    <row r="3101" spans="1:3" x14ac:dyDescent="0.3">
      <c r="A3101" s="11">
        <f>95.19*Hospital_Operations_Data[[#This Row],[Treatment_Cost_USD]]</f>
        <v>784903.42349999992</v>
      </c>
      <c r="C3101" s="13">
        <f>95.19*Hospital_Operations_Data[[#This Row],[Medication_Cost_USD]]</f>
        <v>122277.26639999999</v>
      </c>
    </row>
    <row r="3102" spans="1:3" x14ac:dyDescent="0.3">
      <c r="A3102" s="12">
        <f>95.19*Hospital_Operations_Data[[#This Row],[Treatment_Cost_USD]]</f>
        <v>965745.38550000009</v>
      </c>
      <c r="C3102" s="14">
        <f>95.19*Hospital_Operations_Data[[#This Row],[Medication_Cost_USD]]</f>
        <v>151389.22409999999</v>
      </c>
    </row>
    <row r="3103" spans="1:3" x14ac:dyDescent="0.3">
      <c r="A3103" s="11">
        <f>95.19*Hospital_Operations_Data[[#This Row],[Treatment_Cost_USD]]</f>
        <v>499267.74239999999</v>
      </c>
      <c r="C3103" s="13">
        <f>95.19*Hospital_Operations_Data[[#This Row],[Medication_Cost_USD]]</f>
        <v>141806.44680000001</v>
      </c>
    </row>
    <row r="3104" spans="1:3" x14ac:dyDescent="0.3">
      <c r="A3104" s="12">
        <f>95.19*Hospital_Operations_Data[[#This Row],[Treatment_Cost_USD]]</f>
        <v>1562478.1689000002</v>
      </c>
      <c r="C3104" s="14">
        <f>95.19*Hospital_Operations_Data[[#This Row],[Medication_Cost_USD]]</f>
        <v>614627.55150000006</v>
      </c>
    </row>
    <row r="3105" spans="1:3" x14ac:dyDescent="0.3">
      <c r="A3105" s="11">
        <f>95.19*Hospital_Operations_Data[[#This Row],[Treatment_Cost_USD]]</f>
        <v>1156417.6188000001</v>
      </c>
      <c r="C3105" s="13">
        <f>95.19*Hospital_Operations_Data[[#This Row],[Medication_Cost_USD]]</f>
        <v>425835.32069999998</v>
      </c>
    </row>
    <row r="3106" spans="1:3" x14ac:dyDescent="0.3">
      <c r="A3106" s="12">
        <f>95.19*Hospital_Operations_Data[[#This Row],[Treatment_Cost_USD]]</f>
        <v>1031285.6042999999</v>
      </c>
      <c r="C3106" s="14">
        <f>95.19*Hospital_Operations_Data[[#This Row],[Medication_Cost_USD]]</f>
        <v>199141.28759999998</v>
      </c>
    </row>
    <row r="3107" spans="1:3" x14ac:dyDescent="0.3">
      <c r="A3107" s="11">
        <f>95.19*Hospital_Operations_Data[[#This Row],[Treatment_Cost_USD]]</f>
        <v>202876.54320000001</v>
      </c>
      <c r="C3107" s="13">
        <f>95.19*Hospital_Operations_Data[[#This Row],[Medication_Cost_USD]]</f>
        <v>45573.164400000001</v>
      </c>
    </row>
    <row r="3108" spans="1:3" x14ac:dyDescent="0.3">
      <c r="A3108" s="12">
        <f>95.19*Hospital_Operations_Data[[#This Row],[Treatment_Cost_USD]]</f>
        <v>815588.87190000003</v>
      </c>
      <c r="C3108" s="14">
        <f>95.19*Hospital_Operations_Data[[#This Row],[Medication_Cost_USD]]</f>
        <v>148840.03589999999</v>
      </c>
    </row>
    <row r="3109" spans="1:3" x14ac:dyDescent="0.3">
      <c r="A3109" s="11">
        <f>95.19*Hospital_Operations_Data[[#This Row],[Treatment_Cost_USD]]</f>
        <v>1190561.3199</v>
      </c>
      <c r="C3109" s="13">
        <f>95.19*Hospital_Operations_Data[[#This Row],[Medication_Cost_USD]]</f>
        <v>406680.23700000002</v>
      </c>
    </row>
    <row r="3110" spans="1:3" x14ac:dyDescent="0.3">
      <c r="A3110" s="12">
        <f>95.19*Hospital_Operations_Data[[#This Row],[Treatment_Cost_USD]]</f>
        <v>951689.63010000007</v>
      </c>
      <c r="C3110" s="14">
        <f>95.19*Hospital_Operations_Data[[#This Row],[Medication_Cost_USD]]</f>
        <v>336793.64279999997</v>
      </c>
    </row>
    <row r="3111" spans="1:3" x14ac:dyDescent="0.3">
      <c r="A3111" s="11">
        <f>95.19*Hospital_Operations_Data[[#This Row],[Treatment_Cost_USD]]</f>
        <v>445452.07589999994</v>
      </c>
      <c r="C3111" s="13">
        <f>95.19*Hospital_Operations_Data[[#This Row],[Medication_Cost_USD]]</f>
        <v>80883.894899999999</v>
      </c>
    </row>
    <row r="3112" spans="1:3" x14ac:dyDescent="0.3">
      <c r="A3112" s="12">
        <f>95.19*Hospital_Operations_Data[[#This Row],[Treatment_Cost_USD]]</f>
        <v>1091697.9378</v>
      </c>
      <c r="C3112" s="14">
        <f>95.19*Hospital_Operations_Data[[#This Row],[Medication_Cost_USD]]</f>
        <v>242316.6159</v>
      </c>
    </row>
    <row r="3113" spans="1:3" x14ac:dyDescent="0.3">
      <c r="A3113" s="11">
        <f>95.19*Hospital_Operations_Data[[#This Row],[Treatment_Cost_USD]]</f>
        <v>1811170.611</v>
      </c>
      <c r="C3113" s="13">
        <f>95.19*Hospital_Operations_Data[[#This Row],[Medication_Cost_USD]]</f>
        <v>621644.00640000007</v>
      </c>
    </row>
    <row r="3114" spans="1:3" x14ac:dyDescent="0.3">
      <c r="A3114" s="12">
        <f>95.19*Hospital_Operations_Data[[#This Row],[Treatment_Cost_USD]]</f>
        <v>1323677.8716</v>
      </c>
      <c r="C3114" s="14">
        <f>95.19*Hospital_Operations_Data[[#This Row],[Medication_Cost_USD]]</f>
        <v>331838.0514</v>
      </c>
    </row>
    <row r="3115" spans="1:3" x14ac:dyDescent="0.3">
      <c r="A3115" s="11">
        <f>95.19*Hospital_Operations_Data[[#This Row],[Treatment_Cost_USD]]</f>
        <v>759676.16969999997</v>
      </c>
      <c r="C3115" s="13">
        <f>95.19*Hospital_Operations_Data[[#This Row],[Medication_Cost_USD]]</f>
        <v>299616.23639999999</v>
      </c>
    </row>
    <row r="3116" spans="1:3" x14ac:dyDescent="0.3">
      <c r="A3116" s="12">
        <f>95.19*Hospital_Operations_Data[[#This Row],[Treatment_Cost_USD]]</f>
        <v>497385.83609999996</v>
      </c>
      <c r="C3116" s="14">
        <f>95.19*Hospital_Operations_Data[[#This Row],[Medication_Cost_USD]]</f>
        <v>197676.31350000002</v>
      </c>
    </row>
    <row r="3117" spans="1:3" x14ac:dyDescent="0.3">
      <c r="A3117" s="11">
        <f>95.19*Hospital_Operations_Data[[#This Row],[Treatment_Cost_USD]]</f>
        <v>1022892.7019999999</v>
      </c>
      <c r="C3117" s="13">
        <f>95.19*Hospital_Operations_Data[[#This Row],[Medication_Cost_USD]]</f>
        <v>364172.19059999997</v>
      </c>
    </row>
    <row r="3118" spans="1:3" x14ac:dyDescent="0.3">
      <c r="A3118" s="12">
        <f>95.19*Hospital_Operations_Data[[#This Row],[Treatment_Cost_USD]]</f>
        <v>1123038.2934000001</v>
      </c>
      <c r="C3118" s="14">
        <f>95.19*Hospital_Operations_Data[[#This Row],[Medication_Cost_USD]]</f>
        <v>376778.2023</v>
      </c>
    </row>
    <row r="3119" spans="1:3" x14ac:dyDescent="0.3">
      <c r="A3119" s="11">
        <f>95.19*Hospital_Operations_Data[[#This Row],[Treatment_Cost_USD]]</f>
        <v>537123.85349999997</v>
      </c>
      <c r="C3119" s="13">
        <f>95.19*Hospital_Operations_Data[[#This Row],[Medication_Cost_USD]]</f>
        <v>127278.54899999998</v>
      </c>
    </row>
    <row r="3120" spans="1:3" x14ac:dyDescent="0.3">
      <c r="A3120" s="12">
        <f>95.19*Hospital_Operations_Data[[#This Row],[Treatment_Cost_USD]]</f>
        <v>858604.28099999996</v>
      </c>
      <c r="C3120" s="14">
        <f>95.19*Hospital_Operations_Data[[#This Row],[Medication_Cost_USD]]</f>
        <v>222205.82460000002</v>
      </c>
    </row>
    <row r="3121" spans="1:3" x14ac:dyDescent="0.3">
      <c r="A3121" s="11">
        <f>95.19*Hospital_Operations_Data[[#This Row],[Treatment_Cost_USD]]</f>
        <v>475987.12410000002</v>
      </c>
      <c r="C3121" s="13">
        <f>95.19*Hospital_Operations_Data[[#This Row],[Medication_Cost_USD]]</f>
        <v>96510.285300000003</v>
      </c>
    </row>
    <row r="3122" spans="1:3" x14ac:dyDescent="0.3">
      <c r="A3122" s="12">
        <f>95.19*Hospital_Operations_Data[[#This Row],[Treatment_Cost_USD]]</f>
        <v>728690.87280000001</v>
      </c>
      <c r="C3122" s="14">
        <f>95.19*Hospital_Operations_Data[[#This Row],[Medication_Cost_USD]]</f>
        <v>198649.15529999998</v>
      </c>
    </row>
    <row r="3123" spans="1:3" x14ac:dyDescent="0.3">
      <c r="A3123" s="11">
        <f>95.19*Hospital_Operations_Data[[#This Row],[Treatment_Cost_USD]]</f>
        <v>1072523.8160999999</v>
      </c>
      <c r="C3123" s="13">
        <f>95.19*Hospital_Operations_Data[[#This Row],[Medication_Cost_USD]]</f>
        <v>307607.43690000003</v>
      </c>
    </row>
    <row r="3124" spans="1:3" x14ac:dyDescent="0.3">
      <c r="A3124" s="12">
        <f>95.19*Hospital_Operations_Data[[#This Row],[Treatment_Cost_USD]]</f>
        <v>1067604.3969000001</v>
      </c>
      <c r="C3124" s="14">
        <f>95.19*Hospital_Operations_Data[[#This Row],[Medication_Cost_USD]]</f>
        <v>183201.72209999998</v>
      </c>
    </row>
    <row r="3125" spans="1:3" x14ac:dyDescent="0.3">
      <c r="A3125" s="11">
        <f>95.19*Hospital_Operations_Data[[#This Row],[Treatment_Cost_USD]]</f>
        <v>1085054.6277000001</v>
      </c>
      <c r="C3125" s="13">
        <f>95.19*Hospital_Operations_Data[[#This Row],[Medication_Cost_USD]]</f>
        <v>422501.76689999999</v>
      </c>
    </row>
    <row r="3126" spans="1:3" x14ac:dyDescent="0.3">
      <c r="A3126" s="12">
        <f>95.19*Hospital_Operations_Data[[#This Row],[Treatment_Cost_USD]]</f>
        <v>1066149.8936999999</v>
      </c>
      <c r="C3126" s="14">
        <f>95.19*Hospital_Operations_Data[[#This Row],[Medication_Cost_USD]]</f>
        <v>417335.80559999996</v>
      </c>
    </row>
    <row r="3127" spans="1:3" x14ac:dyDescent="0.3">
      <c r="A3127" s="11">
        <f>95.19*Hospital_Operations_Data[[#This Row],[Treatment_Cost_USD]]</f>
        <v>1362276.4646999999</v>
      </c>
      <c r="C3127" s="13">
        <f>95.19*Hospital_Operations_Data[[#This Row],[Medication_Cost_USD]]</f>
        <v>243448.42499999999</v>
      </c>
    </row>
    <row r="3128" spans="1:3" x14ac:dyDescent="0.3">
      <c r="A3128" s="12">
        <f>95.19*Hospital_Operations_Data[[#This Row],[Treatment_Cost_USD]]</f>
        <v>1000916.1867</v>
      </c>
      <c r="C3128" s="14">
        <f>95.19*Hospital_Operations_Data[[#This Row],[Medication_Cost_USD]]</f>
        <v>303233.45639999997</v>
      </c>
    </row>
    <row r="3129" spans="1:3" x14ac:dyDescent="0.3">
      <c r="A3129" s="11">
        <f>95.19*Hospital_Operations_Data[[#This Row],[Treatment_Cost_USD]]</f>
        <v>1047471.7119</v>
      </c>
      <c r="C3129" s="13">
        <f>95.19*Hospital_Operations_Data[[#This Row],[Medication_Cost_USD]]</f>
        <v>351682.31070000003</v>
      </c>
    </row>
    <row r="3130" spans="1:3" x14ac:dyDescent="0.3">
      <c r="A3130" s="12">
        <f>95.19*Hospital_Operations_Data[[#This Row],[Treatment_Cost_USD]]</f>
        <v>1154628.0467999999</v>
      </c>
      <c r="C3130" s="14">
        <f>95.19*Hospital_Operations_Data[[#This Row],[Medication_Cost_USD]]</f>
        <v>353757.45269999997</v>
      </c>
    </row>
    <row r="3131" spans="1:3" x14ac:dyDescent="0.3">
      <c r="A3131" s="11">
        <f>95.19*Hospital_Operations_Data[[#This Row],[Treatment_Cost_USD]]</f>
        <v>1528878.0027000001</v>
      </c>
      <c r="C3131" s="13">
        <f>95.19*Hospital_Operations_Data[[#This Row],[Medication_Cost_USD]]</f>
        <v>526803.35369999998</v>
      </c>
    </row>
    <row r="3132" spans="1:3" x14ac:dyDescent="0.3">
      <c r="A3132" s="12">
        <f>95.19*Hospital_Operations_Data[[#This Row],[Treatment_Cost_USD]]</f>
        <v>761326.76430000004</v>
      </c>
      <c r="C3132" s="14">
        <f>95.19*Hospital_Operations_Data[[#This Row],[Medication_Cost_USD]]</f>
        <v>120831.33029999999</v>
      </c>
    </row>
    <row r="3133" spans="1:3" x14ac:dyDescent="0.3">
      <c r="A3133" s="11">
        <f>95.19*Hospital_Operations_Data[[#This Row],[Treatment_Cost_USD]]</f>
        <v>499819.8444</v>
      </c>
      <c r="C3133" s="13">
        <f>95.19*Hospital_Operations_Data[[#This Row],[Medication_Cost_USD]]</f>
        <v>135977.01120000001</v>
      </c>
    </row>
    <row r="3134" spans="1:3" x14ac:dyDescent="0.3">
      <c r="A3134" s="12">
        <f>95.19*Hospital_Operations_Data[[#This Row],[Treatment_Cost_USD]]</f>
        <v>316295.42820000002</v>
      </c>
      <c r="C3134" s="14">
        <f>95.19*Hospital_Operations_Data[[#This Row],[Medication_Cost_USD]]</f>
        <v>55014.108600000007</v>
      </c>
    </row>
    <row r="3135" spans="1:3" x14ac:dyDescent="0.3">
      <c r="A3135" s="11">
        <f>95.19*Hospital_Operations_Data[[#This Row],[Treatment_Cost_USD]]</f>
        <v>720920.51309999998</v>
      </c>
      <c r="C3135" s="13">
        <f>95.19*Hospital_Operations_Data[[#This Row],[Medication_Cost_USD]]</f>
        <v>116532.5499</v>
      </c>
    </row>
    <row r="3136" spans="1:3" x14ac:dyDescent="0.3">
      <c r="A3136" s="12">
        <f>95.19*Hospital_Operations_Data[[#This Row],[Treatment_Cost_USD]]</f>
        <v>763411.4253</v>
      </c>
      <c r="C3136" s="14">
        <f>95.19*Hospital_Operations_Data[[#This Row],[Medication_Cost_USD]]</f>
        <v>129965.76269999999</v>
      </c>
    </row>
    <row r="3137" spans="1:3" x14ac:dyDescent="0.3">
      <c r="A3137" s="11">
        <f>95.19*Hospital_Operations_Data[[#This Row],[Treatment_Cost_USD]]</f>
        <v>144252.82980000001</v>
      </c>
      <c r="C3137" s="13">
        <f>95.19*Hospital_Operations_Data[[#This Row],[Medication_Cost_USD]]</f>
        <v>56688.500699999997</v>
      </c>
    </row>
    <row r="3138" spans="1:3" x14ac:dyDescent="0.3">
      <c r="A3138" s="12">
        <f>95.19*Hospital_Operations_Data[[#This Row],[Treatment_Cost_USD]]</f>
        <v>1145301.3306</v>
      </c>
      <c r="C3138" s="14">
        <f>95.19*Hospital_Operations_Data[[#This Row],[Medication_Cost_USD]]</f>
        <v>279534.00209999998</v>
      </c>
    </row>
    <row r="3139" spans="1:3" x14ac:dyDescent="0.3">
      <c r="A3139" s="11">
        <f>95.19*Hospital_Operations_Data[[#This Row],[Treatment_Cost_USD]]</f>
        <v>866300.39249999996</v>
      </c>
      <c r="C3139" s="13">
        <f>95.19*Hospital_Operations_Data[[#This Row],[Medication_Cost_USD]]</f>
        <v>332479.63199999998</v>
      </c>
    </row>
    <row r="3140" spans="1:3" x14ac:dyDescent="0.3">
      <c r="A3140" s="12">
        <f>95.19*Hospital_Operations_Data[[#This Row],[Treatment_Cost_USD]]</f>
        <v>322759.78110000002</v>
      </c>
      <c r="C3140" s="14">
        <f>95.19*Hospital_Operations_Data[[#This Row],[Medication_Cost_USD]]</f>
        <v>57007.387199999997</v>
      </c>
    </row>
    <row r="3141" spans="1:3" x14ac:dyDescent="0.3">
      <c r="A3141" s="11">
        <f>95.19*Hospital_Operations_Data[[#This Row],[Treatment_Cost_USD]]</f>
        <v>870925.67460000003</v>
      </c>
      <c r="C3141" s="13">
        <f>95.19*Hospital_Operations_Data[[#This Row],[Medication_Cost_USD]]</f>
        <v>298152.21419999999</v>
      </c>
    </row>
    <row r="3142" spans="1:3" x14ac:dyDescent="0.3">
      <c r="A3142" s="12">
        <f>95.19*Hospital_Operations_Data[[#This Row],[Treatment_Cost_USD]]</f>
        <v>1107262.4546999999</v>
      </c>
      <c r="C3142" s="14">
        <f>95.19*Hospital_Operations_Data[[#This Row],[Medication_Cost_USD]]</f>
        <v>338293.83720000001</v>
      </c>
    </row>
    <row r="3143" spans="1:3" x14ac:dyDescent="0.3">
      <c r="A3143" s="11">
        <f>95.19*Hospital_Operations_Data[[#This Row],[Treatment_Cost_USD]]</f>
        <v>1840895.5922999999</v>
      </c>
      <c r="C3143" s="13">
        <f>95.19*Hospital_Operations_Data[[#This Row],[Medication_Cost_USD]]</f>
        <v>427536.36599999998</v>
      </c>
    </row>
    <row r="3144" spans="1:3" x14ac:dyDescent="0.3">
      <c r="A3144" s="12">
        <f>95.19*Hospital_Operations_Data[[#This Row],[Treatment_Cost_USD]]</f>
        <v>577557.70979999995</v>
      </c>
      <c r="C3144" s="14">
        <f>95.19*Hospital_Operations_Data[[#This Row],[Medication_Cost_USD]]</f>
        <v>122921.70269999999</v>
      </c>
    </row>
    <row r="3145" spans="1:3" x14ac:dyDescent="0.3">
      <c r="A3145" s="11">
        <f>95.19*Hospital_Operations_Data[[#This Row],[Treatment_Cost_USD]]</f>
        <v>407810.14230000001</v>
      </c>
      <c r="C3145" s="13">
        <f>95.19*Hospital_Operations_Data[[#This Row],[Medication_Cost_USD]]</f>
        <v>72095.002200000003</v>
      </c>
    </row>
    <row r="3146" spans="1:3" x14ac:dyDescent="0.3">
      <c r="A3146" s="12">
        <f>95.19*Hospital_Operations_Data[[#This Row],[Treatment_Cost_USD]]</f>
        <v>235814.18700000001</v>
      </c>
      <c r="C3146" s="14">
        <f>95.19*Hospital_Operations_Data[[#This Row],[Medication_Cost_USD]]</f>
        <v>84589.641600000003</v>
      </c>
    </row>
    <row r="3147" spans="1:3" x14ac:dyDescent="0.3">
      <c r="A3147" s="11">
        <f>95.19*Hospital_Operations_Data[[#This Row],[Treatment_Cost_USD]]</f>
        <v>333636.19049999997</v>
      </c>
      <c r="C3147" s="13">
        <f>95.19*Hospital_Operations_Data[[#This Row],[Medication_Cost_USD]]</f>
        <v>87029.36129999999</v>
      </c>
    </row>
    <row r="3148" spans="1:3" x14ac:dyDescent="0.3">
      <c r="A3148" s="12">
        <f>95.19*Hospital_Operations_Data[[#This Row],[Treatment_Cost_USD]]</f>
        <v>489125.24789999996</v>
      </c>
      <c r="C3148" s="14">
        <f>95.19*Hospital_Operations_Data[[#This Row],[Medication_Cost_USD]]</f>
        <v>165531.6024</v>
      </c>
    </row>
    <row r="3149" spans="1:3" x14ac:dyDescent="0.3">
      <c r="A3149" s="11">
        <f>95.19*Hospital_Operations_Data[[#This Row],[Treatment_Cost_USD]]</f>
        <v>790606.25639999995</v>
      </c>
      <c r="C3149" s="13">
        <f>95.19*Hospital_Operations_Data[[#This Row],[Medication_Cost_USD]]</f>
        <v>304146.3285</v>
      </c>
    </row>
    <row r="3150" spans="1:3" x14ac:dyDescent="0.3">
      <c r="A3150" s="12">
        <f>95.19*Hospital_Operations_Data[[#This Row],[Treatment_Cost_USD]]</f>
        <v>539574.99599999993</v>
      </c>
      <c r="C3150" s="14">
        <f>95.19*Hospital_Operations_Data[[#This Row],[Medication_Cost_USD]]</f>
        <v>133449.71669999999</v>
      </c>
    </row>
    <row r="3151" spans="1:3" x14ac:dyDescent="0.3">
      <c r="A3151" s="11">
        <f>95.19*Hospital_Operations_Data[[#This Row],[Treatment_Cost_USD]]</f>
        <v>292853.9388</v>
      </c>
      <c r="C3151" s="13">
        <f>95.19*Hospital_Operations_Data[[#This Row],[Medication_Cost_USD]]</f>
        <v>107478.07709999999</v>
      </c>
    </row>
    <row r="3152" spans="1:3" x14ac:dyDescent="0.3">
      <c r="A3152" s="12">
        <f>95.19*Hospital_Operations_Data[[#This Row],[Treatment_Cost_USD]]</f>
        <v>341064.81809999997</v>
      </c>
      <c r="C3152" s="14">
        <f>95.19*Hospital_Operations_Data[[#This Row],[Medication_Cost_USD]]</f>
        <v>71301.117599999998</v>
      </c>
    </row>
    <row r="3153" spans="1:3" x14ac:dyDescent="0.3">
      <c r="A3153" s="11">
        <f>95.19*Hospital_Operations_Data[[#This Row],[Treatment_Cost_USD]]</f>
        <v>1376554.0128000001</v>
      </c>
      <c r="C3153" s="13">
        <f>95.19*Hospital_Operations_Data[[#This Row],[Medication_Cost_USD]]</f>
        <v>525060.42480000004</v>
      </c>
    </row>
    <row r="3154" spans="1:3" x14ac:dyDescent="0.3">
      <c r="A3154" s="12">
        <f>95.19*Hospital_Operations_Data[[#This Row],[Treatment_Cost_USD]]</f>
        <v>963475.10400000005</v>
      </c>
      <c r="C3154" s="14">
        <f>95.19*Hospital_Operations_Data[[#This Row],[Medication_Cost_USD]]</f>
        <v>285303.46799999999</v>
      </c>
    </row>
    <row r="3155" spans="1:3" x14ac:dyDescent="0.3">
      <c r="A3155" s="11">
        <f>95.19*Hospital_Operations_Data[[#This Row],[Treatment_Cost_USD]]</f>
        <v>1061860.6322999999</v>
      </c>
      <c r="C3155" s="13">
        <f>95.19*Hospital_Operations_Data[[#This Row],[Medication_Cost_USD]]</f>
        <v>370129.18080000003</v>
      </c>
    </row>
    <row r="3156" spans="1:3" x14ac:dyDescent="0.3">
      <c r="A3156" s="12">
        <f>95.19*Hospital_Operations_Data[[#This Row],[Treatment_Cost_USD]]</f>
        <v>860088.29310000001</v>
      </c>
      <c r="C3156" s="14">
        <f>95.19*Hospital_Operations_Data[[#This Row],[Medication_Cost_USD]]</f>
        <v>342272.77919999999</v>
      </c>
    </row>
    <row r="3157" spans="1:3" x14ac:dyDescent="0.3">
      <c r="A3157" s="11">
        <f>95.19*Hospital_Operations_Data[[#This Row],[Treatment_Cost_USD]]</f>
        <v>955392.52110000001</v>
      </c>
      <c r="C3157" s="13">
        <f>95.19*Hospital_Operations_Data[[#This Row],[Medication_Cost_USD]]</f>
        <v>251554.80539999998</v>
      </c>
    </row>
    <row r="3158" spans="1:3" x14ac:dyDescent="0.3">
      <c r="A3158" s="12">
        <f>95.19*Hospital_Operations_Data[[#This Row],[Treatment_Cost_USD]]</f>
        <v>1159658.8382999999</v>
      </c>
      <c r="C3158" s="14">
        <f>95.19*Hospital_Operations_Data[[#This Row],[Medication_Cost_USD]]</f>
        <v>270054.02999999997</v>
      </c>
    </row>
    <row r="3159" spans="1:3" x14ac:dyDescent="0.3">
      <c r="A3159" s="11">
        <f>95.19*Hospital_Operations_Data[[#This Row],[Treatment_Cost_USD]]</f>
        <v>1128281.3585999999</v>
      </c>
      <c r="C3159" s="13">
        <f>95.19*Hospital_Operations_Data[[#This Row],[Medication_Cost_USD]]</f>
        <v>384075.46769999998</v>
      </c>
    </row>
    <row r="3160" spans="1:3" x14ac:dyDescent="0.3">
      <c r="A3160" s="12">
        <f>95.19*Hospital_Operations_Data[[#This Row],[Treatment_Cost_USD]]</f>
        <v>1313244.0956999999</v>
      </c>
      <c r="C3160" s="14">
        <f>95.19*Hospital_Operations_Data[[#This Row],[Medication_Cost_USD]]</f>
        <v>336332.92320000002</v>
      </c>
    </row>
    <row r="3161" spans="1:3" x14ac:dyDescent="0.3">
      <c r="A3161" s="11">
        <f>95.19*Hospital_Operations_Data[[#This Row],[Treatment_Cost_USD]]</f>
        <v>1285539.0462</v>
      </c>
      <c r="C3161" s="13">
        <f>95.19*Hospital_Operations_Data[[#This Row],[Medication_Cost_USD]]</f>
        <v>373066.74419999996</v>
      </c>
    </row>
    <row r="3162" spans="1:3" x14ac:dyDescent="0.3">
      <c r="A3162" s="12">
        <f>95.19*Hospital_Operations_Data[[#This Row],[Treatment_Cost_USD]]</f>
        <v>207363.79980000001</v>
      </c>
      <c r="C3162" s="14">
        <f>95.19*Hospital_Operations_Data[[#This Row],[Medication_Cost_USD]]</f>
        <v>80379.387900000002</v>
      </c>
    </row>
    <row r="3163" spans="1:3" x14ac:dyDescent="0.3">
      <c r="A3163" s="11">
        <f>95.19*Hospital_Operations_Data[[#This Row],[Treatment_Cost_USD]]</f>
        <v>454498.93349999993</v>
      </c>
      <c r="C3163" s="13">
        <f>95.19*Hospital_Operations_Data[[#This Row],[Medication_Cost_USD]]</f>
        <v>170432.93549999999</v>
      </c>
    </row>
    <row r="3164" spans="1:3" x14ac:dyDescent="0.3">
      <c r="A3164" s="12">
        <f>95.19*Hospital_Operations_Data[[#This Row],[Treatment_Cost_USD]]</f>
        <v>1205272.9343999999</v>
      </c>
      <c r="C3164" s="14">
        <f>95.19*Hospital_Operations_Data[[#This Row],[Medication_Cost_USD]]</f>
        <v>188286.77189999999</v>
      </c>
    </row>
    <row r="3165" spans="1:3" x14ac:dyDescent="0.3">
      <c r="A3165" s="11">
        <f>95.19*Hospital_Operations_Data[[#This Row],[Treatment_Cost_USD]]</f>
        <v>260128.5687</v>
      </c>
      <c r="C3165" s="13">
        <f>95.19*Hospital_Operations_Data[[#This Row],[Medication_Cost_USD]]</f>
        <v>81505.4856</v>
      </c>
    </row>
    <row r="3166" spans="1:3" x14ac:dyDescent="0.3">
      <c r="A3166" s="12">
        <f>95.19*Hospital_Operations_Data[[#This Row],[Treatment_Cost_USD]]</f>
        <v>492903.33900000004</v>
      </c>
      <c r="C3166" s="14">
        <f>95.19*Hospital_Operations_Data[[#This Row],[Medication_Cost_USD]]</f>
        <v>193248.0747</v>
      </c>
    </row>
    <row r="3167" spans="1:3" x14ac:dyDescent="0.3">
      <c r="A3167" s="11">
        <f>95.19*Hospital_Operations_Data[[#This Row],[Treatment_Cost_USD]]</f>
        <v>191780.24489999999</v>
      </c>
      <c r="C3167" s="13">
        <f>95.19*Hospital_Operations_Data[[#This Row],[Medication_Cost_USD]]</f>
        <v>75934.014899999995</v>
      </c>
    </row>
    <row r="3168" spans="1:3" x14ac:dyDescent="0.3">
      <c r="A3168" s="12">
        <f>95.19*Hospital_Operations_Data[[#This Row],[Treatment_Cost_USD]]</f>
        <v>1268532.4007999999</v>
      </c>
      <c r="C3168" s="14">
        <f>95.19*Hospital_Operations_Data[[#This Row],[Medication_Cost_USD]]</f>
        <v>397139.34329999995</v>
      </c>
    </row>
    <row r="3169" spans="1:3" x14ac:dyDescent="0.3">
      <c r="A3169" s="11">
        <f>95.19*Hospital_Operations_Data[[#This Row],[Treatment_Cost_USD]]</f>
        <v>81797.718899999993</v>
      </c>
      <c r="C3169" s="13">
        <f>95.19*Hospital_Operations_Data[[#This Row],[Medication_Cost_USD]]</f>
        <v>13564.574999999999</v>
      </c>
    </row>
    <row r="3170" spans="1:3" x14ac:dyDescent="0.3">
      <c r="A3170" s="12">
        <f>95.19*Hospital_Operations_Data[[#This Row],[Treatment_Cost_USD]]</f>
        <v>551760.26789999998</v>
      </c>
      <c r="C3170" s="14">
        <f>95.19*Hospital_Operations_Data[[#This Row],[Medication_Cost_USD]]</f>
        <v>122203.01819999999</v>
      </c>
    </row>
    <row r="3171" spans="1:3" x14ac:dyDescent="0.3">
      <c r="A3171" s="11">
        <f>95.19*Hospital_Operations_Data[[#This Row],[Treatment_Cost_USD]]</f>
        <v>972233.53590000002</v>
      </c>
      <c r="C3171" s="13">
        <f>95.19*Hospital_Operations_Data[[#This Row],[Medication_Cost_USD]]</f>
        <v>221062.59269999998</v>
      </c>
    </row>
    <row r="3172" spans="1:3" x14ac:dyDescent="0.3">
      <c r="A3172" s="12">
        <f>95.19*Hospital_Operations_Data[[#This Row],[Treatment_Cost_USD]]</f>
        <v>949060.48230000003</v>
      </c>
      <c r="C3172" s="14">
        <f>95.19*Hospital_Operations_Data[[#This Row],[Medication_Cost_USD]]</f>
        <v>252069.78330000001</v>
      </c>
    </row>
    <row r="3173" spans="1:3" x14ac:dyDescent="0.3">
      <c r="A3173" s="11">
        <f>95.19*Hospital_Operations_Data[[#This Row],[Treatment_Cost_USD]]</f>
        <v>279898.57980000001</v>
      </c>
      <c r="C3173" s="13">
        <f>95.19*Hospital_Operations_Data[[#This Row],[Medication_Cost_USD]]</f>
        <v>74657.516999999993</v>
      </c>
    </row>
    <row r="3174" spans="1:3" x14ac:dyDescent="0.3">
      <c r="A3174" s="12">
        <f>95.19*Hospital_Operations_Data[[#This Row],[Treatment_Cost_USD]]</f>
        <v>732710.74650000001</v>
      </c>
      <c r="C3174" s="14">
        <f>95.19*Hospital_Operations_Data[[#This Row],[Medication_Cost_USD]]</f>
        <v>119769.9618</v>
      </c>
    </row>
    <row r="3175" spans="1:3" x14ac:dyDescent="0.3">
      <c r="A3175" s="11">
        <f>95.19*Hospital_Operations_Data[[#This Row],[Treatment_Cost_USD]]</f>
        <v>877178.70570000005</v>
      </c>
      <c r="C3175" s="13">
        <f>95.19*Hospital_Operations_Data[[#This Row],[Medication_Cost_USD]]</f>
        <v>269617.1079</v>
      </c>
    </row>
    <row r="3176" spans="1:3" x14ac:dyDescent="0.3">
      <c r="A3176" s="12">
        <f>95.19*Hospital_Operations_Data[[#This Row],[Treatment_Cost_USD]]</f>
        <v>585063.44130000006</v>
      </c>
      <c r="C3176" s="14">
        <f>95.19*Hospital_Operations_Data[[#This Row],[Medication_Cost_USD]]</f>
        <v>98626.358999999982</v>
      </c>
    </row>
    <row r="3177" spans="1:3" x14ac:dyDescent="0.3">
      <c r="A3177" s="11">
        <f>95.19*Hospital_Operations_Data[[#This Row],[Treatment_Cost_USD]]</f>
        <v>1296147.0197999999</v>
      </c>
      <c r="C3177" s="13">
        <f>95.19*Hospital_Operations_Data[[#This Row],[Medication_Cost_USD]]</f>
        <v>413620.53989999997</v>
      </c>
    </row>
    <row r="3178" spans="1:3" x14ac:dyDescent="0.3">
      <c r="A3178" s="12">
        <f>95.19*Hospital_Operations_Data[[#This Row],[Treatment_Cost_USD]]</f>
        <v>418563.75660000002</v>
      </c>
      <c r="C3178" s="14">
        <f>95.19*Hospital_Operations_Data[[#This Row],[Medication_Cost_USD]]</f>
        <v>124127.76</v>
      </c>
    </row>
    <row r="3179" spans="1:3" x14ac:dyDescent="0.3">
      <c r="A3179" s="11">
        <f>95.19*Hospital_Operations_Data[[#This Row],[Treatment_Cost_USD]]</f>
        <v>896565.10109999997</v>
      </c>
      <c r="C3179" s="13">
        <f>95.19*Hospital_Operations_Data[[#This Row],[Medication_Cost_USD]]</f>
        <v>216366.87</v>
      </c>
    </row>
    <row r="3180" spans="1:3" x14ac:dyDescent="0.3">
      <c r="A3180" s="12">
        <f>95.19*Hospital_Operations_Data[[#This Row],[Treatment_Cost_USD]]</f>
        <v>593022.27720000001</v>
      </c>
      <c r="C3180" s="14">
        <f>95.19*Hospital_Operations_Data[[#This Row],[Medication_Cost_USD]]</f>
        <v>226415.12639999998</v>
      </c>
    </row>
    <row r="3181" spans="1:3" x14ac:dyDescent="0.3">
      <c r="A3181" s="11">
        <f>95.19*Hospital_Operations_Data[[#This Row],[Treatment_Cost_USD]]</f>
        <v>2058647.4768000001</v>
      </c>
      <c r="C3181" s="13">
        <f>95.19*Hospital_Operations_Data[[#This Row],[Medication_Cost_USD]]</f>
        <v>379344.52470000001</v>
      </c>
    </row>
    <row r="3182" spans="1:3" x14ac:dyDescent="0.3">
      <c r="A3182" s="12">
        <f>95.19*Hospital_Operations_Data[[#This Row],[Treatment_Cost_USD]]</f>
        <v>1037541.4911</v>
      </c>
      <c r="C3182" s="14">
        <f>95.19*Hospital_Operations_Data[[#This Row],[Medication_Cost_USD]]</f>
        <v>352797.9375</v>
      </c>
    </row>
    <row r="3183" spans="1:3" x14ac:dyDescent="0.3">
      <c r="A3183" s="11">
        <f>95.19*Hospital_Operations_Data[[#This Row],[Treatment_Cost_USD]]</f>
        <v>450233.46960000001</v>
      </c>
      <c r="C3183" s="13">
        <f>95.19*Hospital_Operations_Data[[#This Row],[Medication_Cost_USD]]</f>
        <v>173487.58259999999</v>
      </c>
    </row>
    <row r="3184" spans="1:3" x14ac:dyDescent="0.3">
      <c r="A3184" s="12">
        <f>95.19*Hospital_Operations_Data[[#This Row],[Treatment_Cost_USD]]</f>
        <v>472694.50199999998</v>
      </c>
      <c r="C3184" s="14">
        <f>95.19*Hospital_Operations_Data[[#This Row],[Medication_Cost_USD]]</f>
        <v>115534.0068</v>
      </c>
    </row>
    <row r="3185" spans="1:3" x14ac:dyDescent="0.3">
      <c r="A3185" s="11">
        <f>95.19*Hospital_Operations_Data[[#This Row],[Treatment_Cost_USD]]</f>
        <v>1395048.4779000001</v>
      </c>
      <c r="C3185" s="13">
        <f>95.19*Hospital_Operations_Data[[#This Row],[Medication_Cost_USD]]</f>
        <v>339772.13789999997</v>
      </c>
    </row>
    <row r="3186" spans="1:3" x14ac:dyDescent="0.3">
      <c r="A3186" s="12">
        <f>95.19*Hospital_Operations_Data[[#This Row],[Treatment_Cost_USD]]</f>
        <v>854980.39769999997</v>
      </c>
      <c r="C3186" s="14">
        <f>95.19*Hospital_Operations_Data[[#This Row],[Medication_Cost_USD]]</f>
        <v>274943.94029999996</v>
      </c>
    </row>
    <row r="3187" spans="1:3" x14ac:dyDescent="0.3">
      <c r="A3187" s="11">
        <f>95.19*Hospital_Operations_Data[[#This Row],[Treatment_Cost_USD]]</f>
        <v>1397345.4126000002</v>
      </c>
      <c r="C3187" s="13">
        <f>95.19*Hospital_Operations_Data[[#This Row],[Medication_Cost_USD]]</f>
        <v>372002.52</v>
      </c>
    </row>
    <row r="3188" spans="1:3" x14ac:dyDescent="0.3">
      <c r="A3188" s="12">
        <f>95.19*Hospital_Operations_Data[[#This Row],[Treatment_Cost_USD]]</f>
        <v>223773.60389999999</v>
      </c>
      <c r="C3188" s="14">
        <f>95.19*Hospital_Operations_Data[[#This Row],[Medication_Cost_USD]]</f>
        <v>40493.825999999994</v>
      </c>
    </row>
    <row r="3189" spans="1:3" x14ac:dyDescent="0.3">
      <c r="A3189" s="11">
        <f>95.19*Hospital_Operations_Data[[#This Row],[Treatment_Cost_USD]]</f>
        <v>1201787.0766</v>
      </c>
      <c r="C3189" s="13">
        <f>95.19*Hospital_Operations_Data[[#This Row],[Medication_Cost_USD]]</f>
        <v>368891.7108</v>
      </c>
    </row>
    <row r="3190" spans="1:3" x14ac:dyDescent="0.3">
      <c r="A3190" s="12">
        <f>95.19*Hospital_Operations_Data[[#This Row],[Treatment_Cost_USD]]</f>
        <v>471162.89490000001</v>
      </c>
      <c r="C3190" s="14">
        <f>95.19*Hospital_Operations_Data[[#This Row],[Medication_Cost_USD]]</f>
        <v>181245.56759999998</v>
      </c>
    </row>
    <row r="3191" spans="1:3" x14ac:dyDescent="0.3">
      <c r="A3191" s="11">
        <f>95.19*Hospital_Operations_Data[[#This Row],[Treatment_Cost_USD]]</f>
        <v>797382.83250000002</v>
      </c>
      <c r="C3191" s="13">
        <f>95.19*Hospital_Operations_Data[[#This Row],[Medication_Cost_USD]]</f>
        <v>200702.40359999999</v>
      </c>
    </row>
    <row r="3192" spans="1:3" x14ac:dyDescent="0.3">
      <c r="A3192" s="12">
        <f>95.19*Hospital_Operations_Data[[#This Row],[Treatment_Cost_USD]]</f>
        <v>280983.74580000003</v>
      </c>
      <c r="C3192" s="14">
        <f>95.19*Hospital_Operations_Data[[#This Row],[Medication_Cost_USD]]</f>
        <v>45389.447699999997</v>
      </c>
    </row>
    <row r="3193" spans="1:3" x14ac:dyDescent="0.3">
      <c r="A3193" s="11">
        <f>95.19*Hospital_Operations_Data[[#This Row],[Treatment_Cost_USD]]</f>
        <v>263079.45870000002</v>
      </c>
      <c r="C3193" s="13">
        <f>95.19*Hospital_Operations_Data[[#This Row],[Medication_Cost_USD]]</f>
        <v>50298.395999999993</v>
      </c>
    </row>
    <row r="3194" spans="1:3" x14ac:dyDescent="0.3">
      <c r="A3194" s="12">
        <f>95.19*Hospital_Operations_Data[[#This Row],[Treatment_Cost_USD]]</f>
        <v>675026.55839999998</v>
      </c>
      <c r="C3194" s="14">
        <f>95.19*Hospital_Operations_Data[[#This Row],[Medication_Cost_USD]]</f>
        <v>103782.80129999999</v>
      </c>
    </row>
    <row r="3195" spans="1:3" x14ac:dyDescent="0.3">
      <c r="A3195" s="11">
        <f>95.19*Hospital_Operations_Data[[#This Row],[Treatment_Cost_USD]]</f>
        <v>2342341.2818999998</v>
      </c>
      <c r="C3195" s="13">
        <f>95.19*Hospital_Operations_Data[[#This Row],[Medication_Cost_USD]]</f>
        <v>905787.10829999996</v>
      </c>
    </row>
    <row r="3196" spans="1:3" x14ac:dyDescent="0.3">
      <c r="A3196" s="12">
        <f>95.19*Hospital_Operations_Data[[#This Row],[Treatment_Cost_USD]]</f>
        <v>711178.76850000001</v>
      </c>
      <c r="C3196" s="14">
        <f>95.19*Hospital_Operations_Data[[#This Row],[Medication_Cost_USD]]</f>
        <v>221480.47679999997</v>
      </c>
    </row>
    <row r="3197" spans="1:3" x14ac:dyDescent="0.3">
      <c r="A3197" s="11">
        <f>95.19*Hospital_Operations_Data[[#This Row],[Treatment_Cost_USD]]</f>
        <v>981641.16359999997</v>
      </c>
      <c r="C3197" s="13">
        <f>95.19*Hospital_Operations_Data[[#This Row],[Medication_Cost_USD]]</f>
        <v>333192.60509999999</v>
      </c>
    </row>
    <row r="3198" spans="1:3" x14ac:dyDescent="0.3">
      <c r="A3198" s="12">
        <f>95.19*Hospital_Operations_Data[[#This Row],[Treatment_Cost_USD]]</f>
        <v>388588.42559999996</v>
      </c>
      <c r="C3198" s="14">
        <f>95.19*Hospital_Operations_Data[[#This Row],[Medication_Cost_USD]]</f>
        <v>116055.648</v>
      </c>
    </row>
    <row r="3199" spans="1:3" x14ac:dyDescent="0.3">
      <c r="A3199" s="11">
        <f>95.19*Hospital_Operations_Data[[#This Row],[Treatment_Cost_USD]]</f>
        <v>659128.87650000001</v>
      </c>
      <c r="C3199" s="13">
        <f>95.19*Hospital_Operations_Data[[#This Row],[Medication_Cost_USD]]</f>
        <v>205735.09889999998</v>
      </c>
    </row>
    <row r="3200" spans="1:3" x14ac:dyDescent="0.3">
      <c r="A3200" s="12">
        <f>95.19*Hospital_Operations_Data[[#This Row],[Treatment_Cost_USD]]</f>
        <v>476051.85329999996</v>
      </c>
      <c r="C3200" s="14">
        <f>95.19*Hospital_Operations_Data[[#This Row],[Medication_Cost_USD]]</f>
        <v>76651.747499999998</v>
      </c>
    </row>
    <row r="3201" spans="1:3" x14ac:dyDescent="0.3">
      <c r="A3201" s="11">
        <f>95.19*Hospital_Operations_Data[[#This Row],[Treatment_Cost_USD]]</f>
        <v>301827.5001</v>
      </c>
      <c r="C3201" s="13">
        <f>95.19*Hospital_Operations_Data[[#This Row],[Medication_Cost_USD]]</f>
        <v>63181.410600000003</v>
      </c>
    </row>
    <row r="3202" spans="1:3" x14ac:dyDescent="0.3">
      <c r="A3202" s="12">
        <f>95.19*Hospital_Operations_Data[[#This Row],[Treatment_Cost_USD]]</f>
        <v>424592.13930000004</v>
      </c>
      <c r="C3202" s="14">
        <f>95.19*Hospital_Operations_Data[[#This Row],[Medication_Cost_USD]]</f>
        <v>97045.253100000002</v>
      </c>
    </row>
    <row r="3203" spans="1:3" x14ac:dyDescent="0.3">
      <c r="A3203" s="11">
        <f>95.19*Hospital_Operations_Data[[#This Row],[Treatment_Cost_USD]]</f>
        <v>978658.86090000009</v>
      </c>
      <c r="C3203" s="13">
        <f>95.19*Hospital_Operations_Data[[#This Row],[Medication_Cost_USD]]</f>
        <v>164869.07999999999</v>
      </c>
    </row>
    <row r="3204" spans="1:3" x14ac:dyDescent="0.3">
      <c r="A3204" s="12">
        <f>95.19*Hospital_Operations_Data[[#This Row],[Treatment_Cost_USD]]</f>
        <v>1414932.7169999999</v>
      </c>
      <c r="C3204" s="14">
        <f>95.19*Hospital_Operations_Data[[#This Row],[Medication_Cost_USD]]</f>
        <v>230679.6384</v>
      </c>
    </row>
    <row r="3205" spans="1:3" x14ac:dyDescent="0.3">
      <c r="A3205" s="11">
        <f>95.19*Hospital_Operations_Data[[#This Row],[Treatment_Cost_USD]]</f>
        <v>817263.26399999997</v>
      </c>
      <c r="C3205" s="13">
        <f>95.19*Hospital_Operations_Data[[#This Row],[Medication_Cost_USD]]</f>
        <v>185469.14790000001</v>
      </c>
    </row>
    <row r="3206" spans="1:3" x14ac:dyDescent="0.3">
      <c r="A3206" s="12">
        <f>95.19*Hospital_Operations_Data[[#This Row],[Treatment_Cost_USD]]</f>
        <v>583106.33490000002</v>
      </c>
      <c r="C3206" s="14">
        <f>95.19*Hospital_Operations_Data[[#This Row],[Medication_Cost_USD]]</f>
        <v>111904.41209999999</v>
      </c>
    </row>
    <row r="3207" spans="1:3" x14ac:dyDescent="0.3">
      <c r="A3207" s="11">
        <f>95.19*Hospital_Operations_Data[[#This Row],[Treatment_Cost_USD]]</f>
        <v>558396.91469999996</v>
      </c>
      <c r="C3207" s="13">
        <f>95.19*Hospital_Operations_Data[[#This Row],[Medication_Cost_USD]]</f>
        <v>216858.05039999998</v>
      </c>
    </row>
    <row r="3208" spans="1:3" x14ac:dyDescent="0.3">
      <c r="A3208" s="12">
        <f>95.19*Hospital_Operations_Data[[#This Row],[Treatment_Cost_USD]]</f>
        <v>198232.22309999997</v>
      </c>
      <c r="C3208" s="14">
        <f>95.19*Hospital_Operations_Data[[#This Row],[Medication_Cost_USD]]</f>
        <v>42150.131999999998</v>
      </c>
    </row>
    <row r="3209" spans="1:3" x14ac:dyDescent="0.3">
      <c r="A3209" s="11">
        <f>95.19*Hospital_Operations_Data[[#This Row],[Treatment_Cost_USD]]</f>
        <v>530078.84160000004</v>
      </c>
      <c r="C3209" s="13">
        <f>95.19*Hospital_Operations_Data[[#This Row],[Medication_Cost_USD]]</f>
        <v>140631.80220000001</v>
      </c>
    </row>
    <row r="3210" spans="1:3" x14ac:dyDescent="0.3">
      <c r="A3210" s="12">
        <f>95.19*Hospital_Operations_Data[[#This Row],[Treatment_Cost_USD]]</f>
        <v>283643.35440000001</v>
      </c>
      <c r="C3210" s="14">
        <f>95.19*Hospital_Operations_Data[[#This Row],[Medication_Cost_USD]]</f>
        <v>65732.502599999993</v>
      </c>
    </row>
    <row r="3211" spans="1:3" x14ac:dyDescent="0.3">
      <c r="A3211" s="11">
        <f>95.19*Hospital_Operations_Data[[#This Row],[Treatment_Cost_USD]]</f>
        <v>360846.25200000004</v>
      </c>
      <c r="C3211" s="13">
        <f>95.19*Hospital_Operations_Data[[#This Row],[Medication_Cost_USD]]</f>
        <v>126967.27769999999</v>
      </c>
    </row>
    <row r="3212" spans="1:3" x14ac:dyDescent="0.3">
      <c r="A3212" s="12">
        <f>95.19*Hospital_Operations_Data[[#This Row],[Treatment_Cost_USD]]</f>
        <v>233988.44279999999</v>
      </c>
      <c r="C3212" s="14">
        <f>95.19*Hospital_Operations_Data[[#This Row],[Medication_Cost_USD]]</f>
        <v>77914.918799999999</v>
      </c>
    </row>
    <row r="3213" spans="1:3" x14ac:dyDescent="0.3">
      <c r="A3213" s="11">
        <f>95.19*Hospital_Operations_Data[[#This Row],[Treatment_Cost_USD]]</f>
        <v>465144.98309999995</v>
      </c>
      <c r="C3213" s="13">
        <f>95.19*Hospital_Operations_Data[[#This Row],[Medication_Cost_USD]]</f>
        <v>93230.037899999996</v>
      </c>
    </row>
    <row r="3214" spans="1:3" x14ac:dyDescent="0.3">
      <c r="A3214" s="12">
        <f>95.19*Hospital_Operations_Data[[#This Row],[Treatment_Cost_USD]]</f>
        <v>1604458.8627000002</v>
      </c>
      <c r="C3214" s="14">
        <f>95.19*Hospital_Operations_Data[[#This Row],[Medication_Cost_USD]]</f>
        <v>381951.77879999997</v>
      </c>
    </row>
    <row r="3215" spans="1:3" x14ac:dyDescent="0.3">
      <c r="A3215" s="11">
        <f>95.19*Hospital_Operations_Data[[#This Row],[Treatment_Cost_USD]]</f>
        <v>1378606.3092</v>
      </c>
      <c r="C3215" s="13">
        <f>95.19*Hospital_Operations_Data[[#This Row],[Medication_Cost_USD]]</f>
        <v>241425.63749999998</v>
      </c>
    </row>
    <row r="3216" spans="1:3" x14ac:dyDescent="0.3">
      <c r="A3216" s="12">
        <f>95.19*Hospital_Operations_Data[[#This Row],[Treatment_Cost_USD]]</f>
        <v>750704.5122</v>
      </c>
      <c r="C3216" s="14">
        <f>95.19*Hospital_Operations_Data[[#This Row],[Medication_Cost_USD]]</f>
        <v>256316.20919999998</v>
      </c>
    </row>
    <row r="3217" spans="1:3" x14ac:dyDescent="0.3">
      <c r="A3217" s="11">
        <f>95.19*Hospital_Operations_Data[[#This Row],[Treatment_Cost_USD]]</f>
        <v>181617.7605</v>
      </c>
      <c r="C3217" s="13">
        <f>95.19*Hospital_Operations_Data[[#This Row],[Medication_Cost_USD]]</f>
        <v>46975.313099999999</v>
      </c>
    </row>
    <row r="3218" spans="1:3" x14ac:dyDescent="0.3">
      <c r="A3218" s="12">
        <f>95.19*Hospital_Operations_Data[[#This Row],[Treatment_Cost_USD]]</f>
        <v>1089129.7115999998</v>
      </c>
      <c r="C3218" s="14">
        <f>95.19*Hospital_Operations_Data[[#This Row],[Medication_Cost_USD]]</f>
        <v>367019.3235</v>
      </c>
    </row>
    <row r="3219" spans="1:3" x14ac:dyDescent="0.3">
      <c r="A3219" s="11">
        <f>95.19*Hospital_Operations_Data[[#This Row],[Treatment_Cost_USD]]</f>
        <v>1731916.3689000001</v>
      </c>
      <c r="C3219" s="13">
        <f>95.19*Hospital_Operations_Data[[#This Row],[Medication_Cost_USD]]</f>
        <v>384549.51389999996</v>
      </c>
    </row>
    <row r="3220" spans="1:3" x14ac:dyDescent="0.3">
      <c r="A3220" s="12">
        <f>95.19*Hospital_Operations_Data[[#This Row],[Treatment_Cost_USD]]</f>
        <v>453926.84160000004</v>
      </c>
      <c r="C3220" s="14">
        <f>95.19*Hospital_Operations_Data[[#This Row],[Medication_Cost_USD]]</f>
        <v>107912.14350000001</v>
      </c>
    </row>
    <row r="3221" spans="1:3" x14ac:dyDescent="0.3">
      <c r="A3221" s="11">
        <f>95.19*Hospital_Operations_Data[[#This Row],[Treatment_Cost_USD]]</f>
        <v>659943.70289999992</v>
      </c>
      <c r="C3221" s="13">
        <f>95.19*Hospital_Operations_Data[[#This Row],[Medication_Cost_USD]]</f>
        <v>185950.80929999999</v>
      </c>
    </row>
    <row r="3222" spans="1:3" x14ac:dyDescent="0.3">
      <c r="A3222" s="12">
        <f>95.19*Hospital_Operations_Data[[#This Row],[Treatment_Cost_USD]]</f>
        <v>478383.0564</v>
      </c>
      <c r="C3222" s="14">
        <f>95.19*Hospital_Operations_Data[[#This Row],[Medication_Cost_USD]]</f>
        <v>90741.771299999993</v>
      </c>
    </row>
    <row r="3223" spans="1:3" x14ac:dyDescent="0.3">
      <c r="A3223" s="11">
        <f>95.19*Hospital_Operations_Data[[#This Row],[Treatment_Cost_USD]]</f>
        <v>1486522.2603</v>
      </c>
      <c r="C3223" s="13">
        <f>95.19*Hospital_Operations_Data[[#This Row],[Medication_Cost_USD]]</f>
        <v>289446.13679999998</v>
      </c>
    </row>
    <row r="3224" spans="1:3" x14ac:dyDescent="0.3">
      <c r="A3224" s="12">
        <f>95.19*Hospital_Operations_Data[[#This Row],[Treatment_Cost_USD]]</f>
        <v>415412.96759999997</v>
      </c>
      <c r="C3224" s="14">
        <f>95.19*Hospital_Operations_Data[[#This Row],[Medication_Cost_USD]]</f>
        <v>159134.83439999999</v>
      </c>
    </row>
    <row r="3225" spans="1:3" x14ac:dyDescent="0.3">
      <c r="A3225" s="11">
        <f>95.19*Hospital_Operations_Data[[#This Row],[Treatment_Cost_USD]]</f>
        <v>1240627.4523</v>
      </c>
      <c r="C3225" s="13">
        <f>95.19*Hospital_Operations_Data[[#This Row],[Medication_Cost_USD]]</f>
        <v>289963.97039999999</v>
      </c>
    </row>
    <row r="3226" spans="1:3" x14ac:dyDescent="0.3">
      <c r="A3226" s="12">
        <f>95.19*Hospital_Operations_Data[[#This Row],[Treatment_Cost_USD]]</f>
        <v>1144142.8683</v>
      </c>
      <c r="C3226" s="14">
        <f>95.19*Hospital_Operations_Data[[#This Row],[Medication_Cost_USD]]</f>
        <v>301273.49429999996</v>
      </c>
    </row>
    <row r="3227" spans="1:3" x14ac:dyDescent="0.3">
      <c r="A3227" s="11">
        <f>95.19*Hospital_Operations_Data[[#This Row],[Treatment_Cost_USD]]</f>
        <v>1781446.5815999999</v>
      </c>
      <c r="C3227" s="13">
        <f>95.19*Hospital_Operations_Data[[#This Row],[Medication_Cost_USD]]</f>
        <v>369939.75270000001</v>
      </c>
    </row>
    <row r="3228" spans="1:3" x14ac:dyDescent="0.3">
      <c r="A3228" s="12">
        <f>95.19*Hospital_Operations_Data[[#This Row],[Treatment_Cost_USD]]</f>
        <v>399999.8028</v>
      </c>
      <c r="C3228" s="14">
        <f>95.19*Hospital_Operations_Data[[#This Row],[Medication_Cost_USD]]</f>
        <v>150285.97199999998</v>
      </c>
    </row>
    <row r="3229" spans="1:3" x14ac:dyDescent="0.3">
      <c r="A3229" s="11">
        <f>95.19*Hospital_Operations_Data[[#This Row],[Treatment_Cost_USD]]</f>
        <v>488236.17329999997</v>
      </c>
      <c r="C3229" s="13">
        <f>95.19*Hospital_Operations_Data[[#This Row],[Medication_Cost_USD]]</f>
        <v>86288.783100000001</v>
      </c>
    </row>
    <row r="3230" spans="1:3" x14ac:dyDescent="0.3">
      <c r="A3230" s="12">
        <f>95.19*Hospital_Operations_Data[[#This Row],[Treatment_Cost_USD]]</f>
        <v>1047080.4809999999</v>
      </c>
      <c r="C3230" s="14">
        <f>95.19*Hospital_Operations_Data[[#This Row],[Medication_Cost_USD]]</f>
        <v>353505.19919999997</v>
      </c>
    </row>
    <row r="3231" spans="1:3" x14ac:dyDescent="0.3">
      <c r="A3231" s="11">
        <f>95.19*Hospital_Operations_Data[[#This Row],[Treatment_Cost_USD]]</f>
        <v>819261.30209999997</v>
      </c>
      <c r="C3231" s="13">
        <f>95.19*Hospital_Operations_Data[[#This Row],[Medication_Cost_USD]]</f>
        <v>247722.45600000001</v>
      </c>
    </row>
    <row r="3232" spans="1:3" x14ac:dyDescent="0.3">
      <c r="A3232" s="12">
        <f>95.19*Hospital_Operations_Data[[#This Row],[Treatment_Cost_USD]]</f>
        <v>273010.63140000001</v>
      </c>
      <c r="C3232" s="14">
        <f>95.19*Hospital_Operations_Data[[#This Row],[Medication_Cost_USD]]</f>
        <v>91294.825200000007</v>
      </c>
    </row>
    <row r="3233" spans="1:3" x14ac:dyDescent="0.3">
      <c r="A3233" s="11">
        <f>95.19*Hospital_Operations_Data[[#This Row],[Treatment_Cost_USD]]</f>
        <v>465058.3602</v>
      </c>
      <c r="C3233" s="13">
        <f>95.19*Hospital_Operations_Data[[#This Row],[Medication_Cost_USD]]</f>
        <v>98845.296000000002</v>
      </c>
    </row>
    <row r="3234" spans="1:3" x14ac:dyDescent="0.3">
      <c r="A3234" s="12">
        <f>95.19*Hospital_Operations_Data[[#This Row],[Treatment_Cost_USD]]</f>
        <v>432559.54229999997</v>
      </c>
      <c r="C3234" s="14">
        <f>95.19*Hospital_Operations_Data[[#This Row],[Medication_Cost_USD]]</f>
        <v>120710.43899999998</v>
      </c>
    </row>
    <row r="3235" spans="1:3" x14ac:dyDescent="0.3">
      <c r="A3235" s="11">
        <f>95.19*Hospital_Operations_Data[[#This Row],[Treatment_Cost_USD]]</f>
        <v>599162.9841</v>
      </c>
      <c r="C3235" s="13">
        <f>95.19*Hospital_Operations_Data[[#This Row],[Medication_Cost_USD]]</f>
        <v>189356.70749999999</v>
      </c>
    </row>
    <row r="3236" spans="1:3" x14ac:dyDescent="0.3">
      <c r="A3236" s="12">
        <f>95.19*Hospital_Operations_Data[[#This Row],[Treatment_Cost_USD]]</f>
        <v>718629.28980000003</v>
      </c>
      <c r="C3236" s="14">
        <f>95.19*Hospital_Operations_Data[[#This Row],[Medication_Cost_USD]]</f>
        <v>216796.17690000002</v>
      </c>
    </row>
    <row r="3237" spans="1:3" x14ac:dyDescent="0.3">
      <c r="A3237" s="11">
        <f>95.19*Hospital_Operations_Data[[#This Row],[Treatment_Cost_USD]]</f>
        <v>1071586.1946</v>
      </c>
      <c r="C3237" s="13">
        <f>95.19*Hospital_Operations_Data[[#This Row],[Medication_Cost_USD]]</f>
        <v>161444.14379999999</v>
      </c>
    </row>
    <row r="3238" spans="1:3" x14ac:dyDescent="0.3">
      <c r="A3238" s="12">
        <f>95.19*Hospital_Operations_Data[[#This Row],[Treatment_Cost_USD]]</f>
        <v>1667896.3343999998</v>
      </c>
      <c r="C3238" s="14">
        <f>95.19*Hospital_Operations_Data[[#This Row],[Medication_Cost_USD]]</f>
        <v>510953.26679999998</v>
      </c>
    </row>
    <row r="3239" spans="1:3" x14ac:dyDescent="0.3">
      <c r="A3239" s="11">
        <f>95.19*Hospital_Operations_Data[[#This Row],[Treatment_Cost_USD]]</f>
        <v>816179.04989999987</v>
      </c>
      <c r="C3239" s="13">
        <f>95.19*Hospital_Operations_Data[[#This Row],[Medication_Cost_USD]]</f>
        <v>227586.91529999999</v>
      </c>
    </row>
    <row r="3240" spans="1:3" x14ac:dyDescent="0.3">
      <c r="A3240" s="12">
        <f>95.19*Hospital_Operations_Data[[#This Row],[Treatment_Cost_USD]]</f>
        <v>870815.25419999997</v>
      </c>
      <c r="C3240" s="14">
        <f>95.19*Hospital_Operations_Data[[#This Row],[Medication_Cost_USD]]</f>
        <v>276360.36749999999</v>
      </c>
    </row>
    <row r="3241" spans="1:3" x14ac:dyDescent="0.3">
      <c r="A3241" s="11">
        <f>95.19*Hospital_Operations_Data[[#This Row],[Treatment_Cost_USD]]</f>
        <v>491038.56690000003</v>
      </c>
      <c r="C3241" s="13">
        <f>95.19*Hospital_Operations_Data[[#This Row],[Medication_Cost_USD]]</f>
        <v>155962.15170000002</v>
      </c>
    </row>
    <row r="3242" spans="1:3" x14ac:dyDescent="0.3">
      <c r="A3242" s="12">
        <f>95.19*Hospital_Operations_Data[[#This Row],[Treatment_Cost_USD]]</f>
        <v>856736.65320000006</v>
      </c>
      <c r="C3242" s="14">
        <f>95.19*Hospital_Operations_Data[[#This Row],[Medication_Cost_USD]]</f>
        <v>329127.04019999999</v>
      </c>
    </row>
    <row r="3243" spans="1:3" x14ac:dyDescent="0.3">
      <c r="A3243" s="11">
        <f>95.19*Hospital_Operations_Data[[#This Row],[Treatment_Cost_USD]]</f>
        <v>869963.30369999993</v>
      </c>
      <c r="C3243" s="13">
        <f>95.19*Hospital_Operations_Data[[#This Row],[Medication_Cost_USD]]</f>
        <v>162594.03899999999</v>
      </c>
    </row>
    <row r="3244" spans="1:3" x14ac:dyDescent="0.3">
      <c r="A3244" s="12">
        <f>95.19*Hospital_Operations_Data[[#This Row],[Treatment_Cost_USD]]</f>
        <v>1090792.6809</v>
      </c>
      <c r="C3244" s="14">
        <f>95.19*Hospital_Operations_Data[[#This Row],[Medication_Cost_USD]]</f>
        <v>347247.40860000002</v>
      </c>
    </row>
    <row r="3245" spans="1:3" x14ac:dyDescent="0.3">
      <c r="A3245" s="11">
        <f>95.19*Hospital_Operations_Data[[#This Row],[Treatment_Cost_USD]]</f>
        <v>181909.9938</v>
      </c>
      <c r="C3245" s="13">
        <f>95.19*Hospital_Operations_Data[[#This Row],[Medication_Cost_USD]]</f>
        <v>63676.3986</v>
      </c>
    </row>
    <row r="3246" spans="1:3" x14ac:dyDescent="0.3">
      <c r="A3246" s="12">
        <f>95.19*Hospital_Operations_Data[[#This Row],[Treatment_Cost_USD]]</f>
        <v>1242160.9632000001</v>
      </c>
      <c r="C3246" s="14">
        <f>95.19*Hospital_Operations_Data[[#This Row],[Medication_Cost_USD]]</f>
        <v>402170.1348</v>
      </c>
    </row>
    <row r="3247" spans="1:3" x14ac:dyDescent="0.3">
      <c r="A3247" s="11">
        <f>95.19*Hospital_Operations_Data[[#This Row],[Treatment_Cost_USD]]</f>
        <v>102263.5689</v>
      </c>
      <c r="C3247" s="13">
        <f>95.19*Hospital_Operations_Data[[#This Row],[Medication_Cost_USD]]</f>
        <v>40190.169899999994</v>
      </c>
    </row>
    <row r="3248" spans="1:3" x14ac:dyDescent="0.3">
      <c r="A3248" s="12">
        <f>95.19*Hospital_Operations_Data[[#This Row],[Treatment_Cost_USD]]</f>
        <v>827989.27320000005</v>
      </c>
      <c r="C3248" s="14">
        <f>95.19*Hospital_Operations_Data[[#This Row],[Medication_Cost_USD]]</f>
        <v>277110.46470000001</v>
      </c>
    </row>
    <row r="3249" spans="1:3" x14ac:dyDescent="0.3">
      <c r="A3249" s="11">
        <f>95.19*Hospital_Operations_Data[[#This Row],[Treatment_Cost_USD]]</f>
        <v>549571.84979999997</v>
      </c>
      <c r="C3249" s="13">
        <f>95.19*Hospital_Operations_Data[[#This Row],[Medication_Cost_USD]]</f>
        <v>180504.98939999999</v>
      </c>
    </row>
    <row r="3250" spans="1:3" x14ac:dyDescent="0.3">
      <c r="A3250" s="12">
        <f>95.19*Hospital_Operations_Data[[#This Row],[Treatment_Cost_USD]]</f>
        <v>1326248.0015999998</v>
      </c>
      <c r="C3250" s="14">
        <f>95.19*Hospital_Operations_Data[[#This Row],[Medication_Cost_USD]]</f>
        <v>307408.48979999998</v>
      </c>
    </row>
    <row r="3251" spans="1:3" x14ac:dyDescent="0.3">
      <c r="A3251" s="11">
        <f>95.19*Hospital_Operations_Data[[#This Row],[Treatment_Cost_USD]]</f>
        <v>214317.42929999999</v>
      </c>
      <c r="C3251" s="13">
        <f>95.19*Hospital_Operations_Data[[#This Row],[Medication_Cost_USD]]</f>
        <v>33132.783299999996</v>
      </c>
    </row>
    <row r="3252" spans="1:3" x14ac:dyDescent="0.3">
      <c r="A3252" s="12">
        <f>95.19*Hospital_Operations_Data[[#This Row],[Treatment_Cost_USD]]</f>
        <v>542169.87540000002</v>
      </c>
      <c r="C3252" s="14">
        <f>95.19*Hospital_Operations_Data[[#This Row],[Medication_Cost_USD]]</f>
        <v>151637.66999999998</v>
      </c>
    </row>
    <row r="3253" spans="1:3" x14ac:dyDescent="0.3">
      <c r="A3253" s="11">
        <f>95.19*Hospital_Operations_Data[[#This Row],[Treatment_Cost_USD]]</f>
        <v>172775.56139999998</v>
      </c>
      <c r="C3253" s="13">
        <f>95.19*Hospital_Operations_Data[[#This Row],[Medication_Cost_USD]]</f>
        <v>40963.112699999998</v>
      </c>
    </row>
    <row r="3254" spans="1:3" x14ac:dyDescent="0.3">
      <c r="A3254" s="12">
        <f>95.19*Hospital_Operations_Data[[#This Row],[Treatment_Cost_USD]]</f>
        <v>1161747.3069</v>
      </c>
      <c r="C3254" s="14">
        <f>95.19*Hospital_Operations_Data[[#This Row],[Medication_Cost_USD]]</f>
        <v>247625.3622</v>
      </c>
    </row>
    <row r="3255" spans="1:3" x14ac:dyDescent="0.3">
      <c r="A3255" s="11">
        <f>95.19*Hospital_Operations_Data[[#This Row],[Treatment_Cost_USD]]</f>
        <v>392672.07660000003</v>
      </c>
      <c r="C3255" s="13">
        <f>95.19*Hospital_Operations_Data[[#This Row],[Medication_Cost_USD]]</f>
        <v>114419.33189999999</v>
      </c>
    </row>
    <row r="3256" spans="1:3" x14ac:dyDescent="0.3">
      <c r="A3256" s="12">
        <f>95.19*Hospital_Operations_Data[[#This Row],[Treatment_Cost_USD]]</f>
        <v>1156139.6640000001</v>
      </c>
      <c r="C3256" s="14">
        <f>95.19*Hospital_Operations_Data[[#This Row],[Medication_Cost_USD]]</f>
        <v>301940.77620000002</v>
      </c>
    </row>
    <row r="3257" spans="1:3" x14ac:dyDescent="0.3">
      <c r="A3257" s="11">
        <f>95.19*Hospital_Operations_Data[[#This Row],[Treatment_Cost_USD]]</f>
        <v>671149.46970000002</v>
      </c>
      <c r="C3257" s="13">
        <f>95.19*Hospital_Operations_Data[[#This Row],[Medication_Cost_USD]]</f>
        <v>119121.7179</v>
      </c>
    </row>
    <row r="3258" spans="1:3" x14ac:dyDescent="0.3">
      <c r="A3258" s="12">
        <f>95.19*Hospital_Operations_Data[[#This Row],[Treatment_Cost_USD]]</f>
        <v>332737.5969</v>
      </c>
      <c r="C3258" s="14">
        <f>95.19*Hospital_Operations_Data[[#This Row],[Medication_Cost_USD]]</f>
        <v>129207.09839999999</v>
      </c>
    </row>
    <row r="3259" spans="1:3" x14ac:dyDescent="0.3">
      <c r="A3259" s="11">
        <f>95.19*Hospital_Operations_Data[[#This Row],[Treatment_Cost_USD]]</f>
        <v>1102856.1096000001</v>
      </c>
      <c r="C3259" s="13">
        <f>95.19*Hospital_Operations_Data[[#This Row],[Medication_Cost_USD]]</f>
        <v>432439.6029</v>
      </c>
    </row>
    <row r="3260" spans="1:3" x14ac:dyDescent="0.3">
      <c r="A3260" s="12">
        <f>95.19*Hospital_Operations_Data[[#This Row],[Treatment_Cost_USD]]</f>
        <v>957821.76989999984</v>
      </c>
      <c r="C3260" s="14">
        <f>95.19*Hospital_Operations_Data[[#This Row],[Medication_Cost_USD]]</f>
        <v>151569.13319999998</v>
      </c>
    </row>
    <row r="3261" spans="1:3" x14ac:dyDescent="0.3">
      <c r="A3261" s="11">
        <f>95.19*Hospital_Operations_Data[[#This Row],[Treatment_Cost_USD]]</f>
        <v>1010784.534</v>
      </c>
      <c r="C3261" s="13">
        <f>95.19*Hospital_Operations_Data[[#This Row],[Medication_Cost_USD]]</f>
        <v>223331.92230000001</v>
      </c>
    </row>
    <row r="3262" spans="1:3" x14ac:dyDescent="0.3">
      <c r="A3262" s="12">
        <f>95.19*Hospital_Operations_Data[[#This Row],[Treatment_Cost_USD]]</f>
        <v>2151968.8971000002</v>
      </c>
      <c r="C3262" s="14">
        <f>95.19*Hospital_Operations_Data[[#This Row],[Medication_Cost_USD]]</f>
        <v>802249.89719999989</v>
      </c>
    </row>
    <row r="3263" spans="1:3" x14ac:dyDescent="0.3">
      <c r="A3263" s="11">
        <f>95.19*Hospital_Operations_Data[[#This Row],[Treatment_Cost_USD]]</f>
        <v>448659.97890000005</v>
      </c>
      <c r="C3263" s="13">
        <f>95.19*Hospital_Operations_Data[[#This Row],[Medication_Cost_USD]]</f>
        <v>104020.7763</v>
      </c>
    </row>
    <row r="3264" spans="1:3" x14ac:dyDescent="0.3">
      <c r="A3264" s="12">
        <f>95.19*Hospital_Operations_Data[[#This Row],[Treatment_Cost_USD]]</f>
        <v>641275.04009999998</v>
      </c>
      <c r="C3264" s="14">
        <f>95.19*Hospital_Operations_Data[[#This Row],[Medication_Cost_USD]]</f>
        <v>191563.21170000001</v>
      </c>
    </row>
    <row r="3265" spans="1:3" x14ac:dyDescent="0.3">
      <c r="A3265" s="11">
        <f>95.19*Hospital_Operations_Data[[#This Row],[Treatment_Cost_USD]]</f>
        <v>740791.42559999996</v>
      </c>
      <c r="C3265" s="13">
        <f>95.19*Hospital_Operations_Data[[#This Row],[Medication_Cost_USD]]</f>
        <v>177884.4087</v>
      </c>
    </row>
    <row r="3266" spans="1:3" x14ac:dyDescent="0.3">
      <c r="A3266" s="12">
        <f>95.19*Hospital_Operations_Data[[#This Row],[Treatment_Cost_USD]]</f>
        <v>800359.42379999999</v>
      </c>
      <c r="C3266" s="14">
        <f>95.19*Hospital_Operations_Data[[#This Row],[Medication_Cost_USD]]</f>
        <v>206725.07490000001</v>
      </c>
    </row>
    <row r="3267" spans="1:3" x14ac:dyDescent="0.3">
      <c r="A3267" s="11">
        <f>95.19*Hospital_Operations_Data[[#This Row],[Treatment_Cost_USD]]</f>
        <v>314541.07649999997</v>
      </c>
      <c r="C3267" s="13">
        <f>95.19*Hospital_Operations_Data[[#This Row],[Medication_Cost_USD]]</f>
        <v>102809.9595</v>
      </c>
    </row>
    <row r="3268" spans="1:3" x14ac:dyDescent="0.3">
      <c r="A3268" s="12">
        <f>95.19*Hospital_Operations_Data[[#This Row],[Treatment_Cost_USD]]</f>
        <v>364101.75</v>
      </c>
      <c r="C3268" s="14">
        <f>95.19*Hospital_Operations_Data[[#This Row],[Medication_Cost_USD]]</f>
        <v>129296.57699999999</v>
      </c>
    </row>
    <row r="3269" spans="1:3" x14ac:dyDescent="0.3">
      <c r="A3269" s="11">
        <f>95.19*Hospital_Operations_Data[[#This Row],[Treatment_Cost_USD]]</f>
        <v>787135.62900000007</v>
      </c>
      <c r="C3269" s="13">
        <f>95.19*Hospital_Operations_Data[[#This Row],[Medication_Cost_USD]]</f>
        <v>285069.30059999996</v>
      </c>
    </row>
    <row r="3270" spans="1:3" x14ac:dyDescent="0.3">
      <c r="A3270" s="12">
        <f>95.19*Hospital_Operations_Data[[#This Row],[Treatment_Cost_USD]]</f>
        <v>978204.80460000003</v>
      </c>
      <c r="C3270" s="14">
        <f>95.19*Hospital_Operations_Data[[#This Row],[Medication_Cost_USD]]</f>
        <v>214070.8872</v>
      </c>
    </row>
    <row r="3271" spans="1:3" x14ac:dyDescent="0.3">
      <c r="A3271" s="11">
        <f>95.19*Hospital_Operations_Data[[#This Row],[Treatment_Cost_USD]]</f>
        <v>692500.58669999999</v>
      </c>
      <c r="C3271" s="13">
        <f>95.19*Hospital_Operations_Data[[#This Row],[Medication_Cost_USD]]</f>
        <v>217341.61559999996</v>
      </c>
    </row>
    <row r="3272" spans="1:3" x14ac:dyDescent="0.3">
      <c r="A3272" s="12">
        <f>95.19*Hospital_Operations_Data[[#This Row],[Treatment_Cost_USD]]</f>
        <v>651444.18779999996</v>
      </c>
      <c r="C3272" s="14">
        <f>95.19*Hospital_Operations_Data[[#This Row],[Medication_Cost_USD]]</f>
        <v>230830.0386</v>
      </c>
    </row>
    <row r="3273" spans="1:3" x14ac:dyDescent="0.3">
      <c r="A3273" s="11">
        <f>95.19*Hospital_Operations_Data[[#This Row],[Treatment_Cost_USD]]</f>
        <v>306290.95919999998</v>
      </c>
      <c r="C3273" s="13">
        <f>95.19*Hospital_Operations_Data[[#This Row],[Medication_Cost_USD]]</f>
        <v>117445.42199999999</v>
      </c>
    </row>
    <row r="3274" spans="1:3" x14ac:dyDescent="0.3">
      <c r="A3274" s="12">
        <f>95.19*Hospital_Operations_Data[[#This Row],[Treatment_Cost_USD]]</f>
        <v>245453.12639999998</v>
      </c>
      <c r="C3274" s="14">
        <f>95.19*Hospital_Operations_Data[[#This Row],[Medication_Cost_USD]]</f>
        <v>69007.0386</v>
      </c>
    </row>
    <row r="3275" spans="1:3" x14ac:dyDescent="0.3">
      <c r="A3275" s="11">
        <f>95.19*Hospital_Operations_Data[[#This Row],[Treatment_Cost_USD]]</f>
        <v>221925.96600000001</v>
      </c>
      <c r="C3275" s="13">
        <f>95.19*Hospital_Operations_Data[[#This Row],[Medication_Cost_USD]]</f>
        <v>77554.148700000005</v>
      </c>
    </row>
    <row r="3276" spans="1:3" x14ac:dyDescent="0.3">
      <c r="A3276" s="12">
        <f>95.19*Hospital_Operations_Data[[#This Row],[Treatment_Cost_USD]]</f>
        <v>1152535.7705999999</v>
      </c>
      <c r="C3276" s="14">
        <f>95.19*Hospital_Operations_Data[[#This Row],[Medication_Cost_USD]]</f>
        <v>215339.76989999998</v>
      </c>
    </row>
    <row r="3277" spans="1:3" x14ac:dyDescent="0.3">
      <c r="A3277" s="11">
        <f>95.19*Hospital_Operations_Data[[#This Row],[Treatment_Cost_USD]]</f>
        <v>476181.31170000002</v>
      </c>
      <c r="C3277" s="13">
        <f>95.19*Hospital_Operations_Data[[#This Row],[Medication_Cost_USD]]</f>
        <v>126877.7991</v>
      </c>
    </row>
    <row r="3278" spans="1:3" x14ac:dyDescent="0.3">
      <c r="A3278" s="12">
        <f>95.19*Hospital_Operations_Data[[#This Row],[Treatment_Cost_USD]]</f>
        <v>396796.6593</v>
      </c>
      <c r="C3278" s="14">
        <f>95.19*Hospital_Operations_Data[[#This Row],[Medication_Cost_USD]]</f>
        <v>135320.20019999999</v>
      </c>
    </row>
    <row r="3279" spans="1:3" x14ac:dyDescent="0.3">
      <c r="A3279" s="11">
        <f>95.19*Hospital_Operations_Data[[#This Row],[Treatment_Cost_USD]]</f>
        <v>681897.3726</v>
      </c>
      <c r="C3279" s="13">
        <f>95.19*Hospital_Operations_Data[[#This Row],[Medication_Cost_USD]]</f>
        <v>259745.90489999999</v>
      </c>
    </row>
    <row r="3280" spans="1:3" x14ac:dyDescent="0.3">
      <c r="A3280" s="12">
        <f>95.19*Hospital_Operations_Data[[#This Row],[Treatment_Cost_USD]]</f>
        <v>1604631.1565999999</v>
      </c>
      <c r="C3280" s="14">
        <f>95.19*Hospital_Operations_Data[[#This Row],[Medication_Cost_USD]]</f>
        <v>378548.73629999999</v>
      </c>
    </row>
    <row r="3281" spans="1:3" x14ac:dyDescent="0.3">
      <c r="A3281" s="11">
        <f>95.19*Hospital_Operations_Data[[#This Row],[Treatment_Cost_USD]]</f>
        <v>814896.8406</v>
      </c>
      <c r="C3281" s="13">
        <f>95.19*Hospital_Operations_Data[[#This Row],[Medication_Cost_USD]]</f>
        <v>186143.0931</v>
      </c>
    </row>
    <row r="3282" spans="1:3" x14ac:dyDescent="0.3">
      <c r="A3282" s="12">
        <f>95.19*Hospital_Operations_Data[[#This Row],[Treatment_Cost_USD]]</f>
        <v>1303513.7738999999</v>
      </c>
      <c r="C3282" s="14">
        <f>95.19*Hospital_Operations_Data[[#This Row],[Medication_Cost_USD]]</f>
        <v>348825.65879999998</v>
      </c>
    </row>
    <row r="3283" spans="1:3" x14ac:dyDescent="0.3">
      <c r="A3283" s="11">
        <f>95.19*Hospital_Operations_Data[[#This Row],[Treatment_Cost_USD]]</f>
        <v>488539.82939999999</v>
      </c>
      <c r="C3283" s="13">
        <f>95.19*Hospital_Operations_Data[[#This Row],[Medication_Cost_USD]]</f>
        <v>124394.29199999999</v>
      </c>
    </row>
    <row r="3284" spans="1:3" x14ac:dyDescent="0.3">
      <c r="A3284" s="12">
        <f>95.19*Hospital_Operations_Data[[#This Row],[Treatment_Cost_USD]]</f>
        <v>731624.62859999994</v>
      </c>
      <c r="C3284" s="14">
        <f>95.19*Hospital_Operations_Data[[#This Row],[Medication_Cost_USD]]</f>
        <v>181196.06880000001</v>
      </c>
    </row>
    <row r="3285" spans="1:3" x14ac:dyDescent="0.3">
      <c r="A3285" s="11">
        <f>95.19*Hospital_Operations_Data[[#This Row],[Treatment_Cost_USD]]</f>
        <v>866828.69699999993</v>
      </c>
      <c r="C3285" s="13">
        <f>95.19*Hospital_Operations_Data[[#This Row],[Medication_Cost_USD]]</f>
        <v>138452.9031</v>
      </c>
    </row>
    <row r="3286" spans="1:3" x14ac:dyDescent="0.3">
      <c r="A3286" s="12">
        <f>95.19*Hospital_Operations_Data[[#This Row],[Treatment_Cost_USD]]</f>
        <v>514040.27849999996</v>
      </c>
      <c r="C3286" s="14">
        <f>95.19*Hospital_Operations_Data[[#This Row],[Medication_Cost_USD]]</f>
        <v>204013.11179999998</v>
      </c>
    </row>
    <row r="3287" spans="1:3" x14ac:dyDescent="0.3">
      <c r="A3287" s="11">
        <f>95.19*Hospital_Operations_Data[[#This Row],[Treatment_Cost_USD]]</f>
        <v>1225131.4722</v>
      </c>
      <c r="C3287" s="13">
        <f>95.19*Hospital_Operations_Data[[#This Row],[Medication_Cost_USD]]</f>
        <v>330429.23940000002</v>
      </c>
    </row>
    <row r="3288" spans="1:3" x14ac:dyDescent="0.3">
      <c r="A3288" s="12">
        <f>95.19*Hospital_Operations_Data[[#This Row],[Treatment_Cost_USD]]</f>
        <v>935686.28729999997</v>
      </c>
      <c r="C3288" s="14">
        <f>95.19*Hospital_Operations_Data[[#This Row],[Medication_Cost_USD]]</f>
        <v>159187.18889999998</v>
      </c>
    </row>
    <row r="3289" spans="1:3" x14ac:dyDescent="0.3">
      <c r="A3289" s="11">
        <f>95.19*Hospital_Operations_Data[[#This Row],[Treatment_Cost_USD]]</f>
        <v>1313403.0630000001</v>
      </c>
      <c r="C3289" s="13">
        <f>95.19*Hospital_Operations_Data[[#This Row],[Medication_Cost_USD]]</f>
        <v>327306.05549999996</v>
      </c>
    </row>
    <row r="3290" spans="1:3" x14ac:dyDescent="0.3">
      <c r="A3290" s="12">
        <f>95.19*Hospital_Operations_Data[[#This Row],[Treatment_Cost_USD]]</f>
        <v>792705.19590000005</v>
      </c>
      <c r="C3290" s="14">
        <f>95.19*Hospital_Operations_Data[[#This Row],[Medication_Cost_USD]]</f>
        <v>235582.87529999999</v>
      </c>
    </row>
    <row r="3291" spans="1:3" x14ac:dyDescent="0.3">
      <c r="A3291" s="11">
        <f>95.19*Hospital_Operations_Data[[#This Row],[Treatment_Cost_USD]]</f>
        <v>965188.52399999998</v>
      </c>
      <c r="C3291" s="13">
        <f>95.19*Hospital_Operations_Data[[#This Row],[Medication_Cost_USD]]</f>
        <v>188388.62519999998</v>
      </c>
    </row>
    <row r="3292" spans="1:3" x14ac:dyDescent="0.3">
      <c r="A3292" s="12">
        <f>95.19*Hospital_Operations_Data[[#This Row],[Treatment_Cost_USD]]</f>
        <v>898418.45039999997</v>
      </c>
      <c r="C3292" s="14">
        <f>95.19*Hospital_Operations_Data[[#This Row],[Medication_Cost_USD]]</f>
        <v>261728.7126</v>
      </c>
    </row>
    <row r="3293" spans="1:3" x14ac:dyDescent="0.3">
      <c r="A3293" s="11">
        <f>95.19*Hospital_Operations_Data[[#This Row],[Treatment_Cost_USD]]</f>
        <v>285293.94899999996</v>
      </c>
      <c r="C3293" s="13">
        <f>95.19*Hospital_Operations_Data[[#This Row],[Medication_Cost_USD]]</f>
        <v>55352.985000000001</v>
      </c>
    </row>
    <row r="3294" spans="1:3" x14ac:dyDescent="0.3">
      <c r="A3294" s="12">
        <f>95.19*Hospital_Operations_Data[[#This Row],[Treatment_Cost_USD]]</f>
        <v>1285262.9952</v>
      </c>
      <c r="C3294" s="14">
        <f>95.19*Hospital_Operations_Data[[#This Row],[Medication_Cost_USD]]</f>
        <v>482382.94019999995</v>
      </c>
    </row>
    <row r="3295" spans="1:3" x14ac:dyDescent="0.3">
      <c r="A3295" s="11">
        <f>95.19*Hospital_Operations_Data[[#This Row],[Treatment_Cost_USD]]</f>
        <v>501048.74729999999</v>
      </c>
      <c r="C3295" s="13">
        <f>95.19*Hospital_Operations_Data[[#This Row],[Medication_Cost_USD]]</f>
        <v>188082.11339999997</v>
      </c>
    </row>
    <row r="3296" spans="1:3" x14ac:dyDescent="0.3">
      <c r="A3296" s="12">
        <f>95.19*Hospital_Operations_Data[[#This Row],[Treatment_Cost_USD]]</f>
        <v>1148818.6011000001</v>
      </c>
      <c r="C3296" s="14">
        <f>95.19*Hospital_Operations_Data[[#This Row],[Medication_Cost_USD]]</f>
        <v>347361.63659999997</v>
      </c>
    </row>
    <row r="3297" spans="1:3" x14ac:dyDescent="0.3">
      <c r="A3297" s="11">
        <f>95.19*Hospital_Operations_Data[[#This Row],[Treatment_Cost_USD]]</f>
        <v>722270.30729999999</v>
      </c>
      <c r="C3297" s="13">
        <f>95.19*Hospital_Operations_Data[[#This Row],[Medication_Cost_USD]]</f>
        <v>265332.60600000003</v>
      </c>
    </row>
    <row r="3298" spans="1:3" x14ac:dyDescent="0.3">
      <c r="A3298" s="12">
        <f>95.19*Hospital_Operations_Data[[#This Row],[Treatment_Cost_USD]]</f>
        <v>610204.07220000005</v>
      </c>
      <c r="C3298" s="14">
        <f>95.19*Hospital_Operations_Data[[#This Row],[Medication_Cost_USD]]</f>
        <v>209135.28570000001</v>
      </c>
    </row>
    <row r="3299" spans="1:3" x14ac:dyDescent="0.3">
      <c r="A3299" s="11">
        <f>95.19*Hospital_Operations_Data[[#This Row],[Treatment_Cost_USD]]</f>
        <v>401069.73839999997</v>
      </c>
      <c r="C3299" s="13">
        <f>95.19*Hospital_Operations_Data[[#This Row],[Medication_Cost_USD]]</f>
        <v>97682.074200000003</v>
      </c>
    </row>
    <row r="3300" spans="1:3" x14ac:dyDescent="0.3">
      <c r="A3300" s="12">
        <f>95.19*Hospital_Operations_Data[[#This Row],[Treatment_Cost_USD]]</f>
        <v>1640499.7005</v>
      </c>
      <c r="C3300" s="14">
        <f>95.19*Hospital_Operations_Data[[#This Row],[Medication_Cost_USD]]</f>
        <v>528823.2855</v>
      </c>
    </row>
    <row r="3301" spans="1:3" x14ac:dyDescent="0.3">
      <c r="A3301" s="11">
        <f>95.19*Hospital_Operations_Data[[#This Row],[Treatment_Cost_USD]]</f>
        <v>373202.86589999998</v>
      </c>
      <c r="C3301" s="13">
        <f>95.19*Hospital_Operations_Data[[#This Row],[Medication_Cost_USD]]</f>
        <v>117005.64420000001</v>
      </c>
    </row>
    <row r="3302" spans="1:3" x14ac:dyDescent="0.3">
      <c r="A3302" s="12">
        <f>95.19*Hospital_Operations_Data[[#This Row],[Treatment_Cost_USD]]</f>
        <v>504377.5416</v>
      </c>
      <c r="C3302" s="14">
        <f>95.19*Hospital_Operations_Data[[#This Row],[Medication_Cost_USD]]</f>
        <v>79223.781300000002</v>
      </c>
    </row>
    <row r="3303" spans="1:3" x14ac:dyDescent="0.3">
      <c r="A3303" s="11">
        <f>95.19*Hospital_Operations_Data[[#This Row],[Treatment_Cost_USD]]</f>
        <v>740925.64350000001</v>
      </c>
      <c r="C3303" s="13">
        <f>95.19*Hospital_Operations_Data[[#This Row],[Medication_Cost_USD]]</f>
        <v>131080.4376</v>
      </c>
    </row>
    <row r="3304" spans="1:3" x14ac:dyDescent="0.3">
      <c r="A3304" s="12">
        <f>95.19*Hospital_Operations_Data[[#This Row],[Treatment_Cost_USD]]</f>
        <v>1283137.4025000001</v>
      </c>
      <c r="C3304" s="14">
        <f>95.19*Hospital_Operations_Data[[#This Row],[Medication_Cost_USD]]</f>
        <v>510648.65880000003</v>
      </c>
    </row>
    <row r="3305" spans="1:3" x14ac:dyDescent="0.3">
      <c r="A3305" s="11">
        <f>95.19*Hospital_Operations_Data[[#This Row],[Treatment_Cost_USD]]</f>
        <v>586431.32160000002</v>
      </c>
      <c r="C3305" s="13">
        <f>95.19*Hospital_Operations_Data[[#This Row],[Medication_Cost_USD]]</f>
        <v>206173.92480000001</v>
      </c>
    </row>
    <row r="3306" spans="1:3" x14ac:dyDescent="0.3">
      <c r="A3306" s="12">
        <f>95.19*Hospital_Operations_Data[[#This Row],[Treatment_Cost_USD]]</f>
        <v>858859.39020000002</v>
      </c>
      <c r="C3306" s="14">
        <f>95.19*Hospital_Operations_Data[[#This Row],[Medication_Cost_USD]]</f>
        <v>298919.44559999998</v>
      </c>
    </row>
    <row r="3307" spans="1:3" x14ac:dyDescent="0.3">
      <c r="A3307" s="11">
        <f>95.19*Hospital_Operations_Data[[#This Row],[Treatment_Cost_USD]]</f>
        <v>790852.79849999992</v>
      </c>
      <c r="C3307" s="13">
        <f>95.19*Hospital_Operations_Data[[#This Row],[Medication_Cost_USD]]</f>
        <v>300243.53850000002</v>
      </c>
    </row>
    <row r="3308" spans="1:3" x14ac:dyDescent="0.3">
      <c r="A3308" s="12">
        <f>95.19*Hospital_Operations_Data[[#This Row],[Treatment_Cost_USD]]</f>
        <v>987053.6669999999</v>
      </c>
      <c r="C3308" s="14">
        <f>95.19*Hospital_Operations_Data[[#This Row],[Medication_Cost_USD]]</f>
        <v>366136.91220000002</v>
      </c>
    </row>
    <row r="3309" spans="1:3" x14ac:dyDescent="0.3">
      <c r="A3309" s="11">
        <f>95.19*Hospital_Operations_Data[[#This Row],[Treatment_Cost_USD]]</f>
        <v>1213525.9073999999</v>
      </c>
      <c r="C3309" s="13">
        <f>95.19*Hospital_Operations_Data[[#This Row],[Medication_Cost_USD]]</f>
        <v>315041.77590000001</v>
      </c>
    </row>
    <row r="3310" spans="1:3" x14ac:dyDescent="0.3">
      <c r="A3310" s="12">
        <f>95.19*Hospital_Operations_Data[[#This Row],[Treatment_Cost_USD]]</f>
        <v>277530.25260000001</v>
      </c>
      <c r="C3310" s="14">
        <f>95.19*Hospital_Operations_Data[[#This Row],[Medication_Cost_USD]]</f>
        <v>70732.833299999998</v>
      </c>
    </row>
    <row r="3311" spans="1:3" x14ac:dyDescent="0.3">
      <c r="A3311" s="11">
        <f>95.19*Hospital_Operations_Data[[#This Row],[Treatment_Cost_USD]]</f>
        <v>630347.22809999995</v>
      </c>
      <c r="C3311" s="13">
        <f>95.19*Hospital_Operations_Data[[#This Row],[Medication_Cost_USD]]</f>
        <v>204497.62889999998</v>
      </c>
    </row>
    <row r="3312" spans="1:3" x14ac:dyDescent="0.3">
      <c r="A3312" s="12">
        <f>95.19*Hospital_Operations_Data[[#This Row],[Treatment_Cost_USD]]</f>
        <v>654278.946</v>
      </c>
      <c r="C3312" s="14">
        <f>95.19*Hospital_Operations_Data[[#This Row],[Medication_Cost_USD]]</f>
        <v>116791.4667</v>
      </c>
    </row>
    <row r="3313" spans="1:3" x14ac:dyDescent="0.3">
      <c r="A3313" s="11">
        <f>95.19*Hospital_Operations_Data[[#This Row],[Treatment_Cost_USD]]</f>
        <v>429886.60710000002</v>
      </c>
      <c r="C3313" s="13">
        <f>95.19*Hospital_Operations_Data[[#This Row],[Medication_Cost_USD]]</f>
        <v>106556.6379</v>
      </c>
    </row>
    <row r="3314" spans="1:3" x14ac:dyDescent="0.3">
      <c r="A3314" s="12">
        <f>95.19*Hospital_Operations_Data[[#This Row],[Treatment_Cost_USD]]</f>
        <v>332883.23759999999</v>
      </c>
      <c r="C3314" s="14">
        <f>95.19*Hospital_Operations_Data[[#This Row],[Medication_Cost_USD]]</f>
        <v>69141.256500000003</v>
      </c>
    </row>
    <row r="3315" spans="1:3" x14ac:dyDescent="0.3">
      <c r="A3315" s="11">
        <f>95.19*Hospital_Operations_Data[[#This Row],[Treatment_Cost_USD]]</f>
        <v>340933.4559</v>
      </c>
      <c r="C3315" s="13">
        <f>95.19*Hospital_Operations_Data[[#This Row],[Medication_Cost_USD]]</f>
        <v>94360.895099999994</v>
      </c>
    </row>
    <row r="3316" spans="1:3" x14ac:dyDescent="0.3">
      <c r="A3316" s="12">
        <f>95.19*Hospital_Operations_Data[[#This Row],[Treatment_Cost_USD]]</f>
        <v>528357.8064</v>
      </c>
      <c r="C3316" s="14">
        <f>95.19*Hospital_Operations_Data[[#This Row],[Medication_Cost_USD]]</f>
        <v>103590.5175</v>
      </c>
    </row>
    <row r="3317" spans="1:3" x14ac:dyDescent="0.3">
      <c r="A3317" s="11">
        <f>95.19*Hospital_Operations_Data[[#This Row],[Treatment_Cost_USD]]</f>
        <v>1428555.3578999999</v>
      </c>
      <c r="C3317" s="13">
        <f>95.19*Hospital_Operations_Data[[#This Row],[Medication_Cost_USD]]</f>
        <v>498851.76209999999</v>
      </c>
    </row>
    <row r="3318" spans="1:3" x14ac:dyDescent="0.3">
      <c r="A3318" s="12">
        <f>95.19*Hospital_Operations_Data[[#This Row],[Treatment_Cost_USD]]</f>
        <v>627395.38619999995</v>
      </c>
      <c r="C3318" s="14">
        <f>95.19*Hospital_Operations_Data[[#This Row],[Medication_Cost_USD]]</f>
        <v>226259.96669999999</v>
      </c>
    </row>
    <row r="3319" spans="1:3" x14ac:dyDescent="0.3">
      <c r="A3319" s="11">
        <f>95.19*Hospital_Operations_Data[[#This Row],[Treatment_Cost_USD]]</f>
        <v>908599.0209</v>
      </c>
      <c r="C3319" s="13">
        <f>95.19*Hospital_Operations_Data[[#This Row],[Medication_Cost_USD]]</f>
        <v>172702.26509999999</v>
      </c>
    </row>
    <row r="3320" spans="1:3" x14ac:dyDescent="0.3">
      <c r="A3320" s="12">
        <f>95.19*Hospital_Operations_Data[[#This Row],[Treatment_Cost_USD]]</f>
        <v>2001556.3223999999</v>
      </c>
      <c r="C3320" s="14">
        <f>95.19*Hospital_Operations_Data[[#This Row],[Medication_Cost_USD]]</f>
        <v>772932.32909999997</v>
      </c>
    </row>
    <row r="3321" spans="1:3" x14ac:dyDescent="0.3">
      <c r="A3321" s="11">
        <f>95.19*Hospital_Operations_Data[[#This Row],[Treatment_Cost_USD]]</f>
        <v>598853.61660000007</v>
      </c>
      <c r="C3321" s="13">
        <f>95.19*Hospital_Operations_Data[[#This Row],[Medication_Cost_USD]]</f>
        <v>189102.5502</v>
      </c>
    </row>
    <row r="3322" spans="1:3" x14ac:dyDescent="0.3">
      <c r="A3322" s="12">
        <f>95.19*Hospital_Operations_Data[[#This Row],[Treatment_Cost_USD]]</f>
        <v>121145.45730000001</v>
      </c>
      <c r="C3322" s="14">
        <f>95.19*Hospital_Operations_Data[[#This Row],[Medication_Cost_USD]]</f>
        <v>45961.539599999996</v>
      </c>
    </row>
    <row r="3323" spans="1:3" x14ac:dyDescent="0.3">
      <c r="A3323" s="11">
        <f>95.19*Hospital_Operations_Data[[#This Row],[Treatment_Cost_USD]]</f>
        <v>436570.84890000004</v>
      </c>
      <c r="C3323" s="13">
        <f>95.19*Hospital_Operations_Data[[#This Row],[Medication_Cost_USD]]</f>
        <v>113600.6979</v>
      </c>
    </row>
    <row r="3324" spans="1:3" x14ac:dyDescent="0.3">
      <c r="A3324" s="12">
        <f>95.19*Hospital_Operations_Data[[#This Row],[Treatment_Cost_USD]]</f>
        <v>581167.31460000004</v>
      </c>
      <c r="C3324" s="14">
        <f>95.19*Hospital_Operations_Data[[#This Row],[Medication_Cost_USD]]</f>
        <v>89403.399900000004</v>
      </c>
    </row>
    <row r="3325" spans="1:3" x14ac:dyDescent="0.3">
      <c r="A3325" s="11">
        <f>95.19*Hospital_Operations_Data[[#This Row],[Treatment_Cost_USD]]</f>
        <v>482269.66409999999</v>
      </c>
      <c r="C3325" s="13">
        <f>95.19*Hospital_Operations_Data[[#This Row],[Medication_Cost_USD]]</f>
        <v>125946.84089999998</v>
      </c>
    </row>
    <row r="3326" spans="1:3" x14ac:dyDescent="0.3">
      <c r="A3326" s="12">
        <f>95.19*Hospital_Operations_Data[[#This Row],[Treatment_Cost_USD]]</f>
        <v>372736.43489999999</v>
      </c>
      <c r="C3326" s="14">
        <f>95.19*Hospital_Operations_Data[[#This Row],[Medication_Cost_USD]]</f>
        <v>90763.664999999994</v>
      </c>
    </row>
    <row r="3327" spans="1:3" x14ac:dyDescent="0.3">
      <c r="A3327" s="11">
        <f>95.19*Hospital_Operations_Data[[#This Row],[Treatment_Cost_USD]]</f>
        <v>707743.36140000005</v>
      </c>
      <c r="C3327" s="13">
        <f>95.19*Hospital_Operations_Data[[#This Row],[Medication_Cost_USD]]</f>
        <v>168820.41689999998</v>
      </c>
    </row>
    <row r="3328" spans="1:3" x14ac:dyDescent="0.3">
      <c r="A3328" s="12">
        <f>95.19*Hospital_Operations_Data[[#This Row],[Treatment_Cost_USD]]</f>
        <v>205277.23499999999</v>
      </c>
      <c r="C3328" s="14">
        <f>95.19*Hospital_Operations_Data[[#This Row],[Medication_Cost_USD]]</f>
        <v>34706.274000000005</v>
      </c>
    </row>
    <row r="3329" spans="1:3" x14ac:dyDescent="0.3">
      <c r="A3329" s="11">
        <f>95.19*Hospital_Operations_Data[[#This Row],[Treatment_Cost_USD]]</f>
        <v>534576.56909999996</v>
      </c>
      <c r="C3329" s="13">
        <f>95.19*Hospital_Operations_Data[[#This Row],[Medication_Cost_USD]]</f>
        <v>175750.24889999998</v>
      </c>
    </row>
    <row r="3330" spans="1:3" x14ac:dyDescent="0.3">
      <c r="A3330" s="12">
        <f>95.19*Hospital_Operations_Data[[#This Row],[Treatment_Cost_USD]]</f>
        <v>208852.57139999999</v>
      </c>
      <c r="C3330" s="14">
        <f>95.19*Hospital_Operations_Data[[#This Row],[Medication_Cost_USD]]</f>
        <v>60491.341200000003</v>
      </c>
    </row>
    <row r="3331" spans="1:3" x14ac:dyDescent="0.3">
      <c r="A3331" s="11">
        <f>95.19*Hospital_Operations_Data[[#This Row],[Treatment_Cost_USD]]</f>
        <v>167179.3413</v>
      </c>
      <c r="C3331" s="13">
        <f>95.19*Hospital_Operations_Data[[#This Row],[Medication_Cost_USD]]</f>
        <v>60377.113199999993</v>
      </c>
    </row>
    <row r="3332" spans="1:3" x14ac:dyDescent="0.3">
      <c r="A3332" s="12">
        <f>95.19*Hospital_Operations_Data[[#This Row],[Treatment_Cost_USD]]</f>
        <v>246288.8946</v>
      </c>
      <c r="C3332" s="14">
        <f>95.19*Hospital_Operations_Data[[#This Row],[Medication_Cost_USD]]</f>
        <v>60683.625</v>
      </c>
    </row>
    <row r="3333" spans="1:3" x14ac:dyDescent="0.3">
      <c r="A3333" s="11">
        <f>95.19*Hospital_Operations_Data[[#This Row],[Treatment_Cost_USD]]</f>
        <v>1112335.1298</v>
      </c>
      <c r="C3333" s="13">
        <f>95.19*Hospital_Operations_Data[[#This Row],[Medication_Cost_USD]]</f>
        <v>321344.30580000003</v>
      </c>
    </row>
    <row r="3334" spans="1:3" x14ac:dyDescent="0.3">
      <c r="A3334" s="12">
        <f>95.19*Hospital_Operations_Data[[#This Row],[Treatment_Cost_USD]]</f>
        <v>246549.71519999998</v>
      </c>
      <c r="C3334" s="14">
        <f>95.19*Hospital_Operations_Data[[#This Row],[Medication_Cost_USD]]</f>
        <v>42193.919399999999</v>
      </c>
    </row>
    <row r="3335" spans="1:3" x14ac:dyDescent="0.3">
      <c r="A3335" s="11">
        <f>95.19*Hospital_Operations_Data[[#This Row],[Treatment_Cost_USD]]</f>
        <v>265939.91820000001</v>
      </c>
      <c r="C3335" s="13">
        <f>95.19*Hospital_Operations_Data[[#This Row],[Medication_Cost_USD]]</f>
        <v>85413.986999999994</v>
      </c>
    </row>
    <row r="3336" spans="1:3" x14ac:dyDescent="0.3">
      <c r="A3336" s="12">
        <f>95.19*Hospital_Operations_Data[[#This Row],[Treatment_Cost_USD]]</f>
        <v>399987.42809999996</v>
      </c>
      <c r="C3336" s="14">
        <f>95.19*Hospital_Operations_Data[[#This Row],[Medication_Cost_USD]]</f>
        <v>83006.631899999993</v>
      </c>
    </row>
    <row r="3337" spans="1:3" x14ac:dyDescent="0.3">
      <c r="A3337" s="11">
        <f>95.19*Hospital_Operations_Data[[#This Row],[Treatment_Cost_USD]]</f>
        <v>1931027.1956999998</v>
      </c>
      <c r="C3337" s="13">
        <f>95.19*Hospital_Operations_Data[[#This Row],[Medication_Cost_USD]]</f>
        <v>402540.42390000005</v>
      </c>
    </row>
    <row r="3338" spans="1:3" x14ac:dyDescent="0.3">
      <c r="A3338" s="12">
        <f>95.19*Hospital_Operations_Data[[#This Row],[Treatment_Cost_USD]]</f>
        <v>1308488.4032999999</v>
      </c>
      <c r="C3338" s="14">
        <f>95.19*Hospital_Operations_Data[[#This Row],[Medication_Cost_USD]]</f>
        <v>474141.39</v>
      </c>
    </row>
    <row r="3339" spans="1:3" x14ac:dyDescent="0.3">
      <c r="A3339" s="11">
        <f>95.19*Hospital_Operations_Data[[#This Row],[Treatment_Cost_USD]]</f>
        <v>346068.95639999997</v>
      </c>
      <c r="C3339" s="13">
        <f>95.19*Hospital_Operations_Data[[#This Row],[Medication_Cost_USD]]</f>
        <v>129236.6073</v>
      </c>
    </row>
    <row r="3340" spans="1:3" x14ac:dyDescent="0.3">
      <c r="A3340" s="12">
        <f>95.19*Hospital_Operations_Data[[#This Row],[Treatment_Cost_USD]]</f>
        <v>557090.90789999999</v>
      </c>
      <c r="C3340" s="14">
        <f>95.19*Hospital_Operations_Data[[#This Row],[Medication_Cost_USD]]</f>
        <v>95370.86099999999</v>
      </c>
    </row>
    <row r="3341" spans="1:3" x14ac:dyDescent="0.3">
      <c r="A3341" s="11">
        <f>95.19*Hospital_Operations_Data[[#This Row],[Treatment_Cost_USD]]</f>
        <v>586840.63859999995</v>
      </c>
      <c r="C3341" s="13">
        <f>95.19*Hospital_Operations_Data[[#This Row],[Medication_Cost_USD]]</f>
        <v>169616.20529999997</v>
      </c>
    </row>
    <row r="3342" spans="1:3" x14ac:dyDescent="0.3">
      <c r="A3342" s="12">
        <f>95.19*Hospital_Operations_Data[[#This Row],[Treatment_Cost_USD]]</f>
        <v>859783.68510000012</v>
      </c>
      <c r="C3342" s="14">
        <f>95.19*Hospital_Operations_Data[[#This Row],[Medication_Cost_USD]]</f>
        <v>319205.38649999996</v>
      </c>
    </row>
    <row r="3343" spans="1:3" x14ac:dyDescent="0.3">
      <c r="A3343" s="11">
        <f>95.19*Hospital_Operations_Data[[#This Row],[Treatment_Cost_USD]]</f>
        <v>379632.95039999997</v>
      </c>
      <c r="C3343" s="13">
        <f>95.19*Hospital_Operations_Data[[#This Row],[Medication_Cost_USD]]</f>
        <v>69894.209399999992</v>
      </c>
    </row>
    <row r="3344" spans="1:3" x14ac:dyDescent="0.3">
      <c r="A3344" s="12">
        <f>95.19*Hospital_Operations_Data[[#This Row],[Treatment_Cost_USD]]</f>
        <v>489220.43789999996</v>
      </c>
      <c r="C3344" s="14">
        <f>95.19*Hospital_Operations_Data[[#This Row],[Medication_Cost_USD]]</f>
        <v>98542.591799999995</v>
      </c>
    </row>
    <row r="3345" spans="1:3" x14ac:dyDescent="0.3">
      <c r="A3345" s="11">
        <f>95.19*Hospital_Operations_Data[[#This Row],[Treatment_Cost_USD]]</f>
        <v>597058.33319999999</v>
      </c>
      <c r="C3345" s="13">
        <f>95.19*Hospital_Operations_Data[[#This Row],[Medication_Cost_USD]]</f>
        <v>134727.16649999999</v>
      </c>
    </row>
    <row r="3346" spans="1:3" x14ac:dyDescent="0.3">
      <c r="A3346" s="12">
        <f>95.19*Hospital_Operations_Data[[#This Row],[Treatment_Cost_USD]]</f>
        <v>1397403.4785</v>
      </c>
      <c r="C3346" s="14">
        <f>95.19*Hospital_Operations_Data[[#This Row],[Medication_Cost_USD]]</f>
        <v>317422.47779999999</v>
      </c>
    </row>
    <row r="3347" spans="1:3" x14ac:dyDescent="0.3">
      <c r="A3347" s="11">
        <f>95.19*Hospital_Operations_Data[[#This Row],[Treatment_Cost_USD]]</f>
        <v>649550.85869999998</v>
      </c>
      <c r="C3347" s="13">
        <f>95.19*Hospital_Operations_Data[[#This Row],[Medication_Cost_USD]]</f>
        <v>239014.4748</v>
      </c>
    </row>
    <row r="3348" spans="1:3" x14ac:dyDescent="0.3">
      <c r="A3348" s="12">
        <f>95.19*Hospital_Operations_Data[[#This Row],[Treatment_Cost_USD]]</f>
        <v>331070.82</v>
      </c>
      <c r="C3348" s="14">
        <f>95.19*Hospital_Operations_Data[[#This Row],[Medication_Cost_USD]]</f>
        <v>128156.20079999999</v>
      </c>
    </row>
    <row r="3349" spans="1:3" x14ac:dyDescent="0.3">
      <c r="A3349" s="11">
        <f>95.19*Hospital_Operations_Data[[#This Row],[Treatment_Cost_USD]]</f>
        <v>883423.16969999985</v>
      </c>
      <c r="C3349" s="13">
        <f>95.19*Hospital_Operations_Data[[#This Row],[Medication_Cost_USD]]</f>
        <v>229561.15590000001</v>
      </c>
    </row>
    <row r="3350" spans="1:3" x14ac:dyDescent="0.3">
      <c r="A3350" s="12">
        <f>95.19*Hospital_Operations_Data[[#This Row],[Treatment_Cost_USD]]</f>
        <v>373793.04389999999</v>
      </c>
      <c r="C3350" s="14">
        <f>95.19*Hospital_Operations_Data[[#This Row],[Medication_Cost_USD]]</f>
        <v>76541.327099999995</v>
      </c>
    </row>
    <row r="3351" spans="1:3" x14ac:dyDescent="0.3">
      <c r="A3351" s="11">
        <f>95.19*Hospital_Operations_Data[[#This Row],[Treatment_Cost_USD]]</f>
        <v>735823.4595</v>
      </c>
      <c r="C3351" s="13">
        <f>95.19*Hospital_Operations_Data[[#This Row],[Medication_Cost_USD]]</f>
        <v>185040.7929</v>
      </c>
    </row>
    <row r="3352" spans="1:3" x14ac:dyDescent="0.3">
      <c r="A3352" s="12">
        <f>95.19*Hospital_Operations_Data[[#This Row],[Treatment_Cost_USD]]</f>
        <v>633903.52650000004</v>
      </c>
      <c r="C3352" s="14">
        <f>95.19*Hospital_Operations_Data[[#This Row],[Medication_Cost_USD]]</f>
        <v>126088.67399999998</v>
      </c>
    </row>
    <row r="3353" spans="1:3" x14ac:dyDescent="0.3">
      <c r="A3353" s="11">
        <f>95.19*Hospital_Operations_Data[[#This Row],[Treatment_Cost_USD]]</f>
        <v>707764.30319999997</v>
      </c>
      <c r="C3353" s="13">
        <f>95.19*Hospital_Operations_Data[[#This Row],[Medication_Cost_USD]]</f>
        <v>264347.38949999999</v>
      </c>
    </row>
    <row r="3354" spans="1:3" x14ac:dyDescent="0.3">
      <c r="A3354" s="12">
        <f>95.19*Hospital_Operations_Data[[#This Row],[Treatment_Cost_USD]]</f>
        <v>352296.28619999997</v>
      </c>
      <c r="C3354" s="14">
        <f>95.19*Hospital_Operations_Data[[#This Row],[Medication_Cost_USD]]</f>
        <v>66831.947100000005</v>
      </c>
    </row>
    <row r="3355" spans="1:3" x14ac:dyDescent="0.3">
      <c r="A3355" s="11">
        <f>95.19*Hospital_Operations_Data[[#This Row],[Treatment_Cost_USD]]</f>
        <v>322266.69690000004</v>
      </c>
      <c r="C3355" s="13">
        <f>95.19*Hospital_Operations_Data[[#This Row],[Medication_Cost_USD]]</f>
        <v>107449.52009999999</v>
      </c>
    </row>
    <row r="3356" spans="1:3" x14ac:dyDescent="0.3">
      <c r="A3356" s="12">
        <f>95.19*Hospital_Operations_Data[[#This Row],[Treatment_Cost_USD]]</f>
        <v>721283.18700000003</v>
      </c>
      <c r="C3356" s="14">
        <f>95.19*Hospital_Operations_Data[[#This Row],[Medication_Cost_USD]]</f>
        <v>215394.98009999999</v>
      </c>
    </row>
    <row r="3357" spans="1:3" x14ac:dyDescent="0.3">
      <c r="A3357" s="11">
        <f>95.19*Hospital_Operations_Data[[#This Row],[Treatment_Cost_USD]]</f>
        <v>2427126.0630000001</v>
      </c>
      <c r="C3357" s="13">
        <f>95.19*Hospital_Operations_Data[[#This Row],[Medication_Cost_USD]]</f>
        <v>584585.58750000002</v>
      </c>
    </row>
    <row r="3358" spans="1:3" x14ac:dyDescent="0.3">
      <c r="A3358" s="12">
        <f>95.19*Hospital_Operations_Data[[#This Row],[Treatment_Cost_USD]]</f>
        <v>875550.0048</v>
      </c>
      <c r="C3358" s="14">
        <f>95.19*Hospital_Operations_Data[[#This Row],[Medication_Cost_USD]]</f>
        <v>319185.39659999998</v>
      </c>
    </row>
    <row r="3359" spans="1:3" x14ac:dyDescent="0.3">
      <c r="A3359" s="11">
        <f>95.19*Hospital_Operations_Data[[#This Row],[Treatment_Cost_USD]]</f>
        <v>1373020.56</v>
      </c>
      <c r="C3359" s="13">
        <f>95.19*Hospital_Operations_Data[[#This Row],[Medication_Cost_USD]]</f>
        <v>463994.13599999994</v>
      </c>
    </row>
    <row r="3360" spans="1:3" x14ac:dyDescent="0.3">
      <c r="A3360" s="12">
        <f>95.19*Hospital_Operations_Data[[#This Row],[Treatment_Cost_USD]]</f>
        <v>722601.56849999994</v>
      </c>
      <c r="C3360" s="14">
        <f>95.19*Hospital_Operations_Data[[#This Row],[Medication_Cost_USD]]</f>
        <v>156771.26670000001</v>
      </c>
    </row>
    <row r="3361" spans="1:3" x14ac:dyDescent="0.3">
      <c r="A3361" s="11">
        <f>95.19*Hospital_Operations_Data[[#This Row],[Treatment_Cost_USD]]</f>
        <v>1140362.8733999999</v>
      </c>
      <c r="C3361" s="13">
        <f>95.19*Hospital_Operations_Data[[#This Row],[Medication_Cost_USD]]</f>
        <v>236917.43909999999</v>
      </c>
    </row>
    <row r="3362" spans="1:3" x14ac:dyDescent="0.3">
      <c r="A3362" s="12">
        <f>95.19*Hospital_Operations_Data[[#This Row],[Treatment_Cost_USD]]</f>
        <v>1215799.9964999999</v>
      </c>
      <c r="C3362" s="14">
        <f>95.19*Hospital_Operations_Data[[#This Row],[Medication_Cost_USD]]</f>
        <v>403346.68319999997</v>
      </c>
    </row>
    <row r="3363" spans="1:3" x14ac:dyDescent="0.3">
      <c r="A3363" s="11">
        <f>95.19*Hospital_Operations_Data[[#This Row],[Treatment_Cost_USD]]</f>
        <v>908197.31909999996</v>
      </c>
      <c r="C3363" s="13">
        <f>95.19*Hospital_Operations_Data[[#This Row],[Medication_Cost_USD]]</f>
        <v>183292.1526</v>
      </c>
    </row>
    <row r="3364" spans="1:3" x14ac:dyDescent="0.3">
      <c r="A3364" s="12">
        <f>95.19*Hospital_Operations_Data[[#This Row],[Treatment_Cost_USD]]</f>
        <v>335089.74179999996</v>
      </c>
      <c r="C3364" s="14">
        <f>95.19*Hospital_Operations_Data[[#This Row],[Medication_Cost_USD]]</f>
        <v>67644.869699999996</v>
      </c>
    </row>
    <row r="3365" spans="1:3" x14ac:dyDescent="0.3">
      <c r="A3365" s="11">
        <f>95.19*Hospital_Operations_Data[[#This Row],[Treatment_Cost_USD]]</f>
        <v>1807105.9980000001</v>
      </c>
      <c r="C3365" s="13">
        <f>95.19*Hospital_Operations_Data[[#This Row],[Medication_Cost_USD]]</f>
        <v>479546.27819999994</v>
      </c>
    </row>
    <row r="3366" spans="1:3" x14ac:dyDescent="0.3">
      <c r="A3366" s="12">
        <f>95.19*Hospital_Operations_Data[[#This Row],[Treatment_Cost_USD]]</f>
        <v>646475.26980000001</v>
      </c>
      <c r="C3366" s="14">
        <f>95.19*Hospital_Operations_Data[[#This Row],[Medication_Cost_USD]]</f>
        <v>137677.10459999999</v>
      </c>
    </row>
    <row r="3367" spans="1:3" x14ac:dyDescent="0.3">
      <c r="A3367" s="11">
        <f>95.19*Hospital_Operations_Data[[#This Row],[Treatment_Cost_USD]]</f>
        <v>277250.39399999997</v>
      </c>
      <c r="C3367" s="13">
        <f>95.19*Hospital_Operations_Data[[#This Row],[Medication_Cost_USD]]</f>
        <v>59096.807700000005</v>
      </c>
    </row>
    <row r="3368" spans="1:3" x14ac:dyDescent="0.3">
      <c r="A3368" s="12">
        <f>95.19*Hospital_Operations_Data[[#This Row],[Treatment_Cost_USD]]</f>
        <v>145764.44699999999</v>
      </c>
      <c r="C3368" s="14">
        <f>95.19*Hospital_Operations_Data[[#This Row],[Medication_Cost_USD]]</f>
        <v>47985.279000000002</v>
      </c>
    </row>
    <row r="3369" spans="1:3" x14ac:dyDescent="0.3">
      <c r="A3369" s="11">
        <f>95.19*Hospital_Operations_Data[[#This Row],[Treatment_Cost_USD]]</f>
        <v>585459.43169999996</v>
      </c>
      <c r="C3369" s="13">
        <f>95.19*Hospital_Operations_Data[[#This Row],[Medication_Cost_USD]]</f>
        <v>185036.98529999997</v>
      </c>
    </row>
    <row r="3370" spans="1:3" x14ac:dyDescent="0.3">
      <c r="A3370" s="12">
        <f>95.19*Hospital_Operations_Data[[#This Row],[Treatment_Cost_USD]]</f>
        <v>261168.99539999999</v>
      </c>
      <c r="C3370" s="14">
        <f>95.19*Hospital_Operations_Data[[#This Row],[Medication_Cost_USD]]</f>
        <v>42317.666400000002</v>
      </c>
    </row>
    <row r="3371" spans="1:3" x14ac:dyDescent="0.3">
      <c r="A3371" s="11">
        <f>95.19*Hospital_Operations_Data[[#This Row],[Treatment_Cost_USD]]</f>
        <v>1204222.9886999999</v>
      </c>
      <c r="C3371" s="13">
        <f>95.19*Hospital_Operations_Data[[#This Row],[Medication_Cost_USD]]</f>
        <v>427119.43380000006</v>
      </c>
    </row>
    <row r="3372" spans="1:3" x14ac:dyDescent="0.3">
      <c r="A3372" s="12">
        <f>95.19*Hospital_Operations_Data[[#This Row],[Treatment_Cost_USD]]</f>
        <v>924923.15399999998</v>
      </c>
      <c r="C3372" s="14">
        <f>95.19*Hospital_Operations_Data[[#This Row],[Medication_Cost_USD]]</f>
        <v>227917.22460000002</v>
      </c>
    </row>
    <row r="3373" spans="1:3" x14ac:dyDescent="0.3">
      <c r="A3373" s="11">
        <f>95.19*Hospital_Operations_Data[[#This Row],[Treatment_Cost_USD]]</f>
        <v>501744.58619999996</v>
      </c>
      <c r="C3373" s="13">
        <f>95.19*Hospital_Operations_Data[[#This Row],[Medication_Cost_USD]]</f>
        <v>129547.8786</v>
      </c>
    </row>
    <row r="3374" spans="1:3" x14ac:dyDescent="0.3">
      <c r="A3374" s="12">
        <f>95.19*Hospital_Operations_Data[[#This Row],[Treatment_Cost_USD]]</f>
        <v>313663.42469999997</v>
      </c>
      <c r="C3374" s="14">
        <f>95.19*Hospital_Operations_Data[[#This Row],[Medication_Cost_USD]]</f>
        <v>118655.28689999999</v>
      </c>
    </row>
    <row r="3375" spans="1:3" x14ac:dyDescent="0.3">
      <c r="A3375" s="11">
        <f>95.19*Hospital_Operations_Data[[#This Row],[Treatment_Cost_USD]]</f>
        <v>291336.6102</v>
      </c>
      <c r="C3375" s="13">
        <f>95.19*Hospital_Operations_Data[[#This Row],[Medication_Cost_USD]]</f>
        <v>105140.2107</v>
      </c>
    </row>
    <row r="3376" spans="1:3" x14ac:dyDescent="0.3">
      <c r="A3376" s="12">
        <f>95.19*Hospital_Operations_Data[[#This Row],[Treatment_Cost_USD]]</f>
        <v>859036.4436</v>
      </c>
      <c r="C3376" s="14">
        <f>95.19*Hospital_Operations_Data[[#This Row],[Medication_Cost_USD]]</f>
        <v>154848.42869999999</v>
      </c>
    </row>
    <row r="3377" spans="1:3" x14ac:dyDescent="0.3">
      <c r="A3377" s="11">
        <f>95.19*Hospital_Operations_Data[[#This Row],[Treatment_Cost_USD]]</f>
        <v>442544.97329999995</v>
      </c>
      <c r="C3377" s="13">
        <f>95.19*Hospital_Operations_Data[[#This Row],[Medication_Cost_USD]]</f>
        <v>126435.16559999999</v>
      </c>
    </row>
    <row r="3378" spans="1:3" x14ac:dyDescent="0.3">
      <c r="A3378" s="12">
        <f>95.19*Hospital_Operations_Data[[#This Row],[Treatment_Cost_USD]]</f>
        <v>1584530.8362</v>
      </c>
      <c r="C3378" s="14">
        <f>95.19*Hospital_Operations_Data[[#This Row],[Medication_Cost_USD]]</f>
        <v>318914.10509999999</v>
      </c>
    </row>
    <row r="3379" spans="1:3" x14ac:dyDescent="0.3">
      <c r="A3379" s="11">
        <f>95.19*Hospital_Operations_Data[[#This Row],[Treatment_Cost_USD]]</f>
        <v>582646.56720000005</v>
      </c>
      <c r="C3379" s="13">
        <f>95.19*Hospital_Operations_Data[[#This Row],[Medication_Cost_USD]]</f>
        <v>89659.460999999996</v>
      </c>
    </row>
    <row r="3380" spans="1:3" x14ac:dyDescent="0.3">
      <c r="A3380" s="12">
        <f>95.19*Hospital_Operations_Data[[#This Row],[Treatment_Cost_USD]]</f>
        <v>850812.9794999999</v>
      </c>
      <c r="C3380" s="14">
        <f>95.19*Hospital_Operations_Data[[#This Row],[Medication_Cost_USD]]</f>
        <v>286857.92070000002</v>
      </c>
    </row>
    <row r="3381" spans="1:3" x14ac:dyDescent="0.3">
      <c r="A3381" s="11">
        <f>95.19*Hospital_Operations_Data[[#This Row],[Treatment_Cost_USD]]</f>
        <v>1016207.5083</v>
      </c>
      <c r="C3381" s="13">
        <f>95.19*Hospital_Operations_Data[[#This Row],[Medication_Cost_USD]]</f>
        <v>266031.30059999996</v>
      </c>
    </row>
    <row r="3382" spans="1:3" x14ac:dyDescent="0.3">
      <c r="A3382" s="12">
        <f>95.19*Hospital_Operations_Data[[#This Row],[Treatment_Cost_USD]]</f>
        <v>597935.98499999999</v>
      </c>
      <c r="C3382" s="14">
        <f>95.19*Hospital_Operations_Data[[#This Row],[Medication_Cost_USD]]</f>
        <v>200426.35259999998</v>
      </c>
    </row>
    <row r="3383" spans="1:3" x14ac:dyDescent="0.3">
      <c r="A3383" s="11">
        <f>95.19*Hospital_Operations_Data[[#This Row],[Treatment_Cost_USD]]</f>
        <v>2103048.8522999999</v>
      </c>
      <c r="C3383" s="13">
        <f>95.19*Hospital_Operations_Data[[#This Row],[Medication_Cost_USD]]</f>
        <v>719256.5919</v>
      </c>
    </row>
    <row r="3384" spans="1:3" x14ac:dyDescent="0.3">
      <c r="A3384" s="12">
        <f>95.19*Hospital_Operations_Data[[#This Row],[Treatment_Cost_USD]]</f>
        <v>586713.08400000003</v>
      </c>
      <c r="C3384" s="14">
        <f>95.19*Hospital_Operations_Data[[#This Row],[Medication_Cost_USD]]</f>
        <v>193897.27050000001</v>
      </c>
    </row>
    <row r="3385" spans="1:3" x14ac:dyDescent="0.3">
      <c r="A3385" s="11">
        <f>95.19*Hospital_Operations_Data[[#This Row],[Treatment_Cost_USD]]</f>
        <v>100203.65730000001</v>
      </c>
      <c r="C3385" s="13">
        <f>95.19*Hospital_Operations_Data[[#This Row],[Medication_Cost_USD]]</f>
        <v>15332.253299999998</v>
      </c>
    </row>
    <row r="3386" spans="1:3" x14ac:dyDescent="0.3">
      <c r="A3386" s="12">
        <f>95.19*Hospital_Operations_Data[[#This Row],[Treatment_Cost_USD]]</f>
        <v>641320.73129999998</v>
      </c>
      <c r="C3386" s="14">
        <f>95.19*Hospital_Operations_Data[[#This Row],[Medication_Cost_USD]]</f>
        <v>199780.96440000003</v>
      </c>
    </row>
    <row r="3387" spans="1:3" x14ac:dyDescent="0.3">
      <c r="A3387" s="11">
        <f>95.19*Hospital_Operations_Data[[#This Row],[Treatment_Cost_USD]]</f>
        <v>128384.6568</v>
      </c>
      <c r="C3387" s="13">
        <f>95.19*Hospital_Operations_Data[[#This Row],[Medication_Cost_USD]]</f>
        <v>38580.506999999998</v>
      </c>
    </row>
    <row r="3388" spans="1:3" x14ac:dyDescent="0.3">
      <c r="A3388" s="12">
        <f>95.19*Hospital_Operations_Data[[#This Row],[Treatment_Cost_USD]]</f>
        <v>244359.3933</v>
      </c>
      <c r="C3388" s="14">
        <f>95.19*Hospital_Operations_Data[[#This Row],[Medication_Cost_USD]]</f>
        <v>97718.246399999989</v>
      </c>
    </row>
    <row r="3389" spans="1:3" x14ac:dyDescent="0.3">
      <c r="A3389" s="11">
        <f>95.19*Hospital_Operations_Data[[#This Row],[Treatment_Cost_USD]]</f>
        <v>341169.52710000001</v>
      </c>
      <c r="C3389" s="13">
        <f>95.19*Hospital_Operations_Data[[#This Row],[Medication_Cost_USD]]</f>
        <v>83610.136499999993</v>
      </c>
    </row>
    <row r="3390" spans="1:3" x14ac:dyDescent="0.3">
      <c r="A3390" s="12">
        <f>95.19*Hospital_Operations_Data[[#This Row],[Treatment_Cost_USD]]</f>
        <v>558926.17109999992</v>
      </c>
      <c r="C3390" s="14">
        <f>95.19*Hospital_Operations_Data[[#This Row],[Medication_Cost_USD]]</f>
        <v>121636.63769999999</v>
      </c>
    </row>
    <row r="3391" spans="1:3" x14ac:dyDescent="0.3">
      <c r="A3391" s="11">
        <f>95.19*Hospital_Operations_Data[[#This Row],[Treatment_Cost_USD]]</f>
        <v>657674.37329999998</v>
      </c>
      <c r="C3391" s="13">
        <f>95.19*Hospital_Operations_Data[[#This Row],[Medication_Cost_USD]]</f>
        <v>105422.925</v>
      </c>
    </row>
    <row r="3392" spans="1:3" x14ac:dyDescent="0.3">
      <c r="A3392" s="12">
        <f>95.19*Hospital_Operations_Data[[#This Row],[Treatment_Cost_USD]]</f>
        <v>982026.68309999991</v>
      </c>
      <c r="C3392" s="14">
        <f>95.19*Hospital_Operations_Data[[#This Row],[Medication_Cost_USD]]</f>
        <v>346396.41</v>
      </c>
    </row>
    <row r="3393" spans="1:3" x14ac:dyDescent="0.3">
      <c r="A3393" s="11">
        <f>95.19*Hospital_Operations_Data[[#This Row],[Treatment_Cost_USD]]</f>
        <v>1161892.9476000001</v>
      </c>
      <c r="C3393" s="13">
        <f>95.19*Hospital_Operations_Data[[#This Row],[Medication_Cost_USD]]</f>
        <v>257359.49159999998</v>
      </c>
    </row>
    <row r="3394" spans="1:3" x14ac:dyDescent="0.3">
      <c r="A3394" s="12">
        <f>95.19*Hospital_Operations_Data[[#This Row],[Treatment_Cost_USD]]</f>
        <v>1252044.5409000001</v>
      </c>
      <c r="C3394" s="14">
        <f>95.19*Hospital_Operations_Data[[#This Row],[Medication_Cost_USD]]</f>
        <v>286299.15539999999</v>
      </c>
    </row>
    <row r="3395" spans="1:3" x14ac:dyDescent="0.3">
      <c r="A3395" s="11">
        <f>95.19*Hospital_Operations_Data[[#This Row],[Treatment_Cost_USD]]</f>
        <v>603468.42779999995</v>
      </c>
      <c r="C3395" s="13">
        <f>95.19*Hospital_Operations_Data[[#This Row],[Medication_Cost_USD]]</f>
        <v>103341.11970000001</v>
      </c>
    </row>
    <row r="3396" spans="1:3" x14ac:dyDescent="0.3">
      <c r="A3396" s="12">
        <f>95.19*Hospital_Operations_Data[[#This Row],[Treatment_Cost_USD]]</f>
        <v>239682.70860000001</v>
      </c>
      <c r="C3396" s="14">
        <f>95.19*Hospital_Operations_Data[[#This Row],[Medication_Cost_USD]]</f>
        <v>51969.932400000005</v>
      </c>
    </row>
    <row r="3397" spans="1:3" x14ac:dyDescent="0.3">
      <c r="A3397" s="11">
        <f>95.19*Hospital_Operations_Data[[#This Row],[Treatment_Cost_USD]]</f>
        <v>531654.23609999998</v>
      </c>
      <c r="C3397" s="13">
        <f>95.19*Hospital_Operations_Data[[#This Row],[Medication_Cost_USD]]</f>
        <v>146060.48790000001</v>
      </c>
    </row>
    <row r="3398" spans="1:3" x14ac:dyDescent="0.3">
      <c r="A3398" s="12">
        <f>95.19*Hospital_Operations_Data[[#This Row],[Treatment_Cost_USD]]</f>
        <v>1107560.3994</v>
      </c>
      <c r="C3398" s="14">
        <f>95.19*Hospital_Operations_Data[[#This Row],[Medication_Cost_USD]]</f>
        <v>301310.61839999998</v>
      </c>
    </row>
    <row r="3399" spans="1:3" x14ac:dyDescent="0.3">
      <c r="A3399" s="11">
        <f>95.19*Hospital_Operations_Data[[#This Row],[Treatment_Cost_USD]]</f>
        <v>292727.33610000001</v>
      </c>
      <c r="C3399" s="13">
        <f>95.19*Hospital_Operations_Data[[#This Row],[Medication_Cost_USD]]</f>
        <v>77883.506099999999</v>
      </c>
    </row>
    <row r="3400" spans="1:3" x14ac:dyDescent="0.3">
      <c r="A3400" s="12">
        <f>95.19*Hospital_Operations_Data[[#This Row],[Treatment_Cost_USD]]</f>
        <v>1882719.2226</v>
      </c>
      <c r="C3400" s="14">
        <f>95.19*Hospital_Operations_Data[[#This Row],[Medication_Cost_USD]]</f>
        <v>681257.69579999999</v>
      </c>
    </row>
    <row r="3401" spans="1:3" x14ac:dyDescent="0.3">
      <c r="A3401" s="11">
        <f>95.19*Hospital_Operations_Data[[#This Row],[Treatment_Cost_USD]]</f>
        <v>747626.06759999995</v>
      </c>
      <c r="C3401" s="13">
        <f>95.19*Hospital_Operations_Data[[#This Row],[Medication_Cost_USD]]</f>
        <v>291348.98489999998</v>
      </c>
    </row>
    <row r="3402" spans="1:3" x14ac:dyDescent="0.3">
      <c r="A3402" s="12">
        <f>95.19*Hospital_Operations_Data[[#This Row],[Treatment_Cost_USD]]</f>
        <v>450267.73799999995</v>
      </c>
      <c r="C3402" s="14">
        <f>95.19*Hospital_Operations_Data[[#This Row],[Medication_Cost_USD]]</f>
        <v>120805.62899999999</v>
      </c>
    </row>
    <row r="3403" spans="1:3" x14ac:dyDescent="0.3">
      <c r="A3403" s="11">
        <f>95.19*Hospital_Operations_Data[[#This Row],[Treatment_Cost_USD]]</f>
        <v>744609.49650000001</v>
      </c>
      <c r="C3403" s="13">
        <f>95.19*Hospital_Operations_Data[[#This Row],[Medication_Cost_USD]]</f>
        <v>282920.86229999998</v>
      </c>
    </row>
    <row r="3404" spans="1:3" x14ac:dyDescent="0.3">
      <c r="A3404" s="12">
        <f>95.19*Hospital_Operations_Data[[#This Row],[Treatment_Cost_USD]]</f>
        <v>474395.54729999998</v>
      </c>
      <c r="C3404" s="14">
        <f>95.19*Hospital_Operations_Data[[#This Row],[Medication_Cost_USD]]</f>
        <v>132971.86290000001</v>
      </c>
    </row>
    <row r="3405" spans="1:3" x14ac:dyDescent="0.3">
      <c r="A3405" s="11">
        <f>95.19*Hospital_Operations_Data[[#This Row],[Treatment_Cost_USD]]</f>
        <v>371649.3651</v>
      </c>
      <c r="C3405" s="13">
        <f>95.19*Hospital_Operations_Data[[#This Row],[Medication_Cost_USD]]</f>
        <v>79082.900099999999</v>
      </c>
    </row>
    <row r="3406" spans="1:3" x14ac:dyDescent="0.3">
      <c r="A3406" s="12">
        <f>95.19*Hospital_Operations_Data[[#This Row],[Treatment_Cost_USD]]</f>
        <v>633832.13399999996</v>
      </c>
      <c r="C3406" s="14">
        <f>95.19*Hospital_Operations_Data[[#This Row],[Medication_Cost_USD]]</f>
        <v>134237.88990000001</v>
      </c>
    </row>
    <row r="3407" spans="1:3" x14ac:dyDescent="0.3">
      <c r="A3407" s="11">
        <f>95.19*Hospital_Operations_Data[[#This Row],[Treatment_Cost_USD]]</f>
        <v>314356.40789999999</v>
      </c>
      <c r="C3407" s="13">
        <f>95.19*Hospital_Operations_Data[[#This Row],[Medication_Cost_USD]]</f>
        <v>50769.586499999998</v>
      </c>
    </row>
    <row r="3408" spans="1:3" x14ac:dyDescent="0.3">
      <c r="A3408" s="12">
        <f>95.19*Hospital_Operations_Data[[#This Row],[Treatment_Cost_USD]]</f>
        <v>1444847.1264</v>
      </c>
      <c r="C3408" s="14">
        <f>95.19*Hospital_Operations_Data[[#This Row],[Medication_Cost_USD]]</f>
        <v>276865.82639999996</v>
      </c>
    </row>
    <row r="3409" spans="1:3" x14ac:dyDescent="0.3">
      <c r="A3409" s="11">
        <f>95.19*Hospital_Operations_Data[[#This Row],[Treatment_Cost_USD]]</f>
        <v>1039790.8308</v>
      </c>
      <c r="C3409" s="13">
        <f>95.19*Hospital_Operations_Data[[#This Row],[Medication_Cost_USD]]</f>
        <v>233412.54330000002</v>
      </c>
    </row>
    <row r="3410" spans="1:3" x14ac:dyDescent="0.3">
      <c r="A3410" s="12">
        <f>95.19*Hospital_Operations_Data[[#This Row],[Treatment_Cost_USD]]</f>
        <v>426418.83539999998</v>
      </c>
      <c r="C3410" s="14">
        <f>95.19*Hospital_Operations_Data[[#This Row],[Medication_Cost_USD]]</f>
        <v>116525.88660000001</v>
      </c>
    </row>
    <row r="3411" spans="1:3" x14ac:dyDescent="0.3">
      <c r="A3411" s="11">
        <f>95.19*Hospital_Operations_Data[[#This Row],[Treatment_Cost_USD]]</f>
        <v>1063712.0778000001</v>
      </c>
      <c r="C3411" s="13">
        <f>95.19*Hospital_Operations_Data[[#This Row],[Medication_Cost_USD]]</f>
        <v>410499.2598</v>
      </c>
    </row>
    <row r="3412" spans="1:3" x14ac:dyDescent="0.3">
      <c r="A3412" s="12">
        <f>95.19*Hospital_Operations_Data[[#This Row],[Treatment_Cost_USD]]</f>
        <v>283982.23080000002</v>
      </c>
      <c r="C3412" s="14">
        <f>95.19*Hospital_Operations_Data[[#This Row],[Medication_Cost_USD]]</f>
        <v>58500.918300000005</v>
      </c>
    </row>
    <row r="3413" spans="1:3" x14ac:dyDescent="0.3">
      <c r="A3413" s="11">
        <f>95.19*Hospital_Operations_Data[[#This Row],[Treatment_Cost_USD]]</f>
        <v>484801.71809999994</v>
      </c>
      <c r="C3413" s="13">
        <f>95.19*Hospital_Operations_Data[[#This Row],[Medication_Cost_USD]]</f>
        <v>113799.645</v>
      </c>
    </row>
    <row r="3414" spans="1:3" x14ac:dyDescent="0.3">
      <c r="A3414" s="12">
        <f>95.19*Hospital_Operations_Data[[#This Row],[Treatment_Cost_USD]]</f>
        <v>249253.11119999998</v>
      </c>
      <c r="C3414" s="14">
        <f>95.19*Hospital_Operations_Data[[#This Row],[Medication_Cost_USD]]</f>
        <v>45801.6204</v>
      </c>
    </row>
    <row r="3415" spans="1:3" x14ac:dyDescent="0.3">
      <c r="A3415" s="11">
        <f>95.19*Hospital_Operations_Data[[#This Row],[Treatment_Cost_USD]]</f>
        <v>481921.26869999996</v>
      </c>
      <c r="C3415" s="13">
        <f>95.19*Hospital_Operations_Data[[#This Row],[Medication_Cost_USD]]</f>
        <v>128814.91559999999</v>
      </c>
    </row>
    <row r="3416" spans="1:3" x14ac:dyDescent="0.3">
      <c r="A3416" s="12">
        <f>95.19*Hospital_Operations_Data[[#This Row],[Treatment_Cost_USD]]</f>
        <v>398780.41890000005</v>
      </c>
      <c r="C3416" s="14">
        <f>95.19*Hospital_Operations_Data[[#This Row],[Medication_Cost_USD]]</f>
        <v>66021.8802</v>
      </c>
    </row>
    <row r="3417" spans="1:3" x14ac:dyDescent="0.3">
      <c r="A3417" s="11">
        <f>95.19*Hospital_Operations_Data[[#This Row],[Treatment_Cost_USD]]</f>
        <v>864751.65119999996</v>
      </c>
      <c r="C3417" s="13">
        <f>95.19*Hospital_Operations_Data[[#This Row],[Medication_Cost_USD]]</f>
        <v>160901.56079999998</v>
      </c>
    </row>
    <row r="3418" spans="1:3" x14ac:dyDescent="0.3">
      <c r="A3418" s="12">
        <f>95.19*Hospital_Operations_Data[[#This Row],[Treatment_Cost_USD]]</f>
        <v>187654.71029999998</v>
      </c>
      <c r="C3418" s="14">
        <f>95.19*Hospital_Operations_Data[[#This Row],[Medication_Cost_USD]]</f>
        <v>65625.88979999999</v>
      </c>
    </row>
    <row r="3419" spans="1:3" x14ac:dyDescent="0.3">
      <c r="A3419" s="11">
        <f>95.19*Hospital_Operations_Data[[#This Row],[Treatment_Cost_USD]]</f>
        <v>1894459.0052999998</v>
      </c>
      <c r="C3419" s="13">
        <f>95.19*Hospital_Operations_Data[[#This Row],[Medication_Cost_USD]]</f>
        <v>308326.1214</v>
      </c>
    </row>
    <row r="3420" spans="1:3" x14ac:dyDescent="0.3">
      <c r="A3420" s="12">
        <f>95.19*Hospital_Operations_Data[[#This Row],[Treatment_Cost_USD]]</f>
        <v>460553.9694</v>
      </c>
      <c r="C3420" s="14">
        <f>95.19*Hospital_Operations_Data[[#This Row],[Medication_Cost_USD]]</f>
        <v>86223.101999999999</v>
      </c>
    </row>
    <row r="3421" spans="1:3" x14ac:dyDescent="0.3">
      <c r="A3421" s="11">
        <f>95.19*Hospital_Operations_Data[[#This Row],[Treatment_Cost_USD]]</f>
        <v>671683.48560000001</v>
      </c>
      <c r="C3421" s="13">
        <f>95.19*Hospital_Operations_Data[[#This Row],[Medication_Cost_USD]]</f>
        <v>166899.48269999999</v>
      </c>
    </row>
    <row r="3422" spans="1:3" x14ac:dyDescent="0.3">
      <c r="A3422" s="12">
        <f>95.19*Hospital_Operations_Data[[#This Row],[Treatment_Cost_USD]]</f>
        <v>675079.86479999998</v>
      </c>
      <c r="C3422" s="14">
        <f>95.19*Hospital_Operations_Data[[#This Row],[Medication_Cost_USD]]</f>
        <v>246011.89169999998</v>
      </c>
    </row>
    <row r="3423" spans="1:3" x14ac:dyDescent="0.3">
      <c r="A3423" s="11">
        <f>95.19*Hospital_Operations_Data[[#This Row],[Treatment_Cost_USD]]</f>
        <v>478378.29690000002</v>
      </c>
      <c r="C3423" s="13">
        <f>95.19*Hospital_Operations_Data[[#This Row],[Medication_Cost_USD]]</f>
        <v>126419.93519999999</v>
      </c>
    </row>
    <row r="3424" spans="1:3" x14ac:dyDescent="0.3">
      <c r="A3424" s="12">
        <f>95.19*Hospital_Operations_Data[[#This Row],[Treatment_Cost_USD]]</f>
        <v>434661.33749999997</v>
      </c>
      <c r="C3424" s="14">
        <f>95.19*Hospital_Operations_Data[[#This Row],[Medication_Cost_USD]]</f>
        <v>147401.715</v>
      </c>
    </row>
    <row r="3425" spans="1:3" x14ac:dyDescent="0.3">
      <c r="A3425" s="11">
        <f>95.19*Hospital_Operations_Data[[#This Row],[Treatment_Cost_USD]]</f>
        <v>602178.60329999996</v>
      </c>
      <c r="C3425" s="13">
        <f>95.19*Hospital_Operations_Data[[#This Row],[Medication_Cost_USD]]</f>
        <v>198701.5098</v>
      </c>
    </row>
    <row r="3426" spans="1:3" x14ac:dyDescent="0.3">
      <c r="A3426" s="12">
        <f>95.19*Hospital_Operations_Data[[#This Row],[Treatment_Cost_USD]]</f>
        <v>520840.65210000001</v>
      </c>
      <c r="C3426" s="14">
        <f>95.19*Hospital_Operations_Data[[#This Row],[Medication_Cost_USD]]</f>
        <v>164059.965</v>
      </c>
    </row>
    <row r="3427" spans="1:3" x14ac:dyDescent="0.3">
      <c r="A3427" s="11">
        <f>95.19*Hospital_Operations_Data[[#This Row],[Treatment_Cost_USD]]</f>
        <v>1227411.2726999999</v>
      </c>
      <c r="C3427" s="13">
        <f>95.19*Hospital_Operations_Data[[#This Row],[Medication_Cost_USD]]</f>
        <v>220639.94909999997</v>
      </c>
    </row>
    <row r="3428" spans="1:3" x14ac:dyDescent="0.3">
      <c r="A3428" s="12">
        <f>95.19*Hospital_Operations_Data[[#This Row],[Treatment_Cost_USD]]</f>
        <v>757076.53079999995</v>
      </c>
      <c r="C3428" s="14">
        <f>95.19*Hospital_Operations_Data[[#This Row],[Medication_Cost_USD]]</f>
        <v>298744.29599999997</v>
      </c>
    </row>
    <row r="3429" spans="1:3" x14ac:dyDescent="0.3">
      <c r="A3429" s="11">
        <f>95.19*Hospital_Operations_Data[[#This Row],[Treatment_Cost_USD]]</f>
        <v>1370647.4733</v>
      </c>
      <c r="C3429" s="13">
        <f>95.19*Hospital_Operations_Data[[#This Row],[Medication_Cost_USD]]</f>
        <v>512086.97970000003</v>
      </c>
    </row>
    <row r="3430" spans="1:3" x14ac:dyDescent="0.3">
      <c r="A3430" s="12">
        <f>95.19*Hospital_Operations_Data[[#This Row],[Treatment_Cost_USD]]</f>
        <v>247633.92929999999</v>
      </c>
      <c r="C3430" s="14">
        <f>95.19*Hospital_Operations_Data[[#This Row],[Medication_Cost_USD]]</f>
        <v>43723.6227</v>
      </c>
    </row>
    <row r="3431" spans="1:3" x14ac:dyDescent="0.3">
      <c r="A3431" s="11">
        <f>95.19*Hospital_Operations_Data[[#This Row],[Treatment_Cost_USD]]</f>
        <v>667606.49789999996</v>
      </c>
      <c r="C3431" s="13">
        <f>95.19*Hospital_Operations_Data[[#This Row],[Medication_Cost_USD]]</f>
        <v>143309.4969</v>
      </c>
    </row>
    <row r="3432" spans="1:3" x14ac:dyDescent="0.3">
      <c r="A3432" s="12">
        <f>95.19*Hospital_Operations_Data[[#This Row],[Treatment_Cost_USD]]</f>
        <v>210825.86009999999</v>
      </c>
      <c r="C3432" s="14">
        <f>95.19*Hospital_Operations_Data[[#This Row],[Medication_Cost_USD]]</f>
        <v>64986.213000000003</v>
      </c>
    </row>
    <row r="3433" spans="1:3" x14ac:dyDescent="0.3">
      <c r="A3433" s="11">
        <f>95.19*Hospital_Operations_Data[[#This Row],[Treatment_Cost_USD]]</f>
        <v>440800.14059999998</v>
      </c>
      <c r="C3433" s="13">
        <f>95.19*Hospital_Operations_Data[[#This Row],[Medication_Cost_USD]]</f>
        <v>75521.842199999999</v>
      </c>
    </row>
    <row r="3434" spans="1:3" x14ac:dyDescent="0.3">
      <c r="A3434" s="12">
        <f>95.19*Hospital_Operations_Data[[#This Row],[Treatment_Cost_USD]]</f>
        <v>1128239.4749999999</v>
      </c>
      <c r="C3434" s="14">
        <f>95.19*Hospital_Operations_Data[[#This Row],[Medication_Cost_USD]]</f>
        <v>274931.56559999997</v>
      </c>
    </row>
    <row r="3435" spans="1:3" x14ac:dyDescent="0.3">
      <c r="A3435" s="11">
        <f>95.19*Hospital_Operations_Data[[#This Row],[Treatment_Cost_USD]]</f>
        <v>1953078.9110999999</v>
      </c>
      <c r="C3435" s="13">
        <f>95.19*Hospital_Operations_Data[[#This Row],[Medication_Cost_USD]]</f>
        <v>728103.55050000001</v>
      </c>
    </row>
    <row r="3436" spans="1:3" x14ac:dyDescent="0.3">
      <c r="A3436" s="12">
        <f>95.19*Hospital_Operations_Data[[#This Row],[Treatment_Cost_USD]]</f>
        <v>1955165.4759</v>
      </c>
      <c r="C3436" s="14">
        <f>95.19*Hospital_Operations_Data[[#This Row],[Medication_Cost_USD]]</f>
        <v>581743.21409999998</v>
      </c>
    </row>
    <row r="3437" spans="1:3" x14ac:dyDescent="0.3">
      <c r="A3437" s="11">
        <f>95.19*Hospital_Operations_Data[[#This Row],[Treatment_Cost_USD]]</f>
        <v>209409.43289999999</v>
      </c>
      <c r="C3437" s="13">
        <f>95.19*Hospital_Operations_Data[[#This Row],[Medication_Cost_USD]]</f>
        <v>67228.8894</v>
      </c>
    </row>
    <row r="3438" spans="1:3" x14ac:dyDescent="0.3">
      <c r="A3438" s="12">
        <f>95.19*Hospital_Operations_Data[[#This Row],[Treatment_Cost_USD]]</f>
        <v>1196897.1662999999</v>
      </c>
      <c r="C3438" s="14">
        <f>95.19*Hospital_Operations_Data[[#This Row],[Medication_Cost_USD]]</f>
        <v>390655.00049999997</v>
      </c>
    </row>
    <row r="3439" spans="1:3" x14ac:dyDescent="0.3">
      <c r="A3439" s="11">
        <f>95.19*Hospital_Operations_Data[[#This Row],[Treatment_Cost_USD]]</f>
        <v>1215201.2514</v>
      </c>
      <c r="C3439" s="13">
        <f>95.19*Hospital_Operations_Data[[#This Row],[Medication_Cost_USD]]</f>
        <v>356750.22629999998</v>
      </c>
    </row>
    <row r="3440" spans="1:3" x14ac:dyDescent="0.3">
      <c r="A3440" s="12">
        <f>95.19*Hospital_Operations_Data[[#This Row],[Treatment_Cost_USD]]</f>
        <v>1151866.5848999999</v>
      </c>
      <c r="C3440" s="14">
        <f>95.19*Hospital_Operations_Data[[#This Row],[Medication_Cost_USD]]</f>
        <v>454662.66029999999</v>
      </c>
    </row>
    <row r="3441" spans="1:3" x14ac:dyDescent="0.3">
      <c r="A3441" s="11">
        <f>95.19*Hospital_Operations_Data[[#This Row],[Treatment_Cost_USD]]</f>
        <v>199183.17119999998</v>
      </c>
      <c r="C3441" s="13">
        <f>95.19*Hospital_Operations_Data[[#This Row],[Medication_Cost_USD]]</f>
        <v>70886.089199999988</v>
      </c>
    </row>
    <row r="3442" spans="1:3" x14ac:dyDescent="0.3">
      <c r="A3442" s="12">
        <f>95.19*Hospital_Operations_Data[[#This Row],[Treatment_Cost_USD]]</f>
        <v>561702.86339999991</v>
      </c>
      <c r="C3442" s="14">
        <f>95.19*Hospital_Operations_Data[[#This Row],[Medication_Cost_USD]]</f>
        <v>123058.7763</v>
      </c>
    </row>
    <row r="3443" spans="1:3" x14ac:dyDescent="0.3">
      <c r="A3443" s="11">
        <f>95.19*Hospital_Operations_Data[[#This Row],[Treatment_Cost_USD]]</f>
        <v>1426345.0460999999</v>
      </c>
      <c r="C3443" s="13">
        <f>95.19*Hospital_Operations_Data[[#This Row],[Medication_Cost_USD]]</f>
        <v>245462.64539999998</v>
      </c>
    </row>
    <row r="3444" spans="1:3" x14ac:dyDescent="0.3">
      <c r="A3444" s="12">
        <f>95.19*Hospital_Operations_Data[[#This Row],[Treatment_Cost_USD]]</f>
        <v>658382.58689999999</v>
      </c>
      <c r="C3444" s="14">
        <f>95.19*Hospital_Operations_Data[[#This Row],[Medication_Cost_USD]]</f>
        <v>160359.92970000001</v>
      </c>
    </row>
    <row r="3445" spans="1:3" x14ac:dyDescent="0.3">
      <c r="A3445" s="11">
        <f>95.19*Hospital_Operations_Data[[#This Row],[Treatment_Cost_USD]]</f>
        <v>252713.2677</v>
      </c>
      <c r="C3445" s="13">
        <f>95.19*Hospital_Operations_Data[[#This Row],[Medication_Cost_USD]]</f>
        <v>63139.526999999995</v>
      </c>
    </row>
    <row r="3446" spans="1:3" x14ac:dyDescent="0.3">
      <c r="A3446" s="12">
        <f>95.19*Hospital_Operations_Data[[#This Row],[Treatment_Cost_USD]]</f>
        <v>312536.3751</v>
      </c>
      <c r="C3446" s="14">
        <f>95.19*Hospital_Operations_Data[[#This Row],[Medication_Cost_USD]]</f>
        <v>46914.391499999998</v>
      </c>
    </row>
    <row r="3447" spans="1:3" x14ac:dyDescent="0.3">
      <c r="A3447" s="11">
        <f>95.19*Hospital_Operations_Data[[#This Row],[Treatment_Cost_USD]]</f>
        <v>1370604.6378000001</v>
      </c>
      <c r="C3447" s="13">
        <f>95.19*Hospital_Operations_Data[[#This Row],[Medication_Cost_USD]]</f>
        <v>357473.6703</v>
      </c>
    </row>
    <row r="3448" spans="1:3" x14ac:dyDescent="0.3">
      <c r="A3448" s="12">
        <f>95.19*Hospital_Operations_Data[[#This Row],[Treatment_Cost_USD]]</f>
        <v>157738.3971</v>
      </c>
      <c r="C3448" s="14">
        <f>95.19*Hospital_Operations_Data[[#This Row],[Medication_Cost_USD]]</f>
        <v>23893.641899999999</v>
      </c>
    </row>
    <row r="3449" spans="1:3" x14ac:dyDescent="0.3">
      <c r="A3449" s="11">
        <f>95.19*Hospital_Operations_Data[[#This Row],[Treatment_Cost_USD]]</f>
        <v>158829.2745</v>
      </c>
      <c r="C3449" s="13">
        <f>95.19*Hospital_Operations_Data[[#This Row],[Medication_Cost_USD]]</f>
        <v>40251.091500000002</v>
      </c>
    </row>
    <row r="3450" spans="1:3" x14ac:dyDescent="0.3">
      <c r="A3450" s="12">
        <f>95.19*Hospital_Operations_Data[[#This Row],[Treatment_Cost_USD]]</f>
        <v>557953.32929999998</v>
      </c>
      <c r="C3450" s="14">
        <f>95.19*Hospital_Operations_Data[[#This Row],[Medication_Cost_USD]]</f>
        <v>222094.4523</v>
      </c>
    </row>
    <row r="3451" spans="1:3" x14ac:dyDescent="0.3">
      <c r="A3451" s="11">
        <f>95.19*Hospital_Operations_Data[[#This Row],[Treatment_Cost_USD]]</f>
        <v>1302780.8108999999</v>
      </c>
      <c r="C3451" s="13">
        <f>95.19*Hospital_Operations_Data[[#This Row],[Medication_Cost_USD]]</f>
        <v>253115.92139999999</v>
      </c>
    </row>
    <row r="3452" spans="1:3" x14ac:dyDescent="0.3">
      <c r="A3452" s="12">
        <f>95.19*Hospital_Operations_Data[[#This Row],[Treatment_Cost_USD]]</f>
        <v>649314.78749999998</v>
      </c>
      <c r="C3452" s="14">
        <f>95.19*Hospital_Operations_Data[[#This Row],[Medication_Cost_USD]]</f>
        <v>172188.23910000001</v>
      </c>
    </row>
    <row r="3453" spans="1:3" x14ac:dyDescent="0.3">
      <c r="A3453" s="11">
        <f>95.19*Hospital_Operations_Data[[#This Row],[Treatment_Cost_USD]]</f>
        <v>1146558.7905000001</v>
      </c>
      <c r="C3453" s="13">
        <f>95.19*Hospital_Operations_Data[[#This Row],[Medication_Cost_USD]]</f>
        <v>180880.038</v>
      </c>
    </row>
    <row r="3454" spans="1:3" x14ac:dyDescent="0.3">
      <c r="A3454" s="12">
        <f>95.19*Hospital_Operations_Data[[#This Row],[Treatment_Cost_USD]]</f>
        <v>567947.32739999995</v>
      </c>
      <c r="C3454" s="14">
        <f>95.19*Hospital_Operations_Data[[#This Row],[Medication_Cost_USD]]</f>
        <v>154964.56049999999</v>
      </c>
    </row>
    <row r="3455" spans="1:3" x14ac:dyDescent="0.3">
      <c r="A3455" s="11">
        <f>95.19*Hospital_Operations_Data[[#This Row],[Treatment_Cost_USD]]</f>
        <v>1098853.3700999999</v>
      </c>
      <c r="C3455" s="13">
        <f>95.19*Hospital_Operations_Data[[#This Row],[Medication_Cost_USD]]</f>
        <v>224758.82039999997</v>
      </c>
    </row>
    <row r="3456" spans="1:3" x14ac:dyDescent="0.3">
      <c r="A3456" s="12">
        <f>95.19*Hospital_Operations_Data[[#This Row],[Treatment_Cost_USD]]</f>
        <v>154244.9241</v>
      </c>
      <c r="C3456" s="14">
        <f>95.19*Hospital_Operations_Data[[#This Row],[Medication_Cost_USD]]</f>
        <v>33026.1705</v>
      </c>
    </row>
    <row r="3457" spans="1:3" x14ac:dyDescent="0.3">
      <c r="A3457" s="11">
        <f>95.19*Hospital_Operations_Data[[#This Row],[Treatment_Cost_USD]]</f>
        <v>416548.58429999999</v>
      </c>
      <c r="C3457" s="13">
        <f>95.19*Hospital_Operations_Data[[#This Row],[Medication_Cost_USD]]</f>
        <v>110714.53709999999</v>
      </c>
    </row>
    <row r="3458" spans="1:3" x14ac:dyDescent="0.3">
      <c r="A3458" s="12">
        <f>95.19*Hospital_Operations_Data[[#This Row],[Treatment_Cost_USD]]</f>
        <v>273362.83439999999</v>
      </c>
      <c r="C3458" s="14">
        <f>95.19*Hospital_Operations_Data[[#This Row],[Medication_Cost_USD]]</f>
        <v>54607.647299999997</v>
      </c>
    </row>
    <row r="3459" spans="1:3" x14ac:dyDescent="0.3">
      <c r="A3459" s="11">
        <f>95.19*Hospital_Operations_Data[[#This Row],[Treatment_Cost_USD]]</f>
        <v>703115.22359999991</v>
      </c>
      <c r="C3459" s="13">
        <f>95.19*Hospital_Operations_Data[[#This Row],[Medication_Cost_USD]]</f>
        <v>110822.1018</v>
      </c>
    </row>
    <row r="3460" spans="1:3" x14ac:dyDescent="0.3">
      <c r="A3460" s="12">
        <f>95.19*Hospital_Operations_Data[[#This Row],[Treatment_Cost_USD]]</f>
        <v>889721.89199999988</v>
      </c>
      <c r="C3460" s="14">
        <f>95.19*Hospital_Operations_Data[[#This Row],[Medication_Cost_USD]]</f>
        <v>143180.99040000001</v>
      </c>
    </row>
    <row r="3461" spans="1:3" x14ac:dyDescent="0.3">
      <c r="A3461" s="11">
        <f>95.19*Hospital_Operations_Data[[#This Row],[Treatment_Cost_USD]]</f>
        <v>849276.61289999995</v>
      </c>
      <c r="C3461" s="13">
        <f>95.19*Hospital_Operations_Data[[#This Row],[Medication_Cost_USD]]</f>
        <v>314523.9423</v>
      </c>
    </row>
    <row r="3462" spans="1:3" x14ac:dyDescent="0.3">
      <c r="A3462" s="12">
        <f>95.19*Hospital_Operations_Data[[#This Row],[Treatment_Cost_USD]]</f>
        <v>718509.3504</v>
      </c>
      <c r="C3462" s="14">
        <f>95.19*Hospital_Operations_Data[[#This Row],[Medication_Cost_USD]]</f>
        <v>184491.5466</v>
      </c>
    </row>
    <row r="3463" spans="1:3" x14ac:dyDescent="0.3">
      <c r="A3463" s="11">
        <f>95.19*Hospital_Operations_Data[[#This Row],[Treatment_Cost_USD]]</f>
        <v>269047.87169999996</v>
      </c>
      <c r="C3463" s="13">
        <f>95.19*Hospital_Operations_Data[[#This Row],[Medication_Cost_USD]]</f>
        <v>80417.463899999988</v>
      </c>
    </row>
    <row r="3464" spans="1:3" x14ac:dyDescent="0.3">
      <c r="A3464" s="12">
        <f>95.19*Hospital_Operations_Data[[#This Row],[Treatment_Cost_USD]]</f>
        <v>746975.91989999998</v>
      </c>
      <c r="C3464" s="14">
        <f>95.19*Hospital_Operations_Data[[#This Row],[Medication_Cost_USD]]</f>
        <v>277699.69079999998</v>
      </c>
    </row>
    <row r="3465" spans="1:3" x14ac:dyDescent="0.3">
      <c r="A3465" s="11">
        <f>95.19*Hospital_Operations_Data[[#This Row],[Treatment_Cost_USD]]</f>
        <v>815464.17300000007</v>
      </c>
      <c r="C3465" s="13">
        <f>95.19*Hospital_Operations_Data[[#This Row],[Medication_Cost_USD]]</f>
        <v>132954.72870000001</v>
      </c>
    </row>
    <row r="3466" spans="1:3" x14ac:dyDescent="0.3">
      <c r="A3466" s="12">
        <f>95.19*Hospital_Operations_Data[[#This Row],[Treatment_Cost_USD]]</f>
        <v>415813.71749999997</v>
      </c>
      <c r="C3466" s="14">
        <f>95.19*Hospital_Operations_Data[[#This Row],[Medication_Cost_USD]]</f>
        <v>122356.27410000001</v>
      </c>
    </row>
    <row r="3467" spans="1:3" x14ac:dyDescent="0.3">
      <c r="A3467" s="11">
        <f>95.19*Hospital_Operations_Data[[#This Row],[Treatment_Cost_USD]]</f>
        <v>1424291.7978000001</v>
      </c>
      <c r="C3467" s="13">
        <f>95.19*Hospital_Operations_Data[[#This Row],[Medication_Cost_USD]]</f>
        <v>321391.9008</v>
      </c>
    </row>
    <row r="3468" spans="1:3" x14ac:dyDescent="0.3">
      <c r="A3468" s="12">
        <f>95.19*Hospital_Operations_Data[[#This Row],[Treatment_Cost_USD]]</f>
        <v>581969.76630000002</v>
      </c>
      <c r="C3468" s="14">
        <f>95.19*Hospital_Operations_Data[[#This Row],[Medication_Cost_USD]]</f>
        <v>89311.065600000002</v>
      </c>
    </row>
    <row r="3469" spans="1:3" x14ac:dyDescent="0.3">
      <c r="A3469" s="11">
        <f>95.19*Hospital_Operations_Data[[#This Row],[Treatment_Cost_USD]]</f>
        <v>357915.35190000001</v>
      </c>
      <c r="C3469" s="13">
        <f>95.19*Hospital_Operations_Data[[#This Row],[Medication_Cost_USD]]</f>
        <v>72513.838199999998</v>
      </c>
    </row>
    <row r="3470" spans="1:3" x14ac:dyDescent="0.3">
      <c r="A3470" s="12">
        <f>95.19*Hospital_Operations_Data[[#This Row],[Treatment_Cost_USD]]</f>
        <v>382641.90629999997</v>
      </c>
      <c r="C3470" s="14">
        <f>95.19*Hospital_Operations_Data[[#This Row],[Medication_Cost_USD]]</f>
        <v>88888.421999999991</v>
      </c>
    </row>
    <row r="3471" spans="1:3" x14ac:dyDescent="0.3">
      <c r="A3471" s="11">
        <f>95.19*Hospital_Operations_Data[[#This Row],[Treatment_Cost_USD]]</f>
        <v>668170.02269999997</v>
      </c>
      <c r="C3471" s="13">
        <f>95.19*Hospital_Operations_Data[[#This Row],[Medication_Cost_USD]]</f>
        <v>113459.81670000001</v>
      </c>
    </row>
    <row r="3472" spans="1:3" x14ac:dyDescent="0.3">
      <c r="A3472" s="12">
        <f>95.19*Hospital_Operations_Data[[#This Row],[Treatment_Cost_USD]]</f>
        <v>1442573.0373</v>
      </c>
      <c r="C3472" s="14">
        <f>95.19*Hospital_Operations_Data[[#This Row],[Medication_Cost_USD]]</f>
        <v>271114.44659999997</v>
      </c>
    </row>
    <row r="3473" spans="1:3" x14ac:dyDescent="0.3">
      <c r="A3473" s="11">
        <f>95.19*Hospital_Operations_Data[[#This Row],[Treatment_Cost_USD]]</f>
        <v>387519.44190000003</v>
      </c>
      <c r="C3473" s="13">
        <f>95.19*Hospital_Operations_Data[[#This Row],[Medication_Cost_USD]]</f>
        <v>68849.975099999996</v>
      </c>
    </row>
    <row r="3474" spans="1:3" x14ac:dyDescent="0.3">
      <c r="A3474" s="12">
        <f>95.19*Hospital_Operations_Data[[#This Row],[Treatment_Cost_USD]]</f>
        <v>590947.13520000002</v>
      </c>
      <c r="C3474" s="14">
        <f>95.19*Hospital_Operations_Data[[#This Row],[Medication_Cost_USD]]</f>
        <v>162408.4185</v>
      </c>
    </row>
    <row r="3475" spans="1:3" x14ac:dyDescent="0.3">
      <c r="A3475" s="11">
        <f>95.19*Hospital_Operations_Data[[#This Row],[Treatment_Cost_USD]]</f>
        <v>1128228.0521999998</v>
      </c>
      <c r="C3475" s="13">
        <f>95.19*Hospital_Operations_Data[[#This Row],[Medication_Cost_USD]]</f>
        <v>319179.68520000001</v>
      </c>
    </row>
    <row r="3476" spans="1:3" x14ac:dyDescent="0.3">
      <c r="A3476" s="12">
        <f>95.19*Hospital_Operations_Data[[#This Row],[Treatment_Cost_USD]]</f>
        <v>613001.70630000008</v>
      </c>
      <c r="C3476" s="14">
        <f>95.19*Hospital_Operations_Data[[#This Row],[Medication_Cost_USD]]</f>
        <v>150701.9523</v>
      </c>
    </row>
    <row r="3477" spans="1:3" x14ac:dyDescent="0.3">
      <c r="A3477" s="11">
        <f>95.19*Hospital_Operations_Data[[#This Row],[Treatment_Cost_USD]]</f>
        <v>239484.71340000001</v>
      </c>
      <c r="C3477" s="13">
        <f>95.19*Hospital_Operations_Data[[#This Row],[Medication_Cost_USD]]</f>
        <v>80469.818400000004</v>
      </c>
    </row>
    <row r="3478" spans="1:3" x14ac:dyDescent="0.3">
      <c r="A3478" s="12">
        <f>95.19*Hospital_Operations_Data[[#This Row],[Treatment_Cost_USD]]</f>
        <v>718124.78279999993</v>
      </c>
      <c r="C3478" s="14">
        <f>95.19*Hospital_Operations_Data[[#This Row],[Medication_Cost_USD]]</f>
        <v>188033.56649999999</v>
      </c>
    </row>
    <row r="3479" spans="1:3" x14ac:dyDescent="0.3">
      <c r="A3479" s="11">
        <f>95.19*Hospital_Operations_Data[[#This Row],[Treatment_Cost_USD]]</f>
        <v>1760760.8427000002</v>
      </c>
      <c r="C3479" s="13">
        <f>95.19*Hospital_Operations_Data[[#This Row],[Medication_Cost_USD]]</f>
        <v>349614.78389999998</v>
      </c>
    </row>
    <row r="3480" spans="1:3" x14ac:dyDescent="0.3">
      <c r="A3480" s="12">
        <f>95.19*Hospital_Operations_Data[[#This Row],[Treatment_Cost_USD]]</f>
        <v>1157966.3601000002</v>
      </c>
      <c r="C3480" s="14">
        <f>95.19*Hospital_Operations_Data[[#This Row],[Medication_Cost_USD]]</f>
        <v>181995.6648</v>
      </c>
    </row>
    <row r="3481" spans="1:3" x14ac:dyDescent="0.3">
      <c r="A3481" s="11">
        <f>95.19*Hospital_Operations_Data[[#This Row],[Treatment_Cost_USD]]</f>
        <v>305487.55559999996</v>
      </c>
      <c r="C3481" s="13">
        <f>95.19*Hospital_Operations_Data[[#This Row],[Medication_Cost_USD]]</f>
        <v>53502.491399999992</v>
      </c>
    </row>
    <row r="3482" spans="1:3" x14ac:dyDescent="0.3">
      <c r="A3482" s="12">
        <f>95.19*Hospital_Operations_Data[[#This Row],[Treatment_Cost_USD]]</f>
        <v>949822.95420000004</v>
      </c>
      <c r="C3482" s="14">
        <f>95.19*Hospital_Operations_Data[[#This Row],[Medication_Cost_USD]]</f>
        <v>199376.4069</v>
      </c>
    </row>
    <row r="3483" spans="1:3" x14ac:dyDescent="0.3">
      <c r="A3483" s="11">
        <f>95.19*Hospital_Operations_Data[[#This Row],[Treatment_Cost_USD]]</f>
        <v>919736.25089999998</v>
      </c>
      <c r="C3483" s="13">
        <f>95.19*Hospital_Operations_Data[[#This Row],[Medication_Cost_USD]]</f>
        <v>146394.6048</v>
      </c>
    </row>
    <row r="3484" spans="1:3" x14ac:dyDescent="0.3">
      <c r="A3484" s="12">
        <f>95.19*Hospital_Operations_Data[[#This Row],[Treatment_Cost_USD]]</f>
        <v>2479095.9953999999</v>
      </c>
      <c r="C3484" s="14">
        <f>95.19*Hospital_Operations_Data[[#This Row],[Medication_Cost_USD]]</f>
        <v>434261.53950000001</v>
      </c>
    </row>
    <row r="3485" spans="1:3" x14ac:dyDescent="0.3">
      <c r="A3485" s="11">
        <f>95.19*Hospital_Operations_Data[[#This Row],[Treatment_Cost_USD]]</f>
        <v>1027734.0654</v>
      </c>
      <c r="C3485" s="13">
        <f>95.19*Hospital_Operations_Data[[#This Row],[Medication_Cost_USD]]</f>
        <v>255143.46840000001</v>
      </c>
    </row>
    <row r="3486" spans="1:3" x14ac:dyDescent="0.3">
      <c r="A3486" s="12">
        <f>95.19*Hospital_Operations_Data[[#This Row],[Treatment_Cost_USD]]</f>
        <v>1002784.7664</v>
      </c>
      <c r="C3486" s="14">
        <f>95.19*Hospital_Operations_Data[[#This Row],[Medication_Cost_USD]]</f>
        <v>270023.56919999997</v>
      </c>
    </row>
    <row r="3487" spans="1:3" x14ac:dyDescent="0.3">
      <c r="A3487" s="11">
        <f>95.19*Hospital_Operations_Data[[#This Row],[Treatment_Cost_USD]]</f>
        <v>429730.49549999996</v>
      </c>
      <c r="C3487" s="13">
        <f>95.19*Hospital_Operations_Data[[#This Row],[Medication_Cost_USD]]</f>
        <v>70085.541299999997</v>
      </c>
    </row>
    <row r="3488" spans="1:3" x14ac:dyDescent="0.3">
      <c r="A3488" s="12">
        <f>95.19*Hospital_Operations_Data[[#This Row],[Treatment_Cost_USD]]</f>
        <v>877263.42480000004</v>
      </c>
      <c r="C3488" s="14">
        <f>95.19*Hospital_Operations_Data[[#This Row],[Medication_Cost_USD]]</f>
        <v>151540.57620000001</v>
      </c>
    </row>
    <row r="3489" spans="1:3" x14ac:dyDescent="0.3">
      <c r="A3489" s="11">
        <f>95.19*Hospital_Operations_Data[[#This Row],[Treatment_Cost_USD]]</f>
        <v>176744.98439999999</v>
      </c>
      <c r="C3489" s="13">
        <f>95.19*Hospital_Operations_Data[[#This Row],[Medication_Cost_USD]]</f>
        <v>70378.726500000004</v>
      </c>
    </row>
    <row r="3490" spans="1:3" x14ac:dyDescent="0.3">
      <c r="A3490" s="12">
        <f>95.19*Hospital_Operations_Data[[#This Row],[Treatment_Cost_USD]]</f>
        <v>418620.87059999997</v>
      </c>
      <c r="C3490" s="14">
        <f>95.19*Hospital_Operations_Data[[#This Row],[Medication_Cost_USD]]</f>
        <v>80888.654399999999</v>
      </c>
    </row>
    <row r="3491" spans="1:3" x14ac:dyDescent="0.3">
      <c r="A3491" s="11">
        <f>95.19*Hospital_Operations_Data[[#This Row],[Treatment_Cost_USD]]</f>
        <v>1240804.5057000001</v>
      </c>
      <c r="C3491" s="13">
        <f>95.19*Hospital_Operations_Data[[#This Row],[Medication_Cost_USD]]</f>
        <v>214978.04789999998</v>
      </c>
    </row>
    <row r="3492" spans="1:3" x14ac:dyDescent="0.3">
      <c r="A3492" s="12">
        <f>95.19*Hospital_Operations_Data[[#This Row],[Treatment_Cost_USD]]</f>
        <v>737173.25369999988</v>
      </c>
      <c r="C3492" s="14">
        <f>95.19*Hospital_Operations_Data[[#This Row],[Medication_Cost_USD]]</f>
        <v>239308.61190000002</v>
      </c>
    </row>
    <row r="3493" spans="1:3" x14ac:dyDescent="0.3">
      <c r="A3493" s="11">
        <f>95.19*Hospital_Operations_Data[[#This Row],[Treatment_Cost_USD]]</f>
        <v>731205.79259999993</v>
      </c>
      <c r="C3493" s="13">
        <f>95.19*Hospital_Operations_Data[[#This Row],[Medication_Cost_USD]]</f>
        <v>126827.34839999999</v>
      </c>
    </row>
    <row r="3494" spans="1:3" x14ac:dyDescent="0.3">
      <c r="A3494" s="12">
        <f>95.19*Hospital_Operations_Data[[#This Row],[Treatment_Cost_USD]]</f>
        <v>646843.65509999997</v>
      </c>
      <c r="C3494" s="14">
        <f>95.19*Hospital_Operations_Data[[#This Row],[Medication_Cost_USD]]</f>
        <v>147618.7482</v>
      </c>
    </row>
    <row r="3495" spans="1:3" x14ac:dyDescent="0.3">
      <c r="A3495" s="11">
        <f>95.19*Hospital_Operations_Data[[#This Row],[Treatment_Cost_USD]]</f>
        <v>800749.70280000009</v>
      </c>
      <c r="C3495" s="13">
        <f>95.19*Hospital_Operations_Data[[#This Row],[Medication_Cost_USD]]</f>
        <v>199890.43289999999</v>
      </c>
    </row>
    <row r="3496" spans="1:3" x14ac:dyDescent="0.3">
      <c r="A3496" s="12">
        <f>95.19*Hospital_Operations_Data[[#This Row],[Treatment_Cost_USD]]</f>
        <v>915847.73939999996</v>
      </c>
      <c r="C3496" s="14">
        <f>95.19*Hospital_Operations_Data[[#This Row],[Medication_Cost_USD]]</f>
        <v>363945.6384</v>
      </c>
    </row>
    <row r="3497" spans="1:3" x14ac:dyDescent="0.3">
      <c r="A3497" s="11">
        <f>95.19*Hospital_Operations_Data[[#This Row],[Treatment_Cost_USD]]</f>
        <v>243677.83289999998</v>
      </c>
      <c r="C3497" s="13">
        <f>95.19*Hospital_Operations_Data[[#This Row],[Medication_Cost_USD]]</f>
        <v>77796.883199999997</v>
      </c>
    </row>
    <row r="3498" spans="1:3" x14ac:dyDescent="0.3">
      <c r="A3498" s="12">
        <f>95.19*Hospital_Operations_Data[[#This Row],[Treatment_Cost_USD]]</f>
        <v>660501.51630000002</v>
      </c>
      <c r="C3498" s="14">
        <f>95.19*Hospital_Operations_Data[[#This Row],[Medication_Cost_USD]]</f>
        <v>242000.5851</v>
      </c>
    </row>
    <row r="3499" spans="1:3" x14ac:dyDescent="0.3">
      <c r="A3499" s="11">
        <f>95.19*Hospital_Operations_Data[[#This Row],[Treatment_Cost_USD]]</f>
        <v>396326.42069999996</v>
      </c>
      <c r="C3499" s="13">
        <f>95.19*Hospital_Operations_Data[[#This Row],[Medication_Cost_USD]]</f>
        <v>151482.51029999999</v>
      </c>
    </row>
    <row r="3500" spans="1:3" x14ac:dyDescent="0.3">
      <c r="A3500" s="12">
        <f>95.19*Hospital_Operations_Data[[#This Row],[Treatment_Cost_USD]]</f>
        <v>933797.71769999992</v>
      </c>
      <c r="C3500" s="14">
        <f>95.19*Hospital_Operations_Data[[#This Row],[Medication_Cost_USD]]</f>
        <v>321878.32169999997</v>
      </c>
    </row>
    <row r="3501" spans="1:3" x14ac:dyDescent="0.3">
      <c r="A3501" s="11">
        <f>95.19*Hospital_Operations_Data[[#This Row],[Treatment_Cost_USD]]</f>
        <v>831509.39939999999</v>
      </c>
    </row>
    <row r="3502" spans="1:3" x14ac:dyDescent="0.3">
      <c r="A3502" s="12" t="e">
        <f>95.19*Hospital_Operations_Data[[#This Row],[Treatment_Cost_USD]]</f>
        <v>#VALUE!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215B-68C0-442E-9E21-CA14530DC6F6}">
  <dimension ref="A14:A19"/>
  <sheetViews>
    <sheetView tabSelected="1" topLeftCell="A6" workbookViewId="0">
      <selection activeCell="M24" sqref="M24"/>
    </sheetView>
  </sheetViews>
  <sheetFormatPr defaultRowHeight="14.4" x14ac:dyDescent="0.3"/>
  <cols>
    <col min="1" max="1" width="12.5546875" bestFit="1" customWidth="1"/>
    <col min="2" max="2" width="16.6640625" bestFit="1" customWidth="1"/>
    <col min="3" max="8" width="15.77734375" bestFit="1" customWidth="1"/>
    <col min="9" max="9" width="10.77734375" bestFit="1" customWidth="1"/>
  </cols>
  <sheetData>
    <row r="14" spans="1:1" x14ac:dyDescent="0.3">
      <c r="A14" t="s">
        <v>3610</v>
      </c>
    </row>
    <row r="15" spans="1:1" x14ac:dyDescent="0.3">
      <c r="A15" t="s">
        <v>3611</v>
      </c>
    </row>
    <row r="16" spans="1:1" x14ac:dyDescent="0.3">
      <c r="A16" t="s">
        <v>3612</v>
      </c>
    </row>
    <row r="17" spans="1:1" x14ac:dyDescent="0.3">
      <c r="A17" t="s">
        <v>3613</v>
      </c>
    </row>
    <row r="18" spans="1:1" x14ac:dyDescent="0.3">
      <c r="A18" t="s">
        <v>3609</v>
      </c>
    </row>
    <row r="19" spans="1:1" x14ac:dyDescent="0.3">
      <c r="A19" t="s">
        <v>3615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347A-1307-4BA6-9447-58E261F44B51}">
  <dimension ref="A1:B4"/>
  <sheetViews>
    <sheetView workbookViewId="0">
      <selection activeCell="A4" sqref="A4"/>
    </sheetView>
  </sheetViews>
  <sheetFormatPr defaultRowHeight="14.4" x14ac:dyDescent="0.3"/>
  <cols>
    <col min="1" max="1" width="29" bestFit="1" customWidth="1"/>
    <col min="2" max="2" width="6.33203125" bestFit="1" customWidth="1"/>
  </cols>
  <sheetData>
    <row r="1" spans="1:2" x14ac:dyDescent="0.3">
      <c r="A1" s="4" t="s">
        <v>3</v>
      </c>
      <c r="B1" t="s">
        <v>3617</v>
      </c>
    </row>
    <row r="3" spans="1:2" x14ac:dyDescent="0.3">
      <c r="A3" t="s">
        <v>3616</v>
      </c>
    </row>
    <row r="4" spans="1:2" x14ac:dyDescent="0.3">
      <c r="A4">
        <v>7926.0228514285964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18</vt:i4>
      </vt:variant>
    </vt:vector>
  </HeadingPairs>
  <TitlesOfParts>
    <vt:vector size="24" baseType="lpstr">
      <vt:lpstr>Hospital_Operations_Data</vt:lpstr>
      <vt:lpstr>DASHBOARD</vt:lpstr>
      <vt:lpstr>MORE CHARTS</vt:lpstr>
      <vt:lpstr>Sheet1</vt:lpstr>
      <vt:lpstr>Sheet2</vt:lpstr>
      <vt:lpstr>Sheet3</vt:lpstr>
      <vt:lpstr>admission_type</vt:lpstr>
      <vt:lpstr>admissiondate</vt:lpstr>
      <vt:lpstr>Age</vt:lpstr>
      <vt:lpstr>bed_type</vt:lpstr>
      <vt:lpstr>city</vt:lpstr>
      <vt:lpstr>department</vt:lpstr>
      <vt:lpstr>diagnosis</vt:lpstr>
      <vt:lpstr>dischargedata</vt:lpstr>
      <vt:lpstr>doctor</vt:lpstr>
      <vt:lpstr>Gender</vt:lpstr>
      <vt:lpstr>insurance_status</vt:lpstr>
      <vt:lpstr>Lab_Tests_Count</vt:lpstr>
      <vt:lpstr>Length_of_Stay</vt:lpstr>
      <vt:lpstr>Medication_Cost_USD</vt:lpstr>
      <vt:lpstr>outcome</vt:lpstr>
      <vt:lpstr>patient_id</vt:lpstr>
      <vt:lpstr>payment_method</vt:lpstr>
      <vt:lpstr>Treatment_Cost_USD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Shimpi</cp:lastModifiedBy>
  <dcterms:created xsi:type="dcterms:W3CDTF">2026-06-17T10:18:32Z</dcterms:created>
  <dcterms:modified xsi:type="dcterms:W3CDTF">2026-07-15T14:16:40Z</dcterms:modified>
</cp:coreProperties>
</file>